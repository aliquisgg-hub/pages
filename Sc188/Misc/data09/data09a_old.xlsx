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3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appendix\"/>
    </mc:Choice>
  </mc:AlternateContent>
  <xr:revisionPtr revIDLastSave="0" documentId="13_ncr:1_{3B2FBCC3-D2E1-4E71-8210-364831C213CE}" xr6:coauthVersionLast="36" xr6:coauthVersionMax="47" xr10:uidLastSave="{00000000-0000-0000-0000-000000000000}"/>
  <bookViews>
    <workbookView xWindow="-120" yWindow="1170" windowWidth="28095" windowHeight="16440" tabRatio="710" activeTab="2" xr2:uid="{F09E30F0-484D-4ADE-8C37-A4C3D44EF12A}"/>
  </bookViews>
  <sheets>
    <sheet name="グラフ9" sheetId="25" r:id="rId1"/>
    <sheet name="Sheet1" sheetId="24" r:id="rId2"/>
    <sheet name="co2" sheetId="1" r:id="rId3"/>
    <sheet name="グラフ1" sheetId="16" r:id="rId4"/>
    <sheet name="グラフ2" sheetId="17" r:id="rId5"/>
    <sheet name="グラフ3" sheetId="18" r:id="rId6"/>
    <sheet name="グラフ4" sheetId="19" r:id="rId7"/>
    <sheet name="2次多項式モデル" sheetId="15" r:id="rId8"/>
    <sheet name="グラフ5" sheetId="20" r:id="rId9"/>
    <sheet name="グラフ6" sheetId="21" r:id="rId10"/>
    <sheet name="グラフ7" sheetId="22" r:id="rId11"/>
    <sheet name="グラフ8" sheetId="23" r:id="rId12"/>
    <sheet name="指数+定数モデル" sheetId="3" r:id="rId13"/>
  </sheets>
  <definedNames>
    <definedName name="_A" localSheetId="7">'2次多項式モデル'!$B$6</definedName>
    <definedName name="_A">'指数+定数モデル'!$B$6</definedName>
    <definedName name="_B" localSheetId="7">'2次多項式モデル'!$B$7</definedName>
    <definedName name="_B">'指数+定数モデル'!$B$7</definedName>
    <definedName name="_C" localSheetId="7">'2次多項式モデル'!$B$8</definedName>
    <definedName name="_C">'指数+定数モデル'!$B$8</definedName>
    <definedName name="Err" localSheetId="7">'2次多項式モデル'!$B$27</definedName>
    <definedName name="Err">'指数+定数モデル'!$B$27</definedName>
    <definedName name="Sm" localSheetId="7">'2次多項式モデル'!$B$12:$B$23</definedName>
    <definedName name="Sm">'指数+定数モデル'!$B$12:$B$23</definedName>
    <definedName name="Sm_ave" localSheetId="7">'2次多項式モデル'!$B$25</definedName>
    <definedName name="Sm_ave">'指数+定数モデル'!$B$25</definedName>
    <definedName name="solver_adj" localSheetId="7" hidden="1">'2次多項式モデル'!$B$12:$B$23</definedName>
    <definedName name="solver_adj" localSheetId="12" hidden="1">'指数+定数モデル'!$B$6,'指数+定数モデル'!$B$7,'指数+定数モデル'!$B$8,'指数+定数モデル'!$B$12:$B$23</definedName>
    <definedName name="solver_cvg" localSheetId="7" hidden="1">0.0001</definedName>
    <definedName name="solver_cvg" localSheetId="12" hidden="1">0.0001</definedName>
    <definedName name="solver_drv" localSheetId="7" hidden="1">1</definedName>
    <definedName name="solver_drv" localSheetId="12" hidden="1">1</definedName>
    <definedName name="solver_eng" localSheetId="7" hidden="1">1</definedName>
    <definedName name="solver_eng" localSheetId="12" hidden="1">1</definedName>
    <definedName name="solver_est" localSheetId="7" hidden="1">1</definedName>
    <definedName name="solver_est" localSheetId="12" hidden="1">1</definedName>
    <definedName name="solver_itr" localSheetId="7" hidden="1">2147483647</definedName>
    <definedName name="solver_itr" localSheetId="12" hidden="1">2147483647</definedName>
    <definedName name="solver_lhs1" localSheetId="7" hidden="1">'2次多項式モデル'!$B$25</definedName>
    <definedName name="solver_lhs1" localSheetId="12" hidden="1">'指数+定数モデル'!$B$25</definedName>
    <definedName name="solver_mip" localSheetId="7" hidden="1">2147483647</definedName>
    <definedName name="solver_mip" localSheetId="12" hidden="1">2147483647</definedName>
    <definedName name="solver_mni" localSheetId="7" hidden="1">30</definedName>
    <definedName name="solver_mni" localSheetId="12" hidden="1">30</definedName>
    <definedName name="solver_mrt" localSheetId="7" hidden="1">0.075</definedName>
    <definedName name="solver_mrt" localSheetId="12" hidden="1">0.075</definedName>
    <definedName name="solver_msl" localSheetId="7" hidden="1">2</definedName>
    <definedName name="solver_msl" localSheetId="12" hidden="1">2</definedName>
    <definedName name="solver_neg" localSheetId="7" hidden="1">2</definedName>
    <definedName name="solver_neg" localSheetId="12" hidden="1">2</definedName>
    <definedName name="solver_nod" localSheetId="7" hidden="1">2147483647</definedName>
    <definedName name="solver_nod" localSheetId="12" hidden="1">2147483647</definedName>
    <definedName name="solver_num" localSheetId="7" hidden="1">1</definedName>
    <definedName name="solver_num" localSheetId="12" hidden="1">1</definedName>
    <definedName name="solver_nwt" localSheetId="7" hidden="1">1</definedName>
    <definedName name="solver_nwt" localSheetId="12" hidden="1">1</definedName>
    <definedName name="solver_opt" localSheetId="7" hidden="1">'2次多項式モデル'!$B$27</definedName>
    <definedName name="solver_opt" localSheetId="12" hidden="1">'指数+定数モデル'!$B$27</definedName>
    <definedName name="solver_pre" localSheetId="7" hidden="1">0.000001</definedName>
    <definedName name="solver_pre" localSheetId="12" hidden="1">0.000001</definedName>
    <definedName name="solver_rbv" localSheetId="7" hidden="1">1</definedName>
    <definedName name="solver_rbv" localSheetId="12" hidden="1">1</definedName>
    <definedName name="solver_rel1" localSheetId="7" hidden="1">2</definedName>
    <definedName name="solver_rel1" localSheetId="12" hidden="1">2</definedName>
    <definedName name="solver_rhs1" localSheetId="7" hidden="1">0</definedName>
    <definedName name="solver_rhs1" localSheetId="12" hidden="1">0</definedName>
    <definedName name="solver_rlx" localSheetId="7" hidden="1">2</definedName>
    <definedName name="solver_rlx" localSheetId="12" hidden="1">2</definedName>
    <definedName name="solver_rsd" localSheetId="7" hidden="1">0</definedName>
    <definedName name="solver_rsd" localSheetId="12" hidden="1">0</definedName>
    <definedName name="solver_scl" localSheetId="7" hidden="1">1</definedName>
    <definedName name="solver_scl" localSheetId="12" hidden="1">1</definedName>
    <definedName name="solver_sho" localSheetId="7" hidden="1">2</definedName>
    <definedName name="solver_sho" localSheetId="12" hidden="1">2</definedName>
    <definedName name="solver_ssz" localSheetId="7" hidden="1">100</definedName>
    <definedName name="solver_ssz" localSheetId="12" hidden="1">100</definedName>
    <definedName name="solver_tim" localSheetId="7" hidden="1">2147483647</definedName>
    <definedName name="solver_tim" localSheetId="12" hidden="1">2147483647</definedName>
    <definedName name="solver_tol" localSheetId="7" hidden="1">0.01</definedName>
    <definedName name="solver_tol" localSheetId="12" hidden="1">0.01</definedName>
    <definedName name="solver_typ" localSheetId="7" hidden="1">2</definedName>
    <definedName name="solver_typ" localSheetId="12" hidden="1">2</definedName>
    <definedName name="solver_val" localSheetId="7" hidden="1">0</definedName>
    <definedName name="solver_val" localSheetId="12" hidden="1">0</definedName>
    <definedName name="solver_ver" localSheetId="7" hidden="1">3</definedName>
    <definedName name="solver_ver" localSheetId="1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43" i="3" l="1"/>
  <c r="I743" i="3"/>
  <c r="J743" i="3" s="1" a="1"/>
  <c r="J743" i="3" s="1"/>
  <c r="K743" i="3" s="1"/>
  <c r="H744" i="3"/>
  <c r="I744" i="3"/>
  <c r="J744" i="3" a="1"/>
  <c r="J744" i="3" s="1"/>
  <c r="K744" i="3" s="1"/>
  <c r="H745" i="3"/>
  <c r="I745" i="3"/>
  <c r="J745" i="3" s="1" a="1"/>
  <c r="J745" i="3" s="1"/>
  <c r="K745" i="3" s="1"/>
  <c r="H746" i="3"/>
  <c r="K746" i="3" s="1"/>
  <c r="I746" i="3"/>
  <c r="J746" i="3" a="1"/>
  <c r="J746" i="3"/>
  <c r="H747" i="3"/>
  <c r="I747" i="3"/>
  <c r="J747" i="3" a="1"/>
  <c r="J747" i="3"/>
  <c r="K747" i="3" s="1"/>
  <c r="H748" i="3"/>
  <c r="I748" i="3"/>
  <c r="J748" i="3" a="1"/>
  <c r="J748" i="3" s="1"/>
  <c r="K748" i="3" s="1"/>
  <c r="H749" i="3"/>
  <c r="I749" i="3"/>
  <c r="J749" i="3" s="1" a="1"/>
  <c r="J749" i="3" s="1"/>
  <c r="K749" i="3" s="1"/>
  <c r="H750" i="3"/>
  <c r="I750" i="3"/>
  <c r="J750" i="3" a="1"/>
  <c r="J750" i="3"/>
  <c r="K750" i="3"/>
  <c r="H751" i="3"/>
  <c r="I751" i="3"/>
  <c r="J751" i="3" a="1"/>
  <c r="J751" i="3"/>
  <c r="K751" i="3" s="1"/>
  <c r="H752" i="3"/>
  <c r="I752" i="3"/>
  <c r="J752" i="3" a="1"/>
  <c r="J752" i="3" s="1"/>
  <c r="K752" i="3" s="1"/>
  <c r="H753" i="3"/>
  <c r="I753" i="3"/>
  <c r="J753" i="3" s="1" a="1"/>
  <c r="J753" i="3" s="1"/>
  <c r="K753" i="3" s="1"/>
  <c r="H754" i="3"/>
  <c r="K754" i="3" s="1"/>
  <c r="I754" i="3"/>
  <c r="J754" i="3" a="1"/>
  <c r="J754" i="3"/>
  <c r="H755" i="3"/>
  <c r="I755" i="3"/>
  <c r="J755" i="3" a="1"/>
  <c r="J755" i="3"/>
  <c r="K755" i="3" s="1"/>
  <c r="H756" i="3"/>
  <c r="I756" i="3"/>
  <c r="J756" i="3" a="1"/>
  <c r="J756" i="3" s="1"/>
  <c r="K756" i="3" s="1"/>
  <c r="H757" i="3"/>
  <c r="I757" i="3"/>
  <c r="J757" i="3" s="1" a="1"/>
  <c r="J757" i="3" s="1"/>
  <c r="K757" i="3" s="1"/>
  <c r="H758" i="3"/>
  <c r="I758" i="3"/>
  <c r="J758" i="3" a="1"/>
  <c r="J758" i="3"/>
  <c r="K758" i="3"/>
  <c r="H759" i="3"/>
  <c r="I759" i="3"/>
  <c r="J759" i="3" a="1"/>
  <c r="J759" i="3"/>
  <c r="K759" i="3" s="1"/>
  <c r="H760" i="3"/>
  <c r="I760" i="3"/>
  <c r="J760" i="3" a="1"/>
  <c r="J760" i="3" s="1"/>
  <c r="K760" i="3" s="1"/>
  <c r="H761" i="3"/>
  <c r="I761" i="3"/>
  <c r="J761" i="3" s="1" a="1"/>
  <c r="J761" i="3" s="1"/>
  <c r="K761" i="3" s="1"/>
  <c r="H762" i="3"/>
  <c r="K762" i="3" s="1"/>
  <c r="I762" i="3"/>
  <c r="J762" i="3" a="1"/>
  <c r="J762" i="3"/>
  <c r="H763" i="3"/>
  <c r="I763" i="3"/>
  <c r="J763" i="3" a="1"/>
  <c r="J763" i="3"/>
  <c r="K763" i="3" s="1"/>
  <c r="H764" i="3"/>
  <c r="I764" i="3"/>
  <c r="J764" i="3" a="1"/>
  <c r="J764" i="3" s="1"/>
  <c r="K764" i="3" s="1"/>
  <c r="H765" i="3"/>
  <c r="I765" i="3"/>
  <c r="J765" i="3" s="1" a="1"/>
  <c r="J765" i="3" s="1"/>
  <c r="K765" i="3" s="1"/>
  <c r="H766" i="3"/>
  <c r="I766" i="3"/>
  <c r="J766" i="3" a="1"/>
  <c r="J766" i="3"/>
  <c r="K766" i="3"/>
  <c r="H767" i="3"/>
  <c r="I767" i="3"/>
  <c r="J767" i="3" a="1"/>
  <c r="J767" i="3"/>
  <c r="K767" i="3" s="1"/>
  <c r="H768" i="3"/>
  <c r="I768" i="3"/>
  <c r="J768" i="3" a="1"/>
  <c r="J768" i="3" s="1"/>
  <c r="K768" i="3" s="1"/>
  <c r="H769" i="3"/>
  <c r="I769" i="3"/>
  <c r="J769" i="3" s="1" a="1"/>
  <c r="J769" i="3" s="1"/>
  <c r="K769" i="3" s="1"/>
  <c r="H770" i="3"/>
  <c r="K770" i="3" s="1"/>
  <c r="I770" i="3"/>
  <c r="J770" i="3" a="1"/>
  <c r="J770" i="3"/>
  <c r="H771" i="3"/>
  <c r="I771" i="3"/>
  <c r="J771" i="3" a="1"/>
  <c r="J771" i="3"/>
  <c r="K771" i="3" s="1"/>
  <c r="H772" i="3"/>
  <c r="I772" i="3"/>
  <c r="J772" i="3" a="1"/>
  <c r="J772" i="3" s="1"/>
  <c r="K772" i="3" s="1"/>
  <c r="H773" i="3"/>
  <c r="I773" i="3"/>
  <c r="J773" i="3" s="1" a="1"/>
  <c r="J773" i="3" s="1"/>
  <c r="K773" i="3" s="1"/>
  <c r="H774" i="3"/>
  <c r="I774" i="3"/>
  <c r="J774" i="3" a="1"/>
  <c r="J774" i="3"/>
  <c r="K774" i="3"/>
  <c r="H775" i="3"/>
  <c r="I775" i="3"/>
  <c r="J775" i="3" a="1"/>
  <c r="J775" i="3"/>
  <c r="K775" i="3" s="1"/>
  <c r="H776" i="3"/>
  <c r="I776" i="3"/>
  <c r="J776" i="3" a="1"/>
  <c r="J776" i="3" s="1"/>
  <c r="K776" i="3" s="1"/>
  <c r="H777" i="3"/>
  <c r="I777" i="3"/>
  <c r="J777" i="3" s="1" a="1"/>
  <c r="J777" i="3" s="1"/>
  <c r="K777" i="3" s="1"/>
  <c r="H778" i="3"/>
  <c r="K778" i="3" s="1"/>
  <c r="I778" i="3"/>
  <c r="J778" i="3" a="1"/>
  <c r="J778" i="3"/>
  <c r="H779" i="3"/>
  <c r="I779" i="3"/>
  <c r="J779" i="3" a="1"/>
  <c r="J779" i="3"/>
  <c r="K779" i="3" s="1"/>
  <c r="H780" i="3"/>
  <c r="I780" i="3"/>
  <c r="J780" i="3" a="1"/>
  <c r="J780" i="3" s="1"/>
  <c r="K780" i="3" s="1"/>
  <c r="H781" i="3"/>
  <c r="I781" i="3"/>
  <c r="J781" i="3" s="1" a="1"/>
  <c r="J781" i="3" s="1"/>
  <c r="K781" i="3" s="1"/>
  <c r="H782" i="3"/>
  <c r="I782" i="3"/>
  <c r="J782" i="3" a="1"/>
  <c r="J782" i="3"/>
  <c r="K782" i="3"/>
  <c r="H783" i="3"/>
  <c r="I783" i="3"/>
  <c r="J783" i="3" a="1"/>
  <c r="J783" i="3"/>
  <c r="K783" i="3" s="1"/>
  <c r="H784" i="3"/>
  <c r="I784" i="3"/>
  <c r="J784" i="3" a="1"/>
  <c r="J784" i="3" s="1"/>
  <c r="K784" i="3" s="1"/>
  <c r="H785" i="3"/>
  <c r="I785" i="3"/>
  <c r="J785" i="3" s="1" a="1"/>
  <c r="J785" i="3" s="1"/>
  <c r="K785" i="3" s="1"/>
  <c r="H786" i="3"/>
  <c r="K786" i="3" s="1"/>
  <c r="I786" i="3"/>
  <c r="J786" i="3" a="1"/>
  <c r="J786" i="3"/>
  <c r="H787" i="3"/>
  <c r="I787" i="3"/>
  <c r="J787" i="3" a="1"/>
  <c r="J787" i="3"/>
  <c r="K787" i="3" s="1"/>
  <c r="H788" i="3"/>
  <c r="I788" i="3"/>
  <c r="J788" i="3" a="1"/>
  <c r="J788" i="3" s="1"/>
  <c r="K788" i="3" s="1"/>
  <c r="H789" i="3"/>
  <c r="I789" i="3"/>
  <c r="J789" i="3" s="1" a="1"/>
  <c r="J789" i="3" s="1"/>
  <c r="K789" i="3" s="1"/>
  <c r="H790" i="3"/>
  <c r="I790" i="3"/>
  <c r="J790" i="3" a="1"/>
  <c r="J790" i="3"/>
  <c r="K790" i="3"/>
  <c r="H791" i="3"/>
  <c r="I791" i="3"/>
  <c r="J791" i="3" a="1"/>
  <c r="J791" i="3"/>
  <c r="K791" i="3" s="1"/>
  <c r="H792" i="3"/>
  <c r="I792" i="3"/>
  <c r="J792" i="3" a="1"/>
  <c r="J792" i="3" s="1"/>
  <c r="K792" i="3" s="1"/>
  <c r="H793" i="3"/>
  <c r="I793" i="3"/>
  <c r="J793" i="3" s="1" a="1"/>
  <c r="J793" i="3" s="1"/>
  <c r="K793" i="3" s="1"/>
  <c r="H794" i="3"/>
  <c r="K794" i="3" s="1"/>
  <c r="I794" i="3"/>
  <c r="J794" i="3" a="1"/>
  <c r="J794" i="3"/>
  <c r="H795" i="3"/>
  <c r="I795" i="3"/>
  <c r="J795" i="3" a="1"/>
  <c r="J795" i="3"/>
  <c r="K795" i="3" s="1"/>
  <c r="H796" i="3"/>
  <c r="I796" i="3"/>
  <c r="J796" i="3" a="1"/>
  <c r="J796" i="3" s="1"/>
  <c r="K796" i="3" s="1"/>
  <c r="H797" i="3"/>
  <c r="K797" i="3" s="1"/>
  <c r="I797" i="3"/>
  <c r="J797" i="3" s="1" a="1"/>
  <c r="J797" i="3" s="1"/>
  <c r="H798" i="3"/>
  <c r="I798" i="3"/>
  <c r="J798" i="3" a="1"/>
  <c r="J798" i="3"/>
  <c r="K798" i="3"/>
  <c r="H799" i="3"/>
  <c r="I799" i="3"/>
  <c r="J799" i="3" a="1"/>
  <c r="J799" i="3"/>
  <c r="K799" i="3" s="1"/>
  <c r="H800" i="3"/>
  <c r="I800" i="3"/>
  <c r="J800" i="3" s="1" a="1"/>
  <c r="J800" i="3" s="1"/>
  <c r="K800" i="3" s="1"/>
  <c r="H801" i="3"/>
  <c r="I801" i="3"/>
  <c r="J801" i="3" s="1" a="1"/>
  <c r="J801" i="3" s="1"/>
  <c r="H802" i="3"/>
  <c r="I802" i="3"/>
  <c r="J802" i="3" a="1"/>
  <c r="J802" i="3"/>
  <c r="K802" i="3" s="1"/>
  <c r="H803" i="3"/>
  <c r="I803" i="3"/>
  <c r="J803" i="3" a="1"/>
  <c r="J803" i="3" s="1"/>
  <c r="K803" i="3" s="1"/>
  <c r="H804" i="3"/>
  <c r="I804" i="3"/>
  <c r="J804" i="3" s="1" a="1"/>
  <c r="J804" i="3" s="1"/>
  <c r="K804" i="3" s="1"/>
  <c r="H805" i="3"/>
  <c r="I805" i="3"/>
  <c r="J805" i="3" s="1" a="1"/>
  <c r="J805" i="3" s="1"/>
  <c r="K805" i="3"/>
  <c r="H806" i="3"/>
  <c r="I806" i="3"/>
  <c r="J806" i="3" a="1"/>
  <c r="J806" i="3"/>
  <c r="K806" i="3" s="1"/>
  <c r="H807" i="3"/>
  <c r="I807" i="3"/>
  <c r="J807" i="3" a="1"/>
  <c r="J807" i="3" s="1"/>
  <c r="K807" i="3" s="1"/>
  <c r="H808" i="3"/>
  <c r="I808" i="3"/>
  <c r="J808" i="3" a="1"/>
  <c r="J808" i="3" s="1"/>
  <c r="K808" i="3" s="1"/>
  <c r="H809" i="3"/>
  <c r="I809" i="3"/>
  <c r="J809" i="3" s="1" a="1"/>
  <c r="J809" i="3" s="1"/>
  <c r="K809" i="3"/>
  <c r="H810" i="3"/>
  <c r="K810" i="3" s="1"/>
  <c r="I810" i="3"/>
  <c r="J810" i="3" a="1"/>
  <c r="J810" i="3"/>
  <c r="H811" i="3"/>
  <c r="I811" i="3"/>
  <c r="J811" i="3" a="1"/>
  <c r="J811" i="3"/>
  <c r="K811" i="3" s="1"/>
  <c r="H812" i="3"/>
  <c r="I812" i="3"/>
  <c r="J812" i="3" a="1"/>
  <c r="J812" i="3" s="1"/>
  <c r="K812" i="3" s="1"/>
  <c r="H813" i="3"/>
  <c r="K813" i="3" s="1"/>
  <c r="I813" i="3"/>
  <c r="J813" i="3" s="1" a="1"/>
  <c r="J813" i="3" s="1"/>
  <c r="H814" i="3"/>
  <c r="I814" i="3"/>
  <c r="J814" i="3" a="1"/>
  <c r="J814" i="3"/>
  <c r="K814" i="3"/>
  <c r="H815" i="3"/>
  <c r="I815" i="3"/>
  <c r="J815" i="3" a="1"/>
  <c r="J815" i="3"/>
  <c r="K815" i="3" s="1"/>
  <c r="H816" i="3"/>
  <c r="I816" i="3"/>
  <c r="J816" i="3" s="1" a="1"/>
  <c r="J816" i="3" s="1"/>
  <c r="K816" i="3" s="1"/>
  <c r="H817" i="3"/>
  <c r="I817" i="3"/>
  <c r="J817" i="3" s="1" a="1"/>
  <c r="J817" i="3" s="1"/>
  <c r="H818" i="3"/>
  <c r="I818" i="3"/>
  <c r="J818" i="3" a="1"/>
  <c r="J818" i="3"/>
  <c r="K818" i="3" s="1"/>
  <c r="H819" i="3"/>
  <c r="I819" i="3"/>
  <c r="J819" i="3" a="1"/>
  <c r="J819" i="3" s="1"/>
  <c r="K819" i="3" s="1"/>
  <c r="H820" i="3"/>
  <c r="I820" i="3"/>
  <c r="J820" i="3" s="1" a="1"/>
  <c r="J820" i="3" s="1"/>
  <c r="K820" i="3" s="1"/>
  <c r="H821" i="3"/>
  <c r="I821" i="3"/>
  <c r="J821" i="3" s="1" a="1"/>
  <c r="J821" i="3" s="1"/>
  <c r="K821" i="3"/>
  <c r="H822" i="3"/>
  <c r="I822" i="3"/>
  <c r="J822" i="3" a="1"/>
  <c r="J822" i="3"/>
  <c r="K822" i="3" s="1"/>
  <c r="H823" i="3"/>
  <c r="I823" i="3"/>
  <c r="J823" i="3" s="1" a="1"/>
  <c r="J823" i="3" s="1"/>
  <c r="K823" i="3" s="1"/>
  <c r="H824" i="3"/>
  <c r="I824" i="3"/>
  <c r="J824" i="3" a="1"/>
  <c r="J824" i="3" s="1"/>
  <c r="K824" i="3" s="1"/>
  <c r="H825" i="3"/>
  <c r="I825" i="3"/>
  <c r="J825" i="3" s="1" a="1"/>
  <c r="J825" i="3"/>
  <c r="K825" i="3" s="1"/>
  <c r="H826" i="3"/>
  <c r="I826" i="3"/>
  <c r="J826" i="3" a="1"/>
  <c r="J826" i="3" s="1"/>
  <c r="K826" i="3" s="1"/>
  <c r="H827" i="3"/>
  <c r="I827" i="3"/>
  <c r="J827" i="3" a="1"/>
  <c r="J827" i="3" s="1"/>
  <c r="K827" i="3" s="1"/>
  <c r="H828" i="3"/>
  <c r="I828" i="3"/>
  <c r="J828" i="3" a="1"/>
  <c r="J828" i="3" s="1"/>
  <c r="H829" i="3"/>
  <c r="I829" i="3"/>
  <c r="J829" i="3" s="1" a="1"/>
  <c r="J829" i="3" s="1"/>
  <c r="H830" i="3"/>
  <c r="K830" i="3" s="1"/>
  <c r="I830" i="3"/>
  <c r="J830" i="3" a="1"/>
  <c r="J830" i="3" s="1"/>
  <c r="H831" i="3"/>
  <c r="I831" i="3"/>
  <c r="J831" i="3" s="1" a="1"/>
  <c r="J831" i="3" s="1"/>
  <c r="K831" i="3" s="1"/>
  <c r="H832" i="3"/>
  <c r="I832" i="3"/>
  <c r="J832" i="3" s="1" a="1"/>
  <c r="J832" i="3" s="1"/>
  <c r="K832" i="3"/>
  <c r="H833" i="3"/>
  <c r="I833" i="3"/>
  <c r="J833" i="3" s="1" a="1"/>
  <c r="J833" i="3" s="1"/>
  <c r="K833" i="3"/>
  <c r="H834" i="3"/>
  <c r="K834" i="3" s="1"/>
  <c r="I834" i="3"/>
  <c r="J834" i="3" a="1"/>
  <c r="J834" i="3"/>
  <c r="H835" i="3"/>
  <c r="I835" i="3"/>
  <c r="J835" i="3" a="1"/>
  <c r="J835" i="3"/>
  <c r="K835" i="3" s="1"/>
  <c r="H836" i="3"/>
  <c r="I836" i="3"/>
  <c r="J836" i="3" a="1"/>
  <c r="J836" i="3" s="1"/>
  <c r="K836" i="3"/>
  <c r="H837" i="3"/>
  <c r="I837" i="3"/>
  <c r="J837" i="3" s="1" a="1"/>
  <c r="J837" i="3"/>
  <c r="K837" i="3"/>
  <c r="H838" i="3"/>
  <c r="I838" i="3"/>
  <c r="J838" i="3" a="1"/>
  <c r="J838" i="3"/>
  <c r="K838" i="3" s="1"/>
  <c r="H839" i="3"/>
  <c r="I839" i="3"/>
  <c r="J839" i="3" a="1"/>
  <c r="J839" i="3" s="1"/>
  <c r="K839" i="3" s="1"/>
  <c r="H840" i="3"/>
  <c r="I840" i="3"/>
  <c r="J840" i="3" a="1"/>
  <c r="J840" i="3" s="1"/>
  <c r="K840" i="3" s="1"/>
  <c r="H841" i="3"/>
  <c r="I841" i="3"/>
  <c r="J841" i="3" s="1" a="1"/>
  <c r="J841" i="3"/>
  <c r="K841" i="3" s="1"/>
  <c r="H842" i="3"/>
  <c r="I842" i="3"/>
  <c r="J842" i="3" a="1"/>
  <c r="J842" i="3" s="1"/>
  <c r="K842" i="3" s="1"/>
  <c r="H843" i="3"/>
  <c r="I843" i="3"/>
  <c r="J843" i="3" a="1"/>
  <c r="J843" i="3" s="1"/>
  <c r="K843" i="3" s="1"/>
  <c r="H844" i="3"/>
  <c r="I844" i="3"/>
  <c r="J844" i="3" a="1"/>
  <c r="J844" i="3" s="1"/>
  <c r="H845" i="3"/>
  <c r="I845" i="3"/>
  <c r="J845" i="3" s="1" a="1"/>
  <c r="J845" i="3" s="1"/>
  <c r="H846" i="3"/>
  <c r="K846" i="3" s="1"/>
  <c r="I846" i="3"/>
  <c r="J846" i="3" a="1"/>
  <c r="J846" i="3" s="1"/>
  <c r="H847" i="3"/>
  <c r="I847" i="3"/>
  <c r="J847" i="3" s="1" a="1"/>
  <c r="J847" i="3" s="1"/>
  <c r="K847" i="3" s="1"/>
  <c r="H848" i="3"/>
  <c r="I848" i="3"/>
  <c r="J848" i="3" s="1" a="1"/>
  <c r="J848" i="3" s="1"/>
  <c r="K848" i="3"/>
  <c r="H849" i="3"/>
  <c r="I849" i="3"/>
  <c r="J849" i="3" s="1" a="1"/>
  <c r="J849" i="3" s="1"/>
  <c r="K849" i="3"/>
  <c r="H850" i="3"/>
  <c r="K850" i="3" s="1"/>
  <c r="I850" i="3"/>
  <c r="J850" i="3" a="1"/>
  <c r="J850" i="3"/>
  <c r="H851" i="3"/>
  <c r="I851" i="3"/>
  <c r="J851" i="3" a="1"/>
  <c r="J851" i="3"/>
  <c r="K851" i="3" s="1"/>
  <c r="H852" i="3"/>
  <c r="I852" i="3"/>
  <c r="J852" i="3" a="1"/>
  <c r="J852" i="3" s="1"/>
  <c r="K852" i="3"/>
  <c r="H853" i="3"/>
  <c r="I853" i="3"/>
  <c r="J853" i="3" s="1" a="1"/>
  <c r="J853" i="3"/>
  <c r="K853" i="3"/>
  <c r="H854" i="3"/>
  <c r="I854" i="3"/>
  <c r="J854" i="3" a="1"/>
  <c r="J854" i="3"/>
  <c r="K854" i="3" s="1"/>
  <c r="H855" i="3"/>
  <c r="I855" i="3"/>
  <c r="J855" i="3" a="1"/>
  <c r="J855" i="3" s="1"/>
  <c r="K855" i="3" s="1"/>
  <c r="H856" i="3"/>
  <c r="I856" i="3"/>
  <c r="J856" i="3" a="1"/>
  <c r="J856" i="3" s="1"/>
  <c r="K856" i="3" s="1"/>
  <c r="H857" i="3"/>
  <c r="I857" i="3"/>
  <c r="J857" i="3" a="1"/>
  <c r="J857" i="3" s="1"/>
  <c r="K857" i="3" s="1"/>
  <c r="H858" i="3"/>
  <c r="I858" i="3"/>
  <c r="J858" i="3" s="1" a="1"/>
  <c r="J858" i="3"/>
  <c r="K858" i="3" s="1"/>
  <c r="H859" i="3"/>
  <c r="I859" i="3"/>
  <c r="J859" i="3" a="1"/>
  <c r="J859" i="3" s="1"/>
  <c r="K859" i="3" s="1"/>
  <c r="H860" i="3"/>
  <c r="I860" i="3"/>
  <c r="J860" i="3" s="1" a="1"/>
  <c r="J860" i="3" s="1"/>
  <c r="K860" i="3" s="1"/>
  <c r="H861" i="3"/>
  <c r="K861" i="3" s="1"/>
  <c r="I861" i="3"/>
  <c r="J861" i="3" s="1" a="1"/>
  <c r="J861" i="3" s="1"/>
  <c r="H862" i="3"/>
  <c r="I862" i="3"/>
  <c r="J862" i="3" s="1" a="1"/>
  <c r="J862" i="3" s="1"/>
  <c r="H863" i="3"/>
  <c r="I863" i="3"/>
  <c r="J863" i="3" a="1"/>
  <c r="J863" i="3" s="1"/>
  <c r="H864" i="3"/>
  <c r="I864" i="3"/>
  <c r="J864" i="3" s="1" a="1"/>
  <c r="J864" i="3" s="1"/>
  <c r="K864" i="3" s="1"/>
  <c r="H865" i="3"/>
  <c r="I865" i="3"/>
  <c r="J865" i="3" s="1" a="1"/>
  <c r="J865" i="3" s="1"/>
  <c r="H866" i="3"/>
  <c r="K866" i="3" s="1"/>
  <c r="I866" i="3"/>
  <c r="J866" i="3" s="1" a="1"/>
  <c r="J866" i="3" s="1"/>
  <c r="H867" i="3"/>
  <c r="I867" i="3"/>
  <c r="J867" i="3" a="1"/>
  <c r="J867" i="3"/>
  <c r="K867" i="3"/>
  <c r="H868" i="3"/>
  <c r="I868" i="3"/>
  <c r="J868" i="3" a="1"/>
  <c r="J868" i="3"/>
  <c r="K868" i="3" s="1"/>
  <c r="H869" i="3"/>
  <c r="I869" i="3"/>
  <c r="J869" i="3" a="1"/>
  <c r="J869" i="3" s="1"/>
  <c r="K869" i="3"/>
  <c r="H870" i="3"/>
  <c r="I870" i="3"/>
  <c r="J870" i="3" s="1" a="1"/>
  <c r="J870" i="3"/>
  <c r="K870" i="3"/>
  <c r="H871" i="3"/>
  <c r="I871" i="3"/>
  <c r="J871" i="3" a="1"/>
  <c r="J871" i="3"/>
  <c r="K871" i="3" s="1"/>
  <c r="H872" i="3"/>
  <c r="I872" i="3"/>
  <c r="J872" i="3" a="1"/>
  <c r="J872" i="3" s="1"/>
  <c r="K872" i="3" s="1"/>
  <c r="H873" i="3"/>
  <c r="I873" i="3"/>
  <c r="J873" i="3" a="1"/>
  <c r="J873" i="3" s="1"/>
  <c r="K873" i="3" s="1"/>
  <c r="H874" i="3"/>
  <c r="I874" i="3"/>
  <c r="J874" i="3" s="1" a="1"/>
  <c r="J874" i="3"/>
  <c r="K874" i="3" s="1"/>
  <c r="H875" i="3"/>
  <c r="I875" i="3"/>
  <c r="J875" i="3" a="1"/>
  <c r="J875" i="3" s="1"/>
  <c r="K875" i="3" s="1"/>
  <c r="H876" i="3"/>
  <c r="I876" i="3"/>
  <c r="J876" i="3" s="1" a="1"/>
  <c r="J876" i="3" s="1"/>
  <c r="K876" i="3" s="1"/>
  <c r="H877" i="3"/>
  <c r="K877" i="3" s="1"/>
  <c r="I877" i="3"/>
  <c r="J877" i="3" s="1" a="1"/>
  <c r="J877" i="3" s="1"/>
  <c r="H878" i="3"/>
  <c r="I878" i="3"/>
  <c r="J878" i="3" s="1" a="1"/>
  <c r="J878" i="3" s="1"/>
  <c r="H879" i="3"/>
  <c r="I879" i="3"/>
  <c r="J879" i="3" a="1"/>
  <c r="J879" i="3" s="1"/>
  <c r="K879" i="3" s="1"/>
  <c r="H880" i="3"/>
  <c r="I880" i="3"/>
  <c r="J880" i="3" s="1" a="1"/>
  <c r="J880" i="3" s="1"/>
  <c r="K880" i="3" s="1"/>
  <c r="H881" i="3"/>
  <c r="I881" i="3"/>
  <c r="J881" i="3" s="1" a="1"/>
  <c r="J881" i="3" s="1"/>
  <c r="H882" i="3"/>
  <c r="K882" i="3" s="1"/>
  <c r="I882" i="3"/>
  <c r="J882" i="3" s="1" a="1"/>
  <c r="J882" i="3" s="1"/>
  <c r="H883" i="3"/>
  <c r="K883" i="3" s="1"/>
  <c r="I883" i="3"/>
  <c r="J883" i="3" a="1"/>
  <c r="J883" i="3"/>
  <c r="H884" i="3"/>
  <c r="I884" i="3"/>
  <c r="J884" i="3" a="1"/>
  <c r="J884" i="3"/>
  <c r="K884" i="3" s="1"/>
  <c r="H885" i="3"/>
  <c r="I885" i="3"/>
  <c r="J885" i="3" a="1"/>
  <c r="J885" i="3" s="1"/>
  <c r="K885" i="3"/>
  <c r="H886" i="3"/>
  <c r="I886" i="3"/>
  <c r="J886" i="3" s="1" a="1"/>
  <c r="J886" i="3"/>
  <c r="K886" i="3"/>
  <c r="H887" i="3"/>
  <c r="I887" i="3"/>
  <c r="J887" i="3" a="1"/>
  <c r="J887" i="3"/>
  <c r="K887" i="3" s="1"/>
  <c r="H888" i="3"/>
  <c r="I888" i="3"/>
  <c r="J888" i="3" a="1"/>
  <c r="J888" i="3" s="1"/>
  <c r="K888" i="3" s="1"/>
  <c r="H889" i="3"/>
  <c r="I889" i="3"/>
  <c r="J889" i="3" a="1"/>
  <c r="J889" i="3" s="1"/>
  <c r="K889" i="3" s="1"/>
  <c r="H890" i="3"/>
  <c r="I890" i="3"/>
  <c r="J890" i="3" s="1" a="1"/>
  <c r="J890" i="3"/>
  <c r="K890" i="3" s="1"/>
  <c r="H891" i="3"/>
  <c r="I891" i="3"/>
  <c r="J891" i="3" a="1"/>
  <c r="J891" i="3" s="1"/>
  <c r="K891" i="3" s="1"/>
  <c r="H892" i="3"/>
  <c r="I892" i="3"/>
  <c r="J892" i="3" s="1" a="1"/>
  <c r="J892" i="3" s="1"/>
  <c r="K892" i="3" s="1"/>
  <c r="H893" i="3"/>
  <c r="K893" i="3" s="1"/>
  <c r="I893" i="3"/>
  <c r="J893" i="3" s="1" a="1"/>
  <c r="J893" i="3" s="1"/>
  <c r="H894" i="3"/>
  <c r="I894" i="3"/>
  <c r="J894" i="3" s="1" a="1"/>
  <c r="J894" i="3" s="1"/>
  <c r="H895" i="3"/>
  <c r="I895" i="3"/>
  <c r="J895" i="3" a="1"/>
  <c r="J895" i="3" s="1"/>
  <c r="K895" i="3" s="1"/>
  <c r="H896" i="3"/>
  <c r="I896" i="3"/>
  <c r="J896" i="3" s="1" a="1"/>
  <c r="J896" i="3" s="1"/>
  <c r="K896" i="3" s="1"/>
  <c r="H897" i="3"/>
  <c r="K897" i="3" s="1"/>
  <c r="I897" i="3"/>
  <c r="J897" i="3" s="1" a="1"/>
  <c r="J897" i="3" s="1"/>
  <c r="H898" i="3"/>
  <c r="I898" i="3"/>
  <c r="J898" i="3" s="1" a="1"/>
  <c r="J898" i="3" s="1"/>
  <c r="H899" i="3"/>
  <c r="K899" i="3" s="1"/>
  <c r="I899" i="3"/>
  <c r="J899" i="3" a="1"/>
  <c r="J899" i="3"/>
  <c r="H900" i="3"/>
  <c r="I900" i="3"/>
  <c r="J900" i="3" a="1"/>
  <c r="J900" i="3"/>
  <c r="K900" i="3" s="1"/>
  <c r="H901" i="3"/>
  <c r="I901" i="3"/>
  <c r="J901" i="3" a="1"/>
  <c r="J901" i="3" s="1"/>
  <c r="K901" i="3"/>
  <c r="H902" i="3"/>
  <c r="I902" i="3"/>
  <c r="J902" i="3" s="1" a="1"/>
  <c r="J902" i="3"/>
  <c r="K902" i="3"/>
  <c r="H903" i="3"/>
  <c r="I903" i="3"/>
  <c r="J903" i="3" a="1"/>
  <c r="J903" i="3"/>
  <c r="K903" i="3" s="1"/>
  <c r="H904" i="3"/>
  <c r="I904" i="3"/>
  <c r="J904" i="3" a="1"/>
  <c r="J904" i="3" s="1"/>
  <c r="K904" i="3" s="1"/>
  <c r="H905" i="3"/>
  <c r="I905" i="3"/>
  <c r="J905" i="3" a="1"/>
  <c r="J905" i="3" s="1"/>
  <c r="K905" i="3" s="1"/>
  <c r="H906" i="3"/>
  <c r="I906" i="3"/>
  <c r="J906" i="3" s="1" a="1"/>
  <c r="J906" i="3"/>
  <c r="K906" i="3" s="1"/>
  <c r="H907" i="3"/>
  <c r="I907" i="3"/>
  <c r="J907" i="3" a="1"/>
  <c r="J907" i="3" s="1"/>
  <c r="K907" i="3" s="1"/>
  <c r="H908" i="3"/>
  <c r="I908" i="3"/>
  <c r="J908" i="3" s="1" a="1"/>
  <c r="J908" i="3" s="1"/>
  <c r="K908" i="3" s="1"/>
  <c r="H909" i="3"/>
  <c r="I909" i="3"/>
  <c r="J909" i="3" s="1" a="1"/>
  <c r="J909" i="3" s="1"/>
  <c r="H910" i="3"/>
  <c r="K910" i="3" s="1"/>
  <c r="I910" i="3"/>
  <c r="J910" i="3" s="1" a="1"/>
  <c r="J910" i="3" s="1"/>
  <c r="H911" i="3"/>
  <c r="I911" i="3"/>
  <c r="J911" i="3" a="1"/>
  <c r="J911" i="3" s="1"/>
  <c r="K911" i="3" s="1"/>
  <c r="H912" i="3"/>
  <c r="I912" i="3"/>
  <c r="J912" i="3" s="1" a="1"/>
  <c r="J912" i="3" s="1"/>
  <c r="K912" i="3" s="1"/>
  <c r="H913" i="3"/>
  <c r="K913" i="3" s="1"/>
  <c r="I913" i="3"/>
  <c r="J913" i="3" s="1" a="1"/>
  <c r="J913" i="3" s="1"/>
  <c r="H914" i="3"/>
  <c r="I914" i="3"/>
  <c r="J914" i="3" s="1" a="1"/>
  <c r="J914" i="3" s="1"/>
  <c r="H915" i="3"/>
  <c r="I915" i="3"/>
  <c r="J915" i="3" a="1"/>
  <c r="J915" i="3"/>
  <c r="K915" i="3"/>
  <c r="H916" i="3"/>
  <c r="I916" i="3"/>
  <c r="J916" i="3" a="1"/>
  <c r="J916" i="3"/>
  <c r="K916" i="3" s="1"/>
  <c r="H917" i="3"/>
  <c r="I917" i="3"/>
  <c r="J917" i="3" a="1"/>
  <c r="J917" i="3" s="1"/>
  <c r="K917" i="3"/>
  <c r="H918" i="3"/>
  <c r="I918" i="3"/>
  <c r="J918" i="3" s="1" a="1"/>
  <c r="J918" i="3"/>
  <c r="K918" i="3"/>
  <c r="H919" i="3"/>
  <c r="I919" i="3"/>
  <c r="J919" i="3" a="1"/>
  <c r="J919" i="3"/>
  <c r="K919" i="3" s="1"/>
  <c r="H920" i="3"/>
  <c r="I920" i="3"/>
  <c r="J920" i="3" a="1"/>
  <c r="J920" i="3" s="1"/>
  <c r="K920" i="3" s="1"/>
  <c r="H921" i="3"/>
  <c r="I921" i="3"/>
  <c r="J921" i="3" a="1"/>
  <c r="J921" i="3" s="1"/>
  <c r="K921" i="3" s="1"/>
  <c r="H922" i="3"/>
  <c r="I922" i="3"/>
  <c r="J922" i="3" s="1" a="1"/>
  <c r="J922" i="3"/>
  <c r="K922" i="3" s="1"/>
  <c r="H923" i="3"/>
  <c r="I923" i="3"/>
  <c r="J923" i="3" a="1"/>
  <c r="J923" i="3" s="1"/>
  <c r="K923" i="3" s="1"/>
  <c r="H924" i="3"/>
  <c r="I924" i="3"/>
  <c r="J924" i="3" s="1" a="1"/>
  <c r="J924" i="3" s="1"/>
  <c r="K924" i="3" s="1"/>
  <c r="H925" i="3"/>
  <c r="I925" i="3"/>
  <c r="J925" i="3" s="1" a="1"/>
  <c r="J925" i="3" s="1"/>
  <c r="H926" i="3"/>
  <c r="K926" i="3" s="1"/>
  <c r="I926" i="3"/>
  <c r="J926" i="3" s="1" a="1"/>
  <c r="J926" i="3" s="1"/>
  <c r="H927" i="3"/>
  <c r="I927" i="3"/>
  <c r="J927" i="3" a="1"/>
  <c r="J927" i="3" s="1"/>
  <c r="K927" i="3" s="1"/>
  <c r="H928" i="3"/>
  <c r="I928" i="3"/>
  <c r="J928" i="3" s="1" a="1"/>
  <c r="J928" i="3" s="1"/>
  <c r="K928" i="3" s="1"/>
  <c r="H929" i="3"/>
  <c r="K929" i="3" s="1"/>
  <c r="I929" i="3"/>
  <c r="J929" i="3" s="1" a="1"/>
  <c r="J929" i="3" s="1"/>
  <c r="H930" i="3"/>
  <c r="I930" i="3"/>
  <c r="J930" i="3" s="1" a="1"/>
  <c r="J930" i="3" s="1"/>
  <c r="H931" i="3"/>
  <c r="I931" i="3"/>
  <c r="J931" i="3" a="1"/>
  <c r="J931" i="3"/>
  <c r="K931" i="3"/>
  <c r="H932" i="3"/>
  <c r="I932" i="3"/>
  <c r="J932" i="3" a="1"/>
  <c r="J932" i="3"/>
  <c r="K932" i="3" s="1"/>
  <c r="H933" i="3"/>
  <c r="I933" i="3"/>
  <c r="J933" i="3" a="1"/>
  <c r="J933" i="3" s="1"/>
  <c r="K933" i="3"/>
  <c r="H934" i="3"/>
  <c r="I934" i="3"/>
  <c r="J934" i="3" s="1" a="1"/>
  <c r="J934" i="3"/>
  <c r="K934" i="3"/>
  <c r="H935" i="3"/>
  <c r="I935" i="3"/>
  <c r="J935" i="3" a="1"/>
  <c r="J935" i="3"/>
  <c r="K935" i="3" s="1"/>
  <c r="H936" i="3"/>
  <c r="I936" i="3"/>
  <c r="J936" i="3" a="1"/>
  <c r="J936" i="3" s="1"/>
  <c r="K936" i="3" s="1"/>
  <c r="H937" i="3"/>
  <c r="K937" i="3" s="1"/>
  <c r="I937" i="3"/>
  <c r="J937" i="3" s="1" a="1"/>
  <c r="J937" i="3" s="1"/>
  <c r="H938" i="3"/>
  <c r="I938" i="3"/>
  <c r="J938" i="3" s="1" a="1"/>
  <c r="J938" i="3" s="1"/>
  <c r="H939" i="3"/>
  <c r="I939" i="3"/>
  <c r="J939" i="3" a="1"/>
  <c r="J939" i="3"/>
  <c r="K939" i="3" s="1"/>
  <c r="H940" i="3"/>
  <c r="I940" i="3"/>
  <c r="J940" i="3" a="1"/>
  <c r="J940" i="3" s="1"/>
  <c r="K940" i="3" s="1"/>
  <c r="H941" i="3"/>
  <c r="I941" i="3"/>
  <c r="J941" i="3" s="1" a="1"/>
  <c r="J941" i="3" s="1"/>
  <c r="H942" i="3"/>
  <c r="K942" i="3" s="1"/>
  <c r="I942" i="3"/>
  <c r="J942" i="3" s="1" a="1"/>
  <c r="J942" i="3" s="1"/>
  <c r="C748" i="24"/>
  <c r="C752" i="24"/>
  <c r="C756" i="24"/>
  <c r="C760" i="24"/>
  <c r="C764" i="24"/>
  <c r="C768" i="24"/>
  <c r="C772" i="24"/>
  <c r="C776" i="24"/>
  <c r="C780" i="24"/>
  <c r="C784" i="24"/>
  <c r="C788" i="24"/>
  <c r="C792" i="24"/>
  <c r="C796" i="24"/>
  <c r="C800" i="24"/>
  <c r="C804" i="24"/>
  <c r="C808" i="24"/>
  <c r="C812" i="24"/>
  <c r="C816" i="24"/>
  <c r="C820" i="24"/>
  <c r="C824" i="24"/>
  <c r="C828" i="24"/>
  <c r="C832" i="24"/>
  <c r="C836" i="24"/>
  <c r="C840" i="24"/>
  <c r="C844" i="24"/>
  <c r="C848" i="24"/>
  <c r="C852" i="24"/>
  <c r="C856" i="24"/>
  <c r="C860" i="24"/>
  <c r="C864" i="24"/>
  <c r="C868" i="24"/>
  <c r="C872" i="24"/>
  <c r="C876" i="24"/>
  <c r="C880" i="24"/>
  <c r="C884" i="24"/>
  <c r="C888" i="24"/>
  <c r="C892" i="24"/>
  <c r="C896" i="24"/>
  <c r="C900" i="24"/>
  <c r="C904" i="24"/>
  <c r="C908" i="24"/>
  <c r="C912" i="24"/>
  <c r="C916" i="24"/>
  <c r="C920" i="24"/>
  <c r="C924" i="24"/>
  <c r="C928" i="24"/>
  <c r="C932" i="24"/>
  <c r="C936" i="24"/>
  <c r="C940" i="24"/>
  <c r="C944" i="24"/>
  <c r="C749" i="24"/>
  <c r="C753" i="24"/>
  <c r="C757" i="24"/>
  <c r="C761" i="24"/>
  <c r="C765" i="24"/>
  <c r="C769" i="24"/>
  <c r="C773" i="24"/>
  <c r="C777" i="24"/>
  <c r="C781" i="24"/>
  <c r="C785" i="24"/>
  <c r="C789" i="24"/>
  <c r="C793" i="24"/>
  <c r="C797" i="24"/>
  <c r="C801" i="24"/>
  <c r="C805" i="24"/>
  <c r="C809" i="24"/>
  <c r="C813" i="24"/>
  <c r="C817" i="24"/>
  <c r="C821" i="24"/>
  <c r="C825" i="24"/>
  <c r="C829" i="24"/>
  <c r="C833" i="24"/>
  <c r="C837" i="24"/>
  <c r="C841" i="24"/>
  <c r="C845" i="24"/>
  <c r="C849" i="24"/>
  <c r="C853" i="24"/>
  <c r="C857" i="24"/>
  <c r="C861" i="24"/>
  <c r="C865" i="24"/>
  <c r="C869" i="24"/>
  <c r="C873" i="24"/>
  <c r="C877" i="24"/>
  <c r="C881" i="24"/>
  <c r="C885" i="24"/>
  <c r="C889" i="24"/>
  <c r="C893" i="24"/>
  <c r="C897" i="24"/>
  <c r="C901" i="24"/>
  <c r="C905" i="24"/>
  <c r="C909" i="24"/>
  <c r="C913" i="24"/>
  <c r="C917" i="24"/>
  <c r="C921" i="24"/>
  <c r="C925" i="24"/>
  <c r="C929" i="24"/>
  <c r="C933" i="24"/>
  <c r="C937" i="24"/>
  <c r="C941" i="24"/>
  <c r="C945" i="24"/>
  <c r="C750" i="24"/>
  <c r="C754" i="24"/>
  <c r="C758" i="24"/>
  <c r="C762" i="24"/>
  <c r="C766" i="24"/>
  <c r="C770" i="24"/>
  <c r="C774" i="24"/>
  <c r="C778" i="24"/>
  <c r="C782" i="24"/>
  <c r="C786" i="24"/>
  <c r="C790" i="24"/>
  <c r="C794" i="24"/>
  <c r="C798" i="24"/>
  <c r="C802" i="24"/>
  <c r="C806" i="24"/>
  <c r="C810" i="24"/>
  <c r="C814" i="24"/>
  <c r="C818" i="24"/>
  <c r="C822" i="24"/>
  <c r="C826" i="24"/>
  <c r="C830" i="24"/>
  <c r="C834" i="24"/>
  <c r="C838" i="24"/>
  <c r="C842" i="24"/>
  <c r="C846" i="24"/>
  <c r="C850" i="24"/>
  <c r="C854" i="24"/>
  <c r="C858" i="24"/>
  <c r="C862" i="24"/>
  <c r="C866" i="24"/>
  <c r="C870" i="24"/>
  <c r="C874" i="24"/>
  <c r="C878" i="24"/>
  <c r="C882" i="24"/>
  <c r="C886" i="24"/>
  <c r="C890" i="24"/>
  <c r="C894" i="24"/>
  <c r="C898" i="24"/>
  <c r="C902" i="24"/>
  <c r="C906" i="24"/>
  <c r="C910" i="24"/>
  <c r="C914" i="24"/>
  <c r="C918" i="24"/>
  <c r="C922" i="24"/>
  <c r="C926" i="24"/>
  <c r="C930" i="24"/>
  <c r="C934" i="24"/>
  <c r="C938" i="24"/>
  <c r="C942" i="24"/>
  <c r="C946" i="24"/>
  <c r="C755" i="24"/>
  <c r="C771" i="24"/>
  <c r="C787" i="24"/>
  <c r="C803" i="24"/>
  <c r="C819" i="24"/>
  <c r="C835" i="24"/>
  <c r="C851" i="24"/>
  <c r="C867" i="24"/>
  <c r="C883" i="24"/>
  <c r="C899" i="24"/>
  <c r="C915" i="24"/>
  <c r="C931" i="24"/>
  <c r="C947" i="24"/>
  <c r="C759" i="24"/>
  <c r="C775" i="24"/>
  <c r="C791" i="24"/>
  <c r="C807" i="24"/>
  <c r="C823" i="24"/>
  <c r="C839" i="24"/>
  <c r="C855" i="24"/>
  <c r="C871" i="24"/>
  <c r="C887" i="24"/>
  <c r="C903" i="24"/>
  <c r="C919" i="24"/>
  <c r="C935" i="24"/>
  <c r="C751" i="24"/>
  <c r="C783" i="24"/>
  <c r="C815" i="24"/>
  <c r="C847" i="24"/>
  <c r="C879" i="24"/>
  <c r="C911" i="24"/>
  <c r="C943" i="24"/>
  <c r="C799" i="24"/>
  <c r="C779" i="24"/>
  <c r="C763" i="24"/>
  <c r="C795" i="24"/>
  <c r="C827" i="24"/>
  <c r="C859" i="24"/>
  <c r="C891" i="24"/>
  <c r="C923" i="24"/>
  <c r="C767" i="24"/>
  <c r="C831" i="24"/>
  <c r="C863" i="24"/>
  <c r="C895" i="24"/>
  <c r="C927" i="24"/>
  <c r="C811" i="24"/>
  <c r="C843" i="24"/>
  <c r="C875" i="24"/>
  <c r="C907" i="24"/>
  <c r="C939" i="24"/>
  <c r="K941" i="3" l="1"/>
  <c r="K909" i="3"/>
  <c r="K898" i="3"/>
  <c r="K878" i="3"/>
  <c r="K862" i="3"/>
  <c r="K938" i="3"/>
  <c r="K930" i="3"/>
  <c r="K914" i="3"/>
  <c r="K894" i="3"/>
  <c r="K881" i="3"/>
  <c r="K865" i="3"/>
  <c r="K925" i="3"/>
  <c r="K863" i="3"/>
  <c r="K829" i="3"/>
  <c r="K845" i="3"/>
  <c r="K844" i="3"/>
  <c r="K828" i="3"/>
  <c r="K817" i="3"/>
  <c r="K801" i="3"/>
  <c r="H743" i="15"/>
  <c r="I743" i="15"/>
  <c r="J743" i="15" a="1"/>
  <c r="J743" i="15"/>
  <c r="K743" i="15" s="1"/>
  <c r="H744" i="15"/>
  <c r="I744" i="15"/>
  <c r="J744" i="15" a="1"/>
  <c r="J744" i="15" s="1"/>
  <c r="K744" i="15" s="1"/>
  <c r="H745" i="15"/>
  <c r="I745" i="15"/>
  <c r="J745" i="15" s="1" a="1"/>
  <c r="J745" i="15" s="1"/>
  <c r="K745" i="15" s="1"/>
  <c r="H746" i="15"/>
  <c r="I746" i="15"/>
  <c r="J746" i="15" s="1" a="1"/>
  <c r="J746" i="15" s="1"/>
  <c r="K746" i="15"/>
  <c r="H747" i="15"/>
  <c r="I747" i="15"/>
  <c r="J747" i="15" a="1"/>
  <c r="J747" i="15"/>
  <c r="K747" i="15" s="1"/>
  <c r="H748" i="15"/>
  <c r="I748" i="15"/>
  <c r="J748" i="15" a="1"/>
  <c r="J748" i="15" s="1"/>
  <c r="K748" i="15" s="1"/>
  <c r="H749" i="15"/>
  <c r="I749" i="15"/>
  <c r="J749" i="15" s="1" a="1"/>
  <c r="J749" i="15" s="1"/>
  <c r="K749" i="15" s="1"/>
  <c r="H750" i="15"/>
  <c r="I750" i="15"/>
  <c r="J750" i="15" s="1" a="1"/>
  <c r="J750" i="15" s="1"/>
  <c r="K750" i="15"/>
  <c r="H751" i="15"/>
  <c r="I751" i="15"/>
  <c r="J751" i="15" a="1"/>
  <c r="J751" i="15"/>
  <c r="K751" i="15" s="1"/>
  <c r="H752" i="15"/>
  <c r="I752" i="15"/>
  <c r="J752" i="15" a="1"/>
  <c r="J752" i="15" s="1"/>
  <c r="K752" i="15" s="1"/>
  <c r="H753" i="15"/>
  <c r="I753" i="15"/>
  <c r="J753" i="15" s="1" a="1"/>
  <c r="J753" i="15" s="1"/>
  <c r="K753" i="15" s="1"/>
  <c r="H754" i="15"/>
  <c r="I754" i="15"/>
  <c r="J754" i="15" s="1" a="1"/>
  <c r="J754" i="15" s="1"/>
  <c r="K754" i="15"/>
  <c r="H755" i="15"/>
  <c r="I755" i="15"/>
  <c r="J755" i="15" a="1"/>
  <c r="J755" i="15"/>
  <c r="K755" i="15" s="1"/>
  <c r="H756" i="15"/>
  <c r="I756" i="15"/>
  <c r="J756" i="15" a="1"/>
  <c r="J756" i="15" s="1"/>
  <c r="K756" i="15" s="1"/>
  <c r="H757" i="15"/>
  <c r="I757" i="15"/>
  <c r="J757" i="15" s="1" a="1"/>
  <c r="J757" i="15" s="1"/>
  <c r="K757" i="15" s="1"/>
  <c r="H758" i="15"/>
  <c r="I758" i="15"/>
  <c r="J758" i="15" s="1" a="1"/>
  <c r="J758" i="15" s="1"/>
  <c r="K758" i="15"/>
  <c r="H759" i="15"/>
  <c r="I759" i="15"/>
  <c r="J759" i="15" a="1"/>
  <c r="J759" i="15"/>
  <c r="K759" i="15" s="1"/>
  <c r="H760" i="15"/>
  <c r="I760" i="15"/>
  <c r="J760" i="15" a="1"/>
  <c r="J760" i="15" s="1"/>
  <c r="K760" i="15" s="1"/>
  <c r="H761" i="15"/>
  <c r="I761" i="15"/>
  <c r="J761" i="15" s="1" a="1"/>
  <c r="J761" i="15" s="1"/>
  <c r="K761" i="15" s="1"/>
  <c r="H762" i="15"/>
  <c r="I762" i="15"/>
  <c r="J762" i="15" s="1" a="1"/>
  <c r="J762" i="15" s="1"/>
  <c r="K762" i="15"/>
  <c r="H763" i="15"/>
  <c r="I763" i="15"/>
  <c r="J763" i="15" a="1"/>
  <c r="J763" i="15"/>
  <c r="K763" i="15" s="1"/>
  <c r="H764" i="15"/>
  <c r="I764" i="15"/>
  <c r="J764" i="15" a="1"/>
  <c r="J764" i="15" s="1"/>
  <c r="K764" i="15" s="1"/>
  <c r="H765" i="15"/>
  <c r="I765" i="15"/>
  <c r="J765" i="15" s="1" a="1"/>
  <c r="J765" i="15" s="1"/>
  <c r="K765" i="15" s="1"/>
  <c r="H766" i="15"/>
  <c r="I766" i="15"/>
  <c r="J766" i="15" s="1" a="1"/>
  <c r="J766" i="15" s="1"/>
  <c r="K766" i="15"/>
  <c r="H767" i="15"/>
  <c r="I767" i="15"/>
  <c r="J767" i="15" a="1"/>
  <c r="J767" i="15"/>
  <c r="K767" i="15" s="1"/>
  <c r="H768" i="15"/>
  <c r="I768" i="15"/>
  <c r="J768" i="15" a="1"/>
  <c r="J768" i="15" s="1"/>
  <c r="K768" i="15" s="1"/>
  <c r="H769" i="15"/>
  <c r="K769" i="15" s="1"/>
  <c r="I769" i="15"/>
  <c r="J769" i="15" s="1" a="1"/>
  <c r="J769" i="15" s="1"/>
  <c r="H770" i="15"/>
  <c r="K770" i="15" s="1"/>
  <c r="I770" i="15"/>
  <c r="J770" i="15" s="1" a="1"/>
  <c r="J770" i="15" s="1"/>
  <c r="H771" i="15"/>
  <c r="I771" i="15"/>
  <c r="J771" i="15" a="1"/>
  <c r="J771" i="15" s="1"/>
  <c r="K771" i="15" s="1"/>
  <c r="H772" i="15"/>
  <c r="I772" i="15"/>
  <c r="J772" i="15" s="1" a="1"/>
  <c r="J772" i="15" s="1"/>
  <c r="K772" i="15" s="1"/>
  <c r="H773" i="15"/>
  <c r="I773" i="15"/>
  <c r="J773" i="15" s="1" a="1"/>
  <c r="J773" i="15" s="1"/>
  <c r="K773" i="15"/>
  <c r="H774" i="15"/>
  <c r="I774" i="15"/>
  <c r="J774" i="15" s="1" a="1"/>
  <c r="J774" i="15"/>
  <c r="K774" i="15"/>
  <c r="H775" i="15"/>
  <c r="I775" i="15"/>
  <c r="J775" i="15" a="1"/>
  <c r="J775" i="15"/>
  <c r="K775" i="15" s="1"/>
  <c r="H776" i="15"/>
  <c r="I776" i="15"/>
  <c r="J776" i="15" a="1"/>
  <c r="J776" i="15" s="1"/>
  <c r="K776" i="15" s="1"/>
  <c r="H777" i="15"/>
  <c r="K777" i="15" s="1"/>
  <c r="I777" i="15"/>
  <c r="J777" i="15" s="1" a="1"/>
  <c r="J777" i="15" s="1"/>
  <c r="H778" i="15"/>
  <c r="I778" i="15"/>
  <c r="J778" i="15" s="1" a="1"/>
  <c r="J778" i="15" s="1"/>
  <c r="H779" i="15"/>
  <c r="I779" i="15"/>
  <c r="J779" i="15" a="1"/>
  <c r="J779" i="15" s="1"/>
  <c r="K779" i="15" s="1"/>
  <c r="H780" i="15"/>
  <c r="I780" i="15"/>
  <c r="J780" i="15" s="1" a="1"/>
  <c r="J780" i="15" s="1"/>
  <c r="K780" i="15" s="1"/>
  <c r="H781" i="15"/>
  <c r="I781" i="15"/>
  <c r="J781" i="15" s="1" a="1"/>
  <c r="J781" i="15" s="1"/>
  <c r="K781" i="15"/>
  <c r="H782" i="15"/>
  <c r="I782" i="15"/>
  <c r="J782" i="15" s="1" a="1"/>
  <c r="J782" i="15"/>
  <c r="K782" i="15"/>
  <c r="H783" i="15"/>
  <c r="I783" i="15"/>
  <c r="J783" i="15" a="1"/>
  <c r="J783" i="15"/>
  <c r="K783" i="15" s="1"/>
  <c r="H784" i="15"/>
  <c r="I784" i="15"/>
  <c r="J784" i="15" a="1"/>
  <c r="J784" i="15" s="1"/>
  <c r="K784" i="15" s="1"/>
  <c r="H785" i="15"/>
  <c r="K785" i="15" s="1"/>
  <c r="I785" i="15"/>
  <c r="J785" i="15" s="1" a="1"/>
  <c r="J785" i="15" s="1"/>
  <c r="H786" i="15"/>
  <c r="K786" i="15" s="1"/>
  <c r="I786" i="15"/>
  <c r="J786" i="15" s="1" a="1"/>
  <c r="J786" i="15" s="1"/>
  <c r="H787" i="15"/>
  <c r="I787" i="15"/>
  <c r="J787" i="15" a="1"/>
  <c r="J787" i="15" s="1"/>
  <c r="K787" i="15" s="1"/>
  <c r="H788" i="15"/>
  <c r="I788" i="15"/>
  <c r="J788" i="15" s="1" a="1"/>
  <c r="J788" i="15" s="1"/>
  <c r="K788" i="15" s="1"/>
  <c r="H789" i="15"/>
  <c r="I789" i="15"/>
  <c r="J789" i="15" s="1" a="1"/>
  <c r="J789" i="15" s="1"/>
  <c r="K789" i="15"/>
  <c r="H790" i="15"/>
  <c r="I790" i="15"/>
  <c r="J790" i="15" s="1" a="1"/>
  <c r="J790" i="15"/>
  <c r="K790" i="15"/>
  <c r="H791" i="15"/>
  <c r="I791" i="15"/>
  <c r="J791" i="15" a="1"/>
  <c r="J791" i="15"/>
  <c r="K791" i="15" s="1"/>
  <c r="H792" i="15"/>
  <c r="I792" i="15"/>
  <c r="J792" i="15" a="1"/>
  <c r="J792" i="15" s="1"/>
  <c r="K792" i="15" s="1"/>
  <c r="H793" i="15"/>
  <c r="K793" i="15" s="1"/>
  <c r="I793" i="15"/>
  <c r="J793" i="15" s="1" a="1"/>
  <c r="J793" i="15" s="1"/>
  <c r="H794" i="15"/>
  <c r="I794" i="15"/>
  <c r="J794" i="15" s="1" a="1"/>
  <c r="J794" i="15" s="1"/>
  <c r="H795" i="15"/>
  <c r="I795" i="15"/>
  <c r="J795" i="15" a="1"/>
  <c r="J795" i="15" s="1"/>
  <c r="K795" i="15" s="1"/>
  <c r="H796" i="15"/>
  <c r="I796" i="15"/>
  <c r="J796" i="15" s="1" a="1"/>
  <c r="J796" i="15" s="1"/>
  <c r="K796" i="15" s="1"/>
  <c r="H797" i="15"/>
  <c r="I797" i="15"/>
  <c r="J797" i="15" s="1" a="1"/>
  <c r="J797" i="15" s="1"/>
  <c r="K797" i="15"/>
  <c r="H798" i="15"/>
  <c r="I798" i="15"/>
  <c r="J798" i="15" s="1" a="1"/>
  <c r="J798" i="15"/>
  <c r="K798" i="15"/>
  <c r="H799" i="15"/>
  <c r="I799" i="15"/>
  <c r="J799" i="15" a="1"/>
  <c r="J799" i="15"/>
  <c r="K799" i="15" s="1"/>
  <c r="H800" i="15"/>
  <c r="I800" i="15"/>
  <c r="J800" i="15" a="1"/>
  <c r="J800" i="15" s="1"/>
  <c r="K800" i="15" s="1"/>
  <c r="H801" i="15"/>
  <c r="K801" i="15" s="1"/>
  <c r="I801" i="15"/>
  <c r="J801" i="15" s="1" a="1"/>
  <c r="J801" i="15" s="1"/>
  <c r="H802" i="15"/>
  <c r="K802" i="15" s="1"/>
  <c r="I802" i="15"/>
  <c r="J802" i="15" s="1" a="1"/>
  <c r="J802" i="15" s="1"/>
  <c r="H803" i="15"/>
  <c r="K803" i="15" s="1"/>
  <c r="I803" i="15"/>
  <c r="J803" i="15" a="1"/>
  <c r="J803" i="15" s="1"/>
  <c r="H804" i="15"/>
  <c r="I804" i="15"/>
  <c r="J804" i="15" s="1" a="1"/>
  <c r="J804" i="15" s="1"/>
  <c r="K804" i="15" s="1"/>
  <c r="H805" i="15"/>
  <c r="I805" i="15"/>
  <c r="J805" i="15" s="1" a="1"/>
  <c r="J805" i="15" s="1"/>
  <c r="H806" i="15"/>
  <c r="I806" i="15"/>
  <c r="J806" i="15" s="1" a="1"/>
  <c r="J806" i="15" s="1"/>
  <c r="H807" i="15"/>
  <c r="I807" i="15"/>
  <c r="J807" i="15" a="1"/>
  <c r="J807" i="15"/>
  <c r="K807" i="15"/>
  <c r="H808" i="15"/>
  <c r="I808" i="15"/>
  <c r="J808" i="15" a="1"/>
  <c r="J808" i="15"/>
  <c r="K808" i="15" s="1"/>
  <c r="H809" i="15"/>
  <c r="I809" i="15"/>
  <c r="J809" i="15" a="1"/>
  <c r="J809" i="15" s="1"/>
  <c r="K809" i="15"/>
  <c r="H810" i="15"/>
  <c r="I810" i="15"/>
  <c r="J810" i="15" s="1" a="1"/>
  <c r="J810" i="15"/>
  <c r="K810" i="15"/>
  <c r="H811" i="15"/>
  <c r="I811" i="15"/>
  <c r="J811" i="15" a="1"/>
  <c r="J811" i="15"/>
  <c r="K811" i="15" s="1"/>
  <c r="H812" i="15"/>
  <c r="I812" i="15"/>
  <c r="J812" i="15" a="1"/>
  <c r="J812" i="15" s="1"/>
  <c r="K812" i="15" s="1"/>
  <c r="H813" i="15"/>
  <c r="I813" i="15"/>
  <c r="J813" i="15" a="1"/>
  <c r="J813" i="15" s="1"/>
  <c r="K813" i="15" s="1"/>
  <c r="H814" i="15"/>
  <c r="I814" i="15"/>
  <c r="J814" i="15" s="1" a="1"/>
  <c r="J814" i="15"/>
  <c r="K814" i="15" s="1"/>
  <c r="H815" i="15"/>
  <c r="I815" i="15"/>
  <c r="J815" i="15" a="1"/>
  <c r="J815" i="15" s="1"/>
  <c r="K815" i="15" s="1"/>
  <c r="H816" i="15"/>
  <c r="I816" i="15"/>
  <c r="J816" i="15" s="1" a="1"/>
  <c r="J816" i="15" s="1"/>
  <c r="K816" i="15" s="1"/>
  <c r="H817" i="15"/>
  <c r="K817" i="15" s="1"/>
  <c r="I817" i="15"/>
  <c r="J817" i="15" s="1" a="1"/>
  <c r="J817" i="15" s="1"/>
  <c r="H818" i="15"/>
  <c r="K818" i="15" s="1"/>
  <c r="I818" i="15"/>
  <c r="J818" i="15" s="1" a="1"/>
  <c r="J818" i="15" s="1"/>
  <c r="H819" i="15"/>
  <c r="I819" i="15"/>
  <c r="J819" i="15" a="1"/>
  <c r="J819" i="15" s="1"/>
  <c r="K819" i="15" s="1"/>
  <c r="H820" i="15"/>
  <c r="I820" i="15"/>
  <c r="J820" i="15" s="1" a="1"/>
  <c r="J820" i="15" s="1"/>
  <c r="K820" i="15" s="1"/>
  <c r="H821" i="15"/>
  <c r="K821" i="15" s="1"/>
  <c r="I821" i="15"/>
  <c r="J821" i="15" s="1" a="1"/>
  <c r="J821" i="15" s="1"/>
  <c r="H822" i="15"/>
  <c r="I822" i="15"/>
  <c r="J822" i="15" s="1" a="1"/>
  <c r="J822" i="15" s="1"/>
  <c r="H823" i="15"/>
  <c r="I823" i="15"/>
  <c r="J823" i="15" a="1"/>
  <c r="J823" i="15"/>
  <c r="K823" i="15"/>
  <c r="H824" i="15"/>
  <c r="I824" i="15"/>
  <c r="J824" i="15" a="1"/>
  <c r="J824" i="15"/>
  <c r="K824" i="15" s="1"/>
  <c r="H825" i="15"/>
  <c r="I825" i="15"/>
  <c r="J825" i="15" a="1"/>
  <c r="J825" i="15" s="1"/>
  <c r="K825" i="15"/>
  <c r="H826" i="15"/>
  <c r="I826" i="15"/>
  <c r="J826" i="15" s="1" a="1"/>
  <c r="J826" i="15"/>
  <c r="K826" i="15"/>
  <c r="H827" i="15"/>
  <c r="I827" i="15"/>
  <c r="J827" i="15" a="1"/>
  <c r="J827" i="15"/>
  <c r="K827" i="15" s="1"/>
  <c r="H828" i="15"/>
  <c r="I828" i="15"/>
  <c r="J828" i="15" a="1"/>
  <c r="J828" i="15" s="1"/>
  <c r="K828" i="15" s="1"/>
  <c r="H829" i="15"/>
  <c r="I829" i="15"/>
  <c r="J829" i="15" a="1"/>
  <c r="J829" i="15" s="1"/>
  <c r="K829" i="15" s="1"/>
  <c r="H830" i="15"/>
  <c r="I830" i="15"/>
  <c r="J830" i="15" s="1" a="1"/>
  <c r="J830" i="15"/>
  <c r="K830" i="15" s="1"/>
  <c r="H831" i="15"/>
  <c r="I831" i="15"/>
  <c r="J831" i="15" a="1"/>
  <c r="J831" i="15" s="1"/>
  <c r="K831" i="15" s="1"/>
  <c r="H832" i="15"/>
  <c r="I832" i="15"/>
  <c r="J832" i="15" s="1" a="1"/>
  <c r="J832" i="15" s="1"/>
  <c r="K832" i="15" s="1"/>
  <c r="H833" i="15"/>
  <c r="K833" i="15" s="1"/>
  <c r="I833" i="15"/>
  <c r="J833" i="15" s="1" a="1"/>
  <c r="J833" i="15" s="1"/>
  <c r="H834" i="15"/>
  <c r="K834" i="15" s="1"/>
  <c r="I834" i="15"/>
  <c r="J834" i="15" s="1" a="1"/>
  <c r="J834" i="15" s="1"/>
  <c r="H835" i="15"/>
  <c r="K835" i="15" s="1"/>
  <c r="I835" i="15"/>
  <c r="J835" i="15" a="1"/>
  <c r="J835" i="15" s="1"/>
  <c r="H836" i="15"/>
  <c r="I836" i="15"/>
  <c r="J836" i="15" s="1" a="1"/>
  <c r="J836" i="15" s="1"/>
  <c r="K836" i="15" s="1"/>
  <c r="H837" i="15"/>
  <c r="K837" i="15" s="1"/>
  <c r="I837" i="15"/>
  <c r="J837" i="15" s="1" a="1"/>
  <c r="J837" i="15" s="1"/>
  <c r="H838" i="15"/>
  <c r="I838" i="15"/>
  <c r="J838" i="15" s="1" a="1"/>
  <c r="J838" i="15" s="1"/>
  <c r="H839" i="15"/>
  <c r="I839" i="15"/>
  <c r="J839" i="15" a="1"/>
  <c r="J839" i="15"/>
  <c r="K839" i="15"/>
  <c r="H840" i="15"/>
  <c r="I840" i="15"/>
  <c r="J840" i="15" a="1"/>
  <c r="J840" i="15"/>
  <c r="K840" i="15" s="1"/>
  <c r="H841" i="15"/>
  <c r="I841" i="15"/>
  <c r="J841" i="15" a="1"/>
  <c r="J841" i="15" s="1"/>
  <c r="K841" i="15"/>
  <c r="H842" i="15"/>
  <c r="I842" i="15"/>
  <c r="J842" i="15" s="1" a="1"/>
  <c r="J842" i="15"/>
  <c r="K842" i="15"/>
  <c r="H843" i="15"/>
  <c r="I843" i="15"/>
  <c r="J843" i="15" a="1"/>
  <c r="J843" i="15"/>
  <c r="K843" i="15" s="1"/>
  <c r="H844" i="15"/>
  <c r="I844" i="15"/>
  <c r="J844" i="15" a="1"/>
  <c r="J844" i="15" s="1"/>
  <c r="K844" i="15" s="1"/>
  <c r="H845" i="15"/>
  <c r="I845" i="15"/>
  <c r="J845" i="15" a="1"/>
  <c r="J845" i="15" s="1"/>
  <c r="K845" i="15" s="1"/>
  <c r="H846" i="15"/>
  <c r="I846" i="15"/>
  <c r="J846" i="15" s="1" a="1"/>
  <c r="J846" i="15"/>
  <c r="K846" i="15" s="1"/>
  <c r="H847" i="15"/>
  <c r="I847" i="15"/>
  <c r="J847" i="15" a="1"/>
  <c r="J847" i="15" s="1"/>
  <c r="K847" i="15" s="1"/>
  <c r="H848" i="15"/>
  <c r="I848" i="15"/>
  <c r="J848" i="15" s="1" a="1"/>
  <c r="J848" i="15" s="1"/>
  <c r="K848" i="15" s="1"/>
  <c r="H849" i="15"/>
  <c r="K849" i="15" s="1"/>
  <c r="I849" i="15"/>
  <c r="J849" i="15" s="1" a="1"/>
  <c r="J849" i="15" s="1"/>
  <c r="H850" i="15"/>
  <c r="K850" i="15" s="1"/>
  <c r="I850" i="15"/>
  <c r="J850" i="15" s="1" a="1"/>
  <c r="J850" i="15" s="1"/>
  <c r="H851" i="15"/>
  <c r="K851" i="15" s="1"/>
  <c r="I851" i="15"/>
  <c r="J851" i="15" a="1"/>
  <c r="J851" i="15" s="1"/>
  <c r="H852" i="15"/>
  <c r="I852" i="15"/>
  <c r="J852" i="15" s="1" a="1"/>
  <c r="J852" i="15" s="1"/>
  <c r="K852" i="15" s="1"/>
  <c r="H853" i="15"/>
  <c r="K853" i="15" s="1"/>
  <c r="I853" i="15"/>
  <c r="J853" i="15" s="1" a="1"/>
  <c r="J853" i="15" s="1"/>
  <c r="H854" i="15"/>
  <c r="I854" i="15"/>
  <c r="J854" i="15" s="1" a="1"/>
  <c r="J854" i="15" s="1"/>
  <c r="H855" i="15"/>
  <c r="I855" i="15"/>
  <c r="J855" i="15" a="1"/>
  <c r="J855" i="15"/>
  <c r="K855" i="15"/>
  <c r="H856" i="15"/>
  <c r="I856" i="15"/>
  <c r="J856" i="15" a="1"/>
  <c r="J856" i="15"/>
  <c r="K856" i="15" s="1"/>
  <c r="H857" i="15"/>
  <c r="I857" i="15"/>
  <c r="J857" i="15" a="1"/>
  <c r="J857" i="15"/>
  <c r="K857" i="15" s="1"/>
  <c r="H858" i="15"/>
  <c r="I858" i="15"/>
  <c r="J858" i="15" a="1"/>
  <c r="J858" i="15" s="1"/>
  <c r="K858" i="15" s="1"/>
  <c r="H859" i="15"/>
  <c r="K859" i="15" s="1"/>
  <c r="I859" i="15"/>
  <c r="J859" i="15" s="1" a="1"/>
  <c r="J859" i="15" s="1"/>
  <c r="H860" i="15"/>
  <c r="I860" i="15"/>
  <c r="J860" i="15" s="1" a="1"/>
  <c r="J860" i="15" s="1"/>
  <c r="K860" i="15" s="1"/>
  <c r="H861" i="15"/>
  <c r="I861" i="15"/>
  <c r="J861" i="15" a="1"/>
  <c r="J861" i="15"/>
  <c r="K861" i="15" s="1"/>
  <c r="H862" i="15"/>
  <c r="I862" i="15"/>
  <c r="J862" i="15" a="1"/>
  <c r="J862" i="15" s="1"/>
  <c r="K862" i="15" s="1"/>
  <c r="H863" i="15"/>
  <c r="K863" i="15" s="1"/>
  <c r="I863" i="15"/>
  <c r="J863" i="15" s="1" a="1"/>
  <c r="J863" i="15" s="1"/>
  <c r="H864" i="15"/>
  <c r="I864" i="15"/>
  <c r="J864" i="15" s="1" a="1"/>
  <c r="J864" i="15" s="1"/>
  <c r="K864" i="15" s="1"/>
  <c r="H865" i="15"/>
  <c r="I865" i="15"/>
  <c r="J865" i="15" a="1"/>
  <c r="J865" i="15"/>
  <c r="K865" i="15" s="1"/>
  <c r="H866" i="15"/>
  <c r="I866" i="15"/>
  <c r="J866" i="15" a="1"/>
  <c r="J866" i="15" s="1"/>
  <c r="K866" i="15" s="1"/>
  <c r="H867" i="15"/>
  <c r="K867" i="15" s="1"/>
  <c r="I867" i="15"/>
  <c r="J867" i="15" s="1" a="1"/>
  <c r="J867" i="15" s="1"/>
  <c r="H868" i="15"/>
  <c r="I868" i="15"/>
  <c r="J868" i="15" s="1" a="1"/>
  <c r="J868" i="15" s="1"/>
  <c r="K868" i="15" s="1"/>
  <c r="H869" i="15"/>
  <c r="I869" i="15"/>
  <c r="J869" i="15" a="1"/>
  <c r="J869" i="15"/>
  <c r="K869" i="15" s="1"/>
  <c r="H870" i="15"/>
  <c r="I870" i="15"/>
  <c r="J870" i="15" a="1"/>
  <c r="J870" i="15" s="1"/>
  <c r="K870" i="15" s="1"/>
  <c r="H871" i="15"/>
  <c r="K871" i="15" s="1"/>
  <c r="I871" i="15"/>
  <c r="J871" i="15" s="1" a="1"/>
  <c r="J871" i="15" s="1"/>
  <c r="H872" i="15"/>
  <c r="I872" i="15"/>
  <c r="J872" i="15" s="1" a="1"/>
  <c r="J872" i="15" s="1"/>
  <c r="K872" i="15" s="1"/>
  <c r="H873" i="15"/>
  <c r="I873" i="15"/>
  <c r="J873" i="15" a="1"/>
  <c r="J873" i="15"/>
  <c r="K873" i="15" s="1"/>
  <c r="H874" i="15"/>
  <c r="I874" i="15"/>
  <c r="J874" i="15" a="1"/>
  <c r="J874" i="15" s="1"/>
  <c r="K874" i="15" s="1"/>
  <c r="H875" i="15"/>
  <c r="K875" i="15" s="1"/>
  <c r="I875" i="15"/>
  <c r="J875" i="15" s="1" a="1"/>
  <c r="J875" i="15" s="1"/>
  <c r="H876" i="15"/>
  <c r="I876" i="15"/>
  <c r="J876" i="15" s="1" a="1"/>
  <c r="J876" i="15" s="1"/>
  <c r="K876" i="15" s="1"/>
  <c r="H877" i="15"/>
  <c r="I877" i="15"/>
  <c r="J877" i="15" a="1"/>
  <c r="J877" i="15"/>
  <c r="K877" i="15" s="1"/>
  <c r="H878" i="15"/>
  <c r="I878" i="15"/>
  <c r="J878" i="15" a="1"/>
  <c r="J878" i="15" s="1"/>
  <c r="K878" i="15" s="1"/>
  <c r="H879" i="15"/>
  <c r="K879" i="15" s="1"/>
  <c r="I879" i="15"/>
  <c r="J879" i="15" s="1" a="1"/>
  <c r="J879" i="15" s="1"/>
  <c r="H880" i="15"/>
  <c r="I880" i="15"/>
  <c r="J880" i="15" s="1" a="1"/>
  <c r="J880" i="15" s="1"/>
  <c r="K880" i="15" s="1"/>
  <c r="H881" i="15"/>
  <c r="I881" i="15"/>
  <c r="J881" i="15" a="1"/>
  <c r="J881" i="15"/>
  <c r="K881" i="15" s="1"/>
  <c r="H882" i="15"/>
  <c r="I882" i="15"/>
  <c r="J882" i="15" a="1"/>
  <c r="J882" i="15" s="1"/>
  <c r="K882" i="15" s="1"/>
  <c r="H883" i="15"/>
  <c r="K883" i="15" s="1"/>
  <c r="I883" i="15"/>
  <c r="J883" i="15" s="1" a="1"/>
  <c r="J883" i="15" s="1"/>
  <c r="H884" i="15"/>
  <c r="I884" i="15"/>
  <c r="J884" i="15" s="1" a="1"/>
  <c r="J884" i="15" s="1"/>
  <c r="K884" i="15" s="1"/>
  <c r="H885" i="15"/>
  <c r="I885" i="15"/>
  <c r="J885" i="15" a="1"/>
  <c r="J885" i="15"/>
  <c r="K885" i="15" s="1"/>
  <c r="H886" i="15"/>
  <c r="I886" i="15"/>
  <c r="J886" i="15" a="1"/>
  <c r="J886" i="15" s="1"/>
  <c r="K886" i="15" s="1"/>
  <c r="H887" i="15"/>
  <c r="K887" i="15" s="1"/>
  <c r="I887" i="15"/>
  <c r="J887" i="15" s="1" a="1"/>
  <c r="J887" i="15" s="1"/>
  <c r="H888" i="15"/>
  <c r="I888" i="15"/>
  <c r="J888" i="15" s="1" a="1"/>
  <c r="J888" i="15" s="1"/>
  <c r="K888" i="15" s="1"/>
  <c r="H889" i="15"/>
  <c r="I889" i="15"/>
  <c r="J889" i="15" a="1"/>
  <c r="J889" i="15"/>
  <c r="K889" i="15" s="1"/>
  <c r="H890" i="15"/>
  <c r="I890" i="15"/>
  <c r="J890" i="15" a="1"/>
  <c r="J890" i="15" s="1"/>
  <c r="K890" i="15" s="1"/>
  <c r="H891" i="15"/>
  <c r="K891" i="15" s="1"/>
  <c r="I891" i="15"/>
  <c r="J891" i="15" s="1" a="1"/>
  <c r="J891" i="15" s="1"/>
  <c r="H892" i="15"/>
  <c r="I892" i="15"/>
  <c r="J892" i="15" s="1" a="1"/>
  <c r="J892" i="15" s="1"/>
  <c r="K892" i="15" s="1"/>
  <c r="H893" i="15"/>
  <c r="I893" i="15"/>
  <c r="J893" i="15" a="1"/>
  <c r="J893" i="15"/>
  <c r="K893" i="15" s="1"/>
  <c r="H894" i="15"/>
  <c r="I894" i="15"/>
  <c r="J894" i="15" a="1"/>
  <c r="J894" i="15" s="1"/>
  <c r="K894" i="15" s="1"/>
  <c r="H895" i="15"/>
  <c r="K895" i="15" s="1"/>
  <c r="I895" i="15"/>
  <c r="J895" i="15" s="1" a="1"/>
  <c r="J895" i="15" s="1"/>
  <c r="H896" i="15"/>
  <c r="I896" i="15"/>
  <c r="J896" i="15" s="1" a="1"/>
  <c r="J896" i="15" s="1"/>
  <c r="K896" i="15" s="1"/>
  <c r="H897" i="15"/>
  <c r="I897" i="15"/>
  <c r="J897" i="15" a="1"/>
  <c r="J897" i="15"/>
  <c r="K897" i="15" s="1"/>
  <c r="H898" i="15"/>
  <c r="I898" i="15"/>
  <c r="J898" i="15" a="1"/>
  <c r="J898" i="15" s="1"/>
  <c r="K898" i="15" s="1"/>
  <c r="H899" i="15"/>
  <c r="K899" i="15" s="1"/>
  <c r="I899" i="15"/>
  <c r="J899" i="15" s="1" a="1"/>
  <c r="J899" i="15" s="1"/>
  <c r="H900" i="15"/>
  <c r="I900" i="15"/>
  <c r="J900" i="15" s="1" a="1"/>
  <c r="J900" i="15" s="1"/>
  <c r="K900" i="15" s="1"/>
  <c r="H901" i="15"/>
  <c r="I901" i="15"/>
  <c r="J901" i="15" a="1"/>
  <c r="J901" i="15"/>
  <c r="K901" i="15" s="1"/>
  <c r="H902" i="15"/>
  <c r="I902" i="15"/>
  <c r="J902" i="15" a="1"/>
  <c r="J902" i="15" s="1"/>
  <c r="K902" i="15" s="1"/>
  <c r="H903" i="15"/>
  <c r="K903" i="15" s="1"/>
  <c r="I903" i="15"/>
  <c r="J903" i="15" s="1" a="1"/>
  <c r="J903" i="15" s="1"/>
  <c r="H904" i="15"/>
  <c r="I904" i="15"/>
  <c r="J904" i="15" s="1" a="1"/>
  <c r="J904" i="15" s="1"/>
  <c r="K904" i="15" s="1"/>
  <c r="H905" i="15"/>
  <c r="I905" i="15"/>
  <c r="J905" i="15" a="1"/>
  <c r="J905" i="15"/>
  <c r="K905" i="15" s="1"/>
  <c r="H906" i="15"/>
  <c r="I906" i="15"/>
  <c r="J906" i="15" a="1"/>
  <c r="J906" i="15" s="1"/>
  <c r="K906" i="15" s="1"/>
  <c r="H907" i="15"/>
  <c r="K907" i="15" s="1"/>
  <c r="I907" i="15"/>
  <c r="J907" i="15" s="1" a="1"/>
  <c r="J907" i="15" s="1"/>
  <c r="H908" i="15"/>
  <c r="I908" i="15"/>
  <c r="J908" i="15" s="1" a="1"/>
  <c r="J908" i="15" s="1"/>
  <c r="K908" i="15" s="1"/>
  <c r="H909" i="15"/>
  <c r="I909" i="15"/>
  <c r="J909" i="15" a="1"/>
  <c r="J909" i="15"/>
  <c r="K909" i="15" s="1"/>
  <c r="H910" i="15"/>
  <c r="I910" i="15"/>
  <c r="J910" i="15" a="1"/>
  <c r="J910" i="15" s="1"/>
  <c r="K910" i="15" s="1"/>
  <c r="H911" i="15"/>
  <c r="K911" i="15" s="1"/>
  <c r="I911" i="15"/>
  <c r="J911" i="15" s="1" a="1"/>
  <c r="J911" i="15" s="1"/>
  <c r="H912" i="15"/>
  <c r="I912" i="15"/>
  <c r="J912" i="15" s="1" a="1"/>
  <c r="J912" i="15" s="1"/>
  <c r="K912" i="15" s="1"/>
  <c r="H913" i="15"/>
  <c r="I913" i="15"/>
  <c r="J913" i="15" a="1"/>
  <c r="J913" i="15"/>
  <c r="K913" i="15" s="1"/>
  <c r="H914" i="15"/>
  <c r="I914" i="15"/>
  <c r="J914" i="15" a="1"/>
  <c r="J914" i="15" s="1"/>
  <c r="K914" i="15" s="1"/>
  <c r="H915" i="15"/>
  <c r="K915" i="15" s="1"/>
  <c r="I915" i="15"/>
  <c r="J915" i="15" s="1" a="1"/>
  <c r="J915" i="15" s="1"/>
  <c r="H916" i="15"/>
  <c r="I916" i="15"/>
  <c r="J916" i="15" s="1" a="1"/>
  <c r="J916" i="15" s="1"/>
  <c r="K916" i="15" s="1"/>
  <c r="H917" i="15"/>
  <c r="I917" i="15"/>
  <c r="J917" i="15" a="1"/>
  <c r="J917" i="15"/>
  <c r="K917" i="15" s="1"/>
  <c r="H918" i="15"/>
  <c r="I918" i="15"/>
  <c r="J918" i="15" a="1"/>
  <c r="J918" i="15" s="1"/>
  <c r="K918" i="15" s="1"/>
  <c r="H919" i="15"/>
  <c r="K919" i="15" s="1"/>
  <c r="I919" i="15"/>
  <c r="J919" i="15" s="1" a="1"/>
  <c r="J919" i="15" s="1"/>
  <c r="H920" i="15"/>
  <c r="I920" i="15"/>
  <c r="J920" i="15" s="1" a="1"/>
  <c r="J920" i="15" s="1"/>
  <c r="K920" i="15" s="1"/>
  <c r="H921" i="15"/>
  <c r="I921" i="15"/>
  <c r="J921" i="15" a="1"/>
  <c r="J921" i="15"/>
  <c r="K921" i="15" s="1"/>
  <c r="H922" i="15"/>
  <c r="I922" i="15"/>
  <c r="J922" i="15" a="1"/>
  <c r="J922" i="15" s="1"/>
  <c r="K922" i="15" s="1"/>
  <c r="H923" i="15"/>
  <c r="K923" i="15" s="1"/>
  <c r="I923" i="15"/>
  <c r="J923" i="15" s="1" a="1"/>
  <c r="J923" i="15" s="1"/>
  <c r="H924" i="15"/>
  <c r="I924" i="15"/>
  <c r="J924" i="15" s="1" a="1"/>
  <c r="J924" i="15" s="1"/>
  <c r="H925" i="15"/>
  <c r="I925" i="15"/>
  <c r="J925" i="15" a="1"/>
  <c r="J925" i="15" s="1"/>
  <c r="K925" i="15" s="1"/>
  <c r="H926" i="15"/>
  <c r="I926" i="15"/>
  <c r="J926" i="15" s="1" a="1"/>
  <c r="J926" i="15" s="1"/>
  <c r="K926" i="15" s="1"/>
  <c r="H927" i="15"/>
  <c r="K927" i="15" s="1"/>
  <c r="I927" i="15"/>
  <c r="J927" i="15" s="1" a="1"/>
  <c r="J927" i="15" s="1"/>
  <c r="H928" i="15"/>
  <c r="I928" i="15"/>
  <c r="J928" i="15" s="1" a="1"/>
  <c r="J928" i="15" s="1"/>
  <c r="H929" i="15"/>
  <c r="I929" i="15"/>
  <c r="J929" i="15" a="1"/>
  <c r="J929" i="15" s="1"/>
  <c r="K929" i="15" s="1"/>
  <c r="H930" i="15"/>
  <c r="I930" i="15"/>
  <c r="J930" i="15" s="1" a="1"/>
  <c r="J930" i="15" s="1"/>
  <c r="K930" i="15" s="1"/>
  <c r="H931" i="15"/>
  <c r="I931" i="15"/>
  <c r="J931" i="15" s="1" a="1"/>
  <c r="J931" i="15" s="1"/>
  <c r="K931" i="15" s="1"/>
  <c r="H932" i="15"/>
  <c r="I932" i="15"/>
  <c r="J932" i="15" s="1" a="1"/>
  <c r="J932" i="15" s="1"/>
  <c r="K932" i="15" s="1"/>
  <c r="H933" i="15"/>
  <c r="I933" i="15"/>
  <c r="J933" i="15" a="1"/>
  <c r="J933" i="15"/>
  <c r="K933" i="15" s="1"/>
  <c r="H934" i="15"/>
  <c r="I934" i="15"/>
  <c r="J934" i="15" a="1"/>
  <c r="J934" i="15" s="1"/>
  <c r="K934" i="15" s="1"/>
  <c r="H935" i="15"/>
  <c r="I935" i="15"/>
  <c r="J935" i="15" a="1"/>
  <c r="J935" i="15" s="1"/>
  <c r="K935" i="15" s="1"/>
  <c r="H936" i="15"/>
  <c r="K936" i="15" s="1"/>
  <c r="I936" i="15"/>
  <c r="J936" i="15" s="1" a="1"/>
  <c r="J936" i="15"/>
  <c r="H937" i="15"/>
  <c r="I937" i="15"/>
  <c r="J937" i="15" a="1"/>
  <c r="J937" i="15" s="1"/>
  <c r="K937" i="15" s="1"/>
  <c r="H938" i="15"/>
  <c r="I938" i="15"/>
  <c r="J938" i="15" s="1" a="1"/>
  <c r="J938" i="15" s="1"/>
  <c r="K938" i="15" s="1"/>
  <c r="H939" i="15"/>
  <c r="I939" i="15"/>
  <c r="J939" i="15" s="1" a="1"/>
  <c r="J939" i="15" s="1"/>
  <c r="K939" i="15" s="1"/>
  <c r="H940" i="15"/>
  <c r="I940" i="15"/>
  <c r="J940" i="15" s="1" a="1"/>
  <c r="J940" i="15" s="1"/>
  <c r="K940" i="15" s="1"/>
  <c r="H941" i="15"/>
  <c r="I941" i="15"/>
  <c r="J941" i="15" a="1"/>
  <c r="J941" i="15"/>
  <c r="K941" i="15" s="1"/>
  <c r="H942" i="15"/>
  <c r="I942" i="15"/>
  <c r="J942" i="15" a="1"/>
  <c r="J942" i="15"/>
  <c r="K942" i="15" s="1"/>
  <c r="H715" i="3"/>
  <c r="I715" i="3"/>
  <c r="J715" i="3" a="1"/>
  <c r="J715" i="3" s="1"/>
  <c r="H716" i="3"/>
  <c r="I716" i="3"/>
  <c r="J716" i="3" a="1"/>
  <c r="J716" i="3" s="1"/>
  <c r="H717" i="3"/>
  <c r="I717" i="3"/>
  <c r="J717" i="3" s="1" a="1"/>
  <c r="J717" i="3" s="1"/>
  <c r="H718" i="3"/>
  <c r="I718" i="3"/>
  <c r="J718" i="3" a="1"/>
  <c r="J718" i="3" s="1"/>
  <c r="H719" i="3"/>
  <c r="I719" i="3"/>
  <c r="J719" i="3" a="1"/>
  <c r="J719" i="3" s="1"/>
  <c r="H720" i="3"/>
  <c r="I720" i="3"/>
  <c r="J720" i="3" a="1"/>
  <c r="J720" i="3" s="1"/>
  <c r="H721" i="3"/>
  <c r="I721" i="3"/>
  <c r="J721" i="3" s="1" a="1"/>
  <c r="J721" i="3" s="1"/>
  <c r="H722" i="3"/>
  <c r="I722" i="3"/>
  <c r="J722" i="3" a="1"/>
  <c r="J722" i="3" s="1"/>
  <c r="H723" i="3"/>
  <c r="I723" i="3"/>
  <c r="J723" i="3" a="1"/>
  <c r="J723" i="3" s="1"/>
  <c r="H724" i="3"/>
  <c r="I724" i="3"/>
  <c r="J724" i="3" a="1"/>
  <c r="J724" i="3" s="1"/>
  <c r="H725" i="3"/>
  <c r="I725" i="3"/>
  <c r="J725" i="3" s="1" a="1"/>
  <c r="J725" i="3" s="1"/>
  <c r="H726" i="3"/>
  <c r="I726" i="3"/>
  <c r="J726" i="3" a="1"/>
  <c r="J726" i="3" s="1"/>
  <c r="H727" i="3"/>
  <c r="I727" i="3"/>
  <c r="J727" i="3" a="1"/>
  <c r="J727" i="3" s="1"/>
  <c r="H728" i="3"/>
  <c r="I728" i="3"/>
  <c r="J728" i="3" a="1"/>
  <c r="J728" i="3" s="1"/>
  <c r="H729" i="3"/>
  <c r="I729" i="3"/>
  <c r="J729" i="3" s="1" a="1"/>
  <c r="J729" i="3" s="1"/>
  <c r="H730" i="3"/>
  <c r="I730" i="3"/>
  <c r="J730" i="3" a="1"/>
  <c r="J730" i="3" s="1"/>
  <c r="H731" i="3"/>
  <c r="I731" i="3"/>
  <c r="J731" i="3" a="1"/>
  <c r="J731" i="3" s="1"/>
  <c r="H732" i="3"/>
  <c r="I732" i="3"/>
  <c r="J732" i="3" a="1"/>
  <c r="J732" i="3" s="1"/>
  <c r="H733" i="3"/>
  <c r="I733" i="3"/>
  <c r="J733" i="3" s="1" a="1"/>
  <c r="J733" i="3" s="1"/>
  <c r="H734" i="3"/>
  <c r="I734" i="3"/>
  <c r="J734" i="3" a="1"/>
  <c r="J734" i="3" s="1"/>
  <c r="H735" i="3"/>
  <c r="I735" i="3"/>
  <c r="J735" i="3" a="1"/>
  <c r="J735" i="3" s="1"/>
  <c r="H736" i="3"/>
  <c r="I736" i="3"/>
  <c r="J736" i="3" a="1"/>
  <c r="J736" i="3" s="1"/>
  <c r="H737" i="3"/>
  <c r="I737" i="3"/>
  <c r="J737" i="3" s="1" a="1"/>
  <c r="J737" i="3" s="1"/>
  <c r="H738" i="3"/>
  <c r="I738" i="3"/>
  <c r="J738" i="3" a="1"/>
  <c r="J738" i="3" s="1"/>
  <c r="H739" i="3"/>
  <c r="I739" i="3"/>
  <c r="J739" i="3" a="1"/>
  <c r="J739" i="3" s="1"/>
  <c r="H740" i="3"/>
  <c r="I740" i="3"/>
  <c r="J740" i="3" a="1"/>
  <c r="J740" i="3" s="1"/>
  <c r="H741" i="3"/>
  <c r="I741" i="3"/>
  <c r="J741" i="3" s="1" a="1"/>
  <c r="J741" i="3" s="1"/>
  <c r="H742" i="3"/>
  <c r="I742" i="3"/>
  <c r="J742" i="3" a="1"/>
  <c r="J742" i="3" s="1"/>
  <c r="B8" i="15"/>
  <c r="B7" i="15"/>
  <c r="B6" i="15"/>
  <c r="I715" i="15"/>
  <c r="J715" i="15" a="1"/>
  <c r="J715" i="15" s="1"/>
  <c r="I716" i="15"/>
  <c r="J716" i="15" a="1"/>
  <c r="J716" i="15" s="1"/>
  <c r="I717" i="15"/>
  <c r="J717" i="15" s="1" a="1"/>
  <c r="J717" i="15" s="1"/>
  <c r="I718" i="15"/>
  <c r="J718" i="15" a="1"/>
  <c r="J718" i="15" s="1"/>
  <c r="I719" i="15"/>
  <c r="J719" i="15" a="1"/>
  <c r="J719" i="15" s="1"/>
  <c r="I720" i="15"/>
  <c r="J720" i="15" a="1"/>
  <c r="J720" i="15" s="1"/>
  <c r="I721" i="15"/>
  <c r="J721" i="15" s="1" a="1"/>
  <c r="J721" i="15" s="1"/>
  <c r="I722" i="15"/>
  <c r="J722" i="15" a="1"/>
  <c r="J722" i="15" s="1"/>
  <c r="I723" i="15"/>
  <c r="J723" i="15" a="1"/>
  <c r="J723" i="15" s="1"/>
  <c r="I724" i="15"/>
  <c r="J724" i="15" a="1"/>
  <c r="J724" i="15" s="1"/>
  <c r="I725" i="15"/>
  <c r="J725" i="15" s="1" a="1"/>
  <c r="J725" i="15" s="1"/>
  <c r="I726" i="15"/>
  <c r="J726" i="15" a="1"/>
  <c r="J726" i="15" s="1"/>
  <c r="I727" i="15"/>
  <c r="J727" i="15" a="1"/>
  <c r="J727" i="15" s="1"/>
  <c r="I728" i="15"/>
  <c r="J728" i="15" a="1"/>
  <c r="J728" i="15" s="1"/>
  <c r="I729" i="15"/>
  <c r="J729" i="15" s="1" a="1"/>
  <c r="J729" i="15" s="1"/>
  <c r="I730" i="15"/>
  <c r="J730" i="15" a="1"/>
  <c r="J730" i="15" s="1"/>
  <c r="I731" i="15"/>
  <c r="J731" i="15" a="1"/>
  <c r="J731" i="15" s="1"/>
  <c r="I732" i="15"/>
  <c r="J732" i="15" a="1"/>
  <c r="J732" i="15" s="1"/>
  <c r="I733" i="15"/>
  <c r="J733" i="15" s="1" a="1"/>
  <c r="J733" i="15" s="1"/>
  <c r="I734" i="15"/>
  <c r="J734" i="15" a="1"/>
  <c r="J734" i="15" s="1"/>
  <c r="I735" i="15"/>
  <c r="J735" i="15" a="1"/>
  <c r="J735" i="15" s="1"/>
  <c r="I736" i="15"/>
  <c r="J736" i="15" a="1"/>
  <c r="J736" i="15" s="1"/>
  <c r="I737" i="15"/>
  <c r="J737" i="15" s="1" a="1"/>
  <c r="J737" i="15" s="1"/>
  <c r="I738" i="15"/>
  <c r="J738" i="15" a="1"/>
  <c r="J738" i="15" s="1"/>
  <c r="I739" i="15"/>
  <c r="J739" i="15" a="1"/>
  <c r="J739" i="15" s="1"/>
  <c r="I740" i="15"/>
  <c r="J740" i="15" a="1"/>
  <c r="J740" i="15" s="1"/>
  <c r="I741" i="15"/>
  <c r="J741" i="15" s="1" a="1"/>
  <c r="J741" i="15" s="1"/>
  <c r="I742" i="15"/>
  <c r="J742" i="15" a="1"/>
  <c r="J742" i="15" s="1"/>
  <c r="D939" i="24"/>
  <c r="D875" i="24"/>
  <c r="D811" i="24"/>
  <c r="E895" i="24"/>
  <c r="D831" i="24"/>
  <c r="D923" i="24"/>
  <c r="D859" i="24"/>
  <c r="D795" i="24"/>
  <c r="D779" i="24"/>
  <c r="D943" i="24"/>
  <c r="E879" i="24"/>
  <c r="D815" i="24"/>
  <c r="D751" i="24"/>
  <c r="E919" i="24"/>
  <c r="D887" i="24"/>
  <c r="E855" i="24"/>
  <c r="E823" i="24"/>
  <c r="E791" i="24"/>
  <c r="E759" i="24"/>
  <c r="D931" i="24"/>
  <c r="E899" i="24"/>
  <c r="D867" i="24"/>
  <c r="E835" i="24"/>
  <c r="E803" i="24"/>
  <c r="D771" i="24"/>
  <c r="D946" i="24"/>
  <c r="D938" i="24"/>
  <c r="D930" i="24"/>
  <c r="D922" i="24"/>
  <c r="D914" i="24"/>
  <c r="D906" i="24"/>
  <c r="D898" i="24"/>
  <c r="D890" i="24"/>
  <c r="D882" i="24"/>
  <c r="D874" i="24"/>
  <c r="D866" i="24"/>
  <c r="D858" i="24"/>
  <c r="D850" i="24"/>
  <c r="D842" i="24"/>
  <c r="D834" i="24"/>
  <c r="D826" i="24"/>
  <c r="D818" i="24"/>
  <c r="D810" i="24"/>
  <c r="D802" i="24"/>
  <c r="D794" i="24"/>
  <c r="D786" i="24"/>
  <c r="D778" i="24"/>
  <c r="D770" i="24"/>
  <c r="D754" i="24"/>
  <c r="D945" i="24"/>
  <c r="D937" i="24"/>
  <c r="D929" i="24"/>
  <c r="D921" i="24"/>
  <c r="D913" i="24"/>
  <c r="D905" i="24"/>
  <c r="D897" i="24"/>
  <c r="D889" i="24"/>
  <c r="D881" i="24"/>
  <c r="D873" i="24"/>
  <c r="D865" i="24"/>
  <c r="D857" i="24"/>
  <c r="D849" i="24"/>
  <c r="D841" i="24"/>
  <c r="D833" i="24"/>
  <c r="D825" i="24"/>
  <c r="D817" i="24"/>
  <c r="D809" i="24"/>
  <c r="D801" i="24"/>
  <c r="D785" i="24"/>
  <c r="D777" i="24"/>
  <c r="D761" i="24"/>
  <c r="D753" i="24"/>
  <c r="D936" i="24"/>
  <c r="D920" i="24"/>
  <c r="D904" i="24"/>
  <c r="D888" i="24"/>
  <c r="D872" i="24"/>
  <c r="D856" i="24"/>
  <c r="D840" i="24"/>
  <c r="D824" i="24"/>
  <c r="D808" i="24"/>
  <c r="D792" i="24"/>
  <c r="D776" i="24"/>
  <c r="D760" i="24"/>
  <c r="E864" i="24"/>
  <c r="E939" i="24"/>
  <c r="E875" i="24"/>
  <c r="E811" i="24"/>
  <c r="D895" i="24"/>
  <c r="E831" i="24"/>
  <c r="E923" i="24"/>
  <c r="E859" i="24"/>
  <c r="E795" i="24"/>
  <c r="E779" i="24"/>
  <c r="E943" i="24"/>
  <c r="D879" i="24"/>
  <c r="E815" i="24"/>
  <c r="E751" i="24"/>
  <c r="D919" i="24"/>
  <c r="E887" i="24"/>
  <c r="D855" i="24"/>
  <c r="D823" i="24"/>
  <c r="D791" i="24"/>
  <c r="D759" i="24"/>
  <c r="E931" i="24"/>
  <c r="D899" i="24"/>
  <c r="E867" i="24"/>
  <c r="D835" i="24"/>
  <c r="D803" i="24"/>
  <c r="E771" i="24"/>
  <c r="E946" i="24"/>
  <c r="E938" i="24"/>
  <c r="E930" i="24"/>
  <c r="E922" i="24"/>
  <c r="E914" i="24"/>
  <c r="E906" i="24"/>
  <c r="E898" i="24"/>
  <c r="E890" i="24"/>
  <c r="E882" i="24"/>
  <c r="E874" i="24"/>
  <c r="E866" i="24"/>
  <c r="E858" i="24"/>
  <c r="E850" i="24"/>
  <c r="E842" i="24"/>
  <c r="E834" i="24"/>
  <c r="E826" i="24"/>
  <c r="E818" i="24"/>
  <c r="E810" i="24"/>
  <c r="E802" i="24"/>
  <c r="E794" i="24"/>
  <c r="E786" i="24"/>
  <c r="E778" i="24"/>
  <c r="E770" i="24"/>
  <c r="E762" i="24"/>
  <c r="E754" i="24"/>
  <c r="E945" i="24"/>
  <c r="E937" i="24"/>
  <c r="E929" i="24"/>
  <c r="E921" i="24"/>
  <c r="E913" i="24"/>
  <c r="E905" i="24"/>
  <c r="E897" i="24"/>
  <c r="E889" i="24"/>
  <c r="E881" i="24"/>
  <c r="E873" i="24"/>
  <c r="E865" i="24"/>
  <c r="E857" i="24"/>
  <c r="E849" i="24"/>
  <c r="E841" i="24"/>
  <c r="E833" i="24"/>
  <c r="E825" i="24"/>
  <c r="E817" i="24"/>
  <c r="E809" i="24"/>
  <c r="E801" i="24"/>
  <c r="E793" i="24"/>
  <c r="E785" i="24"/>
  <c r="E777" i="24"/>
  <c r="E769" i="24"/>
  <c r="E761" i="24"/>
  <c r="E753" i="24"/>
  <c r="E944" i="24"/>
  <c r="E936" i="24"/>
  <c r="E928" i="24"/>
  <c r="E920" i="24"/>
  <c r="E904" i="24"/>
  <c r="E896" i="24"/>
  <c r="E888" i="24"/>
  <c r="E880" i="24"/>
  <c r="E872" i="24"/>
  <c r="E856" i="24"/>
  <c r="E848" i="24"/>
  <c r="E840" i="24"/>
  <c r="E832" i="24"/>
  <c r="E824" i="24"/>
  <c r="E816" i="24"/>
  <c r="E808" i="24"/>
  <c r="E800" i="24"/>
  <c r="E784" i="24"/>
  <c r="E776" i="24"/>
  <c r="E760" i="24"/>
  <c r="D907" i="24"/>
  <c r="D843" i="24"/>
  <c r="E927" i="24"/>
  <c r="D863" i="24"/>
  <c r="D767" i="24"/>
  <c r="D891" i="24"/>
  <c r="D827" i="24"/>
  <c r="D763" i="24"/>
  <c r="D799" i="24"/>
  <c r="D911" i="24"/>
  <c r="D847" i="24"/>
  <c r="D783" i="24"/>
  <c r="E935" i="24"/>
  <c r="E903" i="24"/>
  <c r="E871" i="24"/>
  <c r="D839" i="24"/>
  <c r="D807" i="24"/>
  <c r="D775" i="24"/>
  <c r="E947" i="24"/>
  <c r="D915" i="24"/>
  <c r="E883" i="24"/>
  <c r="E851" i="24"/>
  <c r="D819" i="24"/>
  <c r="D787" i="24"/>
  <c r="D755" i="24"/>
  <c r="D942" i="24"/>
  <c r="D934" i="24"/>
  <c r="D926" i="24"/>
  <c r="D918" i="24"/>
  <c r="D910" i="24"/>
  <c r="D902" i="24"/>
  <c r="D894" i="24"/>
  <c r="D886" i="24"/>
  <c r="D878" i="24"/>
  <c r="D870" i="24"/>
  <c r="D862" i="24"/>
  <c r="D854" i="24"/>
  <c r="D846" i="24"/>
  <c r="D838" i="24"/>
  <c r="D830" i="24"/>
  <c r="D822" i="24"/>
  <c r="D814" i="24"/>
  <c r="D806" i="24"/>
  <c r="D798" i="24"/>
  <c r="D790" i="24"/>
  <c r="D782" i="24"/>
  <c r="D774" i="24"/>
  <c r="D766" i="24"/>
  <c r="D758" i="24"/>
  <c r="D750" i="24"/>
  <c r="D941" i="24"/>
  <c r="D933" i="24"/>
  <c r="D925" i="24"/>
  <c r="D917" i="24"/>
  <c r="D909" i="24"/>
  <c r="D901" i="24"/>
  <c r="D893" i="24"/>
  <c r="D885" i="24"/>
  <c r="D877" i="24"/>
  <c r="D869" i="24"/>
  <c r="D861" i="24"/>
  <c r="D853" i="24"/>
  <c r="D845" i="24"/>
  <c r="D837" i="24"/>
  <c r="D829" i="24"/>
  <c r="D821" i="24"/>
  <c r="D813" i="24"/>
  <c r="D805" i="24"/>
  <c r="D797" i="24"/>
  <c r="D789" i="24"/>
  <c r="D781" i="24"/>
  <c r="D773" i="24"/>
  <c r="D765" i="24"/>
  <c r="D757" i="24"/>
  <c r="D749" i="24"/>
  <c r="D940" i="24"/>
  <c r="D932" i="24"/>
  <c r="D924" i="24"/>
  <c r="D916" i="24"/>
  <c r="D908" i="24"/>
  <c r="D900" i="24"/>
  <c r="D892" i="24"/>
  <c r="D884" i="24"/>
  <c r="D876" i="24"/>
  <c r="D868" i="24"/>
  <c r="D860" i="24"/>
  <c r="D852" i="24"/>
  <c r="D844" i="24"/>
  <c r="D836" i="24"/>
  <c r="D828" i="24"/>
  <c r="D820" i="24"/>
  <c r="D812" i="24"/>
  <c r="D804" i="24"/>
  <c r="D796" i="24"/>
  <c r="D788" i="24"/>
  <c r="D780" i="24"/>
  <c r="D772" i="24"/>
  <c r="D764" i="24"/>
  <c r="D756" i="24"/>
  <c r="D748" i="24"/>
  <c r="E907" i="24"/>
  <c r="E843" i="24"/>
  <c r="D927" i="24"/>
  <c r="E863" i="24"/>
  <c r="E767" i="24"/>
  <c r="E891" i="24"/>
  <c r="E827" i="24"/>
  <c r="E763" i="24"/>
  <c r="E799" i="24"/>
  <c r="E911" i="24"/>
  <c r="E847" i="24"/>
  <c r="E783" i="24"/>
  <c r="D935" i="24"/>
  <c r="D903" i="24"/>
  <c r="D871" i="24"/>
  <c r="E839" i="24"/>
  <c r="E807" i="24"/>
  <c r="E775" i="24"/>
  <c r="D947" i="24"/>
  <c r="E915" i="24"/>
  <c r="D883" i="24"/>
  <c r="D851" i="24"/>
  <c r="E819" i="24"/>
  <c r="E787" i="24"/>
  <c r="E755" i="24"/>
  <c r="E942" i="24"/>
  <c r="E934" i="24"/>
  <c r="E926" i="24"/>
  <c r="E918" i="24"/>
  <c r="E910" i="24"/>
  <c r="E902" i="24"/>
  <c r="E894" i="24"/>
  <c r="E886" i="24"/>
  <c r="E878" i="24"/>
  <c r="E870" i="24"/>
  <c r="E862" i="24"/>
  <c r="E854" i="24"/>
  <c r="E846" i="24"/>
  <c r="E838" i="24"/>
  <c r="E830" i="24"/>
  <c r="E822" i="24"/>
  <c r="E814" i="24"/>
  <c r="E806" i="24"/>
  <c r="E798" i="24"/>
  <c r="E790" i="24"/>
  <c r="E782" i="24"/>
  <c r="E774" i="24"/>
  <c r="E766" i="24"/>
  <c r="E758" i="24"/>
  <c r="E750" i="24"/>
  <c r="E941" i="24"/>
  <c r="E933" i="24"/>
  <c r="E925" i="24"/>
  <c r="E917" i="24"/>
  <c r="E909" i="24"/>
  <c r="E901" i="24"/>
  <c r="E893" i="24"/>
  <c r="E885" i="24"/>
  <c r="E877" i="24"/>
  <c r="E869" i="24"/>
  <c r="E861" i="24"/>
  <c r="E853" i="24"/>
  <c r="E845" i="24"/>
  <c r="E837" i="24"/>
  <c r="E829" i="24"/>
  <c r="E821" i="24"/>
  <c r="E813" i="24"/>
  <c r="E805" i="24"/>
  <c r="E797" i="24"/>
  <c r="E789" i="24"/>
  <c r="E781" i="24"/>
  <c r="E773" i="24"/>
  <c r="E765" i="24"/>
  <c r="E757" i="24"/>
  <c r="E749" i="24"/>
  <c r="E940" i="24"/>
  <c r="E932" i="24"/>
  <c r="E924" i="24"/>
  <c r="E916" i="24"/>
  <c r="E908" i="24"/>
  <c r="E900" i="24"/>
  <c r="E892" i="24"/>
  <c r="E884" i="24"/>
  <c r="E876" i="24"/>
  <c r="E868" i="24"/>
  <c r="E860" i="24"/>
  <c r="E852" i="24"/>
  <c r="E844" i="24"/>
  <c r="E836" i="24"/>
  <c r="E828" i="24"/>
  <c r="E820" i="24"/>
  <c r="E812" i="24"/>
  <c r="E804" i="24"/>
  <c r="E796" i="24"/>
  <c r="E788" i="24"/>
  <c r="E780" i="24"/>
  <c r="E772" i="24"/>
  <c r="E764" i="24"/>
  <c r="E756" i="24"/>
  <c r="E748" i="24"/>
  <c r="D762" i="24"/>
  <c r="D793" i="24"/>
  <c r="D769" i="24"/>
  <c r="D944" i="24"/>
  <c r="D928" i="24"/>
  <c r="D912" i="24"/>
  <c r="D896" i="24"/>
  <c r="D880" i="24"/>
  <c r="D864" i="24"/>
  <c r="D848" i="24"/>
  <c r="D832" i="24"/>
  <c r="D816" i="24"/>
  <c r="D800" i="24"/>
  <c r="D784" i="24"/>
  <c r="D768" i="24"/>
  <c r="D752" i="24"/>
  <c r="E912" i="24"/>
  <c r="E792" i="24"/>
  <c r="E768" i="24"/>
  <c r="E752" i="24"/>
  <c r="K716" i="3" l="1"/>
  <c r="L716" i="3" s="1"/>
  <c r="M716" i="3" s="1"/>
  <c r="K723" i="3"/>
  <c r="L723" i="3" s="1"/>
  <c r="M723" i="3" s="1"/>
  <c r="K733" i="3"/>
  <c r="L733" i="3" s="1"/>
  <c r="M733" i="3" s="1"/>
  <c r="K718" i="3"/>
  <c r="L718" i="3" s="1"/>
  <c r="M718" i="3" s="1"/>
  <c r="K715" i="3"/>
  <c r="L715" i="3" s="1"/>
  <c r="M715" i="3" s="1"/>
  <c r="K728" i="3"/>
  <c r="L728" i="3" s="1"/>
  <c r="M728" i="3" s="1"/>
  <c r="K741" i="3"/>
  <c r="L741" i="3" s="1"/>
  <c r="M741" i="3" s="1"/>
  <c r="K725" i="3"/>
  <c r="L725" i="3" s="1"/>
  <c r="M725" i="3" s="1"/>
  <c r="K742" i="3"/>
  <c r="L742" i="3" s="1"/>
  <c r="M742" i="3" s="1"/>
  <c r="K740" i="3"/>
  <c r="L740" i="3" s="1"/>
  <c r="M740" i="3" s="1"/>
  <c r="K732" i="3"/>
  <c r="L732" i="3" s="1"/>
  <c r="M732" i="3" s="1"/>
  <c r="K735" i="3"/>
  <c r="L735" i="3" s="1"/>
  <c r="M735" i="3" s="1"/>
  <c r="K730" i="3"/>
  <c r="L730" i="3" s="1"/>
  <c r="M730" i="3" s="1"/>
  <c r="K727" i="3"/>
  <c r="L727" i="3" s="1"/>
  <c r="M727" i="3" s="1"/>
  <c r="K722" i="3"/>
  <c r="L722" i="3" s="1"/>
  <c r="M722" i="3" s="1"/>
  <c r="K720" i="3"/>
  <c r="L720" i="3" s="1"/>
  <c r="M720" i="3" s="1"/>
  <c r="K717" i="3"/>
  <c r="L717" i="3" s="1"/>
  <c r="M717" i="3" s="1"/>
  <c r="K731" i="3"/>
  <c r="L731" i="3" s="1"/>
  <c r="M731" i="3" s="1"/>
  <c r="K719" i="3"/>
  <c r="L719" i="3" s="1"/>
  <c r="M719" i="3" s="1"/>
  <c r="K739" i="3"/>
  <c r="L739" i="3" s="1"/>
  <c r="M739" i="3" s="1"/>
  <c r="K738" i="3"/>
  <c r="L738" i="3" s="1"/>
  <c r="M738" i="3" s="1"/>
  <c r="K737" i="3"/>
  <c r="L737" i="3" s="1"/>
  <c r="M737" i="3" s="1"/>
  <c r="K736" i="3"/>
  <c r="L736" i="3" s="1"/>
  <c r="M736" i="3" s="1"/>
  <c r="K734" i="3"/>
  <c r="L734" i="3" s="1"/>
  <c r="M734" i="3" s="1"/>
  <c r="K726" i="3"/>
  <c r="L726" i="3" s="1"/>
  <c r="M726" i="3" s="1"/>
  <c r="K724" i="3"/>
  <c r="L724" i="3" s="1"/>
  <c r="M724" i="3" s="1"/>
  <c r="K721" i="3"/>
  <c r="L721" i="3" s="1"/>
  <c r="M721" i="3" s="1"/>
  <c r="K928" i="15"/>
  <c r="K924" i="15"/>
  <c r="K854" i="15"/>
  <c r="K838" i="15"/>
  <c r="K822" i="15"/>
  <c r="K806" i="15"/>
  <c r="K794" i="15"/>
  <c r="K805" i="15"/>
  <c r="K778" i="15"/>
  <c r="K729" i="3"/>
  <c r="L729" i="3" s="1"/>
  <c r="M729" i="3" s="1"/>
  <c r="H727" i="15"/>
  <c r="K727" i="15" s="1"/>
  <c r="L727" i="15" s="1"/>
  <c r="M727" i="15" s="1"/>
  <c r="H741" i="15"/>
  <c r="K741" i="15" s="1"/>
  <c r="L741" i="15" s="1"/>
  <c r="M741" i="15" s="1"/>
  <c r="H740" i="15"/>
  <c r="K740" i="15" s="1"/>
  <c r="L740" i="15" s="1"/>
  <c r="M740" i="15" s="1"/>
  <c r="H739" i="15"/>
  <c r="K739" i="15" s="1"/>
  <c r="L739" i="15" s="1"/>
  <c r="M739" i="15" s="1"/>
  <c r="H734" i="15"/>
  <c r="H725" i="15"/>
  <c r="H722" i="15"/>
  <c r="K722" i="15" s="1"/>
  <c r="L722" i="15" s="1"/>
  <c r="M722" i="15" s="1"/>
  <c r="H718" i="15"/>
  <c r="K718" i="15" s="1"/>
  <c r="L718" i="15" s="1"/>
  <c r="M718" i="15" s="1"/>
  <c r="H719" i="15"/>
  <c r="K719" i="15" s="1"/>
  <c r="L719" i="15" s="1"/>
  <c r="M719" i="15" s="1"/>
  <c r="H737" i="15"/>
  <c r="K737" i="15" s="1"/>
  <c r="L737" i="15" s="1"/>
  <c r="M737" i="15" s="1"/>
  <c r="H736" i="15"/>
  <c r="K736" i="15" s="1"/>
  <c r="L736" i="15" s="1"/>
  <c r="M736" i="15" s="1"/>
  <c r="H735" i="15"/>
  <c r="K735" i="15" s="1"/>
  <c r="L735" i="15" s="1"/>
  <c r="M735" i="15" s="1"/>
  <c r="H730" i="15"/>
  <c r="K730" i="15" s="1"/>
  <c r="L730" i="15" s="1"/>
  <c r="M730" i="15" s="1"/>
  <c r="H724" i="15"/>
  <c r="K724" i="15" s="1"/>
  <c r="L724" i="15" s="1"/>
  <c r="M724" i="15" s="1"/>
  <c r="H723" i="15"/>
  <c r="H720" i="15"/>
  <c r="K720" i="15" s="1"/>
  <c r="L720" i="15" s="1"/>
  <c r="M720" i="15" s="1"/>
  <c r="H742" i="15"/>
  <c r="K742" i="15" s="1"/>
  <c r="L742" i="15" s="1"/>
  <c r="M742" i="15" s="1"/>
  <c r="K734" i="15"/>
  <c r="L734" i="15" s="1"/>
  <c r="M734" i="15" s="1"/>
  <c r="H733" i="15"/>
  <c r="K733" i="15" s="1"/>
  <c r="L733" i="15" s="1"/>
  <c r="M733" i="15" s="1"/>
  <c r="H732" i="15"/>
  <c r="K732" i="15" s="1"/>
  <c r="L732" i="15" s="1"/>
  <c r="M732" i="15" s="1"/>
  <c r="H731" i="15"/>
  <c r="K729" i="15"/>
  <c r="L729" i="15" s="1"/>
  <c r="M729" i="15" s="1"/>
  <c r="H726" i="15"/>
  <c r="K726" i="15" s="1"/>
  <c r="L726" i="15" s="1"/>
  <c r="M726" i="15" s="1"/>
  <c r="K723" i="15"/>
  <c r="L723" i="15" s="1"/>
  <c r="M723" i="15" s="1"/>
  <c r="H721" i="15"/>
  <c r="K721" i="15" s="1"/>
  <c r="L721" i="15" s="1"/>
  <c r="M721" i="15" s="1"/>
  <c r="H717" i="15"/>
  <c r="K717" i="15" s="1"/>
  <c r="L717" i="15" s="1"/>
  <c r="M717" i="15" s="1"/>
  <c r="H716" i="15"/>
  <c r="K716" i="15" s="1"/>
  <c r="L716" i="15" s="1"/>
  <c r="M716" i="15" s="1"/>
  <c r="H715" i="15"/>
  <c r="K715" i="15" s="1"/>
  <c r="L715" i="15" s="1"/>
  <c r="M715" i="15" s="1"/>
  <c r="H738" i="15"/>
  <c r="K738" i="15" s="1"/>
  <c r="L738" i="15" s="1"/>
  <c r="M738" i="15" s="1"/>
  <c r="K731" i="15"/>
  <c r="L731" i="15" s="1"/>
  <c r="M731" i="15" s="1"/>
  <c r="H729" i="15"/>
  <c r="H728" i="15"/>
  <c r="K728" i="15" s="1"/>
  <c r="L728" i="15" s="1"/>
  <c r="M728" i="15" s="1"/>
  <c r="K725" i="15"/>
  <c r="L725" i="15" s="1"/>
  <c r="M725" i="15" s="1"/>
  <c r="H3" i="3" l="1"/>
  <c r="I3" i="3"/>
  <c r="J3" i="3" s="1" a="1"/>
  <c r="J3" i="3" s="1"/>
  <c r="H4" i="3"/>
  <c r="I4" i="3"/>
  <c r="J4" i="3" s="1" a="1"/>
  <c r="J4" i="3" s="1"/>
  <c r="H5" i="3"/>
  <c r="I5" i="3"/>
  <c r="J5" i="3" s="1" a="1"/>
  <c r="J5" i="3" s="1"/>
  <c r="H6" i="3"/>
  <c r="I6" i="3"/>
  <c r="J6" i="3" s="1" a="1"/>
  <c r="J6" i="3" s="1"/>
  <c r="H7" i="3"/>
  <c r="I7" i="3"/>
  <c r="J7" i="3" s="1" a="1"/>
  <c r="J7" i="3" s="1"/>
  <c r="H8" i="3"/>
  <c r="I8" i="3"/>
  <c r="J8" i="3" s="1" a="1"/>
  <c r="J8" i="3" s="1"/>
  <c r="H9" i="3"/>
  <c r="I9" i="3"/>
  <c r="J9" i="3" s="1" a="1"/>
  <c r="J9" i="3" s="1"/>
  <c r="H10" i="3"/>
  <c r="I10" i="3"/>
  <c r="J10" i="3" s="1" a="1"/>
  <c r="J10" i="3" s="1"/>
  <c r="H11" i="3"/>
  <c r="I11" i="3"/>
  <c r="J11" i="3" s="1" a="1"/>
  <c r="J11" i="3" s="1"/>
  <c r="H12" i="3"/>
  <c r="I12" i="3"/>
  <c r="J12" i="3" s="1" a="1"/>
  <c r="J12" i="3" s="1"/>
  <c r="H13" i="3"/>
  <c r="I13" i="3"/>
  <c r="J13" i="3" s="1" a="1"/>
  <c r="J13" i="3" s="1"/>
  <c r="H14" i="3"/>
  <c r="I14" i="3"/>
  <c r="J14" i="3" s="1" a="1"/>
  <c r="J14" i="3" s="1"/>
  <c r="H15" i="3"/>
  <c r="I15" i="3"/>
  <c r="J15" i="3" s="1" a="1"/>
  <c r="J15" i="3" s="1"/>
  <c r="H16" i="3"/>
  <c r="I16" i="3"/>
  <c r="J16" i="3" s="1" a="1"/>
  <c r="J16" i="3" s="1"/>
  <c r="H17" i="3"/>
  <c r="I17" i="3"/>
  <c r="J17" i="3" s="1" a="1"/>
  <c r="J17" i="3" s="1"/>
  <c r="H18" i="3"/>
  <c r="I18" i="3"/>
  <c r="J18" i="3" s="1" a="1"/>
  <c r="J18" i="3" s="1"/>
  <c r="H19" i="3"/>
  <c r="I19" i="3"/>
  <c r="J19" i="3" s="1" a="1"/>
  <c r="J19" i="3" s="1"/>
  <c r="H20" i="3"/>
  <c r="I20" i="3"/>
  <c r="J20" i="3" s="1" a="1"/>
  <c r="J20" i="3" s="1"/>
  <c r="H21" i="3"/>
  <c r="I21" i="3"/>
  <c r="J21" i="3" s="1" a="1"/>
  <c r="J21" i="3" s="1"/>
  <c r="H22" i="3"/>
  <c r="I22" i="3"/>
  <c r="J22" i="3" s="1" a="1"/>
  <c r="J22" i="3" s="1"/>
  <c r="H23" i="3"/>
  <c r="I23" i="3"/>
  <c r="J23" i="3" s="1" a="1"/>
  <c r="J23" i="3" s="1"/>
  <c r="H24" i="3"/>
  <c r="I24" i="3"/>
  <c r="J24" i="3" s="1" a="1"/>
  <c r="J24" i="3" s="1"/>
  <c r="H25" i="3"/>
  <c r="I25" i="3"/>
  <c r="J25" i="3" s="1" a="1"/>
  <c r="J25" i="3" s="1"/>
  <c r="H26" i="3"/>
  <c r="I26" i="3"/>
  <c r="J26" i="3" s="1" a="1"/>
  <c r="J26" i="3" s="1"/>
  <c r="H27" i="3"/>
  <c r="I27" i="3"/>
  <c r="J27" i="3" s="1" a="1"/>
  <c r="J27" i="3" s="1"/>
  <c r="H28" i="3"/>
  <c r="I28" i="3"/>
  <c r="J28" i="3" s="1" a="1"/>
  <c r="J28" i="3" s="1"/>
  <c r="H29" i="3"/>
  <c r="I29" i="3"/>
  <c r="J29" i="3" s="1" a="1"/>
  <c r="J29" i="3" s="1"/>
  <c r="H30" i="3"/>
  <c r="I30" i="3"/>
  <c r="J30" i="3" s="1" a="1"/>
  <c r="J30" i="3" s="1"/>
  <c r="H31" i="3"/>
  <c r="I31" i="3"/>
  <c r="J31" i="3" s="1" a="1"/>
  <c r="J31" i="3" s="1"/>
  <c r="H32" i="3"/>
  <c r="I32" i="3"/>
  <c r="J32" i="3" s="1" a="1"/>
  <c r="J32" i="3" s="1"/>
  <c r="H33" i="3"/>
  <c r="I33" i="3"/>
  <c r="J33" i="3" s="1" a="1"/>
  <c r="J33" i="3" s="1"/>
  <c r="H34" i="3"/>
  <c r="I34" i="3"/>
  <c r="J34" i="3" s="1" a="1"/>
  <c r="J34" i="3" s="1"/>
  <c r="H35" i="3"/>
  <c r="I35" i="3"/>
  <c r="J35" i="3" s="1" a="1"/>
  <c r="J35" i="3" s="1"/>
  <c r="H36" i="3"/>
  <c r="I36" i="3"/>
  <c r="J36" i="3" s="1" a="1"/>
  <c r="J36" i="3" s="1"/>
  <c r="H37" i="3"/>
  <c r="I37" i="3"/>
  <c r="J37" i="3" s="1" a="1"/>
  <c r="J37" i="3" s="1"/>
  <c r="H38" i="3"/>
  <c r="I38" i="3"/>
  <c r="J38" i="3" s="1" a="1"/>
  <c r="J38" i="3" s="1"/>
  <c r="H39" i="3"/>
  <c r="I39" i="3"/>
  <c r="J39" i="3" s="1" a="1"/>
  <c r="J39" i="3" s="1"/>
  <c r="H40" i="3"/>
  <c r="I40" i="3"/>
  <c r="J40" i="3" s="1" a="1"/>
  <c r="J40" i="3" s="1"/>
  <c r="H41" i="3"/>
  <c r="I41" i="3"/>
  <c r="J41" i="3" s="1" a="1"/>
  <c r="J41" i="3" s="1"/>
  <c r="H42" i="3"/>
  <c r="I42" i="3"/>
  <c r="J42" i="3" s="1" a="1"/>
  <c r="J42" i="3" s="1"/>
  <c r="H43" i="3"/>
  <c r="I43" i="3"/>
  <c r="J43" i="3" s="1" a="1"/>
  <c r="J43" i="3" s="1"/>
  <c r="H44" i="3"/>
  <c r="I44" i="3"/>
  <c r="J44" i="3" s="1" a="1"/>
  <c r="J44" i="3" s="1"/>
  <c r="H45" i="3"/>
  <c r="I45" i="3"/>
  <c r="J45" i="3" s="1" a="1"/>
  <c r="J45" i="3" s="1"/>
  <c r="H46" i="3"/>
  <c r="I46" i="3"/>
  <c r="J46" i="3" s="1" a="1"/>
  <c r="J46" i="3" s="1"/>
  <c r="H47" i="3"/>
  <c r="I47" i="3"/>
  <c r="J47" i="3" s="1" a="1"/>
  <c r="J47" i="3" s="1"/>
  <c r="H48" i="3"/>
  <c r="I48" i="3"/>
  <c r="J48" i="3" s="1" a="1"/>
  <c r="J48" i="3" s="1"/>
  <c r="H49" i="3"/>
  <c r="I49" i="3"/>
  <c r="J49" i="3" s="1" a="1"/>
  <c r="J49" i="3" s="1"/>
  <c r="H50" i="3"/>
  <c r="I50" i="3"/>
  <c r="J50" i="3" s="1" a="1"/>
  <c r="J50" i="3" s="1"/>
  <c r="H51" i="3"/>
  <c r="I51" i="3"/>
  <c r="J51" i="3" s="1" a="1"/>
  <c r="J51" i="3" s="1"/>
  <c r="H52" i="3"/>
  <c r="I52" i="3"/>
  <c r="J52" i="3" s="1" a="1"/>
  <c r="J52" i="3" s="1"/>
  <c r="H53" i="3"/>
  <c r="I53" i="3"/>
  <c r="J53" i="3" s="1" a="1"/>
  <c r="J53" i="3" s="1"/>
  <c r="H54" i="3"/>
  <c r="I54" i="3"/>
  <c r="J54" i="3" s="1" a="1"/>
  <c r="J54" i="3" s="1"/>
  <c r="H55" i="3"/>
  <c r="I55" i="3"/>
  <c r="J55" i="3" s="1" a="1"/>
  <c r="J55" i="3" s="1"/>
  <c r="H56" i="3"/>
  <c r="I56" i="3"/>
  <c r="J56" i="3" s="1" a="1"/>
  <c r="J56" i="3" s="1"/>
  <c r="H57" i="3"/>
  <c r="I57" i="3"/>
  <c r="J57" i="3" s="1" a="1"/>
  <c r="J57" i="3" s="1"/>
  <c r="H58" i="3"/>
  <c r="I58" i="3"/>
  <c r="J58" i="3" s="1" a="1"/>
  <c r="J58" i="3" s="1"/>
  <c r="H59" i="3"/>
  <c r="I59" i="3"/>
  <c r="J59" i="3" s="1" a="1"/>
  <c r="J59" i="3" s="1"/>
  <c r="H60" i="3"/>
  <c r="I60" i="3"/>
  <c r="J60" i="3" s="1" a="1"/>
  <c r="J60" i="3" s="1"/>
  <c r="H61" i="3"/>
  <c r="I61" i="3"/>
  <c r="J61" i="3" s="1" a="1"/>
  <c r="J61" i="3" s="1"/>
  <c r="H62" i="3"/>
  <c r="I62" i="3"/>
  <c r="J62" i="3" s="1" a="1"/>
  <c r="J62" i="3" s="1"/>
  <c r="H63" i="3"/>
  <c r="I63" i="3"/>
  <c r="J63" i="3" s="1" a="1"/>
  <c r="J63" i="3" s="1"/>
  <c r="H64" i="3"/>
  <c r="I64" i="3"/>
  <c r="J64" i="3" s="1" a="1"/>
  <c r="J64" i="3" s="1"/>
  <c r="H65" i="3"/>
  <c r="I65" i="3"/>
  <c r="J65" i="3" s="1" a="1"/>
  <c r="J65" i="3" s="1"/>
  <c r="H66" i="3"/>
  <c r="I66" i="3"/>
  <c r="J66" i="3" s="1" a="1"/>
  <c r="J66" i="3" s="1"/>
  <c r="H67" i="3"/>
  <c r="I67" i="3"/>
  <c r="J67" i="3" s="1" a="1"/>
  <c r="J67" i="3" s="1"/>
  <c r="H68" i="3"/>
  <c r="I68" i="3"/>
  <c r="J68" i="3" s="1" a="1"/>
  <c r="J68" i="3" s="1"/>
  <c r="H69" i="3"/>
  <c r="I69" i="3"/>
  <c r="J69" i="3" s="1" a="1"/>
  <c r="J69" i="3" s="1"/>
  <c r="H70" i="3"/>
  <c r="I70" i="3"/>
  <c r="J70" i="3" s="1" a="1"/>
  <c r="J70" i="3" s="1"/>
  <c r="H71" i="3"/>
  <c r="I71" i="3"/>
  <c r="J71" i="3" s="1" a="1"/>
  <c r="J71" i="3" s="1"/>
  <c r="H72" i="3"/>
  <c r="I72" i="3"/>
  <c r="J72" i="3" s="1" a="1"/>
  <c r="J72" i="3" s="1"/>
  <c r="H73" i="3"/>
  <c r="I73" i="3"/>
  <c r="J73" i="3" s="1" a="1"/>
  <c r="J73" i="3" s="1"/>
  <c r="H74" i="3"/>
  <c r="I74" i="3"/>
  <c r="J74" i="3" s="1" a="1"/>
  <c r="J74" i="3" s="1"/>
  <c r="H75" i="3"/>
  <c r="I75" i="3"/>
  <c r="J75" i="3" s="1" a="1"/>
  <c r="J75" i="3" s="1"/>
  <c r="H76" i="3"/>
  <c r="I76" i="3"/>
  <c r="J76" i="3" s="1" a="1"/>
  <c r="J76" i="3" s="1"/>
  <c r="H77" i="3"/>
  <c r="I77" i="3"/>
  <c r="J77" i="3" s="1" a="1"/>
  <c r="J77" i="3" s="1"/>
  <c r="H78" i="3"/>
  <c r="I78" i="3"/>
  <c r="J78" i="3" s="1" a="1"/>
  <c r="J78" i="3" s="1"/>
  <c r="H79" i="3"/>
  <c r="I79" i="3"/>
  <c r="J79" i="3" s="1" a="1"/>
  <c r="J79" i="3" s="1"/>
  <c r="H80" i="3"/>
  <c r="I80" i="3"/>
  <c r="J80" i="3" s="1" a="1"/>
  <c r="J80" i="3" s="1"/>
  <c r="H81" i="3"/>
  <c r="I81" i="3"/>
  <c r="J81" i="3" s="1" a="1"/>
  <c r="J81" i="3" s="1"/>
  <c r="H82" i="3"/>
  <c r="I82" i="3"/>
  <c r="J82" i="3" s="1" a="1"/>
  <c r="J82" i="3" s="1"/>
  <c r="H83" i="3"/>
  <c r="I83" i="3"/>
  <c r="J83" i="3" s="1" a="1"/>
  <c r="J83" i="3" s="1"/>
  <c r="H84" i="3"/>
  <c r="I84" i="3"/>
  <c r="J84" i="3" s="1" a="1"/>
  <c r="J84" i="3" s="1"/>
  <c r="H85" i="3"/>
  <c r="I85" i="3"/>
  <c r="J85" i="3" s="1" a="1"/>
  <c r="J85" i="3" s="1"/>
  <c r="H86" i="3"/>
  <c r="I86" i="3"/>
  <c r="J86" i="3" s="1" a="1"/>
  <c r="J86" i="3" s="1"/>
  <c r="H87" i="3"/>
  <c r="I87" i="3"/>
  <c r="J87" i="3" s="1" a="1"/>
  <c r="J87" i="3" s="1"/>
  <c r="H88" i="3"/>
  <c r="I88" i="3"/>
  <c r="J88" i="3" s="1" a="1"/>
  <c r="J88" i="3" s="1"/>
  <c r="H89" i="3"/>
  <c r="I89" i="3"/>
  <c r="J89" i="3" s="1" a="1"/>
  <c r="J89" i="3" s="1"/>
  <c r="H90" i="3"/>
  <c r="I90" i="3"/>
  <c r="J90" i="3" s="1" a="1"/>
  <c r="J90" i="3" s="1"/>
  <c r="H91" i="3"/>
  <c r="I91" i="3"/>
  <c r="J91" i="3" s="1" a="1"/>
  <c r="J91" i="3" s="1"/>
  <c r="H92" i="3"/>
  <c r="I92" i="3"/>
  <c r="J92" i="3" s="1" a="1"/>
  <c r="J92" i="3" s="1"/>
  <c r="H93" i="3"/>
  <c r="I93" i="3"/>
  <c r="J93" i="3" s="1" a="1"/>
  <c r="J93" i="3" s="1"/>
  <c r="H94" i="3"/>
  <c r="I94" i="3"/>
  <c r="J94" i="3" s="1" a="1"/>
  <c r="J94" i="3" s="1"/>
  <c r="H95" i="3"/>
  <c r="I95" i="3"/>
  <c r="J95" i="3" s="1" a="1"/>
  <c r="J95" i="3" s="1"/>
  <c r="H96" i="3"/>
  <c r="I96" i="3"/>
  <c r="J96" i="3" s="1" a="1"/>
  <c r="J96" i="3" s="1"/>
  <c r="H97" i="3"/>
  <c r="I97" i="3"/>
  <c r="J97" i="3" s="1" a="1"/>
  <c r="J97" i="3" s="1"/>
  <c r="H98" i="3"/>
  <c r="I98" i="3"/>
  <c r="J98" i="3" s="1" a="1"/>
  <c r="J98" i="3" s="1"/>
  <c r="H99" i="3"/>
  <c r="I99" i="3"/>
  <c r="J99" i="3" s="1" a="1"/>
  <c r="J99" i="3" s="1"/>
  <c r="H100" i="3"/>
  <c r="I100" i="3"/>
  <c r="J100" i="3" s="1" a="1"/>
  <c r="J100" i="3" s="1"/>
  <c r="H101" i="3"/>
  <c r="I101" i="3"/>
  <c r="J101" i="3" s="1" a="1"/>
  <c r="J101" i="3" s="1"/>
  <c r="H102" i="3"/>
  <c r="I102" i="3"/>
  <c r="J102" i="3" s="1" a="1"/>
  <c r="J102" i="3" s="1"/>
  <c r="H103" i="3"/>
  <c r="I103" i="3"/>
  <c r="J103" i="3" s="1" a="1"/>
  <c r="J103" i="3" s="1"/>
  <c r="H104" i="3"/>
  <c r="I104" i="3"/>
  <c r="J104" i="3" s="1" a="1"/>
  <c r="J104" i="3" s="1"/>
  <c r="H105" i="3"/>
  <c r="I105" i="3"/>
  <c r="J105" i="3" s="1" a="1"/>
  <c r="J105" i="3" s="1"/>
  <c r="H106" i="3"/>
  <c r="I106" i="3"/>
  <c r="J106" i="3" s="1" a="1"/>
  <c r="J106" i="3" s="1"/>
  <c r="H107" i="3"/>
  <c r="I107" i="3"/>
  <c r="J107" i="3" s="1" a="1"/>
  <c r="J107" i="3" s="1"/>
  <c r="H108" i="3"/>
  <c r="I108" i="3"/>
  <c r="J108" i="3" s="1" a="1"/>
  <c r="J108" i="3" s="1"/>
  <c r="H109" i="3"/>
  <c r="I109" i="3"/>
  <c r="J109" i="3" s="1" a="1"/>
  <c r="J109" i="3" s="1"/>
  <c r="H110" i="3"/>
  <c r="I110" i="3"/>
  <c r="J110" i="3" s="1" a="1"/>
  <c r="J110" i="3" s="1"/>
  <c r="H111" i="3"/>
  <c r="I111" i="3"/>
  <c r="J111" i="3" s="1" a="1"/>
  <c r="J111" i="3" s="1"/>
  <c r="H112" i="3"/>
  <c r="I112" i="3"/>
  <c r="J112" i="3" s="1" a="1"/>
  <c r="J112" i="3" s="1"/>
  <c r="H113" i="3"/>
  <c r="I113" i="3"/>
  <c r="J113" i="3" s="1" a="1"/>
  <c r="J113" i="3" s="1"/>
  <c r="H114" i="3"/>
  <c r="I114" i="3"/>
  <c r="J114" i="3" s="1" a="1"/>
  <c r="J114" i="3" s="1"/>
  <c r="H115" i="3"/>
  <c r="I115" i="3"/>
  <c r="J115" i="3" s="1" a="1"/>
  <c r="J115" i="3" s="1"/>
  <c r="H116" i="3"/>
  <c r="I116" i="3"/>
  <c r="J116" i="3" s="1" a="1"/>
  <c r="J116" i="3" s="1"/>
  <c r="H117" i="3"/>
  <c r="I117" i="3"/>
  <c r="J117" i="3" s="1" a="1"/>
  <c r="J117" i="3" s="1"/>
  <c r="H118" i="3"/>
  <c r="I118" i="3"/>
  <c r="J118" i="3" s="1" a="1"/>
  <c r="J118" i="3" s="1"/>
  <c r="H119" i="3"/>
  <c r="I119" i="3"/>
  <c r="J119" i="3" s="1" a="1"/>
  <c r="J119" i="3" s="1"/>
  <c r="H120" i="3"/>
  <c r="I120" i="3"/>
  <c r="J120" i="3" s="1" a="1"/>
  <c r="J120" i="3" s="1"/>
  <c r="H121" i="3"/>
  <c r="I121" i="3"/>
  <c r="J121" i="3" s="1" a="1"/>
  <c r="J121" i="3" s="1"/>
  <c r="H122" i="3"/>
  <c r="I122" i="3"/>
  <c r="J122" i="3" s="1" a="1"/>
  <c r="J122" i="3" s="1"/>
  <c r="H123" i="3"/>
  <c r="I123" i="3"/>
  <c r="J123" i="3" s="1" a="1"/>
  <c r="J123" i="3" s="1"/>
  <c r="H124" i="3"/>
  <c r="I124" i="3"/>
  <c r="J124" i="3" s="1" a="1"/>
  <c r="J124" i="3" s="1"/>
  <c r="H125" i="3"/>
  <c r="I125" i="3"/>
  <c r="J125" i="3" s="1" a="1"/>
  <c r="J125" i="3" s="1"/>
  <c r="H126" i="3"/>
  <c r="I126" i="3"/>
  <c r="J126" i="3" s="1" a="1"/>
  <c r="J126" i="3" s="1"/>
  <c r="H127" i="3"/>
  <c r="I127" i="3"/>
  <c r="J127" i="3" s="1" a="1"/>
  <c r="J127" i="3" s="1"/>
  <c r="H128" i="3"/>
  <c r="I128" i="3"/>
  <c r="J128" i="3" s="1" a="1"/>
  <c r="J128" i="3" s="1"/>
  <c r="H129" i="3"/>
  <c r="I129" i="3"/>
  <c r="J129" i="3" s="1" a="1"/>
  <c r="J129" i="3" s="1"/>
  <c r="H130" i="3"/>
  <c r="I130" i="3"/>
  <c r="J130" i="3" s="1" a="1"/>
  <c r="J130" i="3" s="1"/>
  <c r="H131" i="3"/>
  <c r="I131" i="3"/>
  <c r="J131" i="3" s="1" a="1"/>
  <c r="J131" i="3" s="1"/>
  <c r="H132" i="3"/>
  <c r="I132" i="3"/>
  <c r="J132" i="3" s="1" a="1"/>
  <c r="J132" i="3" s="1"/>
  <c r="H133" i="3"/>
  <c r="I133" i="3"/>
  <c r="J133" i="3" s="1" a="1"/>
  <c r="J133" i="3" s="1"/>
  <c r="H134" i="3"/>
  <c r="I134" i="3"/>
  <c r="J134" i="3" s="1" a="1"/>
  <c r="J134" i="3" s="1"/>
  <c r="H135" i="3"/>
  <c r="I135" i="3"/>
  <c r="J135" i="3" s="1" a="1"/>
  <c r="J135" i="3" s="1"/>
  <c r="H136" i="3"/>
  <c r="I136" i="3"/>
  <c r="J136" i="3" s="1" a="1"/>
  <c r="J136" i="3" s="1"/>
  <c r="H137" i="3"/>
  <c r="I137" i="3"/>
  <c r="J137" i="3" s="1" a="1"/>
  <c r="J137" i="3" s="1"/>
  <c r="H138" i="3"/>
  <c r="I138" i="3"/>
  <c r="J138" i="3" s="1" a="1"/>
  <c r="J138" i="3" s="1"/>
  <c r="H139" i="3"/>
  <c r="I139" i="3"/>
  <c r="J139" i="3" s="1" a="1"/>
  <c r="J139" i="3" s="1"/>
  <c r="H140" i="3"/>
  <c r="I140" i="3"/>
  <c r="J140" i="3" s="1" a="1"/>
  <c r="J140" i="3" s="1"/>
  <c r="H141" i="3"/>
  <c r="I141" i="3"/>
  <c r="J141" i="3" s="1" a="1"/>
  <c r="J141" i="3" s="1"/>
  <c r="H142" i="3"/>
  <c r="I142" i="3"/>
  <c r="J142" i="3" s="1" a="1"/>
  <c r="J142" i="3" s="1"/>
  <c r="H143" i="3"/>
  <c r="I143" i="3"/>
  <c r="J143" i="3" s="1" a="1"/>
  <c r="J143" i="3" s="1"/>
  <c r="H144" i="3"/>
  <c r="I144" i="3"/>
  <c r="J144" i="3" s="1" a="1"/>
  <c r="J144" i="3" s="1"/>
  <c r="H145" i="3"/>
  <c r="I145" i="3"/>
  <c r="J145" i="3" s="1" a="1"/>
  <c r="J145" i="3" s="1"/>
  <c r="H146" i="3"/>
  <c r="I146" i="3"/>
  <c r="J146" i="3" s="1" a="1"/>
  <c r="J146" i="3" s="1"/>
  <c r="H147" i="3"/>
  <c r="I147" i="3"/>
  <c r="J147" i="3" s="1" a="1"/>
  <c r="J147" i="3" s="1"/>
  <c r="H148" i="3"/>
  <c r="I148" i="3"/>
  <c r="J148" i="3" s="1" a="1"/>
  <c r="J148" i="3" s="1"/>
  <c r="H149" i="3"/>
  <c r="I149" i="3"/>
  <c r="J149" i="3" s="1" a="1"/>
  <c r="J149" i="3" s="1"/>
  <c r="H150" i="3"/>
  <c r="I150" i="3"/>
  <c r="J150" i="3" s="1" a="1"/>
  <c r="J150" i="3" s="1"/>
  <c r="H151" i="3"/>
  <c r="I151" i="3"/>
  <c r="J151" i="3" s="1" a="1"/>
  <c r="J151" i="3" s="1"/>
  <c r="H152" i="3"/>
  <c r="I152" i="3"/>
  <c r="J152" i="3" s="1" a="1"/>
  <c r="J152" i="3" s="1"/>
  <c r="H153" i="3"/>
  <c r="I153" i="3"/>
  <c r="J153" i="3" s="1" a="1"/>
  <c r="J153" i="3" s="1"/>
  <c r="H154" i="3"/>
  <c r="I154" i="3"/>
  <c r="J154" i="3" s="1" a="1"/>
  <c r="J154" i="3" s="1"/>
  <c r="H155" i="3"/>
  <c r="I155" i="3"/>
  <c r="J155" i="3" s="1" a="1"/>
  <c r="J155" i="3" s="1"/>
  <c r="H156" i="3"/>
  <c r="I156" i="3"/>
  <c r="J156" i="3" s="1" a="1"/>
  <c r="J156" i="3" s="1"/>
  <c r="H157" i="3"/>
  <c r="I157" i="3"/>
  <c r="J157" i="3" s="1" a="1"/>
  <c r="J157" i="3" s="1"/>
  <c r="H158" i="3"/>
  <c r="I158" i="3"/>
  <c r="J158" i="3" s="1" a="1"/>
  <c r="J158" i="3" s="1"/>
  <c r="H159" i="3"/>
  <c r="I159" i="3"/>
  <c r="J159" i="3" s="1" a="1"/>
  <c r="J159" i="3" s="1"/>
  <c r="H160" i="3"/>
  <c r="I160" i="3"/>
  <c r="J160" i="3" s="1" a="1"/>
  <c r="J160" i="3" s="1"/>
  <c r="H161" i="3"/>
  <c r="I161" i="3"/>
  <c r="J161" i="3" s="1" a="1"/>
  <c r="J161" i="3" s="1"/>
  <c r="H162" i="3"/>
  <c r="I162" i="3"/>
  <c r="J162" i="3" s="1" a="1"/>
  <c r="J162" i="3" s="1"/>
  <c r="H163" i="3"/>
  <c r="I163" i="3"/>
  <c r="J163" i="3" s="1" a="1"/>
  <c r="J163" i="3" s="1"/>
  <c r="H164" i="3"/>
  <c r="I164" i="3"/>
  <c r="J164" i="3" s="1" a="1"/>
  <c r="J164" i="3" s="1"/>
  <c r="H165" i="3"/>
  <c r="I165" i="3"/>
  <c r="J165" i="3" s="1" a="1"/>
  <c r="J165" i="3" s="1"/>
  <c r="H166" i="3"/>
  <c r="I166" i="3"/>
  <c r="J166" i="3" s="1" a="1"/>
  <c r="J166" i="3" s="1"/>
  <c r="H167" i="3"/>
  <c r="I167" i="3"/>
  <c r="J167" i="3" s="1" a="1"/>
  <c r="J167" i="3" s="1"/>
  <c r="H168" i="3"/>
  <c r="I168" i="3"/>
  <c r="J168" i="3" s="1" a="1"/>
  <c r="J168" i="3" s="1"/>
  <c r="H169" i="3"/>
  <c r="I169" i="3"/>
  <c r="J169" i="3" s="1" a="1"/>
  <c r="J169" i="3" s="1"/>
  <c r="H170" i="3"/>
  <c r="I170" i="3"/>
  <c r="J170" i="3" s="1" a="1"/>
  <c r="J170" i="3" s="1"/>
  <c r="H171" i="3"/>
  <c r="I171" i="3"/>
  <c r="J171" i="3" s="1" a="1"/>
  <c r="J171" i="3" s="1"/>
  <c r="H172" i="3"/>
  <c r="I172" i="3"/>
  <c r="J172" i="3" s="1" a="1"/>
  <c r="J172" i="3" s="1"/>
  <c r="H173" i="3"/>
  <c r="I173" i="3"/>
  <c r="J173" i="3" s="1" a="1"/>
  <c r="J173" i="3" s="1"/>
  <c r="H174" i="3"/>
  <c r="I174" i="3"/>
  <c r="J174" i="3" s="1" a="1"/>
  <c r="J174" i="3" s="1"/>
  <c r="H175" i="3"/>
  <c r="I175" i="3"/>
  <c r="J175" i="3" s="1" a="1"/>
  <c r="J175" i="3" s="1"/>
  <c r="H176" i="3"/>
  <c r="I176" i="3"/>
  <c r="J176" i="3" s="1" a="1"/>
  <c r="J176" i="3" s="1"/>
  <c r="H177" i="3"/>
  <c r="I177" i="3"/>
  <c r="J177" i="3" s="1" a="1"/>
  <c r="J177" i="3" s="1"/>
  <c r="H178" i="3"/>
  <c r="I178" i="3"/>
  <c r="J178" i="3" s="1" a="1"/>
  <c r="J178" i="3" s="1"/>
  <c r="H179" i="3"/>
  <c r="I179" i="3"/>
  <c r="J179" i="3" s="1" a="1"/>
  <c r="J179" i="3" s="1"/>
  <c r="H180" i="3"/>
  <c r="I180" i="3"/>
  <c r="J180" i="3" s="1" a="1"/>
  <c r="J180" i="3" s="1"/>
  <c r="H181" i="3"/>
  <c r="I181" i="3"/>
  <c r="J181" i="3" s="1" a="1"/>
  <c r="J181" i="3" s="1"/>
  <c r="H182" i="3"/>
  <c r="I182" i="3"/>
  <c r="J182" i="3" s="1" a="1"/>
  <c r="J182" i="3" s="1"/>
  <c r="H183" i="3"/>
  <c r="I183" i="3"/>
  <c r="J183" i="3" s="1" a="1"/>
  <c r="J183" i="3" s="1"/>
  <c r="H184" i="3"/>
  <c r="I184" i="3"/>
  <c r="J184" i="3" s="1" a="1"/>
  <c r="J184" i="3" s="1"/>
  <c r="H185" i="3"/>
  <c r="I185" i="3"/>
  <c r="J185" i="3" s="1" a="1"/>
  <c r="J185" i="3" s="1"/>
  <c r="H186" i="3"/>
  <c r="I186" i="3"/>
  <c r="J186" i="3" s="1" a="1"/>
  <c r="J186" i="3" s="1"/>
  <c r="H187" i="3"/>
  <c r="I187" i="3"/>
  <c r="J187" i="3" s="1" a="1"/>
  <c r="J187" i="3" s="1"/>
  <c r="H188" i="3"/>
  <c r="I188" i="3"/>
  <c r="J188" i="3" s="1" a="1"/>
  <c r="J188" i="3" s="1"/>
  <c r="H189" i="3"/>
  <c r="I189" i="3"/>
  <c r="J189" i="3" s="1" a="1"/>
  <c r="J189" i="3" s="1"/>
  <c r="H190" i="3"/>
  <c r="I190" i="3"/>
  <c r="J190" i="3" s="1" a="1"/>
  <c r="J190" i="3" s="1"/>
  <c r="H191" i="3"/>
  <c r="I191" i="3"/>
  <c r="J191" i="3" s="1" a="1"/>
  <c r="J191" i="3" s="1"/>
  <c r="H192" i="3"/>
  <c r="I192" i="3"/>
  <c r="J192" i="3" s="1" a="1"/>
  <c r="J192" i="3" s="1"/>
  <c r="H193" i="3"/>
  <c r="I193" i="3"/>
  <c r="J193" i="3" s="1" a="1"/>
  <c r="J193" i="3" s="1"/>
  <c r="H194" i="3"/>
  <c r="I194" i="3"/>
  <c r="J194" i="3" s="1" a="1"/>
  <c r="J194" i="3" s="1"/>
  <c r="H195" i="3"/>
  <c r="I195" i="3"/>
  <c r="J195" i="3" s="1" a="1"/>
  <c r="J195" i="3" s="1"/>
  <c r="H196" i="3"/>
  <c r="I196" i="3"/>
  <c r="J196" i="3" s="1" a="1"/>
  <c r="J196" i="3" s="1"/>
  <c r="H197" i="3"/>
  <c r="I197" i="3"/>
  <c r="J197" i="3" s="1" a="1"/>
  <c r="J197" i="3" s="1"/>
  <c r="H198" i="3"/>
  <c r="I198" i="3"/>
  <c r="J198" i="3" s="1" a="1"/>
  <c r="J198" i="3" s="1"/>
  <c r="H199" i="3"/>
  <c r="I199" i="3"/>
  <c r="J199" i="3" s="1" a="1"/>
  <c r="J199" i="3" s="1"/>
  <c r="H200" i="3"/>
  <c r="I200" i="3"/>
  <c r="J200" i="3" s="1" a="1"/>
  <c r="J200" i="3" s="1"/>
  <c r="H201" i="3"/>
  <c r="I201" i="3"/>
  <c r="J201" i="3" s="1" a="1"/>
  <c r="J201" i="3" s="1"/>
  <c r="H202" i="3"/>
  <c r="I202" i="3"/>
  <c r="J202" i="3" s="1" a="1"/>
  <c r="J202" i="3" s="1"/>
  <c r="H203" i="3"/>
  <c r="I203" i="3"/>
  <c r="J203" i="3" s="1" a="1"/>
  <c r="J203" i="3" s="1"/>
  <c r="H204" i="3"/>
  <c r="I204" i="3"/>
  <c r="J204" i="3" s="1" a="1"/>
  <c r="J204" i="3" s="1"/>
  <c r="H205" i="3"/>
  <c r="I205" i="3"/>
  <c r="J205" i="3" s="1" a="1"/>
  <c r="J205" i="3" s="1"/>
  <c r="H206" i="3"/>
  <c r="I206" i="3"/>
  <c r="J206" i="3" s="1" a="1"/>
  <c r="J206" i="3" s="1"/>
  <c r="H207" i="3"/>
  <c r="I207" i="3"/>
  <c r="J207" i="3" s="1" a="1"/>
  <c r="J207" i="3" s="1"/>
  <c r="H208" i="3"/>
  <c r="I208" i="3"/>
  <c r="J208" i="3" s="1" a="1"/>
  <c r="J208" i="3" s="1"/>
  <c r="H209" i="3"/>
  <c r="I209" i="3"/>
  <c r="J209" i="3" s="1" a="1"/>
  <c r="J209" i="3" s="1"/>
  <c r="H210" i="3"/>
  <c r="I210" i="3"/>
  <c r="J210" i="3" s="1" a="1"/>
  <c r="J210" i="3" s="1"/>
  <c r="H211" i="3"/>
  <c r="I211" i="3"/>
  <c r="J211" i="3" s="1" a="1"/>
  <c r="J211" i="3" s="1"/>
  <c r="H212" i="3"/>
  <c r="I212" i="3"/>
  <c r="J212" i="3" s="1" a="1"/>
  <c r="J212" i="3" s="1"/>
  <c r="H213" i="3"/>
  <c r="I213" i="3"/>
  <c r="J213" i="3" s="1" a="1"/>
  <c r="J213" i="3" s="1"/>
  <c r="H214" i="3"/>
  <c r="I214" i="3"/>
  <c r="J214" i="3" s="1" a="1"/>
  <c r="J214" i="3" s="1"/>
  <c r="H215" i="3"/>
  <c r="I215" i="3"/>
  <c r="J215" i="3" s="1" a="1"/>
  <c r="J215" i="3" s="1"/>
  <c r="H216" i="3"/>
  <c r="I216" i="3"/>
  <c r="J216" i="3" s="1" a="1"/>
  <c r="J216" i="3" s="1"/>
  <c r="H217" i="3"/>
  <c r="I217" i="3"/>
  <c r="J217" i="3" s="1" a="1"/>
  <c r="J217" i="3" s="1"/>
  <c r="H218" i="3"/>
  <c r="I218" i="3"/>
  <c r="J218" i="3" s="1" a="1"/>
  <c r="J218" i="3" s="1"/>
  <c r="H219" i="3"/>
  <c r="I219" i="3"/>
  <c r="J219" i="3" s="1" a="1"/>
  <c r="J219" i="3" s="1"/>
  <c r="H220" i="3"/>
  <c r="I220" i="3"/>
  <c r="J220" i="3" s="1" a="1"/>
  <c r="J220" i="3" s="1"/>
  <c r="H221" i="3"/>
  <c r="I221" i="3"/>
  <c r="J221" i="3" s="1" a="1"/>
  <c r="J221" i="3" s="1"/>
  <c r="H222" i="3"/>
  <c r="I222" i="3"/>
  <c r="J222" i="3" s="1" a="1"/>
  <c r="J222" i="3" s="1"/>
  <c r="H223" i="3"/>
  <c r="I223" i="3"/>
  <c r="J223" i="3" s="1" a="1"/>
  <c r="J223" i="3" s="1"/>
  <c r="H224" i="3"/>
  <c r="I224" i="3"/>
  <c r="J224" i="3" s="1" a="1"/>
  <c r="J224" i="3" s="1"/>
  <c r="H225" i="3"/>
  <c r="I225" i="3"/>
  <c r="J225" i="3" s="1" a="1"/>
  <c r="J225" i="3" s="1"/>
  <c r="H226" i="3"/>
  <c r="I226" i="3"/>
  <c r="J226" i="3" s="1" a="1"/>
  <c r="J226" i="3" s="1"/>
  <c r="H227" i="3"/>
  <c r="I227" i="3"/>
  <c r="J227" i="3" s="1" a="1"/>
  <c r="J227" i="3" s="1"/>
  <c r="H228" i="3"/>
  <c r="I228" i="3"/>
  <c r="J228" i="3" s="1" a="1"/>
  <c r="J228" i="3" s="1"/>
  <c r="H229" i="3"/>
  <c r="I229" i="3"/>
  <c r="J229" i="3" s="1" a="1"/>
  <c r="J229" i="3" s="1"/>
  <c r="H230" i="3"/>
  <c r="I230" i="3"/>
  <c r="J230" i="3" s="1" a="1"/>
  <c r="J230" i="3" s="1"/>
  <c r="H231" i="3"/>
  <c r="I231" i="3"/>
  <c r="J231" i="3" s="1" a="1"/>
  <c r="J231" i="3" s="1"/>
  <c r="H232" i="3"/>
  <c r="I232" i="3"/>
  <c r="J232" i="3" s="1" a="1"/>
  <c r="J232" i="3" s="1"/>
  <c r="H233" i="3"/>
  <c r="I233" i="3"/>
  <c r="J233" i="3" s="1" a="1"/>
  <c r="J233" i="3" s="1"/>
  <c r="H234" i="3"/>
  <c r="I234" i="3"/>
  <c r="J234" i="3" s="1" a="1"/>
  <c r="J234" i="3" s="1"/>
  <c r="H235" i="3"/>
  <c r="I235" i="3"/>
  <c r="J235" i="3" s="1" a="1"/>
  <c r="J235" i="3" s="1"/>
  <c r="H236" i="3"/>
  <c r="I236" i="3"/>
  <c r="J236" i="3" s="1" a="1"/>
  <c r="J236" i="3" s="1"/>
  <c r="H237" i="3"/>
  <c r="I237" i="3"/>
  <c r="J237" i="3" s="1" a="1"/>
  <c r="J237" i="3" s="1"/>
  <c r="H238" i="3"/>
  <c r="I238" i="3"/>
  <c r="J238" i="3" s="1" a="1"/>
  <c r="J238" i="3" s="1"/>
  <c r="H239" i="3"/>
  <c r="I239" i="3"/>
  <c r="J239" i="3" s="1" a="1"/>
  <c r="J239" i="3" s="1"/>
  <c r="H240" i="3"/>
  <c r="I240" i="3"/>
  <c r="J240" i="3" s="1" a="1"/>
  <c r="J240" i="3" s="1"/>
  <c r="H241" i="3"/>
  <c r="I241" i="3"/>
  <c r="J241" i="3" s="1" a="1"/>
  <c r="J241" i="3" s="1"/>
  <c r="H242" i="3"/>
  <c r="I242" i="3"/>
  <c r="J242" i="3" s="1" a="1"/>
  <c r="J242" i="3" s="1"/>
  <c r="H243" i="3"/>
  <c r="I243" i="3"/>
  <c r="J243" i="3" s="1" a="1"/>
  <c r="J243" i="3" s="1"/>
  <c r="H244" i="3"/>
  <c r="I244" i="3"/>
  <c r="J244" i="3" s="1" a="1"/>
  <c r="J244" i="3" s="1"/>
  <c r="H245" i="3"/>
  <c r="I245" i="3"/>
  <c r="J245" i="3" s="1" a="1"/>
  <c r="J245" i="3" s="1"/>
  <c r="H246" i="3"/>
  <c r="I246" i="3"/>
  <c r="J246" i="3" s="1" a="1"/>
  <c r="J246" i="3" s="1"/>
  <c r="H247" i="3"/>
  <c r="I247" i="3"/>
  <c r="J247" i="3" s="1" a="1"/>
  <c r="J247" i="3" s="1"/>
  <c r="H248" i="3"/>
  <c r="I248" i="3"/>
  <c r="J248" i="3" s="1" a="1"/>
  <c r="J248" i="3" s="1"/>
  <c r="H249" i="3"/>
  <c r="I249" i="3"/>
  <c r="J249" i="3" s="1" a="1"/>
  <c r="J249" i="3" s="1"/>
  <c r="H250" i="3"/>
  <c r="I250" i="3"/>
  <c r="J250" i="3" s="1" a="1"/>
  <c r="J250" i="3" s="1"/>
  <c r="H251" i="3"/>
  <c r="I251" i="3"/>
  <c r="J251" i="3" s="1" a="1"/>
  <c r="J251" i="3" s="1"/>
  <c r="H252" i="3"/>
  <c r="I252" i="3"/>
  <c r="J252" i="3" s="1" a="1"/>
  <c r="J252" i="3" s="1"/>
  <c r="H253" i="3"/>
  <c r="I253" i="3"/>
  <c r="J253" i="3" s="1" a="1"/>
  <c r="J253" i="3" s="1"/>
  <c r="H254" i="3"/>
  <c r="I254" i="3"/>
  <c r="J254" i="3" s="1" a="1"/>
  <c r="J254" i="3" s="1"/>
  <c r="H255" i="3"/>
  <c r="I255" i="3"/>
  <c r="J255" i="3" s="1" a="1"/>
  <c r="J255" i="3" s="1"/>
  <c r="H256" i="3"/>
  <c r="I256" i="3"/>
  <c r="J256" i="3" s="1" a="1"/>
  <c r="J256" i="3" s="1"/>
  <c r="H257" i="3"/>
  <c r="I257" i="3"/>
  <c r="J257" i="3" s="1" a="1"/>
  <c r="J257" i="3" s="1"/>
  <c r="H258" i="3"/>
  <c r="I258" i="3"/>
  <c r="J258" i="3" s="1" a="1"/>
  <c r="J258" i="3" s="1"/>
  <c r="H259" i="3"/>
  <c r="I259" i="3"/>
  <c r="J259" i="3" s="1" a="1"/>
  <c r="J259" i="3" s="1"/>
  <c r="H260" i="3"/>
  <c r="I260" i="3"/>
  <c r="J260" i="3" s="1" a="1"/>
  <c r="J260" i="3" s="1"/>
  <c r="H261" i="3"/>
  <c r="I261" i="3"/>
  <c r="J261" i="3" s="1" a="1"/>
  <c r="J261" i="3" s="1"/>
  <c r="H262" i="3"/>
  <c r="I262" i="3"/>
  <c r="J262" i="3" s="1" a="1"/>
  <c r="J262" i="3" s="1"/>
  <c r="H263" i="3"/>
  <c r="I263" i="3"/>
  <c r="J263" i="3" s="1" a="1"/>
  <c r="J263" i="3" s="1"/>
  <c r="H264" i="3"/>
  <c r="I264" i="3"/>
  <c r="J264" i="3" s="1" a="1"/>
  <c r="J264" i="3" s="1"/>
  <c r="H265" i="3"/>
  <c r="I265" i="3"/>
  <c r="J265" i="3" s="1" a="1"/>
  <c r="J265" i="3" s="1"/>
  <c r="H266" i="3"/>
  <c r="I266" i="3"/>
  <c r="J266" i="3" s="1" a="1"/>
  <c r="J266" i="3" s="1"/>
  <c r="H267" i="3"/>
  <c r="I267" i="3"/>
  <c r="J267" i="3" s="1" a="1"/>
  <c r="J267" i="3" s="1"/>
  <c r="H268" i="3"/>
  <c r="I268" i="3"/>
  <c r="J268" i="3" s="1" a="1"/>
  <c r="J268" i="3" s="1"/>
  <c r="H269" i="3"/>
  <c r="I269" i="3"/>
  <c r="J269" i="3" s="1" a="1"/>
  <c r="J269" i="3" s="1"/>
  <c r="H270" i="3"/>
  <c r="I270" i="3"/>
  <c r="J270" i="3" s="1" a="1"/>
  <c r="J270" i="3" s="1"/>
  <c r="H271" i="3"/>
  <c r="I271" i="3"/>
  <c r="J271" i="3" s="1" a="1"/>
  <c r="J271" i="3" s="1"/>
  <c r="H272" i="3"/>
  <c r="I272" i="3"/>
  <c r="J272" i="3" s="1" a="1"/>
  <c r="J272" i="3" s="1"/>
  <c r="H273" i="3"/>
  <c r="I273" i="3"/>
  <c r="J273" i="3" s="1" a="1"/>
  <c r="J273" i="3" s="1"/>
  <c r="H274" i="3"/>
  <c r="I274" i="3"/>
  <c r="J274" i="3" s="1" a="1"/>
  <c r="J274" i="3" s="1"/>
  <c r="H275" i="3"/>
  <c r="I275" i="3"/>
  <c r="J275" i="3" s="1" a="1"/>
  <c r="J275" i="3" s="1"/>
  <c r="H276" i="3"/>
  <c r="I276" i="3"/>
  <c r="J276" i="3" s="1" a="1"/>
  <c r="J276" i="3" s="1"/>
  <c r="H277" i="3"/>
  <c r="I277" i="3"/>
  <c r="J277" i="3" s="1" a="1"/>
  <c r="J277" i="3" s="1"/>
  <c r="H278" i="3"/>
  <c r="I278" i="3"/>
  <c r="J278" i="3" s="1" a="1"/>
  <c r="J278" i="3" s="1"/>
  <c r="H279" i="3"/>
  <c r="I279" i="3"/>
  <c r="J279" i="3" s="1" a="1"/>
  <c r="J279" i="3" s="1"/>
  <c r="H280" i="3"/>
  <c r="I280" i="3"/>
  <c r="J280" i="3" s="1" a="1"/>
  <c r="J280" i="3" s="1"/>
  <c r="H281" i="3"/>
  <c r="I281" i="3"/>
  <c r="J281" i="3" s="1" a="1"/>
  <c r="J281" i="3" s="1"/>
  <c r="H282" i="3"/>
  <c r="I282" i="3"/>
  <c r="J282" i="3" s="1" a="1"/>
  <c r="J282" i="3" s="1"/>
  <c r="H283" i="3"/>
  <c r="I283" i="3"/>
  <c r="J283" i="3" s="1" a="1"/>
  <c r="J283" i="3" s="1"/>
  <c r="H284" i="3"/>
  <c r="I284" i="3"/>
  <c r="J284" i="3" s="1" a="1"/>
  <c r="J284" i="3" s="1"/>
  <c r="H285" i="3"/>
  <c r="I285" i="3"/>
  <c r="J285" i="3" s="1" a="1"/>
  <c r="J285" i="3" s="1"/>
  <c r="H286" i="3"/>
  <c r="I286" i="3"/>
  <c r="J286" i="3" s="1" a="1"/>
  <c r="J286" i="3" s="1"/>
  <c r="H287" i="3"/>
  <c r="I287" i="3"/>
  <c r="J287" i="3" s="1" a="1"/>
  <c r="J287" i="3" s="1"/>
  <c r="H288" i="3"/>
  <c r="I288" i="3"/>
  <c r="J288" i="3" s="1" a="1"/>
  <c r="J288" i="3" s="1"/>
  <c r="H289" i="3"/>
  <c r="I289" i="3"/>
  <c r="J289" i="3" s="1" a="1"/>
  <c r="J289" i="3" s="1"/>
  <c r="H290" i="3"/>
  <c r="I290" i="3"/>
  <c r="J290" i="3" s="1" a="1"/>
  <c r="J290" i="3" s="1"/>
  <c r="H291" i="3"/>
  <c r="I291" i="3"/>
  <c r="J291" i="3" s="1" a="1"/>
  <c r="J291" i="3" s="1"/>
  <c r="H292" i="3"/>
  <c r="I292" i="3"/>
  <c r="J292" i="3" s="1" a="1"/>
  <c r="J292" i="3" s="1"/>
  <c r="H293" i="3"/>
  <c r="I293" i="3"/>
  <c r="J293" i="3" s="1" a="1"/>
  <c r="J293" i="3" s="1"/>
  <c r="H294" i="3"/>
  <c r="I294" i="3"/>
  <c r="J294" i="3" s="1" a="1"/>
  <c r="J294" i="3" s="1"/>
  <c r="H295" i="3"/>
  <c r="I295" i="3"/>
  <c r="J295" i="3" s="1" a="1"/>
  <c r="J295" i="3" s="1"/>
  <c r="H296" i="3"/>
  <c r="I296" i="3"/>
  <c r="J296" i="3" s="1" a="1"/>
  <c r="J296" i="3" s="1"/>
  <c r="H297" i="3"/>
  <c r="I297" i="3"/>
  <c r="J297" i="3" s="1" a="1"/>
  <c r="J297" i="3" s="1"/>
  <c r="H298" i="3"/>
  <c r="I298" i="3"/>
  <c r="J298" i="3" s="1" a="1"/>
  <c r="J298" i="3" s="1"/>
  <c r="H299" i="3"/>
  <c r="I299" i="3"/>
  <c r="J299" i="3" s="1" a="1"/>
  <c r="J299" i="3" s="1"/>
  <c r="H300" i="3"/>
  <c r="I300" i="3"/>
  <c r="J300" i="3" s="1" a="1"/>
  <c r="J300" i="3" s="1"/>
  <c r="H301" i="3"/>
  <c r="I301" i="3"/>
  <c r="J301" i="3" s="1" a="1"/>
  <c r="J301" i="3" s="1"/>
  <c r="H302" i="3"/>
  <c r="I302" i="3"/>
  <c r="J302" i="3" s="1" a="1"/>
  <c r="J302" i="3" s="1"/>
  <c r="H303" i="3"/>
  <c r="I303" i="3"/>
  <c r="J303" i="3" a="1"/>
  <c r="J303" i="3" s="1"/>
  <c r="H304" i="3"/>
  <c r="I304" i="3"/>
  <c r="J304" i="3" s="1" a="1"/>
  <c r="J304" i="3" s="1"/>
  <c r="H305" i="3"/>
  <c r="I305" i="3"/>
  <c r="J305" i="3" s="1" a="1"/>
  <c r="J305" i="3" s="1"/>
  <c r="H306" i="3"/>
  <c r="I306" i="3"/>
  <c r="J306" i="3" s="1" a="1"/>
  <c r="J306" i="3" s="1"/>
  <c r="H307" i="3"/>
  <c r="I307" i="3"/>
  <c r="J307" i="3" s="1" a="1"/>
  <c r="J307" i="3" s="1"/>
  <c r="H308" i="3"/>
  <c r="I308" i="3"/>
  <c r="J308" i="3" s="1" a="1"/>
  <c r="J308" i="3" s="1"/>
  <c r="H309" i="3"/>
  <c r="I309" i="3"/>
  <c r="J309" i="3" s="1" a="1"/>
  <c r="J309" i="3" s="1"/>
  <c r="H310" i="3"/>
  <c r="I310" i="3"/>
  <c r="J310" i="3" s="1" a="1"/>
  <c r="J310" i="3" s="1"/>
  <c r="H311" i="3"/>
  <c r="I311" i="3"/>
  <c r="J311" i="3" s="1" a="1"/>
  <c r="J311" i="3" s="1"/>
  <c r="H312" i="3"/>
  <c r="I312" i="3"/>
  <c r="J312" i="3" s="1" a="1"/>
  <c r="J312" i="3" s="1"/>
  <c r="H313" i="3"/>
  <c r="I313" i="3"/>
  <c r="J313" i="3" s="1" a="1"/>
  <c r="J313" i="3" s="1"/>
  <c r="H314" i="3"/>
  <c r="I314" i="3"/>
  <c r="J314" i="3" s="1" a="1"/>
  <c r="J314" i="3" s="1"/>
  <c r="H315" i="3"/>
  <c r="I315" i="3"/>
  <c r="J315" i="3" s="1" a="1"/>
  <c r="J315" i="3" s="1"/>
  <c r="H316" i="3"/>
  <c r="I316" i="3"/>
  <c r="J316" i="3" s="1" a="1"/>
  <c r="J316" i="3" s="1"/>
  <c r="H317" i="3"/>
  <c r="I317" i="3"/>
  <c r="J317" i="3" s="1" a="1"/>
  <c r="J317" i="3" s="1"/>
  <c r="H318" i="3"/>
  <c r="I318" i="3"/>
  <c r="J318" i="3" s="1" a="1"/>
  <c r="J318" i="3" s="1"/>
  <c r="H319" i="3"/>
  <c r="I319" i="3"/>
  <c r="J319" i="3" s="1" a="1"/>
  <c r="J319" i="3" s="1"/>
  <c r="H320" i="3"/>
  <c r="I320" i="3"/>
  <c r="J320" i="3" s="1" a="1"/>
  <c r="J320" i="3" s="1"/>
  <c r="H321" i="3"/>
  <c r="I321" i="3"/>
  <c r="J321" i="3" s="1" a="1"/>
  <c r="J321" i="3" s="1"/>
  <c r="H322" i="3"/>
  <c r="I322" i="3"/>
  <c r="J322" i="3" s="1" a="1"/>
  <c r="J322" i="3" s="1"/>
  <c r="H323" i="3"/>
  <c r="I323" i="3"/>
  <c r="J323" i="3" s="1" a="1"/>
  <c r="J323" i="3" s="1"/>
  <c r="H324" i="3"/>
  <c r="I324" i="3"/>
  <c r="J324" i="3" s="1" a="1"/>
  <c r="J324" i="3" s="1"/>
  <c r="H325" i="3"/>
  <c r="I325" i="3"/>
  <c r="J325" i="3" s="1" a="1"/>
  <c r="J325" i="3" s="1"/>
  <c r="H326" i="3"/>
  <c r="I326" i="3"/>
  <c r="J326" i="3" s="1" a="1"/>
  <c r="J326" i="3" s="1"/>
  <c r="H327" i="3"/>
  <c r="I327" i="3"/>
  <c r="J327" i="3" s="1" a="1"/>
  <c r="J327" i="3" s="1"/>
  <c r="H328" i="3"/>
  <c r="I328" i="3"/>
  <c r="J328" i="3" s="1" a="1"/>
  <c r="J328" i="3" s="1"/>
  <c r="H329" i="3"/>
  <c r="I329" i="3"/>
  <c r="J329" i="3" s="1" a="1"/>
  <c r="J329" i="3" s="1"/>
  <c r="H330" i="3"/>
  <c r="I330" i="3"/>
  <c r="J330" i="3" s="1" a="1"/>
  <c r="J330" i="3" s="1"/>
  <c r="H331" i="3"/>
  <c r="I331" i="3"/>
  <c r="J331" i="3" s="1" a="1"/>
  <c r="J331" i="3" s="1"/>
  <c r="H332" i="3"/>
  <c r="I332" i="3"/>
  <c r="J332" i="3" s="1" a="1"/>
  <c r="J332" i="3" s="1"/>
  <c r="H333" i="3"/>
  <c r="I333" i="3"/>
  <c r="J333" i="3" s="1" a="1"/>
  <c r="J333" i="3" s="1"/>
  <c r="H334" i="3"/>
  <c r="I334" i="3"/>
  <c r="J334" i="3" s="1" a="1"/>
  <c r="J334" i="3" s="1"/>
  <c r="H335" i="3"/>
  <c r="I335" i="3"/>
  <c r="J335" i="3" s="1" a="1"/>
  <c r="J335" i="3" s="1"/>
  <c r="H336" i="3"/>
  <c r="I336" i="3"/>
  <c r="J336" i="3" s="1" a="1"/>
  <c r="J336" i="3" s="1"/>
  <c r="H337" i="3"/>
  <c r="I337" i="3"/>
  <c r="J337" i="3" s="1" a="1"/>
  <c r="J337" i="3" s="1"/>
  <c r="H338" i="3"/>
  <c r="I338" i="3"/>
  <c r="J338" i="3" s="1" a="1"/>
  <c r="J338" i="3" s="1"/>
  <c r="H339" i="3"/>
  <c r="I339" i="3"/>
  <c r="J339" i="3" s="1" a="1"/>
  <c r="J339" i="3" s="1"/>
  <c r="H340" i="3"/>
  <c r="I340" i="3"/>
  <c r="J340" i="3" s="1" a="1"/>
  <c r="J340" i="3" s="1"/>
  <c r="H341" i="3"/>
  <c r="I341" i="3"/>
  <c r="J341" i="3" s="1" a="1"/>
  <c r="J341" i="3" s="1"/>
  <c r="H342" i="3"/>
  <c r="I342" i="3"/>
  <c r="J342" i="3" s="1" a="1"/>
  <c r="J342" i="3" s="1"/>
  <c r="H343" i="3"/>
  <c r="I343" i="3"/>
  <c r="J343" i="3" s="1" a="1"/>
  <c r="J343" i="3" s="1"/>
  <c r="H344" i="3"/>
  <c r="I344" i="3"/>
  <c r="J344" i="3" s="1" a="1"/>
  <c r="J344" i="3" s="1"/>
  <c r="H345" i="3"/>
  <c r="I345" i="3"/>
  <c r="J345" i="3" s="1" a="1"/>
  <c r="J345" i="3" s="1"/>
  <c r="H346" i="3"/>
  <c r="I346" i="3"/>
  <c r="J346" i="3" s="1" a="1"/>
  <c r="J346" i="3" s="1"/>
  <c r="H347" i="3"/>
  <c r="I347" i="3"/>
  <c r="J347" i="3" s="1" a="1"/>
  <c r="J347" i="3" s="1"/>
  <c r="H348" i="3"/>
  <c r="I348" i="3"/>
  <c r="J348" i="3" s="1" a="1"/>
  <c r="J348" i="3" s="1"/>
  <c r="H349" i="3"/>
  <c r="I349" i="3"/>
  <c r="J349" i="3" s="1" a="1"/>
  <c r="J349" i="3" s="1"/>
  <c r="H350" i="3"/>
  <c r="I350" i="3"/>
  <c r="J350" i="3" s="1" a="1"/>
  <c r="J350" i="3" s="1"/>
  <c r="H351" i="3"/>
  <c r="I351" i="3"/>
  <c r="J351" i="3" s="1" a="1"/>
  <c r="J351" i="3" s="1"/>
  <c r="H352" i="3"/>
  <c r="I352" i="3"/>
  <c r="J352" i="3" s="1" a="1"/>
  <c r="J352" i="3" s="1"/>
  <c r="H353" i="3"/>
  <c r="I353" i="3"/>
  <c r="J353" i="3" s="1" a="1"/>
  <c r="J353" i="3" s="1"/>
  <c r="H354" i="3"/>
  <c r="I354" i="3"/>
  <c r="J354" i="3" s="1" a="1"/>
  <c r="J354" i="3" s="1"/>
  <c r="H355" i="3"/>
  <c r="I355" i="3"/>
  <c r="J355" i="3" s="1" a="1"/>
  <c r="J355" i="3" s="1"/>
  <c r="H356" i="3"/>
  <c r="I356" i="3"/>
  <c r="J356" i="3" s="1" a="1"/>
  <c r="J356" i="3" s="1"/>
  <c r="H357" i="3"/>
  <c r="I357" i="3"/>
  <c r="J357" i="3" s="1" a="1"/>
  <c r="J357" i="3" s="1"/>
  <c r="H358" i="3"/>
  <c r="I358" i="3"/>
  <c r="J358" i="3" s="1" a="1"/>
  <c r="J358" i="3" s="1"/>
  <c r="H359" i="3"/>
  <c r="I359" i="3"/>
  <c r="J359" i="3" s="1" a="1"/>
  <c r="J359" i="3" s="1"/>
  <c r="H360" i="3"/>
  <c r="I360" i="3"/>
  <c r="J360" i="3" s="1" a="1"/>
  <c r="J360" i="3" s="1"/>
  <c r="H361" i="3"/>
  <c r="I361" i="3"/>
  <c r="J361" i="3" s="1" a="1"/>
  <c r="J361" i="3" s="1"/>
  <c r="H362" i="3"/>
  <c r="I362" i="3"/>
  <c r="J362" i="3" s="1" a="1"/>
  <c r="J362" i="3" s="1"/>
  <c r="H363" i="3"/>
  <c r="I363" i="3"/>
  <c r="J363" i="3" s="1" a="1"/>
  <c r="J363" i="3" s="1"/>
  <c r="H364" i="3"/>
  <c r="I364" i="3"/>
  <c r="J364" i="3" s="1" a="1"/>
  <c r="J364" i="3" s="1"/>
  <c r="H365" i="3"/>
  <c r="I365" i="3"/>
  <c r="J365" i="3" s="1" a="1"/>
  <c r="J365" i="3" s="1"/>
  <c r="H366" i="3"/>
  <c r="I366" i="3"/>
  <c r="J366" i="3" s="1" a="1"/>
  <c r="J366" i="3" s="1"/>
  <c r="H367" i="3"/>
  <c r="I367" i="3"/>
  <c r="J367" i="3" s="1" a="1"/>
  <c r="J367" i="3" s="1"/>
  <c r="H368" i="3"/>
  <c r="I368" i="3"/>
  <c r="J368" i="3" s="1" a="1"/>
  <c r="J368" i="3" s="1"/>
  <c r="H369" i="3"/>
  <c r="I369" i="3"/>
  <c r="J369" i="3" s="1" a="1"/>
  <c r="J369" i="3" s="1"/>
  <c r="H370" i="3"/>
  <c r="I370" i="3"/>
  <c r="J370" i="3" s="1" a="1"/>
  <c r="J370" i="3" s="1"/>
  <c r="H371" i="3"/>
  <c r="I371" i="3"/>
  <c r="J371" i="3" s="1" a="1"/>
  <c r="J371" i="3" s="1"/>
  <c r="H372" i="3"/>
  <c r="I372" i="3"/>
  <c r="J372" i="3" s="1" a="1"/>
  <c r="J372" i="3" s="1"/>
  <c r="H373" i="3"/>
  <c r="I373" i="3"/>
  <c r="J373" i="3" s="1" a="1"/>
  <c r="J373" i="3" s="1"/>
  <c r="H374" i="3"/>
  <c r="I374" i="3"/>
  <c r="J374" i="3" s="1" a="1"/>
  <c r="J374" i="3" s="1"/>
  <c r="H375" i="3"/>
  <c r="I375" i="3"/>
  <c r="J375" i="3" s="1" a="1"/>
  <c r="J375" i="3" s="1"/>
  <c r="H376" i="3"/>
  <c r="I376" i="3"/>
  <c r="J376" i="3" s="1" a="1"/>
  <c r="J376" i="3" s="1"/>
  <c r="H377" i="3"/>
  <c r="I377" i="3"/>
  <c r="J377" i="3" s="1" a="1"/>
  <c r="J377" i="3" s="1"/>
  <c r="H378" i="3"/>
  <c r="I378" i="3"/>
  <c r="J378" i="3" s="1" a="1"/>
  <c r="J378" i="3" s="1"/>
  <c r="H379" i="3"/>
  <c r="I379" i="3"/>
  <c r="J379" i="3" s="1" a="1"/>
  <c r="J379" i="3" s="1"/>
  <c r="H380" i="3"/>
  <c r="I380" i="3"/>
  <c r="J380" i="3" s="1" a="1"/>
  <c r="J380" i="3" s="1"/>
  <c r="H381" i="3"/>
  <c r="I381" i="3"/>
  <c r="J381" i="3" s="1" a="1"/>
  <c r="J381" i="3" s="1"/>
  <c r="H382" i="3"/>
  <c r="I382" i="3"/>
  <c r="J382" i="3" s="1" a="1"/>
  <c r="J382" i="3" s="1"/>
  <c r="H383" i="3"/>
  <c r="I383" i="3"/>
  <c r="J383" i="3" s="1" a="1"/>
  <c r="J383" i="3" s="1"/>
  <c r="H384" i="3"/>
  <c r="I384" i="3"/>
  <c r="J384" i="3" s="1" a="1"/>
  <c r="J384" i="3" s="1"/>
  <c r="H385" i="3"/>
  <c r="I385" i="3"/>
  <c r="J385" i="3" s="1" a="1"/>
  <c r="J385" i="3" s="1"/>
  <c r="H386" i="3"/>
  <c r="I386" i="3"/>
  <c r="J386" i="3" s="1" a="1"/>
  <c r="J386" i="3" s="1"/>
  <c r="H387" i="3"/>
  <c r="I387" i="3"/>
  <c r="J387" i="3" s="1" a="1"/>
  <c r="J387" i="3" s="1"/>
  <c r="H388" i="3"/>
  <c r="I388" i="3"/>
  <c r="J388" i="3" s="1" a="1"/>
  <c r="J388" i="3" s="1"/>
  <c r="H389" i="3"/>
  <c r="I389" i="3"/>
  <c r="J389" i="3" s="1" a="1"/>
  <c r="J389" i="3" s="1"/>
  <c r="H390" i="3"/>
  <c r="I390" i="3"/>
  <c r="J390" i="3" s="1" a="1"/>
  <c r="J390" i="3" s="1"/>
  <c r="H391" i="3"/>
  <c r="I391" i="3"/>
  <c r="J391" i="3" s="1" a="1"/>
  <c r="J391" i="3" s="1"/>
  <c r="H392" i="3"/>
  <c r="I392" i="3"/>
  <c r="J392" i="3" s="1" a="1"/>
  <c r="J392" i="3" s="1"/>
  <c r="H393" i="3"/>
  <c r="I393" i="3"/>
  <c r="J393" i="3" s="1" a="1"/>
  <c r="J393" i="3" s="1"/>
  <c r="H394" i="3"/>
  <c r="I394" i="3"/>
  <c r="J394" i="3" s="1" a="1"/>
  <c r="J394" i="3" s="1"/>
  <c r="H395" i="3"/>
  <c r="I395" i="3"/>
  <c r="J395" i="3" s="1" a="1"/>
  <c r="J395" i="3" s="1"/>
  <c r="H396" i="3"/>
  <c r="I396" i="3"/>
  <c r="J396" i="3" s="1" a="1"/>
  <c r="J396" i="3" s="1"/>
  <c r="H397" i="3"/>
  <c r="I397" i="3"/>
  <c r="J397" i="3" s="1" a="1"/>
  <c r="J397" i="3" s="1"/>
  <c r="H398" i="3"/>
  <c r="I398" i="3"/>
  <c r="J398" i="3" s="1" a="1"/>
  <c r="J398" i="3" s="1"/>
  <c r="H399" i="3"/>
  <c r="I399" i="3"/>
  <c r="J399" i="3" s="1" a="1"/>
  <c r="J399" i="3" s="1"/>
  <c r="H400" i="3"/>
  <c r="I400" i="3"/>
  <c r="J400" i="3" s="1" a="1"/>
  <c r="J400" i="3" s="1"/>
  <c r="H401" i="3"/>
  <c r="I401" i="3"/>
  <c r="J401" i="3" s="1" a="1"/>
  <c r="J401" i="3" s="1"/>
  <c r="H402" i="3"/>
  <c r="I402" i="3"/>
  <c r="J402" i="3" s="1" a="1"/>
  <c r="J402" i="3" s="1"/>
  <c r="H403" i="3"/>
  <c r="I403" i="3"/>
  <c r="J403" i="3" s="1" a="1"/>
  <c r="J403" i="3" s="1"/>
  <c r="H404" i="3"/>
  <c r="I404" i="3"/>
  <c r="J404" i="3" s="1" a="1"/>
  <c r="J404" i="3" s="1"/>
  <c r="H405" i="3"/>
  <c r="I405" i="3"/>
  <c r="J405" i="3" s="1" a="1"/>
  <c r="J405" i="3" s="1"/>
  <c r="H406" i="3"/>
  <c r="I406" i="3"/>
  <c r="J406" i="3" s="1" a="1"/>
  <c r="J406" i="3" s="1"/>
  <c r="H407" i="3"/>
  <c r="I407" i="3"/>
  <c r="J407" i="3" s="1" a="1"/>
  <c r="J407" i="3" s="1"/>
  <c r="H408" i="3"/>
  <c r="I408" i="3"/>
  <c r="J408" i="3" s="1" a="1"/>
  <c r="J408" i="3" s="1"/>
  <c r="H409" i="3"/>
  <c r="I409" i="3"/>
  <c r="J409" i="3" s="1" a="1"/>
  <c r="J409" i="3" s="1"/>
  <c r="H410" i="3"/>
  <c r="I410" i="3"/>
  <c r="J410" i="3" s="1" a="1"/>
  <c r="J410" i="3" s="1"/>
  <c r="H411" i="3"/>
  <c r="I411" i="3"/>
  <c r="J411" i="3" s="1" a="1"/>
  <c r="J411" i="3" s="1"/>
  <c r="H412" i="3"/>
  <c r="I412" i="3"/>
  <c r="J412" i="3" s="1" a="1"/>
  <c r="J412" i="3" s="1"/>
  <c r="H413" i="3"/>
  <c r="I413" i="3"/>
  <c r="J413" i="3" s="1" a="1"/>
  <c r="J413" i="3" s="1"/>
  <c r="H414" i="3"/>
  <c r="I414" i="3"/>
  <c r="J414" i="3" s="1" a="1"/>
  <c r="J414" i="3" s="1"/>
  <c r="H415" i="3"/>
  <c r="I415" i="3"/>
  <c r="J415" i="3" s="1" a="1"/>
  <c r="J415" i="3" s="1"/>
  <c r="H416" i="3"/>
  <c r="I416" i="3"/>
  <c r="J416" i="3" s="1" a="1"/>
  <c r="J416" i="3" s="1"/>
  <c r="H417" i="3"/>
  <c r="I417" i="3"/>
  <c r="J417" i="3" s="1" a="1"/>
  <c r="J417" i="3" s="1"/>
  <c r="H418" i="3"/>
  <c r="I418" i="3"/>
  <c r="J418" i="3" s="1" a="1"/>
  <c r="J418" i="3" s="1"/>
  <c r="H419" i="3"/>
  <c r="I419" i="3"/>
  <c r="J419" i="3" s="1" a="1"/>
  <c r="J419" i="3" s="1"/>
  <c r="H420" i="3"/>
  <c r="I420" i="3"/>
  <c r="J420" i="3" s="1" a="1"/>
  <c r="J420" i="3" s="1"/>
  <c r="H421" i="3"/>
  <c r="I421" i="3"/>
  <c r="J421" i="3" s="1" a="1"/>
  <c r="J421" i="3" s="1"/>
  <c r="H422" i="3"/>
  <c r="I422" i="3"/>
  <c r="J422" i="3" s="1" a="1"/>
  <c r="J422" i="3" s="1"/>
  <c r="H423" i="3"/>
  <c r="I423" i="3"/>
  <c r="J423" i="3" s="1" a="1"/>
  <c r="J423" i="3" s="1"/>
  <c r="H424" i="3"/>
  <c r="I424" i="3"/>
  <c r="J424" i="3" s="1" a="1"/>
  <c r="J424" i="3" s="1"/>
  <c r="H425" i="3"/>
  <c r="I425" i="3"/>
  <c r="J425" i="3" s="1" a="1"/>
  <c r="J425" i="3" s="1"/>
  <c r="H426" i="3"/>
  <c r="I426" i="3"/>
  <c r="J426" i="3" s="1" a="1"/>
  <c r="J426" i="3" s="1"/>
  <c r="H427" i="3"/>
  <c r="I427" i="3"/>
  <c r="J427" i="3" s="1" a="1"/>
  <c r="J427" i="3" s="1"/>
  <c r="H428" i="3"/>
  <c r="I428" i="3"/>
  <c r="J428" i="3" s="1" a="1"/>
  <c r="J428" i="3" s="1"/>
  <c r="H429" i="3"/>
  <c r="I429" i="3"/>
  <c r="J429" i="3" s="1" a="1"/>
  <c r="J429" i="3" s="1"/>
  <c r="H430" i="3"/>
  <c r="I430" i="3"/>
  <c r="J430" i="3" s="1" a="1"/>
  <c r="J430" i="3" s="1"/>
  <c r="H431" i="3"/>
  <c r="I431" i="3"/>
  <c r="J431" i="3" s="1" a="1"/>
  <c r="J431" i="3" s="1"/>
  <c r="H432" i="3"/>
  <c r="I432" i="3"/>
  <c r="J432" i="3" s="1" a="1"/>
  <c r="J432" i="3" s="1"/>
  <c r="H433" i="3"/>
  <c r="I433" i="3"/>
  <c r="J433" i="3" s="1" a="1"/>
  <c r="J433" i="3" s="1"/>
  <c r="H434" i="3"/>
  <c r="I434" i="3"/>
  <c r="J434" i="3" s="1" a="1"/>
  <c r="J434" i="3" s="1"/>
  <c r="H435" i="3"/>
  <c r="I435" i="3"/>
  <c r="J435" i="3" s="1" a="1"/>
  <c r="J435" i="3" s="1"/>
  <c r="H436" i="3"/>
  <c r="I436" i="3"/>
  <c r="J436" i="3" s="1" a="1"/>
  <c r="J436" i="3" s="1"/>
  <c r="H437" i="3"/>
  <c r="I437" i="3"/>
  <c r="J437" i="3" s="1" a="1"/>
  <c r="J437" i="3" s="1"/>
  <c r="H438" i="3"/>
  <c r="I438" i="3"/>
  <c r="J438" i="3" s="1" a="1"/>
  <c r="J438" i="3" s="1"/>
  <c r="H439" i="3"/>
  <c r="I439" i="3"/>
  <c r="J439" i="3" s="1" a="1"/>
  <c r="J439" i="3" s="1"/>
  <c r="H440" i="3"/>
  <c r="I440" i="3"/>
  <c r="J440" i="3" s="1" a="1"/>
  <c r="J440" i="3" s="1"/>
  <c r="H441" i="3"/>
  <c r="I441" i="3"/>
  <c r="J441" i="3" s="1" a="1"/>
  <c r="J441" i="3" s="1"/>
  <c r="H442" i="3"/>
  <c r="I442" i="3"/>
  <c r="J442" i="3" s="1" a="1"/>
  <c r="J442" i="3" s="1"/>
  <c r="H443" i="3"/>
  <c r="I443" i="3"/>
  <c r="J443" i="3" s="1" a="1"/>
  <c r="J443" i="3" s="1"/>
  <c r="H444" i="3"/>
  <c r="I444" i="3"/>
  <c r="J444" i="3" s="1" a="1"/>
  <c r="J444" i="3" s="1"/>
  <c r="H445" i="3"/>
  <c r="I445" i="3"/>
  <c r="J445" i="3" s="1" a="1"/>
  <c r="J445" i="3" s="1"/>
  <c r="H446" i="3"/>
  <c r="I446" i="3"/>
  <c r="J446" i="3" s="1" a="1"/>
  <c r="J446" i="3" s="1"/>
  <c r="H447" i="3"/>
  <c r="I447" i="3"/>
  <c r="J447" i="3" s="1" a="1"/>
  <c r="J447" i="3" s="1"/>
  <c r="H448" i="3"/>
  <c r="I448" i="3"/>
  <c r="J448" i="3" s="1" a="1"/>
  <c r="J448" i="3" s="1"/>
  <c r="H449" i="3"/>
  <c r="I449" i="3"/>
  <c r="J449" i="3" s="1" a="1"/>
  <c r="J449" i="3" s="1"/>
  <c r="H450" i="3"/>
  <c r="I450" i="3"/>
  <c r="J450" i="3" s="1" a="1"/>
  <c r="J450" i="3" s="1"/>
  <c r="H451" i="3"/>
  <c r="I451" i="3"/>
  <c r="J451" i="3" s="1" a="1"/>
  <c r="J451" i="3" s="1"/>
  <c r="H452" i="3"/>
  <c r="I452" i="3"/>
  <c r="J452" i="3" s="1" a="1"/>
  <c r="J452" i="3" s="1"/>
  <c r="H453" i="3"/>
  <c r="I453" i="3"/>
  <c r="J453" i="3" s="1" a="1"/>
  <c r="J453" i="3" s="1"/>
  <c r="H454" i="3"/>
  <c r="I454" i="3"/>
  <c r="J454" i="3" s="1" a="1"/>
  <c r="J454" i="3" s="1"/>
  <c r="H455" i="3"/>
  <c r="I455" i="3"/>
  <c r="J455" i="3" s="1" a="1"/>
  <c r="J455" i="3" s="1"/>
  <c r="H456" i="3"/>
  <c r="I456" i="3"/>
  <c r="J456" i="3" a="1"/>
  <c r="J456" i="3" s="1"/>
  <c r="H457" i="3"/>
  <c r="I457" i="3"/>
  <c r="J457" i="3" s="1" a="1"/>
  <c r="J457" i="3" s="1"/>
  <c r="H458" i="3"/>
  <c r="I458" i="3"/>
  <c r="J458" i="3" s="1" a="1"/>
  <c r="J458" i="3" s="1"/>
  <c r="H459" i="3"/>
  <c r="I459" i="3"/>
  <c r="J459" i="3" s="1" a="1"/>
  <c r="J459" i="3" s="1"/>
  <c r="H460" i="3"/>
  <c r="I460" i="3"/>
  <c r="J460" i="3" s="1" a="1"/>
  <c r="J460" i="3" s="1"/>
  <c r="H461" i="3"/>
  <c r="I461" i="3"/>
  <c r="J461" i="3" s="1" a="1"/>
  <c r="J461" i="3" s="1"/>
  <c r="H462" i="3"/>
  <c r="I462" i="3"/>
  <c r="J462" i="3" s="1" a="1"/>
  <c r="J462" i="3" s="1"/>
  <c r="H463" i="3"/>
  <c r="I463" i="3"/>
  <c r="J463" i="3" s="1" a="1"/>
  <c r="J463" i="3" s="1"/>
  <c r="H464" i="3"/>
  <c r="I464" i="3"/>
  <c r="J464" i="3" s="1" a="1"/>
  <c r="J464" i="3" s="1"/>
  <c r="H465" i="3"/>
  <c r="I465" i="3"/>
  <c r="J465" i="3" s="1" a="1"/>
  <c r="J465" i="3" s="1"/>
  <c r="H466" i="3"/>
  <c r="I466" i="3"/>
  <c r="J466" i="3" s="1" a="1"/>
  <c r="J466" i="3" s="1"/>
  <c r="H467" i="3"/>
  <c r="I467" i="3"/>
  <c r="J467" i="3" s="1" a="1"/>
  <c r="J467" i="3" s="1"/>
  <c r="H468" i="3"/>
  <c r="I468" i="3"/>
  <c r="J468" i="3" s="1" a="1"/>
  <c r="J468" i="3" s="1"/>
  <c r="H469" i="3"/>
  <c r="I469" i="3"/>
  <c r="J469" i="3" s="1" a="1"/>
  <c r="J469" i="3" s="1"/>
  <c r="H470" i="3"/>
  <c r="I470" i="3"/>
  <c r="J470" i="3" s="1" a="1"/>
  <c r="J470" i="3" s="1"/>
  <c r="H471" i="3"/>
  <c r="I471" i="3"/>
  <c r="J471" i="3" s="1" a="1"/>
  <c r="J471" i="3" s="1"/>
  <c r="H472" i="3"/>
  <c r="I472" i="3"/>
  <c r="J472" i="3" s="1" a="1"/>
  <c r="J472" i="3" s="1"/>
  <c r="H473" i="3"/>
  <c r="I473" i="3"/>
  <c r="J473" i="3" s="1" a="1"/>
  <c r="J473" i="3" s="1"/>
  <c r="H474" i="3"/>
  <c r="I474" i="3"/>
  <c r="J474" i="3" s="1" a="1"/>
  <c r="J474" i="3" s="1"/>
  <c r="H475" i="3"/>
  <c r="I475" i="3"/>
  <c r="J475" i="3" s="1" a="1"/>
  <c r="J475" i="3" s="1"/>
  <c r="H476" i="3"/>
  <c r="I476" i="3"/>
  <c r="J476" i="3" s="1" a="1"/>
  <c r="J476" i="3" s="1"/>
  <c r="H477" i="3"/>
  <c r="I477" i="3"/>
  <c r="J477" i="3" s="1" a="1"/>
  <c r="J477" i="3" s="1"/>
  <c r="H478" i="3"/>
  <c r="I478" i="3"/>
  <c r="J478" i="3" s="1" a="1"/>
  <c r="J478" i="3" s="1"/>
  <c r="H479" i="3"/>
  <c r="I479" i="3"/>
  <c r="J479" i="3" s="1" a="1"/>
  <c r="J479" i="3" s="1"/>
  <c r="H480" i="3"/>
  <c r="I480" i="3"/>
  <c r="J480" i="3" s="1" a="1"/>
  <c r="J480" i="3" s="1"/>
  <c r="H481" i="3"/>
  <c r="I481" i="3"/>
  <c r="J481" i="3" s="1" a="1"/>
  <c r="J481" i="3" s="1"/>
  <c r="H482" i="3"/>
  <c r="I482" i="3"/>
  <c r="J482" i="3" s="1" a="1"/>
  <c r="J482" i="3" s="1"/>
  <c r="H483" i="3"/>
  <c r="I483" i="3"/>
  <c r="J483" i="3" s="1" a="1"/>
  <c r="J483" i="3" s="1"/>
  <c r="H484" i="3"/>
  <c r="I484" i="3"/>
  <c r="J484" i="3" s="1" a="1"/>
  <c r="J484" i="3" s="1"/>
  <c r="H485" i="3"/>
  <c r="I485" i="3"/>
  <c r="J485" i="3" s="1" a="1"/>
  <c r="J485" i="3" s="1"/>
  <c r="H486" i="3"/>
  <c r="I486" i="3"/>
  <c r="J486" i="3" s="1" a="1"/>
  <c r="J486" i="3" s="1"/>
  <c r="H487" i="3"/>
  <c r="I487" i="3"/>
  <c r="J487" i="3" s="1" a="1"/>
  <c r="J487" i="3" s="1"/>
  <c r="H488" i="3"/>
  <c r="I488" i="3"/>
  <c r="J488" i="3" s="1" a="1"/>
  <c r="J488" i="3" s="1"/>
  <c r="H489" i="3"/>
  <c r="I489" i="3"/>
  <c r="J489" i="3" s="1" a="1"/>
  <c r="J489" i="3" s="1"/>
  <c r="H490" i="3"/>
  <c r="I490" i="3"/>
  <c r="J490" i="3" s="1" a="1"/>
  <c r="J490" i="3" s="1"/>
  <c r="H491" i="3"/>
  <c r="I491" i="3"/>
  <c r="J491" i="3" s="1" a="1"/>
  <c r="J491" i="3" s="1"/>
  <c r="H492" i="3"/>
  <c r="I492" i="3"/>
  <c r="J492" i="3" s="1" a="1"/>
  <c r="J492" i="3" s="1"/>
  <c r="H493" i="3"/>
  <c r="I493" i="3"/>
  <c r="J493" i="3" s="1" a="1"/>
  <c r="J493" i="3" s="1"/>
  <c r="H494" i="3"/>
  <c r="I494" i="3"/>
  <c r="J494" i="3" s="1" a="1"/>
  <c r="J494" i="3" s="1"/>
  <c r="H495" i="3"/>
  <c r="I495" i="3"/>
  <c r="J495" i="3" s="1" a="1"/>
  <c r="J495" i="3" s="1"/>
  <c r="H496" i="3"/>
  <c r="I496" i="3"/>
  <c r="J496" i="3" s="1" a="1"/>
  <c r="J496" i="3" s="1"/>
  <c r="H497" i="3"/>
  <c r="I497" i="3"/>
  <c r="J497" i="3" s="1" a="1"/>
  <c r="J497" i="3" s="1"/>
  <c r="H498" i="3"/>
  <c r="I498" i="3"/>
  <c r="J498" i="3" s="1" a="1"/>
  <c r="J498" i="3" s="1"/>
  <c r="H499" i="3"/>
  <c r="I499" i="3"/>
  <c r="J499" i="3" s="1" a="1"/>
  <c r="J499" i="3" s="1"/>
  <c r="H500" i="3"/>
  <c r="I500" i="3"/>
  <c r="J500" i="3" s="1" a="1"/>
  <c r="J500" i="3" s="1"/>
  <c r="H501" i="3"/>
  <c r="I501" i="3"/>
  <c r="J501" i="3" s="1" a="1"/>
  <c r="J501" i="3" s="1"/>
  <c r="H502" i="3"/>
  <c r="I502" i="3"/>
  <c r="J502" i="3" s="1" a="1"/>
  <c r="J502" i="3" s="1"/>
  <c r="H503" i="3"/>
  <c r="I503" i="3"/>
  <c r="J503" i="3" s="1" a="1"/>
  <c r="J503" i="3" s="1"/>
  <c r="H504" i="3"/>
  <c r="I504" i="3"/>
  <c r="J504" i="3" s="1" a="1"/>
  <c r="J504" i="3" s="1"/>
  <c r="H505" i="3"/>
  <c r="I505" i="3"/>
  <c r="J505" i="3" s="1" a="1"/>
  <c r="J505" i="3" s="1"/>
  <c r="H506" i="3"/>
  <c r="I506" i="3"/>
  <c r="J506" i="3" s="1" a="1"/>
  <c r="J506" i="3" s="1"/>
  <c r="H507" i="3"/>
  <c r="I507" i="3"/>
  <c r="J507" i="3" s="1" a="1"/>
  <c r="J507" i="3" s="1"/>
  <c r="H508" i="3"/>
  <c r="I508" i="3"/>
  <c r="J508" i="3" s="1" a="1"/>
  <c r="J508" i="3" s="1"/>
  <c r="H509" i="3"/>
  <c r="I509" i="3"/>
  <c r="J509" i="3" s="1" a="1"/>
  <c r="J509" i="3" s="1"/>
  <c r="H510" i="3"/>
  <c r="I510" i="3"/>
  <c r="J510" i="3" s="1" a="1"/>
  <c r="J510" i="3" s="1"/>
  <c r="H511" i="3"/>
  <c r="I511" i="3"/>
  <c r="J511" i="3" s="1" a="1"/>
  <c r="J511" i="3" s="1"/>
  <c r="H512" i="3"/>
  <c r="I512" i="3"/>
  <c r="J512" i="3" s="1" a="1"/>
  <c r="J512" i="3" s="1"/>
  <c r="H513" i="3"/>
  <c r="I513" i="3"/>
  <c r="J513" i="3" s="1" a="1"/>
  <c r="J513" i="3" s="1"/>
  <c r="H514" i="3"/>
  <c r="I514" i="3"/>
  <c r="J514" i="3" s="1" a="1"/>
  <c r="J514" i="3" s="1"/>
  <c r="H515" i="3"/>
  <c r="I515" i="3"/>
  <c r="J515" i="3" s="1" a="1"/>
  <c r="J515" i="3" s="1"/>
  <c r="H516" i="3"/>
  <c r="I516" i="3"/>
  <c r="J516" i="3" s="1" a="1"/>
  <c r="J516" i="3" s="1"/>
  <c r="H517" i="3"/>
  <c r="I517" i="3"/>
  <c r="J517" i="3" s="1" a="1"/>
  <c r="J517" i="3" s="1"/>
  <c r="H518" i="3"/>
  <c r="I518" i="3"/>
  <c r="J518" i="3" s="1" a="1"/>
  <c r="J518" i="3" s="1"/>
  <c r="H519" i="3"/>
  <c r="I519" i="3"/>
  <c r="J519" i="3" s="1" a="1"/>
  <c r="J519" i="3" s="1"/>
  <c r="H520" i="3"/>
  <c r="I520" i="3"/>
  <c r="J520" i="3" s="1" a="1"/>
  <c r="J520" i="3" s="1"/>
  <c r="H521" i="3"/>
  <c r="I521" i="3"/>
  <c r="J521" i="3" s="1" a="1"/>
  <c r="J521" i="3" s="1"/>
  <c r="H522" i="3"/>
  <c r="I522" i="3"/>
  <c r="J522" i="3" s="1" a="1"/>
  <c r="J522" i="3" s="1"/>
  <c r="H523" i="3"/>
  <c r="I523" i="3"/>
  <c r="J523" i="3" s="1" a="1"/>
  <c r="J523" i="3" s="1"/>
  <c r="H524" i="3"/>
  <c r="I524" i="3"/>
  <c r="J524" i="3" s="1" a="1"/>
  <c r="J524" i="3" s="1"/>
  <c r="H525" i="3"/>
  <c r="I525" i="3"/>
  <c r="J525" i="3" s="1" a="1"/>
  <c r="J525" i="3" s="1"/>
  <c r="H526" i="3"/>
  <c r="I526" i="3"/>
  <c r="J526" i="3" s="1" a="1"/>
  <c r="J526" i="3" s="1"/>
  <c r="H527" i="3"/>
  <c r="I527" i="3"/>
  <c r="J527" i="3" s="1" a="1"/>
  <c r="J527" i="3" s="1"/>
  <c r="H528" i="3"/>
  <c r="I528" i="3"/>
  <c r="J528" i="3" s="1" a="1"/>
  <c r="J528" i="3" s="1"/>
  <c r="H529" i="3"/>
  <c r="I529" i="3"/>
  <c r="J529" i="3" s="1" a="1"/>
  <c r="J529" i="3" s="1"/>
  <c r="H530" i="3"/>
  <c r="I530" i="3"/>
  <c r="J530" i="3" s="1" a="1"/>
  <c r="J530" i="3" s="1"/>
  <c r="H531" i="3"/>
  <c r="I531" i="3"/>
  <c r="J531" i="3" s="1" a="1"/>
  <c r="J531" i="3" s="1"/>
  <c r="H532" i="3"/>
  <c r="I532" i="3"/>
  <c r="J532" i="3" s="1" a="1"/>
  <c r="J532" i="3" s="1"/>
  <c r="H533" i="3"/>
  <c r="I533" i="3"/>
  <c r="J533" i="3" s="1" a="1"/>
  <c r="J533" i="3" s="1"/>
  <c r="H534" i="3"/>
  <c r="I534" i="3"/>
  <c r="J534" i="3" s="1" a="1"/>
  <c r="J534" i="3" s="1"/>
  <c r="H535" i="3"/>
  <c r="I535" i="3"/>
  <c r="J535" i="3" s="1" a="1"/>
  <c r="J535" i="3" s="1"/>
  <c r="H536" i="3"/>
  <c r="I536" i="3"/>
  <c r="J536" i="3" s="1" a="1"/>
  <c r="J536" i="3" s="1"/>
  <c r="H537" i="3"/>
  <c r="I537" i="3"/>
  <c r="J537" i="3" s="1" a="1"/>
  <c r="J537" i="3" s="1"/>
  <c r="H538" i="3"/>
  <c r="I538" i="3"/>
  <c r="J538" i="3" s="1" a="1"/>
  <c r="J538" i="3" s="1"/>
  <c r="H539" i="3"/>
  <c r="I539" i="3"/>
  <c r="J539" i="3" s="1" a="1"/>
  <c r="J539" i="3" s="1"/>
  <c r="H540" i="3"/>
  <c r="I540" i="3"/>
  <c r="J540" i="3" s="1" a="1"/>
  <c r="J540" i="3" s="1"/>
  <c r="H541" i="3"/>
  <c r="I541" i="3"/>
  <c r="J541" i="3" s="1" a="1"/>
  <c r="J541" i="3" s="1"/>
  <c r="H542" i="3"/>
  <c r="I542" i="3"/>
  <c r="J542" i="3" s="1" a="1"/>
  <c r="J542" i="3" s="1"/>
  <c r="H543" i="3"/>
  <c r="I543" i="3"/>
  <c r="J543" i="3" s="1" a="1"/>
  <c r="J543" i="3" s="1"/>
  <c r="H544" i="3"/>
  <c r="I544" i="3"/>
  <c r="J544" i="3" s="1" a="1"/>
  <c r="J544" i="3" s="1"/>
  <c r="H545" i="3"/>
  <c r="I545" i="3"/>
  <c r="J545" i="3" s="1" a="1"/>
  <c r="J545" i="3" s="1"/>
  <c r="H546" i="3"/>
  <c r="I546" i="3"/>
  <c r="J546" i="3" s="1" a="1"/>
  <c r="J546" i="3" s="1"/>
  <c r="H547" i="3"/>
  <c r="I547" i="3"/>
  <c r="J547" i="3" s="1" a="1"/>
  <c r="J547" i="3" s="1"/>
  <c r="H548" i="3"/>
  <c r="I548" i="3"/>
  <c r="J548" i="3" s="1" a="1"/>
  <c r="J548" i="3" s="1"/>
  <c r="H549" i="3"/>
  <c r="I549" i="3"/>
  <c r="J549" i="3" s="1" a="1"/>
  <c r="J549" i="3" s="1"/>
  <c r="H550" i="3"/>
  <c r="I550" i="3"/>
  <c r="J550" i="3" s="1" a="1"/>
  <c r="J550" i="3" s="1"/>
  <c r="H551" i="3"/>
  <c r="I551" i="3"/>
  <c r="J551" i="3" s="1" a="1"/>
  <c r="J551" i="3" s="1"/>
  <c r="H552" i="3"/>
  <c r="I552" i="3"/>
  <c r="J552" i="3" s="1" a="1"/>
  <c r="J552" i="3" s="1"/>
  <c r="H553" i="3"/>
  <c r="I553" i="3"/>
  <c r="J553" i="3" s="1" a="1"/>
  <c r="J553" i="3" s="1"/>
  <c r="H554" i="3"/>
  <c r="I554" i="3"/>
  <c r="J554" i="3" s="1" a="1"/>
  <c r="J554" i="3" s="1"/>
  <c r="H555" i="3"/>
  <c r="I555" i="3"/>
  <c r="J555" i="3" s="1" a="1"/>
  <c r="J555" i="3" s="1"/>
  <c r="H556" i="3"/>
  <c r="I556" i="3"/>
  <c r="J556" i="3" s="1" a="1"/>
  <c r="J556" i="3" s="1"/>
  <c r="H557" i="3"/>
  <c r="I557" i="3"/>
  <c r="J557" i="3" s="1" a="1"/>
  <c r="J557" i="3" s="1"/>
  <c r="H558" i="3"/>
  <c r="I558" i="3"/>
  <c r="J558" i="3" s="1" a="1"/>
  <c r="J558" i="3" s="1"/>
  <c r="H559" i="3"/>
  <c r="I559" i="3"/>
  <c r="J559" i="3" s="1" a="1"/>
  <c r="J559" i="3" s="1"/>
  <c r="H560" i="3"/>
  <c r="I560" i="3"/>
  <c r="J560" i="3" s="1" a="1"/>
  <c r="J560" i="3" s="1"/>
  <c r="H561" i="3"/>
  <c r="I561" i="3"/>
  <c r="J561" i="3" s="1" a="1"/>
  <c r="J561" i="3" s="1"/>
  <c r="H562" i="3"/>
  <c r="I562" i="3"/>
  <c r="J562" i="3" s="1" a="1"/>
  <c r="J562" i="3" s="1"/>
  <c r="H563" i="3"/>
  <c r="I563" i="3"/>
  <c r="J563" i="3" s="1" a="1"/>
  <c r="J563" i="3" s="1"/>
  <c r="H564" i="3"/>
  <c r="I564" i="3"/>
  <c r="J564" i="3" s="1" a="1"/>
  <c r="J564" i="3" s="1"/>
  <c r="H565" i="3"/>
  <c r="I565" i="3"/>
  <c r="J565" i="3" s="1" a="1"/>
  <c r="J565" i="3" s="1"/>
  <c r="H566" i="3"/>
  <c r="I566" i="3"/>
  <c r="J566" i="3" s="1" a="1"/>
  <c r="J566" i="3" s="1"/>
  <c r="H567" i="3"/>
  <c r="I567" i="3"/>
  <c r="J567" i="3" s="1" a="1"/>
  <c r="J567" i="3" s="1"/>
  <c r="H568" i="3"/>
  <c r="I568" i="3"/>
  <c r="J568" i="3" s="1" a="1"/>
  <c r="J568" i="3" s="1"/>
  <c r="H569" i="3"/>
  <c r="I569" i="3"/>
  <c r="J569" i="3" s="1" a="1"/>
  <c r="J569" i="3" s="1"/>
  <c r="H570" i="3"/>
  <c r="I570" i="3"/>
  <c r="J570" i="3" s="1" a="1"/>
  <c r="J570" i="3" s="1"/>
  <c r="H571" i="3"/>
  <c r="I571" i="3"/>
  <c r="J571" i="3" s="1" a="1"/>
  <c r="J571" i="3" s="1"/>
  <c r="H572" i="3"/>
  <c r="I572" i="3"/>
  <c r="J572" i="3" s="1" a="1"/>
  <c r="J572" i="3" s="1"/>
  <c r="H573" i="3"/>
  <c r="I573" i="3"/>
  <c r="J573" i="3" s="1" a="1"/>
  <c r="J573" i="3" s="1"/>
  <c r="H574" i="3"/>
  <c r="I574" i="3"/>
  <c r="J574" i="3" s="1" a="1"/>
  <c r="J574" i="3" s="1"/>
  <c r="H575" i="3"/>
  <c r="I575" i="3"/>
  <c r="J575" i="3" s="1" a="1"/>
  <c r="J575" i="3" s="1"/>
  <c r="H576" i="3"/>
  <c r="I576" i="3"/>
  <c r="J576" i="3" s="1" a="1"/>
  <c r="J576" i="3" s="1"/>
  <c r="H577" i="3"/>
  <c r="I577" i="3"/>
  <c r="J577" i="3" s="1" a="1"/>
  <c r="J577" i="3" s="1"/>
  <c r="H578" i="3"/>
  <c r="I578" i="3"/>
  <c r="J578" i="3" s="1" a="1"/>
  <c r="J578" i="3" s="1"/>
  <c r="H579" i="3"/>
  <c r="I579" i="3"/>
  <c r="J579" i="3" s="1" a="1"/>
  <c r="J579" i="3" s="1"/>
  <c r="H580" i="3"/>
  <c r="I580" i="3"/>
  <c r="J580" i="3" s="1" a="1"/>
  <c r="J580" i="3" s="1"/>
  <c r="H581" i="3"/>
  <c r="I581" i="3"/>
  <c r="J581" i="3" s="1" a="1"/>
  <c r="J581" i="3" s="1"/>
  <c r="H582" i="3"/>
  <c r="I582" i="3"/>
  <c r="J582" i="3" s="1" a="1"/>
  <c r="J582" i="3" s="1"/>
  <c r="H583" i="3"/>
  <c r="I583" i="3"/>
  <c r="J583" i="3" s="1" a="1"/>
  <c r="J583" i="3" s="1"/>
  <c r="H584" i="3"/>
  <c r="I584" i="3"/>
  <c r="J584" i="3" s="1" a="1"/>
  <c r="J584" i="3" s="1"/>
  <c r="H585" i="3"/>
  <c r="I585" i="3"/>
  <c r="J585" i="3" s="1" a="1"/>
  <c r="J585" i="3" s="1"/>
  <c r="H586" i="3"/>
  <c r="I586" i="3"/>
  <c r="J586" i="3" s="1" a="1"/>
  <c r="J586" i="3" s="1"/>
  <c r="H587" i="3"/>
  <c r="I587" i="3"/>
  <c r="J587" i="3" s="1" a="1"/>
  <c r="J587" i="3" s="1"/>
  <c r="H588" i="3"/>
  <c r="I588" i="3"/>
  <c r="J588" i="3" s="1" a="1"/>
  <c r="J588" i="3" s="1"/>
  <c r="H589" i="3"/>
  <c r="I589" i="3"/>
  <c r="J589" i="3" s="1" a="1"/>
  <c r="J589" i="3" s="1"/>
  <c r="H590" i="3"/>
  <c r="I590" i="3"/>
  <c r="J590" i="3" s="1" a="1"/>
  <c r="J590" i="3" s="1"/>
  <c r="H591" i="3"/>
  <c r="I591" i="3"/>
  <c r="J591" i="3" s="1" a="1"/>
  <c r="J591" i="3" s="1"/>
  <c r="H592" i="3"/>
  <c r="I592" i="3"/>
  <c r="J592" i="3" s="1" a="1"/>
  <c r="J592" i="3" s="1"/>
  <c r="H593" i="3"/>
  <c r="I593" i="3"/>
  <c r="J593" i="3" s="1" a="1"/>
  <c r="J593" i="3" s="1"/>
  <c r="H594" i="3"/>
  <c r="I594" i="3"/>
  <c r="J594" i="3" s="1" a="1"/>
  <c r="J594" i="3" s="1"/>
  <c r="H595" i="3"/>
  <c r="I595" i="3"/>
  <c r="J595" i="3" s="1" a="1"/>
  <c r="J595" i="3" s="1"/>
  <c r="H596" i="3"/>
  <c r="I596" i="3"/>
  <c r="J596" i="3" s="1" a="1"/>
  <c r="J596" i="3" s="1"/>
  <c r="H597" i="3"/>
  <c r="I597" i="3"/>
  <c r="J597" i="3" s="1" a="1"/>
  <c r="J597" i="3" s="1"/>
  <c r="H598" i="3"/>
  <c r="I598" i="3"/>
  <c r="J598" i="3" s="1" a="1"/>
  <c r="J598" i="3" s="1"/>
  <c r="H599" i="3"/>
  <c r="I599" i="3"/>
  <c r="J599" i="3" s="1" a="1"/>
  <c r="J599" i="3" s="1"/>
  <c r="H600" i="3"/>
  <c r="I600" i="3"/>
  <c r="J600" i="3" s="1" a="1"/>
  <c r="J600" i="3" s="1"/>
  <c r="H601" i="3"/>
  <c r="I601" i="3"/>
  <c r="J601" i="3" s="1" a="1"/>
  <c r="J601" i="3" s="1"/>
  <c r="H602" i="3"/>
  <c r="I602" i="3"/>
  <c r="J602" i="3" s="1" a="1"/>
  <c r="J602" i="3" s="1"/>
  <c r="H603" i="3"/>
  <c r="I603" i="3"/>
  <c r="J603" i="3" s="1" a="1"/>
  <c r="J603" i="3" s="1"/>
  <c r="H604" i="3"/>
  <c r="I604" i="3"/>
  <c r="J604" i="3" s="1" a="1"/>
  <c r="J604" i="3" s="1"/>
  <c r="H605" i="3"/>
  <c r="I605" i="3"/>
  <c r="J605" i="3" s="1" a="1"/>
  <c r="J605" i="3" s="1"/>
  <c r="H606" i="3"/>
  <c r="I606" i="3"/>
  <c r="J606" i="3" s="1" a="1"/>
  <c r="J606" i="3" s="1"/>
  <c r="H607" i="3"/>
  <c r="I607" i="3"/>
  <c r="J607" i="3" s="1" a="1"/>
  <c r="J607" i="3" s="1"/>
  <c r="H608" i="3"/>
  <c r="I608" i="3"/>
  <c r="J608" i="3" s="1" a="1"/>
  <c r="J608" i="3" s="1"/>
  <c r="H609" i="3"/>
  <c r="I609" i="3"/>
  <c r="J609" i="3" s="1" a="1"/>
  <c r="J609" i="3" s="1"/>
  <c r="H610" i="3"/>
  <c r="I610" i="3"/>
  <c r="J610" i="3" s="1" a="1"/>
  <c r="J610" i="3" s="1"/>
  <c r="H611" i="3"/>
  <c r="I611" i="3"/>
  <c r="J611" i="3" s="1" a="1"/>
  <c r="J611" i="3" s="1"/>
  <c r="H612" i="3"/>
  <c r="I612" i="3"/>
  <c r="J612" i="3" s="1" a="1"/>
  <c r="J612" i="3" s="1"/>
  <c r="H613" i="3"/>
  <c r="I613" i="3"/>
  <c r="J613" i="3" s="1" a="1"/>
  <c r="J613" i="3" s="1"/>
  <c r="H614" i="3"/>
  <c r="I614" i="3"/>
  <c r="J614" i="3" s="1" a="1"/>
  <c r="J614" i="3" s="1"/>
  <c r="H615" i="3"/>
  <c r="I615" i="3"/>
  <c r="J615" i="3" s="1" a="1"/>
  <c r="J615" i="3" s="1"/>
  <c r="H616" i="3"/>
  <c r="I616" i="3"/>
  <c r="J616" i="3" s="1" a="1"/>
  <c r="J616" i="3" s="1"/>
  <c r="H617" i="3"/>
  <c r="I617" i="3"/>
  <c r="J617" i="3" s="1" a="1"/>
  <c r="J617" i="3" s="1"/>
  <c r="H618" i="3"/>
  <c r="I618" i="3"/>
  <c r="J618" i="3" s="1" a="1"/>
  <c r="J618" i="3" s="1"/>
  <c r="H619" i="3"/>
  <c r="I619" i="3"/>
  <c r="J619" i="3" s="1" a="1"/>
  <c r="J619" i="3" s="1"/>
  <c r="H620" i="3"/>
  <c r="I620" i="3"/>
  <c r="J620" i="3" s="1" a="1"/>
  <c r="J620" i="3" s="1"/>
  <c r="H621" i="3"/>
  <c r="I621" i="3"/>
  <c r="J621" i="3" s="1" a="1"/>
  <c r="J621" i="3" s="1"/>
  <c r="H622" i="3"/>
  <c r="I622" i="3"/>
  <c r="J622" i="3" s="1" a="1"/>
  <c r="J622" i="3" s="1"/>
  <c r="H623" i="3"/>
  <c r="I623" i="3"/>
  <c r="J623" i="3" s="1" a="1"/>
  <c r="J623" i="3" s="1"/>
  <c r="H624" i="3"/>
  <c r="I624" i="3"/>
  <c r="J624" i="3" s="1" a="1"/>
  <c r="J624" i="3" s="1"/>
  <c r="H625" i="3"/>
  <c r="I625" i="3"/>
  <c r="J625" i="3" s="1" a="1"/>
  <c r="J625" i="3" s="1"/>
  <c r="H626" i="3"/>
  <c r="I626" i="3"/>
  <c r="J626" i="3" s="1" a="1"/>
  <c r="J626" i="3" s="1"/>
  <c r="H627" i="3"/>
  <c r="I627" i="3"/>
  <c r="J627" i="3" s="1" a="1"/>
  <c r="J627" i="3" s="1"/>
  <c r="H628" i="3"/>
  <c r="I628" i="3"/>
  <c r="J628" i="3" s="1" a="1"/>
  <c r="J628" i="3" s="1"/>
  <c r="H629" i="3"/>
  <c r="I629" i="3"/>
  <c r="J629" i="3" s="1" a="1"/>
  <c r="J629" i="3" s="1"/>
  <c r="H630" i="3"/>
  <c r="I630" i="3"/>
  <c r="J630" i="3" s="1" a="1"/>
  <c r="J630" i="3" s="1"/>
  <c r="H631" i="3"/>
  <c r="I631" i="3"/>
  <c r="J631" i="3" s="1" a="1"/>
  <c r="J631" i="3" s="1"/>
  <c r="H632" i="3"/>
  <c r="I632" i="3"/>
  <c r="J632" i="3" s="1" a="1"/>
  <c r="J632" i="3" s="1"/>
  <c r="H633" i="3"/>
  <c r="I633" i="3"/>
  <c r="J633" i="3" s="1" a="1"/>
  <c r="J633" i="3" s="1"/>
  <c r="H634" i="3"/>
  <c r="I634" i="3"/>
  <c r="J634" i="3" s="1" a="1"/>
  <c r="J634" i="3" s="1"/>
  <c r="H635" i="3"/>
  <c r="I635" i="3"/>
  <c r="J635" i="3" s="1" a="1"/>
  <c r="J635" i="3" s="1"/>
  <c r="H636" i="3"/>
  <c r="I636" i="3"/>
  <c r="J636" i="3" s="1" a="1"/>
  <c r="J636" i="3" s="1"/>
  <c r="H637" i="3"/>
  <c r="I637" i="3"/>
  <c r="J637" i="3" s="1" a="1"/>
  <c r="J637" i="3" s="1"/>
  <c r="H638" i="3"/>
  <c r="I638" i="3"/>
  <c r="J638" i="3" s="1" a="1"/>
  <c r="J638" i="3" s="1"/>
  <c r="H639" i="3"/>
  <c r="I639" i="3"/>
  <c r="J639" i="3" s="1" a="1"/>
  <c r="J639" i="3" s="1"/>
  <c r="H640" i="3"/>
  <c r="I640" i="3"/>
  <c r="J640" i="3" s="1" a="1"/>
  <c r="J640" i="3" s="1"/>
  <c r="H641" i="3"/>
  <c r="I641" i="3"/>
  <c r="J641" i="3" s="1" a="1"/>
  <c r="J641" i="3" s="1"/>
  <c r="H642" i="3"/>
  <c r="I642" i="3"/>
  <c r="J642" i="3" s="1" a="1"/>
  <c r="J642" i="3" s="1"/>
  <c r="H643" i="3"/>
  <c r="I643" i="3"/>
  <c r="J643" i="3" s="1" a="1"/>
  <c r="J643" i="3" s="1"/>
  <c r="H644" i="3"/>
  <c r="I644" i="3"/>
  <c r="J644" i="3" s="1" a="1"/>
  <c r="J644" i="3" s="1"/>
  <c r="H645" i="3"/>
  <c r="I645" i="3"/>
  <c r="J645" i="3" s="1" a="1"/>
  <c r="J645" i="3" s="1"/>
  <c r="H646" i="3"/>
  <c r="I646" i="3"/>
  <c r="J646" i="3" s="1" a="1"/>
  <c r="J646" i="3" s="1"/>
  <c r="H647" i="3"/>
  <c r="I647" i="3"/>
  <c r="J647" i="3" s="1" a="1"/>
  <c r="J647" i="3" s="1"/>
  <c r="H648" i="3"/>
  <c r="I648" i="3"/>
  <c r="J648" i="3" s="1" a="1"/>
  <c r="J648" i="3" s="1"/>
  <c r="H649" i="3"/>
  <c r="I649" i="3"/>
  <c r="J649" i="3" s="1" a="1"/>
  <c r="J649" i="3" s="1"/>
  <c r="H650" i="3"/>
  <c r="I650" i="3"/>
  <c r="J650" i="3" s="1" a="1"/>
  <c r="J650" i="3" s="1"/>
  <c r="H651" i="3"/>
  <c r="I651" i="3"/>
  <c r="J651" i="3" s="1" a="1"/>
  <c r="J651" i="3" s="1"/>
  <c r="H652" i="3"/>
  <c r="I652" i="3"/>
  <c r="J652" i="3" s="1" a="1"/>
  <c r="J652" i="3" s="1"/>
  <c r="H653" i="3"/>
  <c r="I653" i="3"/>
  <c r="J653" i="3" s="1" a="1"/>
  <c r="J653" i="3" s="1"/>
  <c r="H654" i="3"/>
  <c r="I654" i="3"/>
  <c r="J654" i="3" s="1" a="1"/>
  <c r="J654" i="3" s="1"/>
  <c r="H655" i="3"/>
  <c r="I655" i="3"/>
  <c r="J655" i="3" s="1" a="1"/>
  <c r="J655" i="3" s="1"/>
  <c r="H656" i="3"/>
  <c r="I656" i="3"/>
  <c r="J656" i="3" s="1" a="1"/>
  <c r="J656" i="3" s="1"/>
  <c r="H657" i="3"/>
  <c r="I657" i="3"/>
  <c r="J657" i="3" s="1" a="1"/>
  <c r="J657" i="3" s="1"/>
  <c r="H658" i="3"/>
  <c r="I658" i="3"/>
  <c r="J658" i="3" s="1" a="1"/>
  <c r="J658" i="3" s="1"/>
  <c r="H659" i="3"/>
  <c r="I659" i="3"/>
  <c r="J659" i="3" s="1" a="1"/>
  <c r="J659" i="3" s="1"/>
  <c r="H660" i="3"/>
  <c r="I660" i="3"/>
  <c r="J660" i="3" s="1" a="1"/>
  <c r="J660" i="3" s="1"/>
  <c r="H661" i="3"/>
  <c r="I661" i="3"/>
  <c r="J661" i="3" s="1" a="1"/>
  <c r="J661" i="3" s="1"/>
  <c r="H662" i="3"/>
  <c r="I662" i="3"/>
  <c r="J662" i="3" s="1" a="1"/>
  <c r="J662" i="3" s="1"/>
  <c r="H663" i="3"/>
  <c r="I663" i="3"/>
  <c r="J663" i="3" s="1" a="1"/>
  <c r="J663" i="3" s="1"/>
  <c r="H664" i="3"/>
  <c r="I664" i="3"/>
  <c r="J664" i="3" s="1" a="1"/>
  <c r="J664" i="3" s="1"/>
  <c r="H665" i="3"/>
  <c r="I665" i="3"/>
  <c r="J665" i="3" s="1" a="1"/>
  <c r="J665" i="3" s="1"/>
  <c r="H666" i="3"/>
  <c r="I666" i="3"/>
  <c r="J666" i="3" s="1" a="1"/>
  <c r="J666" i="3" s="1"/>
  <c r="H667" i="3"/>
  <c r="I667" i="3"/>
  <c r="J667" i="3" s="1" a="1"/>
  <c r="J667" i="3" s="1"/>
  <c r="H668" i="3"/>
  <c r="I668" i="3"/>
  <c r="J668" i="3" s="1" a="1"/>
  <c r="J668" i="3" s="1"/>
  <c r="H669" i="3"/>
  <c r="I669" i="3"/>
  <c r="J669" i="3" s="1" a="1"/>
  <c r="J669" i="3" s="1"/>
  <c r="H670" i="3"/>
  <c r="I670" i="3"/>
  <c r="J670" i="3" s="1" a="1"/>
  <c r="J670" i="3" s="1"/>
  <c r="H671" i="3"/>
  <c r="I671" i="3"/>
  <c r="J671" i="3" s="1" a="1"/>
  <c r="J671" i="3" s="1"/>
  <c r="H672" i="3"/>
  <c r="I672" i="3"/>
  <c r="J672" i="3" s="1" a="1"/>
  <c r="J672" i="3" s="1"/>
  <c r="H673" i="3"/>
  <c r="I673" i="3"/>
  <c r="J673" i="3" s="1" a="1"/>
  <c r="J673" i="3" s="1"/>
  <c r="H674" i="3"/>
  <c r="I674" i="3"/>
  <c r="J674" i="3" s="1" a="1"/>
  <c r="J674" i="3" s="1"/>
  <c r="H675" i="3"/>
  <c r="I675" i="3"/>
  <c r="J675" i="3" s="1" a="1"/>
  <c r="J675" i="3" s="1"/>
  <c r="H676" i="3"/>
  <c r="I676" i="3"/>
  <c r="J676" i="3" s="1" a="1"/>
  <c r="J676" i="3" s="1"/>
  <c r="H677" i="3"/>
  <c r="I677" i="3"/>
  <c r="J677" i="3" s="1" a="1"/>
  <c r="J677" i="3" s="1"/>
  <c r="H678" i="3"/>
  <c r="I678" i="3"/>
  <c r="J678" i="3" s="1" a="1"/>
  <c r="J678" i="3" s="1"/>
  <c r="H679" i="3"/>
  <c r="I679" i="3"/>
  <c r="J679" i="3" s="1" a="1"/>
  <c r="J679" i="3" s="1"/>
  <c r="H680" i="3"/>
  <c r="I680" i="3"/>
  <c r="J680" i="3" s="1" a="1"/>
  <c r="J680" i="3" s="1"/>
  <c r="H681" i="3"/>
  <c r="I681" i="3"/>
  <c r="J681" i="3" s="1" a="1"/>
  <c r="J681" i="3" s="1"/>
  <c r="H682" i="3"/>
  <c r="I682" i="3"/>
  <c r="J682" i="3" s="1" a="1"/>
  <c r="J682" i="3" s="1"/>
  <c r="H683" i="3"/>
  <c r="I683" i="3"/>
  <c r="J683" i="3" s="1" a="1"/>
  <c r="J683" i="3" s="1"/>
  <c r="H684" i="3"/>
  <c r="I684" i="3"/>
  <c r="J684" i="3" s="1" a="1"/>
  <c r="J684" i="3" s="1"/>
  <c r="H685" i="3"/>
  <c r="I685" i="3"/>
  <c r="J685" i="3" s="1" a="1"/>
  <c r="J685" i="3" s="1"/>
  <c r="H686" i="3"/>
  <c r="I686" i="3"/>
  <c r="J686" i="3" s="1" a="1"/>
  <c r="J686" i="3" s="1"/>
  <c r="H687" i="3"/>
  <c r="I687" i="3"/>
  <c r="J687" i="3" s="1" a="1"/>
  <c r="J687" i="3" s="1"/>
  <c r="H688" i="3"/>
  <c r="I688" i="3"/>
  <c r="J688" i="3" s="1" a="1"/>
  <c r="J688" i="3" s="1"/>
  <c r="H689" i="3"/>
  <c r="I689" i="3"/>
  <c r="J689" i="3" s="1" a="1"/>
  <c r="J689" i="3" s="1"/>
  <c r="H690" i="3"/>
  <c r="I690" i="3"/>
  <c r="J690" i="3" s="1" a="1"/>
  <c r="J690" i="3" s="1"/>
  <c r="H691" i="3"/>
  <c r="I691" i="3"/>
  <c r="J691" i="3" s="1" a="1"/>
  <c r="J691" i="3" s="1"/>
  <c r="H692" i="3"/>
  <c r="I692" i="3"/>
  <c r="J692" i="3" s="1" a="1"/>
  <c r="J692" i="3" s="1"/>
  <c r="H693" i="3"/>
  <c r="I693" i="3"/>
  <c r="J693" i="3" s="1" a="1"/>
  <c r="J693" i="3" s="1"/>
  <c r="H694" i="3"/>
  <c r="I694" i="3"/>
  <c r="J694" i="3" s="1" a="1"/>
  <c r="J694" i="3" s="1"/>
  <c r="H695" i="3"/>
  <c r="I695" i="3"/>
  <c r="J695" i="3" s="1" a="1"/>
  <c r="J695" i="3" s="1"/>
  <c r="H696" i="3"/>
  <c r="I696" i="3"/>
  <c r="J696" i="3" s="1" a="1"/>
  <c r="J696" i="3" s="1"/>
  <c r="H697" i="3"/>
  <c r="I697" i="3"/>
  <c r="J697" i="3" s="1" a="1"/>
  <c r="J697" i="3" s="1"/>
  <c r="H698" i="3"/>
  <c r="I698" i="3"/>
  <c r="J698" i="3" s="1" a="1"/>
  <c r="J698" i="3" s="1"/>
  <c r="H699" i="3"/>
  <c r="I699" i="3"/>
  <c r="J699" i="3" s="1" a="1"/>
  <c r="J699" i="3" s="1"/>
  <c r="H700" i="3"/>
  <c r="I700" i="3"/>
  <c r="J700" i="3" s="1" a="1"/>
  <c r="J700" i="3" s="1"/>
  <c r="H701" i="3"/>
  <c r="I701" i="3"/>
  <c r="J701" i="3" s="1" a="1"/>
  <c r="J701" i="3" s="1"/>
  <c r="H702" i="3"/>
  <c r="I702" i="3"/>
  <c r="J702" i="3" s="1" a="1"/>
  <c r="J702" i="3" s="1"/>
  <c r="H703" i="3"/>
  <c r="I703" i="3"/>
  <c r="J703" i="3" s="1" a="1"/>
  <c r="J703" i="3" s="1"/>
  <c r="H704" i="3"/>
  <c r="I704" i="3"/>
  <c r="J704" i="3" s="1" a="1"/>
  <c r="J704" i="3" s="1"/>
  <c r="H705" i="3"/>
  <c r="I705" i="3"/>
  <c r="J705" i="3" s="1" a="1"/>
  <c r="J705" i="3" s="1"/>
  <c r="H706" i="3"/>
  <c r="I706" i="3"/>
  <c r="J706" i="3" s="1" a="1"/>
  <c r="J706" i="3" s="1"/>
  <c r="H707" i="3"/>
  <c r="I707" i="3"/>
  <c r="J707" i="3" s="1" a="1"/>
  <c r="J707" i="3" s="1"/>
  <c r="H708" i="3"/>
  <c r="I708" i="3"/>
  <c r="J708" i="3" s="1" a="1"/>
  <c r="J708" i="3" s="1"/>
  <c r="H709" i="3"/>
  <c r="I709" i="3"/>
  <c r="J709" i="3" s="1" a="1"/>
  <c r="J709" i="3" s="1"/>
  <c r="H710" i="3"/>
  <c r="I710" i="3"/>
  <c r="J710" i="3" s="1" a="1"/>
  <c r="J710" i="3" s="1"/>
  <c r="H711" i="3"/>
  <c r="I711" i="3"/>
  <c r="J711" i="3" s="1" a="1"/>
  <c r="J711" i="3" s="1"/>
  <c r="H712" i="3"/>
  <c r="I712" i="3"/>
  <c r="J712" i="3" s="1" a="1"/>
  <c r="J712" i="3" s="1"/>
  <c r="H713" i="3"/>
  <c r="I713" i="3"/>
  <c r="J713" i="3" s="1" a="1"/>
  <c r="J713" i="3" s="1"/>
  <c r="H714" i="3"/>
  <c r="I714" i="3"/>
  <c r="J714" i="3" s="1" a="1"/>
  <c r="J714" i="3" s="1"/>
  <c r="I3" i="15"/>
  <c r="J3" i="15" s="1" a="1"/>
  <c r="J3" i="15" s="1"/>
  <c r="I4" i="15"/>
  <c r="J4" i="15" s="1" a="1"/>
  <c r="J4" i="15" s="1"/>
  <c r="I5" i="15"/>
  <c r="J5" i="15" s="1" a="1"/>
  <c r="J5" i="15" s="1"/>
  <c r="I6" i="15"/>
  <c r="J6" i="15" s="1" a="1"/>
  <c r="J6" i="15" s="1"/>
  <c r="I7" i="15"/>
  <c r="J7" i="15" s="1" a="1"/>
  <c r="J7" i="15" s="1"/>
  <c r="I8" i="15"/>
  <c r="J8" i="15" s="1" a="1"/>
  <c r="J8" i="15" s="1"/>
  <c r="I9" i="15"/>
  <c r="J9" i="15" s="1" a="1"/>
  <c r="J9" i="15" s="1"/>
  <c r="I10" i="15"/>
  <c r="J10" i="15" s="1" a="1"/>
  <c r="J10" i="15" s="1"/>
  <c r="I11" i="15"/>
  <c r="J11" i="15" s="1" a="1"/>
  <c r="J11" i="15" s="1"/>
  <c r="I12" i="15"/>
  <c r="J12" i="15" s="1" a="1"/>
  <c r="J12" i="15" s="1"/>
  <c r="I13" i="15"/>
  <c r="J13" i="15" s="1" a="1"/>
  <c r="J13" i="15" s="1"/>
  <c r="I14" i="15"/>
  <c r="J14" i="15" s="1" a="1"/>
  <c r="J14" i="15" s="1"/>
  <c r="I15" i="15"/>
  <c r="J15" i="15" s="1" a="1"/>
  <c r="J15" i="15" s="1"/>
  <c r="I16" i="15"/>
  <c r="J16" i="15" s="1" a="1"/>
  <c r="J16" i="15" s="1"/>
  <c r="I17" i="15"/>
  <c r="J17" i="15" s="1" a="1"/>
  <c r="J17" i="15" s="1"/>
  <c r="I18" i="15"/>
  <c r="J18" i="15" a="1"/>
  <c r="J18" i="15" s="1"/>
  <c r="I19" i="15"/>
  <c r="J19" i="15" s="1" a="1"/>
  <c r="J19" i="15" s="1"/>
  <c r="I20" i="15"/>
  <c r="J20" i="15" s="1" a="1"/>
  <c r="J20" i="15" s="1"/>
  <c r="I21" i="15"/>
  <c r="J21" i="15" s="1" a="1"/>
  <c r="J21" i="15" s="1"/>
  <c r="I22" i="15"/>
  <c r="J22" i="15" s="1" a="1"/>
  <c r="J22" i="15" s="1"/>
  <c r="I23" i="15"/>
  <c r="J23" i="15" s="1" a="1"/>
  <c r="J23" i="15" s="1"/>
  <c r="I24" i="15"/>
  <c r="J24" i="15" s="1" a="1"/>
  <c r="J24" i="15" s="1"/>
  <c r="I25" i="15"/>
  <c r="J25" i="15" s="1" a="1"/>
  <c r="J25" i="15" s="1"/>
  <c r="I26" i="15"/>
  <c r="J26" i="15" a="1"/>
  <c r="J26" i="15" s="1"/>
  <c r="I27" i="15"/>
  <c r="J27" i="15" s="1" a="1"/>
  <c r="J27" i="15" s="1"/>
  <c r="I28" i="15"/>
  <c r="J28" i="15" s="1" a="1"/>
  <c r="J28" i="15" s="1"/>
  <c r="I29" i="15"/>
  <c r="J29" i="15" s="1" a="1"/>
  <c r="J29" i="15" s="1"/>
  <c r="I30" i="15"/>
  <c r="J30" i="15" s="1" a="1"/>
  <c r="J30" i="15" s="1"/>
  <c r="I31" i="15"/>
  <c r="J31" i="15" s="1" a="1"/>
  <c r="J31" i="15" s="1"/>
  <c r="I32" i="15"/>
  <c r="J32" i="15" s="1" a="1"/>
  <c r="J32" i="15" s="1"/>
  <c r="I33" i="15"/>
  <c r="J33" i="15" s="1" a="1"/>
  <c r="J33" i="15" s="1"/>
  <c r="I34" i="15"/>
  <c r="J34" i="15" a="1"/>
  <c r="J34" i="15" s="1"/>
  <c r="I35" i="15"/>
  <c r="J35" i="15" s="1" a="1"/>
  <c r="J35" i="15" s="1"/>
  <c r="I36" i="15"/>
  <c r="J36" i="15" s="1" a="1"/>
  <c r="J36" i="15" s="1"/>
  <c r="I37" i="15"/>
  <c r="J37" i="15" s="1" a="1"/>
  <c r="J37" i="15" s="1"/>
  <c r="I38" i="15"/>
  <c r="J38" i="15" s="1" a="1"/>
  <c r="J38" i="15" s="1"/>
  <c r="I39" i="15"/>
  <c r="J39" i="15" s="1" a="1"/>
  <c r="J39" i="15" s="1"/>
  <c r="I40" i="15"/>
  <c r="J40" i="15" s="1" a="1"/>
  <c r="J40" i="15" s="1"/>
  <c r="I41" i="15"/>
  <c r="J41" i="15" s="1" a="1"/>
  <c r="J41" i="15" s="1"/>
  <c r="I42" i="15"/>
  <c r="J42" i="15" s="1" a="1"/>
  <c r="J42" i="15" s="1"/>
  <c r="I43" i="15"/>
  <c r="J43" i="15" s="1" a="1"/>
  <c r="J43" i="15" s="1"/>
  <c r="I44" i="15"/>
  <c r="J44" i="15" s="1" a="1"/>
  <c r="J44" i="15" s="1"/>
  <c r="I45" i="15"/>
  <c r="J45" i="15" s="1" a="1"/>
  <c r="J45" i="15" s="1"/>
  <c r="I46" i="15"/>
  <c r="J46" i="15" s="1" a="1"/>
  <c r="J46" i="15" s="1"/>
  <c r="I47" i="15"/>
  <c r="J47" i="15" s="1" a="1"/>
  <c r="J47" i="15" s="1"/>
  <c r="I48" i="15"/>
  <c r="J48" i="15" s="1" a="1"/>
  <c r="J48" i="15" s="1"/>
  <c r="I49" i="15"/>
  <c r="J49" i="15" s="1" a="1"/>
  <c r="J49" i="15" s="1"/>
  <c r="I50" i="15"/>
  <c r="J50" i="15" a="1"/>
  <c r="J50" i="15" s="1"/>
  <c r="I51" i="15"/>
  <c r="J51" i="15" s="1" a="1"/>
  <c r="J51" i="15" s="1"/>
  <c r="I52" i="15"/>
  <c r="J52" i="15" s="1" a="1"/>
  <c r="J52" i="15" s="1"/>
  <c r="I53" i="15"/>
  <c r="J53" i="15" s="1" a="1"/>
  <c r="J53" i="15" s="1"/>
  <c r="I54" i="15"/>
  <c r="J54" i="15" s="1" a="1"/>
  <c r="J54" i="15" s="1"/>
  <c r="I55" i="15"/>
  <c r="J55" i="15" s="1" a="1"/>
  <c r="J55" i="15" s="1"/>
  <c r="I56" i="15"/>
  <c r="J56" i="15" s="1" a="1"/>
  <c r="J56" i="15" s="1"/>
  <c r="I57" i="15"/>
  <c r="J57" i="15" s="1" a="1"/>
  <c r="J57" i="15" s="1"/>
  <c r="I58" i="15"/>
  <c r="J58" i="15" a="1"/>
  <c r="J58" i="15" s="1"/>
  <c r="I59" i="15"/>
  <c r="J59" i="15" s="1" a="1"/>
  <c r="J59" i="15" s="1"/>
  <c r="I60" i="15"/>
  <c r="J60" i="15" s="1" a="1"/>
  <c r="J60" i="15" s="1"/>
  <c r="I61" i="15"/>
  <c r="J61" i="15" s="1" a="1"/>
  <c r="J61" i="15" s="1"/>
  <c r="I62" i="15"/>
  <c r="J62" i="15" a="1"/>
  <c r="J62" i="15" s="1"/>
  <c r="I63" i="15"/>
  <c r="J63" i="15" s="1" a="1"/>
  <c r="J63" i="15" s="1"/>
  <c r="I64" i="15"/>
  <c r="J64" i="15" s="1" a="1"/>
  <c r="J64" i="15" s="1"/>
  <c r="I65" i="15"/>
  <c r="J65" i="15" s="1" a="1"/>
  <c r="J65" i="15" s="1"/>
  <c r="I66" i="15"/>
  <c r="J66" i="15" s="1" a="1"/>
  <c r="J66" i="15" s="1"/>
  <c r="I67" i="15"/>
  <c r="J67" i="15" s="1" a="1"/>
  <c r="J67" i="15" s="1"/>
  <c r="I68" i="15"/>
  <c r="J68" i="15" s="1" a="1"/>
  <c r="J68" i="15" s="1"/>
  <c r="I69" i="15"/>
  <c r="J69" i="15" s="1" a="1"/>
  <c r="J69" i="15" s="1"/>
  <c r="I70" i="15"/>
  <c r="J70" i="15" s="1" a="1"/>
  <c r="J70" i="15" s="1"/>
  <c r="I71" i="15"/>
  <c r="J71" i="15" s="1" a="1"/>
  <c r="J71" i="15" s="1"/>
  <c r="I72" i="15"/>
  <c r="J72" i="15" s="1" a="1"/>
  <c r="J72" i="15" s="1"/>
  <c r="I73" i="15"/>
  <c r="J73" i="15" s="1" a="1"/>
  <c r="J73" i="15" s="1"/>
  <c r="I74" i="15"/>
  <c r="J74" i="15" s="1" a="1"/>
  <c r="J74" i="15" s="1"/>
  <c r="I75" i="15"/>
  <c r="J75" i="15" s="1" a="1"/>
  <c r="J75" i="15" s="1"/>
  <c r="I76" i="15"/>
  <c r="J76" i="15" s="1" a="1"/>
  <c r="J76" i="15" s="1"/>
  <c r="I77" i="15"/>
  <c r="J77" i="15" s="1" a="1"/>
  <c r="J77" i="15" s="1"/>
  <c r="I78" i="15"/>
  <c r="J78" i="15" s="1" a="1"/>
  <c r="J78" i="15" s="1"/>
  <c r="I79" i="15"/>
  <c r="J79" i="15" s="1" a="1"/>
  <c r="J79" i="15" s="1"/>
  <c r="I80" i="15"/>
  <c r="J80" i="15" s="1" a="1"/>
  <c r="J80" i="15" s="1"/>
  <c r="I81" i="15"/>
  <c r="J81" i="15" s="1" a="1"/>
  <c r="J81" i="15" s="1"/>
  <c r="I82" i="15"/>
  <c r="J82" i="15" s="1" a="1"/>
  <c r="J82" i="15" s="1"/>
  <c r="I83" i="15"/>
  <c r="J83" i="15" s="1" a="1"/>
  <c r="J83" i="15" s="1"/>
  <c r="I84" i="15"/>
  <c r="J84" i="15" s="1" a="1"/>
  <c r="J84" i="15" s="1"/>
  <c r="I85" i="15"/>
  <c r="J85" i="15" a="1"/>
  <c r="J85" i="15" s="1"/>
  <c r="I86" i="15"/>
  <c r="J86" i="15" s="1" a="1"/>
  <c r="J86" i="15" s="1"/>
  <c r="I87" i="15"/>
  <c r="J87" i="15" s="1" a="1"/>
  <c r="J87" i="15" s="1"/>
  <c r="I88" i="15"/>
  <c r="J88" i="15" s="1" a="1"/>
  <c r="J88" i="15" s="1"/>
  <c r="I89" i="15"/>
  <c r="J89" i="15" s="1" a="1"/>
  <c r="J89" i="15" s="1"/>
  <c r="I90" i="15"/>
  <c r="J90" i="15" s="1" a="1"/>
  <c r="J90" i="15" s="1"/>
  <c r="I91" i="15"/>
  <c r="J91" i="15" s="1" a="1"/>
  <c r="J91" i="15" s="1"/>
  <c r="I92" i="15"/>
  <c r="J92" i="15" s="1" a="1"/>
  <c r="J92" i="15" s="1"/>
  <c r="I93" i="15"/>
  <c r="J93" i="15" s="1" a="1"/>
  <c r="J93" i="15" s="1"/>
  <c r="I94" i="15"/>
  <c r="J94" i="15" s="1" a="1"/>
  <c r="J94" i="15" s="1"/>
  <c r="I95" i="15"/>
  <c r="J95" i="15" s="1" a="1"/>
  <c r="J95" i="15" s="1"/>
  <c r="I96" i="15"/>
  <c r="J96" i="15" s="1" a="1"/>
  <c r="J96" i="15" s="1"/>
  <c r="I97" i="15"/>
  <c r="J97" i="15" a="1"/>
  <c r="J97" i="15" s="1"/>
  <c r="I98" i="15"/>
  <c r="J98" i="15" s="1" a="1"/>
  <c r="J98" i="15" s="1"/>
  <c r="I99" i="15"/>
  <c r="J99" i="15" s="1" a="1"/>
  <c r="J99" i="15" s="1"/>
  <c r="I100" i="15"/>
  <c r="J100" i="15" s="1" a="1"/>
  <c r="J100" i="15" s="1"/>
  <c r="I101" i="15"/>
  <c r="J101" i="15" a="1"/>
  <c r="J101" i="15" s="1"/>
  <c r="I102" i="15"/>
  <c r="J102" i="15" s="1" a="1"/>
  <c r="J102" i="15" s="1"/>
  <c r="I103" i="15"/>
  <c r="J103" i="15" s="1" a="1"/>
  <c r="J103" i="15" s="1"/>
  <c r="I104" i="15"/>
  <c r="J104" i="15" a="1"/>
  <c r="J104" i="15" s="1"/>
  <c r="I105" i="15"/>
  <c r="J105" i="15" s="1" a="1"/>
  <c r="J105" i="15" s="1"/>
  <c r="I106" i="15"/>
  <c r="J106" i="15" s="1" a="1"/>
  <c r="J106" i="15" s="1"/>
  <c r="I107" i="15"/>
  <c r="J107" i="15" s="1" a="1"/>
  <c r="J107" i="15" s="1"/>
  <c r="I108" i="15"/>
  <c r="J108" i="15" s="1" a="1"/>
  <c r="J108" i="15" s="1"/>
  <c r="I109" i="15"/>
  <c r="J109" i="15" s="1" a="1"/>
  <c r="J109" i="15" s="1"/>
  <c r="I110" i="15"/>
  <c r="J110" i="15" s="1" a="1"/>
  <c r="J110" i="15" s="1"/>
  <c r="I111" i="15"/>
  <c r="J111" i="15" s="1" a="1"/>
  <c r="J111" i="15" s="1"/>
  <c r="I112" i="15"/>
  <c r="J112" i="15" s="1" a="1"/>
  <c r="J112" i="15" s="1"/>
  <c r="I113" i="15"/>
  <c r="J113" i="15" s="1" a="1"/>
  <c r="J113" i="15" s="1"/>
  <c r="I114" i="15"/>
  <c r="J114" i="15" s="1" a="1"/>
  <c r="J114" i="15" s="1"/>
  <c r="I115" i="15"/>
  <c r="J115" i="15" s="1" a="1"/>
  <c r="J115" i="15" s="1"/>
  <c r="I116" i="15"/>
  <c r="J116" i="15" s="1" a="1"/>
  <c r="J116" i="15" s="1"/>
  <c r="I117" i="15"/>
  <c r="J117" i="15" a="1"/>
  <c r="J117" i="15" s="1"/>
  <c r="I118" i="15"/>
  <c r="J118" i="15" s="1" a="1"/>
  <c r="J118" i="15" s="1"/>
  <c r="I119" i="15"/>
  <c r="J119" i="15" s="1" a="1"/>
  <c r="J119" i="15" s="1"/>
  <c r="I120" i="15"/>
  <c r="J120" i="15" a="1"/>
  <c r="J120" i="15" s="1"/>
  <c r="I121" i="15"/>
  <c r="J121" i="15" s="1" a="1"/>
  <c r="J121" i="15" s="1"/>
  <c r="I122" i="15"/>
  <c r="J122" i="15" s="1" a="1"/>
  <c r="J122" i="15" s="1"/>
  <c r="I123" i="15"/>
  <c r="J123" i="15" s="1" a="1"/>
  <c r="J123" i="15" s="1"/>
  <c r="I124" i="15"/>
  <c r="J124" i="15" s="1" a="1"/>
  <c r="J124" i="15" s="1"/>
  <c r="I125" i="15"/>
  <c r="J125" i="15" s="1" a="1"/>
  <c r="J125" i="15" s="1"/>
  <c r="I126" i="15"/>
  <c r="J126" i="15" s="1" a="1"/>
  <c r="J126" i="15" s="1"/>
  <c r="I127" i="15"/>
  <c r="J127" i="15" s="1" a="1"/>
  <c r="J127" i="15" s="1"/>
  <c r="I128" i="15"/>
  <c r="J128" i="15" s="1" a="1"/>
  <c r="J128" i="15" s="1"/>
  <c r="I129" i="15"/>
  <c r="J129" i="15" s="1" a="1"/>
  <c r="J129" i="15" s="1"/>
  <c r="I130" i="15"/>
  <c r="J130" i="15" s="1" a="1"/>
  <c r="J130" i="15" s="1"/>
  <c r="I131" i="15"/>
  <c r="J131" i="15" s="1" a="1"/>
  <c r="J131" i="15" s="1"/>
  <c r="I132" i="15"/>
  <c r="J132" i="15" a="1"/>
  <c r="J132" i="15" s="1"/>
  <c r="I133" i="15"/>
  <c r="J133" i="15" s="1" a="1"/>
  <c r="J133" i="15" s="1"/>
  <c r="I134" i="15"/>
  <c r="J134" i="15" s="1" a="1"/>
  <c r="J134" i="15" s="1"/>
  <c r="I135" i="15"/>
  <c r="J135" i="15" s="1" a="1"/>
  <c r="J135" i="15" s="1"/>
  <c r="I136" i="15"/>
  <c r="J136" i="15" a="1"/>
  <c r="J136" i="15" s="1"/>
  <c r="I137" i="15"/>
  <c r="J137" i="15" s="1" a="1"/>
  <c r="J137" i="15" s="1"/>
  <c r="I138" i="15"/>
  <c r="J138" i="15" s="1" a="1"/>
  <c r="J138" i="15" s="1"/>
  <c r="I139" i="15"/>
  <c r="J139" i="15" s="1" a="1"/>
  <c r="J139" i="15" s="1"/>
  <c r="I140" i="15"/>
  <c r="J140" i="15" s="1" a="1"/>
  <c r="J140" i="15" s="1"/>
  <c r="I141" i="15"/>
  <c r="J141" i="15" s="1" a="1"/>
  <c r="J141" i="15" s="1"/>
  <c r="I142" i="15"/>
  <c r="J142" i="15" s="1" a="1"/>
  <c r="J142" i="15" s="1"/>
  <c r="I143" i="15"/>
  <c r="J143" i="15" s="1" a="1"/>
  <c r="J143" i="15" s="1"/>
  <c r="I144" i="15"/>
  <c r="J144" i="15" s="1" a="1"/>
  <c r="J144" i="15" s="1"/>
  <c r="I145" i="15"/>
  <c r="J145" i="15" s="1" a="1"/>
  <c r="J145" i="15" s="1"/>
  <c r="I146" i="15"/>
  <c r="J146" i="15" s="1" a="1"/>
  <c r="J146" i="15" s="1"/>
  <c r="I147" i="15"/>
  <c r="J147" i="15" s="1" a="1"/>
  <c r="J147" i="15" s="1"/>
  <c r="I148" i="15"/>
  <c r="J148" i="15" s="1" a="1"/>
  <c r="J148" i="15" s="1"/>
  <c r="I149" i="15"/>
  <c r="J149" i="15" s="1" a="1"/>
  <c r="J149" i="15" s="1"/>
  <c r="I150" i="15"/>
  <c r="J150" i="15" s="1" a="1"/>
  <c r="J150" i="15" s="1"/>
  <c r="I151" i="15"/>
  <c r="J151" i="15" s="1" a="1"/>
  <c r="J151" i="15" s="1"/>
  <c r="I152" i="15"/>
  <c r="J152" i="15" a="1"/>
  <c r="J152" i="15" s="1"/>
  <c r="I153" i="15"/>
  <c r="J153" i="15" s="1" a="1"/>
  <c r="J153" i="15" s="1"/>
  <c r="I154" i="15"/>
  <c r="J154" i="15" s="1" a="1"/>
  <c r="J154" i="15" s="1"/>
  <c r="I155" i="15"/>
  <c r="J155" i="15" s="1" a="1"/>
  <c r="J155" i="15" s="1"/>
  <c r="I156" i="15"/>
  <c r="J156" i="15" s="1" a="1"/>
  <c r="J156" i="15" s="1"/>
  <c r="I157" i="15"/>
  <c r="J157" i="15" s="1" a="1"/>
  <c r="J157" i="15" s="1"/>
  <c r="I158" i="15"/>
  <c r="J158" i="15" s="1" a="1"/>
  <c r="J158" i="15" s="1"/>
  <c r="I159" i="15"/>
  <c r="J159" i="15" s="1" a="1"/>
  <c r="J159" i="15" s="1"/>
  <c r="I160" i="15"/>
  <c r="J160" i="15" s="1" a="1"/>
  <c r="J160" i="15" s="1"/>
  <c r="I161" i="15"/>
  <c r="J161" i="15" s="1" a="1"/>
  <c r="J161" i="15" s="1"/>
  <c r="I162" i="15"/>
  <c r="J162" i="15" s="1" a="1"/>
  <c r="J162" i="15" s="1"/>
  <c r="I163" i="15"/>
  <c r="J163" i="15" s="1" a="1"/>
  <c r="J163" i="15" s="1"/>
  <c r="I164" i="15"/>
  <c r="J164" i="15" a="1"/>
  <c r="J164" i="15" s="1"/>
  <c r="I165" i="15"/>
  <c r="J165" i="15" s="1" a="1"/>
  <c r="J165" i="15" s="1"/>
  <c r="I166" i="15"/>
  <c r="J166" i="15" s="1" a="1"/>
  <c r="J166" i="15" s="1"/>
  <c r="I167" i="15"/>
  <c r="J167" i="15" s="1" a="1"/>
  <c r="J167" i="15" s="1"/>
  <c r="I168" i="15"/>
  <c r="J168" i="15" a="1"/>
  <c r="J168" i="15" s="1"/>
  <c r="I169" i="15"/>
  <c r="J169" i="15" s="1" a="1"/>
  <c r="J169" i="15" s="1"/>
  <c r="I170" i="15"/>
  <c r="J170" i="15" s="1" a="1"/>
  <c r="J170" i="15" s="1"/>
  <c r="I171" i="15"/>
  <c r="J171" i="15" s="1" a="1"/>
  <c r="J171" i="15" s="1"/>
  <c r="I172" i="15"/>
  <c r="J172" i="15" s="1" a="1"/>
  <c r="J172" i="15" s="1"/>
  <c r="I173" i="15"/>
  <c r="J173" i="15" s="1" a="1"/>
  <c r="J173" i="15" s="1"/>
  <c r="I174" i="15"/>
  <c r="J174" i="15" s="1" a="1"/>
  <c r="J174" i="15" s="1"/>
  <c r="I175" i="15"/>
  <c r="J175" i="15" s="1" a="1"/>
  <c r="J175" i="15" s="1"/>
  <c r="I176" i="15"/>
  <c r="J176" i="15" s="1" a="1"/>
  <c r="J176" i="15" s="1"/>
  <c r="I177" i="15"/>
  <c r="J177" i="15" s="1" a="1"/>
  <c r="J177" i="15" s="1"/>
  <c r="I178" i="15"/>
  <c r="J178" i="15" s="1" a="1"/>
  <c r="J178" i="15" s="1"/>
  <c r="I179" i="15"/>
  <c r="J179" i="15" s="1" a="1"/>
  <c r="J179" i="15" s="1"/>
  <c r="I180" i="15"/>
  <c r="J180" i="15" s="1" a="1"/>
  <c r="J180" i="15" s="1"/>
  <c r="I181" i="15"/>
  <c r="J181" i="15" s="1" a="1"/>
  <c r="J181" i="15" s="1"/>
  <c r="I182" i="15"/>
  <c r="J182" i="15" s="1" a="1"/>
  <c r="J182" i="15" s="1"/>
  <c r="I183" i="15"/>
  <c r="J183" i="15" s="1" a="1"/>
  <c r="J183" i="15" s="1"/>
  <c r="I184" i="15"/>
  <c r="J184" i="15" a="1"/>
  <c r="J184" i="15" s="1"/>
  <c r="I185" i="15"/>
  <c r="J185" i="15" s="1" a="1"/>
  <c r="J185" i="15" s="1"/>
  <c r="I186" i="15"/>
  <c r="J186" i="15" s="1" a="1"/>
  <c r="J186" i="15" s="1"/>
  <c r="I187" i="15"/>
  <c r="J187" i="15" s="1" a="1"/>
  <c r="J187" i="15" s="1"/>
  <c r="I188" i="15"/>
  <c r="J188" i="15" s="1" a="1"/>
  <c r="J188" i="15" s="1"/>
  <c r="I189" i="15"/>
  <c r="J189" i="15" s="1" a="1"/>
  <c r="J189" i="15" s="1"/>
  <c r="I190" i="15"/>
  <c r="J190" i="15" s="1" a="1"/>
  <c r="J190" i="15" s="1"/>
  <c r="I191" i="15"/>
  <c r="J191" i="15" s="1" a="1"/>
  <c r="J191" i="15" s="1"/>
  <c r="I192" i="15"/>
  <c r="J192" i="15" s="1" a="1"/>
  <c r="J192" i="15" s="1"/>
  <c r="I193" i="15"/>
  <c r="J193" i="15" s="1" a="1"/>
  <c r="J193" i="15" s="1"/>
  <c r="I194" i="15"/>
  <c r="J194" i="15" s="1" a="1"/>
  <c r="J194" i="15" s="1"/>
  <c r="I195" i="15"/>
  <c r="J195" i="15" s="1" a="1"/>
  <c r="J195" i="15" s="1"/>
  <c r="I196" i="15"/>
  <c r="J196" i="15" a="1"/>
  <c r="J196" i="15" s="1"/>
  <c r="I197" i="15"/>
  <c r="J197" i="15" s="1" a="1"/>
  <c r="J197" i="15" s="1"/>
  <c r="I198" i="15"/>
  <c r="J198" i="15" s="1" a="1"/>
  <c r="J198" i="15" s="1"/>
  <c r="I199" i="15"/>
  <c r="J199" i="15" s="1" a="1"/>
  <c r="J199" i="15" s="1"/>
  <c r="I200" i="15"/>
  <c r="J200" i="15" s="1" a="1"/>
  <c r="J200" i="15" s="1"/>
  <c r="I201" i="15"/>
  <c r="J201" i="15" s="1" a="1"/>
  <c r="J201" i="15" s="1"/>
  <c r="I202" i="15"/>
  <c r="J202" i="15" s="1" a="1"/>
  <c r="J202" i="15" s="1"/>
  <c r="I203" i="15"/>
  <c r="J203" i="15" s="1" a="1"/>
  <c r="J203" i="15" s="1"/>
  <c r="I204" i="15"/>
  <c r="J204" i="15" s="1" a="1"/>
  <c r="J204" i="15" s="1"/>
  <c r="I205" i="15"/>
  <c r="J205" i="15" s="1" a="1"/>
  <c r="J205" i="15" s="1"/>
  <c r="I206" i="15"/>
  <c r="J206" i="15" s="1" a="1"/>
  <c r="J206" i="15" s="1"/>
  <c r="I207" i="15"/>
  <c r="J207" i="15" s="1" a="1"/>
  <c r="J207" i="15" s="1"/>
  <c r="I208" i="15"/>
  <c r="J208" i="15" s="1" a="1"/>
  <c r="J208" i="15" s="1"/>
  <c r="I209" i="15"/>
  <c r="J209" i="15" s="1" a="1"/>
  <c r="J209" i="15" s="1"/>
  <c r="I210" i="15"/>
  <c r="J210" i="15" a="1"/>
  <c r="J210" i="15" s="1"/>
  <c r="I211" i="15"/>
  <c r="J211" i="15" s="1" a="1"/>
  <c r="J211" i="15" s="1"/>
  <c r="I212" i="15"/>
  <c r="J212" i="15" s="1" a="1"/>
  <c r="J212" i="15" s="1"/>
  <c r="I213" i="15"/>
  <c r="J213" i="15" a="1"/>
  <c r="J213" i="15" s="1"/>
  <c r="I214" i="15"/>
  <c r="J214" i="15" s="1" a="1"/>
  <c r="J214" i="15" s="1"/>
  <c r="I215" i="15"/>
  <c r="J215" i="15" s="1" a="1"/>
  <c r="J215" i="15" s="1"/>
  <c r="I216" i="15"/>
  <c r="J216" i="15" s="1" a="1"/>
  <c r="J216" i="15" s="1"/>
  <c r="I217" i="15"/>
  <c r="J217" i="15" s="1" a="1"/>
  <c r="J217" i="15" s="1"/>
  <c r="I218" i="15"/>
  <c r="J218" i="15" s="1" a="1"/>
  <c r="J218" i="15" s="1"/>
  <c r="I219" i="15"/>
  <c r="J219" i="15" s="1" a="1"/>
  <c r="J219" i="15" s="1"/>
  <c r="I220" i="15"/>
  <c r="J220" i="15" s="1" a="1"/>
  <c r="J220" i="15" s="1"/>
  <c r="I221" i="15"/>
  <c r="J221" i="15" s="1" a="1"/>
  <c r="J221" i="15" s="1"/>
  <c r="I222" i="15"/>
  <c r="J222" i="15" a="1"/>
  <c r="J222" i="15" s="1"/>
  <c r="I223" i="15"/>
  <c r="J223" i="15" s="1" a="1"/>
  <c r="J223" i="15" s="1"/>
  <c r="I224" i="15"/>
  <c r="J224" i="15" s="1" a="1"/>
  <c r="J224" i="15" s="1"/>
  <c r="I225" i="15"/>
  <c r="J225" i="15" s="1" a="1"/>
  <c r="J225" i="15" s="1"/>
  <c r="I226" i="15"/>
  <c r="J226" i="15" s="1" a="1"/>
  <c r="J226" i="15" s="1"/>
  <c r="I227" i="15"/>
  <c r="J227" i="15" s="1" a="1"/>
  <c r="J227" i="15" s="1"/>
  <c r="I228" i="15"/>
  <c r="J228" i="15" s="1" a="1"/>
  <c r="J228" i="15" s="1"/>
  <c r="I229" i="15"/>
  <c r="J229" i="15" s="1" a="1"/>
  <c r="J229" i="15" s="1"/>
  <c r="I230" i="15"/>
  <c r="J230" i="15" s="1" a="1"/>
  <c r="J230" i="15" s="1"/>
  <c r="I231" i="15"/>
  <c r="J231" i="15" a="1"/>
  <c r="J231" i="15" s="1"/>
  <c r="I232" i="15"/>
  <c r="J232" i="15" s="1" a="1"/>
  <c r="J232" i="15" s="1"/>
  <c r="I233" i="15"/>
  <c r="J233" i="15" s="1" a="1"/>
  <c r="J233" i="15" s="1"/>
  <c r="I234" i="15"/>
  <c r="J234" i="15" s="1" a="1"/>
  <c r="J234" i="15" s="1"/>
  <c r="I235" i="15"/>
  <c r="J235" i="15" s="1" a="1"/>
  <c r="J235" i="15" s="1"/>
  <c r="I236" i="15"/>
  <c r="J236" i="15" s="1" a="1"/>
  <c r="J236" i="15" s="1"/>
  <c r="I237" i="15"/>
  <c r="J237" i="15" s="1" a="1"/>
  <c r="J237" i="15" s="1"/>
  <c r="I238" i="15"/>
  <c r="J238" i="15" s="1" a="1"/>
  <c r="J238" i="15" s="1"/>
  <c r="I239" i="15"/>
  <c r="J239" i="15" s="1" a="1"/>
  <c r="J239" i="15" s="1"/>
  <c r="I240" i="15"/>
  <c r="J240" i="15" s="1" a="1"/>
  <c r="J240" i="15" s="1"/>
  <c r="I241" i="15"/>
  <c r="J241" i="15" s="1" a="1"/>
  <c r="J241" i="15" s="1"/>
  <c r="I242" i="15"/>
  <c r="J242" i="15" s="1" a="1"/>
  <c r="J242" i="15" s="1"/>
  <c r="I243" i="15"/>
  <c r="J243" i="15" s="1" a="1"/>
  <c r="J243" i="15" s="1"/>
  <c r="I244" i="15"/>
  <c r="J244" i="15" s="1" a="1"/>
  <c r="J244" i="15" s="1"/>
  <c r="I245" i="15"/>
  <c r="J245" i="15" s="1" a="1"/>
  <c r="J245" i="15" s="1"/>
  <c r="I246" i="15"/>
  <c r="J246" i="15" s="1" a="1"/>
  <c r="J246" i="15" s="1"/>
  <c r="I247" i="15"/>
  <c r="J247" i="15" a="1"/>
  <c r="J247" i="15" s="1"/>
  <c r="I248" i="15"/>
  <c r="J248" i="15" s="1" a="1"/>
  <c r="J248" i="15" s="1"/>
  <c r="I249" i="15"/>
  <c r="J249" i="15" a="1"/>
  <c r="J249" i="15" s="1"/>
  <c r="I250" i="15"/>
  <c r="J250" i="15" s="1" a="1"/>
  <c r="J250" i="15" s="1"/>
  <c r="I251" i="15"/>
  <c r="J251" i="15" s="1" a="1"/>
  <c r="J251" i="15" s="1"/>
  <c r="I252" i="15"/>
  <c r="J252" i="15" s="1" a="1"/>
  <c r="J252" i="15" s="1"/>
  <c r="I253" i="15"/>
  <c r="J253" i="15" a="1"/>
  <c r="J253" i="15" s="1"/>
  <c r="I254" i="15"/>
  <c r="J254" i="15" s="1" a="1"/>
  <c r="J254" i="15" s="1"/>
  <c r="I255" i="15"/>
  <c r="J255" i="15" a="1"/>
  <c r="J255" i="15" s="1"/>
  <c r="I256" i="15"/>
  <c r="J256" i="15" s="1" a="1"/>
  <c r="J256" i="15" s="1"/>
  <c r="I257" i="15"/>
  <c r="J257" i="15" s="1" a="1"/>
  <c r="J257" i="15" s="1"/>
  <c r="I258" i="15"/>
  <c r="J258" i="15" s="1" a="1"/>
  <c r="J258" i="15" s="1"/>
  <c r="I259" i="15"/>
  <c r="J259" i="15" s="1" a="1"/>
  <c r="J259" i="15" s="1"/>
  <c r="I260" i="15"/>
  <c r="J260" i="15" s="1" a="1"/>
  <c r="J260" i="15" s="1"/>
  <c r="I261" i="15"/>
  <c r="J261" i="15" a="1"/>
  <c r="J261" i="15" s="1"/>
  <c r="I262" i="15"/>
  <c r="J262" i="15" s="1" a="1"/>
  <c r="J262" i="15" s="1"/>
  <c r="I263" i="15"/>
  <c r="J263" i="15" s="1" a="1"/>
  <c r="J263" i="15" s="1"/>
  <c r="I264" i="15"/>
  <c r="J264" i="15" s="1" a="1"/>
  <c r="J264" i="15" s="1"/>
  <c r="I265" i="15"/>
  <c r="J265" i="15" s="1" a="1"/>
  <c r="J265" i="15" s="1"/>
  <c r="I266" i="15"/>
  <c r="J266" i="15" s="1" a="1"/>
  <c r="J266" i="15" s="1"/>
  <c r="I267" i="15"/>
  <c r="J267" i="15" s="1" a="1"/>
  <c r="J267" i="15" s="1"/>
  <c r="I268" i="15"/>
  <c r="J268" i="15" s="1" a="1"/>
  <c r="J268" i="15" s="1"/>
  <c r="I269" i="15"/>
  <c r="J269" i="15" s="1" a="1"/>
  <c r="J269" i="15" s="1"/>
  <c r="I270" i="15"/>
  <c r="J270" i="15" s="1" a="1"/>
  <c r="J270" i="15" s="1"/>
  <c r="I271" i="15"/>
  <c r="J271" i="15" s="1" a="1"/>
  <c r="J271" i="15" s="1"/>
  <c r="I272" i="15"/>
  <c r="J272" i="15" s="1" a="1"/>
  <c r="J272" i="15" s="1"/>
  <c r="I273" i="15"/>
  <c r="J273" i="15" a="1"/>
  <c r="J273" i="15" s="1"/>
  <c r="I274" i="15"/>
  <c r="J274" i="15" s="1" a="1"/>
  <c r="J274" i="15" s="1"/>
  <c r="I275" i="15"/>
  <c r="J275" i="15" s="1" a="1"/>
  <c r="J275" i="15" s="1"/>
  <c r="I276" i="15"/>
  <c r="J276" i="15" s="1" a="1"/>
  <c r="J276" i="15" s="1"/>
  <c r="I277" i="15"/>
  <c r="J277" i="15" s="1" a="1"/>
  <c r="J277" i="15" s="1"/>
  <c r="I278" i="15"/>
  <c r="J278" i="15" s="1" a="1"/>
  <c r="J278" i="15" s="1"/>
  <c r="I279" i="15"/>
  <c r="J279" i="15" a="1"/>
  <c r="J279" i="15" s="1"/>
  <c r="I280" i="15"/>
  <c r="J280" i="15" s="1" a="1"/>
  <c r="J280" i="15" s="1"/>
  <c r="I281" i="15"/>
  <c r="J281" i="15" s="1" a="1"/>
  <c r="J281" i="15" s="1"/>
  <c r="I282" i="15"/>
  <c r="J282" i="15" s="1" a="1"/>
  <c r="J282" i="15" s="1"/>
  <c r="I283" i="15"/>
  <c r="J283" i="15" s="1" a="1"/>
  <c r="J283" i="15" s="1"/>
  <c r="I284" i="15"/>
  <c r="J284" i="15" s="1" a="1"/>
  <c r="J284" i="15" s="1"/>
  <c r="I285" i="15"/>
  <c r="J285" i="15" s="1" a="1"/>
  <c r="J285" i="15" s="1"/>
  <c r="I286" i="15"/>
  <c r="J286" i="15" s="1" a="1"/>
  <c r="J286" i="15" s="1"/>
  <c r="I287" i="15"/>
  <c r="J287" i="15" s="1" a="1"/>
  <c r="J287" i="15" s="1"/>
  <c r="I288" i="15"/>
  <c r="J288" i="15" s="1" a="1"/>
  <c r="J288" i="15" s="1"/>
  <c r="I289" i="15"/>
  <c r="J289" i="15" a="1"/>
  <c r="J289" i="15" s="1"/>
  <c r="I290" i="15"/>
  <c r="J290" i="15" s="1" a="1"/>
  <c r="J290" i="15" s="1"/>
  <c r="I291" i="15"/>
  <c r="J291" i="15" s="1" a="1"/>
  <c r="J291" i="15" s="1"/>
  <c r="I292" i="15"/>
  <c r="J292" i="15" s="1" a="1"/>
  <c r="J292" i="15" s="1"/>
  <c r="I293" i="15"/>
  <c r="J293" i="15" s="1" a="1"/>
  <c r="J293" i="15" s="1"/>
  <c r="I294" i="15"/>
  <c r="J294" i="15" s="1" a="1"/>
  <c r="J294" i="15" s="1"/>
  <c r="I295" i="15"/>
  <c r="J295" i="15" a="1"/>
  <c r="J295" i="15" s="1"/>
  <c r="I296" i="15"/>
  <c r="J296" i="15" s="1" a="1"/>
  <c r="J296" i="15" s="1"/>
  <c r="I297" i="15"/>
  <c r="J297" i="15" s="1" a="1"/>
  <c r="J297" i="15" s="1"/>
  <c r="I298" i="15"/>
  <c r="J298" i="15" s="1" a="1"/>
  <c r="J298" i="15" s="1"/>
  <c r="I299" i="15"/>
  <c r="J299" i="15" s="1" a="1"/>
  <c r="J299" i="15" s="1"/>
  <c r="I300" i="15"/>
  <c r="J300" i="15" s="1" a="1"/>
  <c r="J300" i="15" s="1"/>
  <c r="I301" i="15"/>
  <c r="J301" i="15" s="1" a="1"/>
  <c r="J301" i="15" s="1"/>
  <c r="I302" i="15"/>
  <c r="J302" i="15" s="1" a="1"/>
  <c r="J302" i="15" s="1"/>
  <c r="I303" i="15"/>
  <c r="J303" i="15" s="1" a="1"/>
  <c r="J303" i="15" s="1"/>
  <c r="I304" i="15"/>
  <c r="J304" i="15" s="1" a="1"/>
  <c r="J304" i="15" s="1"/>
  <c r="I305" i="15"/>
  <c r="J305" i="15" s="1" a="1"/>
  <c r="J305" i="15" s="1"/>
  <c r="I306" i="15"/>
  <c r="J306" i="15" s="1" a="1"/>
  <c r="J306" i="15" s="1"/>
  <c r="I307" i="15"/>
  <c r="J307" i="15" s="1" a="1"/>
  <c r="J307" i="15" s="1"/>
  <c r="I308" i="15"/>
  <c r="J308" i="15" s="1" a="1"/>
  <c r="J308" i="15" s="1"/>
  <c r="I309" i="15"/>
  <c r="J309" i="15" s="1" a="1"/>
  <c r="J309" i="15" s="1"/>
  <c r="I310" i="15"/>
  <c r="J310" i="15" s="1" a="1"/>
  <c r="J310" i="15" s="1"/>
  <c r="I311" i="15"/>
  <c r="J311" i="15" s="1" a="1"/>
  <c r="J311" i="15" s="1"/>
  <c r="I312" i="15"/>
  <c r="J312" i="15" s="1" a="1"/>
  <c r="J312" i="15" s="1"/>
  <c r="I313" i="15"/>
  <c r="J313" i="15" s="1" a="1"/>
  <c r="J313" i="15" s="1"/>
  <c r="I314" i="15"/>
  <c r="J314" i="15" s="1" a="1"/>
  <c r="J314" i="15" s="1"/>
  <c r="I315" i="15"/>
  <c r="J315" i="15" s="1" a="1"/>
  <c r="J315" i="15" s="1"/>
  <c r="I316" i="15"/>
  <c r="J316" i="15" s="1" a="1"/>
  <c r="J316" i="15" s="1"/>
  <c r="I317" i="15"/>
  <c r="J317" i="15" s="1" a="1"/>
  <c r="J317" i="15" s="1"/>
  <c r="I318" i="15"/>
  <c r="J318" i="15" s="1" a="1"/>
  <c r="J318" i="15" s="1"/>
  <c r="I319" i="15"/>
  <c r="J319" i="15" s="1" a="1"/>
  <c r="J319" i="15" s="1"/>
  <c r="I320" i="15"/>
  <c r="J320" i="15" s="1" a="1"/>
  <c r="J320" i="15" s="1"/>
  <c r="I321" i="15"/>
  <c r="J321" i="15" s="1" a="1"/>
  <c r="J321" i="15" s="1"/>
  <c r="I322" i="15"/>
  <c r="J322" i="15" s="1" a="1"/>
  <c r="J322" i="15" s="1"/>
  <c r="I323" i="15"/>
  <c r="J323" i="15" s="1" a="1"/>
  <c r="J323" i="15" s="1"/>
  <c r="I324" i="15"/>
  <c r="J324" i="15" s="1" a="1"/>
  <c r="J324" i="15" s="1"/>
  <c r="I325" i="15"/>
  <c r="J325" i="15" s="1" a="1"/>
  <c r="J325" i="15" s="1"/>
  <c r="I326" i="15"/>
  <c r="J326" i="15" s="1" a="1"/>
  <c r="J326" i="15" s="1"/>
  <c r="I327" i="15"/>
  <c r="J327" i="15" s="1" a="1"/>
  <c r="J327" i="15" s="1"/>
  <c r="I328" i="15"/>
  <c r="J328" i="15" s="1" a="1"/>
  <c r="J328" i="15" s="1"/>
  <c r="I329" i="15"/>
  <c r="J329" i="15" s="1" a="1"/>
  <c r="J329" i="15" s="1"/>
  <c r="I330" i="15"/>
  <c r="J330" i="15" s="1" a="1"/>
  <c r="J330" i="15" s="1"/>
  <c r="I331" i="15"/>
  <c r="J331" i="15" s="1" a="1"/>
  <c r="J331" i="15" s="1"/>
  <c r="I332" i="15"/>
  <c r="J332" i="15" s="1" a="1"/>
  <c r="J332" i="15" s="1"/>
  <c r="I333" i="15"/>
  <c r="J333" i="15" s="1" a="1"/>
  <c r="J333" i="15" s="1"/>
  <c r="I334" i="15"/>
  <c r="J334" i="15" s="1" a="1"/>
  <c r="J334" i="15" s="1"/>
  <c r="I335" i="15"/>
  <c r="J335" i="15" s="1" a="1"/>
  <c r="J335" i="15" s="1"/>
  <c r="I336" i="15"/>
  <c r="J336" i="15" s="1" a="1"/>
  <c r="J336" i="15" s="1"/>
  <c r="I337" i="15"/>
  <c r="J337" i="15" s="1" a="1"/>
  <c r="J337" i="15" s="1"/>
  <c r="I338" i="15"/>
  <c r="J338" i="15" s="1" a="1"/>
  <c r="J338" i="15" s="1"/>
  <c r="I339" i="15"/>
  <c r="J339" i="15" s="1" a="1"/>
  <c r="J339" i="15" s="1"/>
  <c r="I340" i="15"/>
  <c r="J340" i="15" s="1" a="1"/>
  <c r="J340" i="15" s="1"/>
  <c r="I341" i="15"/>
  <c r="J341" i="15" s="1" a="1"/>
  <c r="J341" i="15" s="1"/>
  <c r="I342" i="15"/>
  <c r="J342" i="15" s="1" a="1"/>
  <c r="J342" i="15" s="1"/>
  <c r="I343" i="15"/>
  <c r="J343" i="15" a="1"/>
  <c r="J343" i="15" s="1"/>
  <c r="I344" i="15"/>
  <c r="J344" i="15" s="1" a="1"/>
  <c r="J344" i="15" s="1"/>
  <c r="I345" i="15"/>
  <c r="J345" i="15" s="1" a="1"/>
  <c r="J345" i="15" s="1"/>
  <c r="I346" i="15"/>
  <c r="J346" i="15" s="1" a="1"/>
  <c r="J346" i="15" s="1"/>
  <c r="I347" i="15"/>
  <c r="J347" i="15" s="1" a="1"/>
  <c r="J347" i="15" s="1"/>
  <c r="I348" i="15"/>
  <c r="J348" i="15" s="1" a="1"/>
  <c r="J348" i="15" s="1"/>
  <c r="I349" i="15"/>
  <c r="J349" i="15" s="1" a="1"/>
  <c r="J349" i="15" s="1"/>
  <c r="I350" i="15"/>
  <c r="J350" i="15" s="1" a="1"/>
  <c r="J350" i="15" s="1"/>
  <c r="I351" i="15"/>
  <c r="J351" i="15" s="1" a="1"/>
  <c r="J351" i="15" s="1"/>
  <c r="I352" i="15"/>
  <c r="J352" i="15" s="1" a="1"/>
  <c r="J352" i="15" s="1"/>
  <c r="I353" i="15"/>
  <c r="J353" i="15" s="1" a="1"/>
  <c r="J353" i="15" s="1"/>
  <c r="I354" i="15"/>
  <c r="J354" i="15" s="1" a="1"/>
  <c r="J354" i="15" s="1"/>
  <c r="I355" i="15"/>
  <c r="J355" i="15" s="1" a="1"/>
  <c r="J355" i="15" s="1"/>
  <c r="I356" i="15"/>
  <c r="J356" i="15" s="1" a="1"/>
  <c r="J356" i="15" s="1"/>
  <c r="I357" i="15"/>
  <c r="J357" i="15" s="1" a="1"/>
  <c r="J357" i="15" s="1"/>
  <c r="I358" i="15"/>
  <c r="J358" i="15" a="1"/>
  <c r="J358" i="15" s="1"/>
  <c r="I359" i="15"/>
  <c r="J359" i="15" s="1" a="1"/>
  <c r="J359" i="15" s="1"/>
  <c r="I360" i="15"/>
  <c r="J360" i="15" s="1" a="1"/>
  <c r="J360" i="15" s="1"/>
  <c r="I361" i="15"/>
  <c r="J361" i="15" s="1" a="1"/>
  <c r="J361" i="15" s="1"/>
  <c r="I362" i="15"/>
  <c r="J362" i="15" s="1" a="1"/>
  <c r="J362" i="15" s="1"/>
  <c r="I363" i="15"/>
  <c r="J363" i="15" s="1" a="1"/>
  <c r="J363" i="15" s="1"/>
  <c r="I364" i="15"/>
  <c r="J364" i="15" s="1" a="1"/>
  <c r="J364" i="15" s="1"/>
  <c r="I365" i="15"/>
  <c r="J365" i="15" s="1" a="1"/>
  <c r="J365" i="15" s="1"/>
  <c r="I366" i="15"/>
  <c r="J366" i="15" s="1" a="1"/>
  <c r="J366" i="15" s="1"/>
  <c r="I367" i="15"/>
  <c r="J367" i="15" s="1" a="1"/>
  <c r="J367" i="15" s="1"/>
  <c r="I368" i="15"/>
  <c r="J368" i="15" s="1" a="1"/>
  <c r="J368" i="15" s="1"/>
  <c r="I369" i="15"/>
  <c r="J369" i="15" s="1" a="1"/>
  <c r="J369" i="15" s="1"/>
  <c r="I370" i="15"/>
  <c r="J370" i="15" s="1" a="1"/>
  <c r="J370" i="15" s="1"/>
  <c r="I371" i="15"/>
  <c r="J371" i="15" s="1" a="1"/>
  <c r="J371" i="15" s="1"/>
  <c r="I372" i="15"/>
  <c r="J372" i="15" a="1"/>
  <c r="J372" i="15" s="1"/>
  <c r="I373" i="15"/>
  <c r="J373" i="15" s="1" a="1"/>
  <c r="J373" i="15" s="1"/>
  <c r="I374" i="15"/>
  <c r="J374" i="15" s="1" a="1"/>
  <c r="J374" i="15" s="1"/>
  <c r="I375" i="15"/>
  <c r="J375" i="15" s="1" a="1"/>
  <c r="J375" i="15" s="1"/>
  <c r="I376" i="15"/>
  <c r="J376" i="15" s="1" a="1"/>
  <c r="J376" i="15" s="1"/>
  <c r="I377" i="15"/>
  <c r="J377" i="15" s="1" a="1"/>
  <c r="J377" i="15" s="1"/>
  <c r="I378" i="15"/>
  <c r="J378" i="15" s="1" a="1"/>
  <c r="J378" i="15" s="1"/>
  <c r="I379" i="15"/>
  <c r="J379" i="15" s="1" a="1"/>
  <c r="J379" i="15" s="1"/>
  <c r="I380" i="15"/>
  <c r="J380" i="15" s="1" a="1"/>
  <c r="J380" i="15" s="1"/>
  <c r="I381" i="15"/>
  <c r="J381" i="15" s="1" a="1"/>
  <c r="J381" i="15" s="1"/>
  <c r="I382" i="15"/>
  <c r="J382" i="15" s="1" a="1"/>
  <c r="J382" i="15" s="1"/>
  <c r="I383" i="15"/>
  <c r="J383" i="15" s="1" a="1"/>
  <c r="J383" i="15" s="1"/>
  <c r="I384" i="15"/>
  <c r="J384" i="15" s="1" a="1"/>
  <c r="J384" i="15" s="1"/>
  <c r="I385" i="15"/>
  <c r="J385" i="15" s="1" a="1"/>
  <c r="J385" i="15" s="1"/>
  <c r="I386" i="15"/>
  <c r="J386" i="15" s="1" a="1"/>
  <c r="J386" i="15" s="1"/>
  <c r="I387" i="15"/>
  <c r="J387" i="15" s="1" a="1"/>
  <c r="J387" i="15" s="1"/>
  <c r="I388" i="15"/>
  <c r="J388" i="15" a="1"/>
  <c r="J388" i="15" s="1"/>
  <c r="I389" i="15"/>
  <c r="J389" i="15" s="1" a="1"/>
  <c r="J389" i="15" s="1"/>
  <c r="I390" i="15"/>
  <c r="J390" i="15" s="1" a="1"/>
  <c r="J390" i="15" s="1"/>
  <c r="I391" i="15"/>
  <c r="J391" i="15" s="1" a="1"/>
  <c r="J391" i="15" s="1"/>
  <c r="I392" i="15"/>
  <c r="J392" i="15" s="1" a="1"/>
  <c r="J392" i="15" s="1"/>
  <c r="I393" i="15"/>
  <c r="J393" i="15" s="1" a="1"/>
  <c r="J393" i="15" s="1"/>
  <c r="I394" i="15"/>
  <c r="J394" i="15" s="1" a="1"/>
  <c r="J394" i="15" s="1"/>
  <c r="I395" i="15"/>
  <c r="J395" i="15" s="1" a="1"/>
  <c r="J395" i="15" s="1"/>
  <c r="I396" i="15"/>
  <c r="J396" i="15" s="1" a="1"/>
  <c r="J396" i="15" s="1"/>
  <c r="I397" i="15"/>
  <c r="J397" i="15" s="1" a="1"/>
  <c r="J397" i="15" s="1"/>
  <c r="I398" i="15"/>
  <c r="J398" i="15" s="1" a="1"/>
  <c r="J398" i="15" s="1"/>
  <c r="I399" i="15"/>
  <c r="J399" i="15" s="1" a="1"/>
  <c r="J399" i="15" s="1"/>
  <c r="I400" i="15"/>
  <c r="J400" i="15" s="1" a="1"/>
  <c r="J400" i="15" s="1"/>
  <c r="I401" i="15"/>
  <c r="J401" i="15" s="1" a="1"/>
  <c r="J401" i="15" s="1"/>
  <c r="I402" i="15"/>
  <c r="J402" i="15" s="1" a="1"/>
  <c r="J402" i="15" s="1"/>
  <c r="I403" i="15"/>
  <c r="J403" i="15" s="1" a="1"/>
  <c r="J403" i="15" s="1"/>
  <c r="I404" i="15"/>
  <c r="J404" i="15" s="1" a="1"/>
  <c r="J404" i="15" s="1"/>
  <c r="I405" i="15"/>
  <c r="J405" i="15" s="1" a="1"/>
  <c r="J405" i="15" s="1"/>
  <c r="I406" i="15"/>
  <c r="J406" i="15" s="1" a="1"/>
  <c r="J406" i="15" s="1"/>
  <c r="I407" i="15"/>
  <c r="J407" i="15" s="1" a="1"/>
  <c r="J407" i="15" s="1"/>
  <c r="I408" i="15"/>
  <c r="J408" i="15" s="1" a="1"/>
  <c r="J408" i="15" s="1"/>
  <c r="I409" i="15"/>
  <c r="J409" i="15" s="1" a="1"/>
  <c r="J409" i="15" s="1"/>
  <c r="I410" i="15"/>
  <c r="J410" i="15" s="1" a="1"/>
  <c r="J410" i="15" s="1"/>
  <c r="I411" i="15"/>
  <c r="J411" i="15" s="1" a="1"/>
  <c r="J411" i="15" s="1"/>
  <c r="I412" i="15"/>
  <c r="J412" i="15" s="1" a="1"/>
  <c r="J412" i="15" s="1"/>
  <c r="I413" i="15"/>
  <c r="J413" i="15" s="1" a="1"/>
  <c r="J413" i="15" s="1"/>
  <c r="I414" i="15"/>
  <c r="J414" i="15" s="1" a="1"/>
  <c r="J414" i="15" s="1"/>
  <c r="I415" i="15"/>
  <c r="J415" i="15" s="1" a="1"/>
  <c r="J415" i="15" s="1"/>
  <c r="I416" i="15"/>
  <c r="J416" i="15" s="1" a="1"/>
  <c r="J416" i="15" s="1"/>
  <c r="I417" i="15"/>
  <c r="J417" i="15" s="1" a="1"/>
  <c r="J417" i="15" s="1"/>
  <c r="I418" i="15"/>
  <c r="J418" i="15" s="1" a="1"/>
  <c r="J418" i="15" s="1"/>
  <c r="I419" i="15"/>
  <c r="J419" i="15" s="1" a="1"/>
  <c r="J419" i="15" s="1"/>
  <c r="I420" i="15"/>
  <c r="J420" i="15" a="1"/>
  <c r="J420" i="15" s="1"/>
  <c r="I421" i="15"/>
  <c r="J421" i="15" s="1" a="1"/>
  <c r="J421" i="15" s="1"/>
  <c r="I422" i="15"/>
  <c r="J422" i="15" s="1" a="1"/>
  <c r="J422" i="15" s="1"/>
  <c r="I423" i="15"/>
  <c r="J423" i="15" s="1" a="1"/>
  <c r="J423" i="15" s="1"/>
  <c r="I424" i="15"/>
  <c r="J424" i="15" s="1" a="1"/>
  <c r="J424" i="15" s="1"/>
  <c r="I425" i="15"/>
  <c r="J425" i="15" s="1" a="1"/>
  <c r="J425" i="15" s="1"/>
  <c r="I426" i="15"/>
  <c r="J426" i="15" s="1" a="1"/>
  <c r="J426" i="15" s="1"/>
  <c r="I427" i="15"/>
  <c r="J427" i="15" s="1" a="1"/>
  <c r="J427" i="15" s="1"/>
  <c r="I428" i="15"/>
  <c r="J428" i="15" s="1" a="1"/>
  <c r="J428" i="15" s="1"/>
  <c r="I429" i="15"/>
  <c r="J429" i="15" s="1" a="1"/>
  <c r="J429" i="15" s="1"/>
  <c r="I430" i="15"/>
  <c r="J430" i="15" s="1" a="1"/>
  <c r="J430" i="15" s="1"/>
  <c r="I431" i="15"/>
  <c r="J431" i="15" s="1" a="1"/>
  <c r="J431" i="15" s="1"/>
  <c r="I432" i="15"/>
  <c r="J432" i="15" s="1" a="1"/>
  <c r="J432" i="15" s="1"/>
  <c r="I433" i="15"/>
  <c r="J433" i="15" s="1" a="1"/>
  <c r="J433" i="15" s="1"/>
  <c r="I434" i="15"/>
  <c r="J434" i="15" s="1" a="1"/>
  <c r="J434" i="15" s="1"/>
  <c r="I435" i="15"/>
  <c r="J435" i="15" s="1" a="1"/>
  <c r="J435" i="15" s="1"/>
  <c r="I436" i="15"/>
  <c r="J436" i="15" a="1"/>
  <c r="J436" i="15" s="1"/>
  <c r="I437" i="15"/>
  <c r="J437" i="15" s="1" a="1"/>
  <c r="J437" i="15" s="1"/>
  <c r="I438" i="15"/>
  <c r="J438" i="15" s="1" a="1"/>
  <c r="J438" i="15" s="1"/>
  <c r="I439" i="15"/>
  <c r="J439" i="15" s="1" a="1"/>
  <c r="J439" i="15" s="1"/>
  <c r="I440" i="15"/>
  <c r="J440" i="15" s="1" a="1"/>
  <c r="J440" i="15" s="1"/>
  <c r="I441" i="15"/>
  <c r="J441" i="15" s="1" a="1"/>
  <c r="J441" i="15" s="1"/>
  <c r="I442" i="15"/>
  <c r="J442" i="15" s="1" a="1"/>
  <c r="J442" i="15" s="1"/>
  <c r="I443" i="15"/>
  <c r="J443" i="15" s="1" a="1"/>
  <c r="J443" i="15" s="1"/>
  <c r="I444" i="15"/>
  <c r="J444" i="15" s="1" a="1"/>
  <c r="J444" i="15" s="1"/>
  <c r="I445" i="15"/>
  <c r="J445" i="15" s="1" a="1"/>
  <c r="J445" i="15" s="1"/>
  <c r="I446" i="15"/>
  <c r="J446" i="15" s="1" a="1"/>
  <c r="J446" i="15" s="1"/>
  <c r="I447" i="15"/>
  <c r="J447" i="15" s="1" a="1"/>
  <c r="J447" i="15" s="1"/>
  <c r="I448" i="15"/>
  <c r="J448" i="15" s="1" a="1"/>
  <c r="J448" i="15" s="1"/>
  <c r="I449" i="15"/>
  <c r="J449" i="15" s="1" a="1"/>
  <c r="J449" i="15" s="1"/>
  <c r="I450" i="15"/>
  <c r="J450" i="15" s="1" a="1"/>
  <c r="J450" i="15" s="1"/>
  <c r="I451" i="15"/>
  <c r="J451" i="15" s="1" a="1"/>
  <c r="J451" i="15" s="1"/>
  <c r="I452" i="15"/>
  <c r="J452" i="15" a="1"/>
  <c r="J452" i="15" s="1"/>
  <c r="I453" i="15"/>
  <c r="J453" i="15" s="1" a="1"/>
  <c r="J453" i="15" s="1"/>
  <c r="I454" i="15"/>
  <c r="J454" i="15" a="1"/>
  <c r="J454" i="15" s="1"/>
  <c r="I455" i="15"/>
  <c r="J455" i="15" s="1" a="1"/>
  <c r="J455" i="15" s="1"/>
  <c r="I456" i="15"/>
  <c r="J456" i="15" s="1" a="1"/>
  <c r="J456" i="15" s="1"/>
  <c r="I457" i="15"/>
  <c r="J457" i="15" s="1" a="1"/>
  <c r="J457" i="15" s="1"/>
  <c r="I458" i="15"/>
  <c r="J458" i="15" s="1" a="1"/>
  <c r="J458" i="15" s="1"/>
  <c r="I459" i="15"/>
  <c r="J459" i="15" s="1" a="1"/>
  <c r="J459" i="15" s="1"/>
  <c r="I460" i="15"/>
  <c r="J460" i="15" s="1" a="1"/>
  <c r="J460" i="15" s="1"/>
  <c r="I461" i="15"/>
  <c r="J461" i="15" s="1" a="1"/>
  <c r="J461" i="15" s="1"/>
  <c r="I462" i="15"/>
  <c r="J462" i="15" s="1" a="1"/>
  <c r="J462" i="15" s="1"/>
  <c r="I463" i="15"/>
  <c r="J463" i="15" s="1" a="1"/>
  <c r="J463" i="15" s="1"/>
  <c r="I464" i="15"/>
  <c r="J464" i="15" s="1" a="1"/>
  <c r="J464" i="15" s="1"/>
  <c r="I465" i="15"/>
  <c r="J465" i="15" s="1" a="1"/>
  <c r="J465" i="15" s="1"/>
  <c r="I466" i="15"/>
  <c r="J466" i="15" s="1" a="1"/>
  <c r="J466" i="15" s="1"/>
  <c r="I467" i="15"/>
  <c r="J467" i="15" s="1" a="1"/>
  <c r="J467" i="15" s="1"/>
  <c r="I468" i="15"/>
  <c r="J468" i="15" s="1" a="1"/>
  <c r="J468" i="15" s="1"/>
  <c r="I469" i="15"/>
  <c r="J469" i="15" s="1" a="1"/>
  <c r="J469" i="15" s="1"/>
  <c r="I470" i="15"/>
  <c r="J470" i="15" s="1" a="1"/>
  <c r="J470" i="15" s="1"/>
  <c r="I471" i="15"/>
  <c r="J471" i="15" s="1" a="1"/>
  <c r="J471" i="15" s="1"/>
  <c r="I472" i="15"/>
  <c r="J472" i="15" s="1" a="1"/>
  <c r="J472" i="15" s="1"/>
  <c r="I473" i="15"/>
  <c r="J473" i="15" s="1" a="1"/>
  <c r="J473" i="15" s="1"/>
  <c r="I474" i="15"/>
  <c r="J474" i="15" s="1" a="1"/>
  <c r="J474" i="15" s="1"/>
  <c r="I475" i="15"/>
  <c r="J475" i="15" s="1" a="1"/>
  <c r="J475" i="15" s="1"/>
  <c r="I476" i="15"/>
  <c r="J476" i="15" s="1" a="1"/>
  <c r="J476" i="15" s="1"/>
  <c r="I477" i="15"/>
  <c r="J477" i="15" s="1" a="1"/>
  <c r="J477" i="15" s="1"/>
  <c r="I478" i="15"/>
  <c r="J478" i="15" s="1" a="1"/>
  <c r="J478" i="15" s="1"/>
  <c r="I479" i="15"/>
  <c r="J479" i="15" s="1" a="1"/>
  <c r="J479" i="15" s="1"/>
  <c r="I480" i="15"/>
  <c r="J480" i="15" s="1" a="1"/>
  <c r="J480" i="15" s="1"/>
  <c r="I481" i="15"/>
  <c r="J481" i="15" s="1" a="1"/>
  <c r="J481" i="15" s="1"/>
  <c r="I482" i="15"/>
  <c r="J482" i="15" s="1" a="1"/>
  <c r="J482" i="15" s="1"/>
  <c r="I483" i="15"/>
  <c r="J483" i="15" s="1" a="1"/>
  <c r="J483" i="15" s="1"/>
  <c r="I484" i="15"/>
  <c r="J484" i="15" a="1"/>
  <c r="J484" i="15" s="1"/>
  <c r="I485" i="15"/>
  <c r="J485" i="15" s="1" a="1"/>
  <c r="J485" i="15" s="1"/>
  <c r="I486" i="15"/>
  <c r="J486" i="15" a="1"/>
  <c r="J486" i="15" s="1"/>
  <c r="I487" i="15"/>
  <c r="J487" i="15" s="1" a="1"/>
  <c r="J487" i="15" s="1"/>
  <c r="I488" i="15"/>
  <c r="J488" i="15" s="1" a="1"/>
  <c r="J488" i="15" s="1"/>
  <c r="I489" i="15"/>
  <c r="J489" i="15" s="1" a="1"/>
  <c r="J489" i="15" s="1"/>
  <c r="I490" i="15"/>
  <c r="J490" i="15" s="1" a="1"/>
  <c r="J490" i="15" s="1"/>
  <c r="I491" i="15"/>
  <c r="J491" i="15" s="1" a="1"/>
  <c r="J491" i="15" s="1"/>
  <c r="I492" i="15"/>
  <c r="J492" i="15" s="1" a="1"/>
  <c r="J492" i="15" s="1"/>
  <c r="I493" i="15"/>
  <c r="J493" i="15" s="1" a="1"/>
  <c r="J493" i="15" s="1"/>
  <c r="I494" i="15"/>
  <c r="J494" i="15" s="1" a="1"/>
  <c r="J494" i="15" s="1"/>
  <c r="I495" i="15"/>
  <c r="J495" i="15" s="1" a="1"/>
  <c r="J495" i="15" s="1"/>
  <c r="I496" i="15"/>
  <c r="J496" i="15" s="1" a="1"/>
  <c r="J496" i="15" s="1"/>
  <c r="I497" i="15"/>
  <c r="J497" i="15" s="1" a="1"/>
  <c r="J497" i="15" s="1"/>
  <c r="I498" i="15"/>
  <c r="J498" i="15" s="1" a="1"/>
  <c r="J498" i="15" s="1"/>
  <c r="I499" i="15"/>
  <c r="J499" i="15" s="1" a="1"/>
  <c r="J499" i="15" s="1"/>
  <c r="I500" i="15"/>
  <c r="J500" i="15" a="1"/>
  <c r="J500" i="15" s="1"/>
  <c r="I501" i="15"/>
  <c r="J501" i="15" s="1" a="1"/>
  <c r="J501" i="15" s="1"/>
  <c r="I502" i="15"/>
  <c r="J502" i="15" s="1" a="1"/>
  <c r="J502" i="15" s="1"/>
  <c r="I503" i="15"/>
  <c r="J503" i="15" s="1" a="1"/>
  <c r="J503" i="15" s="1"/>
  <c r="I504" i="15"/>
  <c r="J504" i="15" s="1" a="1"/>
  <c r="J504" i="15" s="1"/>
  <c r="I505" i="15"/>
  <c r="J505" i="15" s="1" a="1"/>
  <c r="J505" i="15" s="1"/>
  <c r="I506" i="15"/>
  <c r="J506" i="15" s="1" a="1"/>
  <c r="J506" i="15" s="1"/>
  <c r="I507" i="15"/>
  <c r="J507" i="15" s="1" a="1"/>
  <c r="J507" i="15" s="1"/>
  <c r="I508" i="15"/>
  <c r="J508" i="15" s="1" a="1"/>
  <c r="J508" i="15" s="1"/>
  <c r="I509" i="15"/>
  <c r="J509" i="15" s="1" a="1"/>
  <c r="J509" i="15" s="1"/>
  <c r="I510" i="15"/>
  <c r="J510" i="15" s="1" a="1"/>
  <c r="J510" i="15" s="1"/>
  <c r="I511" i="15"/>
  <c r="J511" i="15" s="1" a="1"/>
  <c r="J511" i="15" s="1"/>
  <c r="I512" i="15"/>
  <c r="J512" i="15" s="1" a="1"/>
  <c r="J512" i="15" s="1"/>
  <c r="I513" i="15"/>
  <c r="J513" i="15" s="1" a="1"/>
  <c r="J513" i="15" s="1"/>
  <c r="I514" i="15"/>
  <c r="J514" i="15" s="1" a="1"/>
  <c r="J514" i="15" s="1"/>
  <c r="I515" i="15"/>
  <c r="J515" i="15" s="1" a="1"/>
  <c r="J515" i="15" s="1"/>
  <c r="I516" i="15"/>
  <c r="J516" i="15" a="1"/>
  <c r="J516" i="15" s="1"/>
  <c r="I517" i="15"/>
  <c r="J517" i="15" s="1" a="1"/>
  <c r="J517" i="15" s="1"/>
  <c r="I518" i="15"/>
  <c r="J518" i="15" s="1" a="1"/>
  <c r="J518" i="15" s="1"/>
  <c r="I519" i="15"/>
  <c r="J519" i="15" s="1" a="1"/>
  <c r="J519" i="15" s="1"/>
  <c r="I520" i="15"/>
  <c r="J520" i="15" s="1" a="1"/>
  <c r="J520" i="15" s="1"/>
  <c r="I521" i="15"/>
  <c r="J521" i="15" s="1" a="1"/>
  <c r="J521" i="15" s="1"/>
  <c r="I522" i="15"/>
  <c r="J522" i="15" s="1" a="1"/>
  <c r="J522" i="15" s="1"/>
  <c r="I523" i="15"/>
  <c r="J523" i="15" s="1" a="1"/>
  <c r="J523" i="15" s="1"/>
  <c r="I524" i="15"/>
  <c r="J524" i="15" s="1" a="1"/>
  <c r="J524" i="15" s="1"/>
  <c r="I525" i="15"/>
  <c r="J525" i="15" s="1" a="1"/>
  <c r="J525" i="15" s="1"/>
  <c r="I526" i="15"/>
  <c r="J526" i="15" s="1" a="1"/>
  <c r="J526" i="15" s="1"/>
  <c r="I527" i="15"/>
  <c r="J527" i="15" s="1" a="1"/>
  <c r="J527" i="15" s="1"/>
  <c r="I528" i="15"/>
  <c r="J528" i="15" s="1" a="1"/>
  <c r="J528" i="15" s="1"/>
  <c r="I529" i="15"/>
  <c r="J529" i="15" s="1" a="1"/>
  <c r="J529" i="15" s="1"/>
  <c r="I530" i="15"/>
  <c r="J530" i="15" s="1" a="1"/>
  <c r="J530" i="15" s="1"/>
  <c r="I531" i="15"/>
  <c r="J531" i="15" s="1" a="1"/>
  <c r="J531" i="15" s="1"/>
  <c r="I532" i="15"/>
  <c r="J532" i="15" s="1" a="1"/>
  <c r="J532" i="15" s="1"/>
  <c r="I533" i="15"/>
  <c r="J533" i="15" s="1" a="1"/>
  <c r="J533" i="15" s="1"/>
  <c r="I534" i="15"/>
  <c r="J534" i="15" s="1" a="1"/>
  <c r="J534" i="15" s="1"/>
  <c r="I535" i="15"/>
  <c r="J535" i="15" s="1" a="1"/>
  <c r="J535" i="15" s="1"/>
  <c r="I536" i="15"/>
  <c r="J536" i="15" s="1" a="1"/>
  <c r="J536" i="15" s="1"/>
  <c r="I537" i="15"/>
  <c r="J537" i="15" s="1" a="1"/>
  <c r="J537" i="15" s="1"/>
  <c r="I538" i="15"/>
  <c r="J538" i="15" s="1" a="1"/>
  <c r="J538" i="15" s="1"/>
  <c r="I539" i="15"/>
  <c r="J539" i="15" s="1" a="1"/>
  <c r="J539" i="15" s="1"/>
  <c r="I540" i="15"/>
  <c r="J540" i="15" s="1" a="1"/>
  <c r="J540" i="15" s="1"/>
  <c r="I541" i="15"/>
  <c r="J541" i="15" s="1" a="1"/>
  <c r="J541" i="15" s="1"/>
  <c r="I542" i="15"/>
  <c r="J542" i="15" s="1" a="1"/>
  <c r="J542" i="15" s="1"/>
  <c r="I543" i="15"/>
  <c r="J543" i="15" s="1" a="1"/>
  <c r="J543" i="15" s="1"/>
  <c r="I544" i="15"/>
  <c r="J544" i="15" s="1" a="1"/>
  <c r="J544" i="15" s="1"/>
  <c r="I545" i="15"/>
  <c r="J545" i="15" s="1" a="1"/>
  <c r="J545" i="15" s="1"/>
  <c r="I546" i="15"/>
  <c r="J546" i="15" s="1" a="1"/>
  <c r="J546" i="15" s="1"/>
  <c r="I547" i="15"/>
  <c r="J547" i="15" s="1" a="1"/>
  <c r="J547" i="15" s="1"/>
  <c r="I548" i="15"/>
  <c r="J548" i="15" a="1"/>
  <c r="J548" i="15" s="1"/>
  <c r="I549" i="15"/>
  <c r="J549" i="15" s="1" a="1"/>
  <c r="J549" i="15" s="1"/>
  <c r="I550" i="15"/>
  <c r="J550" i="15" s="1" a="1"/>
  <c r="J550" i="15" s="1"/>
  <c r="I551" i="15"/>
  <c r="J551" i="15" s="1" a="1"/>
  <c r="J551" i="15" s="1"/>
  <c r="I552" i="15"/>
  <c r="J552" i="15" s="1" a="1"/>
  <c r="J552" i="15" s="1"/>
  <c r="I553" i="15"/>
  <c r="J553" i="15" s="1" a="1"/>
  <c r="J553" i="15" s="1"/>
  <c r="I554" i="15"/>
  <c r="J554" i="15" s="1" a="1"/>
  <c r="J554" i="15" s="1"/>
  <c r="I555" i="15"/>
  <c r="J555" i="15" s="1" a="1"/>
  <c r="J555" i="15" s="1"/>
  <c r="I556" i="15"/>
  <c r="J556" i="15" s="1" a="1"/>
  <c r="J556" i="15" s="1"/>
  <c r="I557" i="15"/>
  <c r="J557" i="15" s="1" a="1"/>
  <c r="J557" i="15" s="1"/>
  <c r="I558" i="15"/>
  <c r="J558" i="15" s="1" a="1"/>
  <c r="J558" i="15" s="1"/>
  <c r="I559" i="15"/>
  <c r="J559" i="15" s="1" a="1"/>
  <c r="J559" i="15" s="1"/>
  <c r="I560" i="15"/>
  <c r="J560" i="15" s="1" a="1"/>
  <c r="J560" i="15" s="1"/>
  <c r="I561" i="15"/>
  <c r="J561" i="15" s="1" a="1"/>
  <c r="J561" i="15" s="1"/>
  <c r="I562" i="15"/>
  <c r="J562" i="15" s="1" a="1"/>
  <c r="J562" i="15" s="1"/>
  <c r="I563" i="15"/>
  <c r="J563" i="15" s="1" a="1"/>
  <c r="J563" i="15" s="1"/>
  <c r="I564" i="15"/>
  <c r="J564" i="15" a="1"/>
  <c r="J564" i="15" s="1"/>
  <c r="I565" i="15"/>
  <c r="J565" i="15" s="1" a="1"/>
  <c r="J565" i="15" s="1"/>
  <c r="I566" i="15"/>
  <c r="J566" i="15" s="1" a="1"/>
  <c r="J566" i="15" s="1"/>
  <c r="I567" i="15"/>
  <c r="J567" i="15" s="1" a="1"/>
  <c r="J567" i="15" s="1"/>
  <c r="I568" i="15"/>
  <c r="J568" i="15" s="1" a="1"/>
  <c r="J568" i="15" s="1"/>
  <c r="I569" i="15"/>
  <c r="J569" i="15" s="1" a="1"/>
  <c r="J569" i="15" s="1"/>
  <c r="I570" i="15"/>
  <c r="J570" i="15" s="1" a="1"/>
  <c r="J570" i="15" s="1"/>
  <c r="I571" i="15"/>
  <c r="J571" i="15" s="1" a="1"/>
  <c r="J571" i="15" s="1"/>
  <c r="I572" i="15"/>
  <c r="J572" i="15" s="1" a="1"/>
  <c r="J572" i="15" s="1"/>
  <c r="I573" i="15"/>
  <c r="J573" i="15" s="1" a="1"/>
  <c r="J573" i="15" s="1"/>
  <c r="I574" i="15"/>
  <c r="J574" i="15" s="1" a="1"/>
  <c r="J574" i="15" s="1"/>
  <c r="I575" i="15"/>
  <c r="J575" i="15" s="1" a="1"/>
  <c r="J575" i="15" s="1"/>
  <c r="I576" i="15"/>
  <c r="J576" i="15" s="1" a="1"/>
  <c r="J576" i="15" s="1"/>
  <c r="I577" i="15"/>
  <c r="J577" i="15" s="1" a="1"/>
  <c r="J577" i="15" s="1"/>
  <c r="I578" i="15"/>
  <c r="J578" i="15" s="1" a="1"/>
  <c r="J578" i="15" s="1"/>
  <c r="I579" i="15"/>
  <c r="J579" i="15" s="1" a="1"/>
  <c r="J579" i="15" s="1"/>
  <c r="I580" i="15"/>
  <c r="J580" i="15" a="1"/>
  <c r="J580" i="15" s="1"/>
  <c r="I581" i="15"/>
  <c r="J581" i="15" s="1" a="1"/>
  <c r="J581" i="15" s="1"/>
  <c r="I582" i="15"/>
  <c r="J582" i="15" s="1" a="1"/>
  <c r="J582" i="15" s="1"/>
  <c r="I583" i="15"/>
  <c r="J583" i="15" s="1" a="1"/>
  <c r="J583" i="15" s="1"/>
  <c r="I584" i="15"/>
  <c r="J584" i="15" s="1" a="1"/>
  <c r="J584" i="15" s="1"/>
  <c r="I585" i="15"/>
  <c r="J585" i="15" s="1" a="1"/>
  <c r="J585" i="15" s="1"/>
  <c r="I586" i="15"/>
  <c r="J586" i="15" s="1" a="1"/>
  <c r="J586" i="15" s="1"/>
  <c r="I587" i="15"/>
  <c r="J587" i="15" s="1" a="1"/>
  <c r="J587" i="15" s="1"/>
  <c r="I588" i="15"/>
  <c r="J588" i="15" s="1" a="1"/>
  <c r="J588" i="15" s="1"/>
  <c r="I589" i="15"/>
  <c r="J589" i="15" s="1" a="1"/>
  <c r="J589" i="15" s="1"/>
  <c r="I590" i="15"/>
  <c r="J590" i="15" s="1" a="1"/>
  <c r="J590" i="15" s="1"/>
  <c r="I591" i="15"/>
  <c r="J591" i="15" s="1" a="1"/>
  <c r="J591" i="15" s="1"/>
  <c r="I592" i="15"/>
  <c r="J592" i="15" s="1" a="1"/>
  <c r="J592" i="15" s="1"/>
  <c r="I593" i="15"/>
  <c r="J593" i="15" s="1" a="1"/>
  <c r="J593" i="15" s="1"/>
  <c r="I594" i="15"/>
  <c r="J594" i="15" s="1" a="1"/>
  <c r="J594" i="15" s="1"/>
  <c r="I595" i="15"/>
  <c r="J595" i="15" s="1" a="1"/>
  <c r="J595" i="15" s="1"/>
  <c r="I596" i="15"/>
  <c r="J596" i="15" s="1" a="1"/>
  <c r="J596" i="15" s="1"/>
  <c r="I597" i="15"/>
  <c r="J597" i="15" s="1" a="1"/>
  <c r="J597" i="15" s="1"/>
  <c r="I598" i="15"/>
  <c r="J598" i="15" a="1"/>
  <c r="J598" i="15" s="1"/>
  <c r="I599" i="15"/>
  <c r="J599" i="15" s="1" a="1"/>
  <c r="J599" i="15" s="1"/>
  <c r="I600" i="15"/>
  <c r="J600" i="15" s="1" a="1"/>
  <c r="J600" i="15" s="1"/>
  <c r="I601" i="15"/>
  <c r="J601" i="15" s="1" a="1"/>
  <c r="J601" i="15" s="1"/>
  <c r="I602" i="15"/>
  <c r="J602" i="15" s="1" a="1"/>
  <c r="J602" i="15" s="1"/>
  <c r="I603" i="15"/>
  <c r="J603" i="15" s="1" a="1"/>
  <c r="J603" i="15" s="1"/>
  <c r="I604" i="15"/>
  <c r="J604" i="15" s="1" a="1"/>
  <c r="J604" i="15" s="1"/>
  <c r="I605" i="15"/>
  <c r="J605" i="15" s="1" a="1"/>
  <c r="J605" i="15" s="1"/>
  <c r="I606" i="15"/>
  <c r="J606" i="15" s="1" a="1"/>
  <c r="J606" i="15" s="1"/>
  <c r="I607" i="15"/>
  <c r="J607" i="15" s="1" a="1"/>
  <c r="J607" i="15" s="1"/>
  <c r="I608" i="15"/>
  <c r="J608" i="15" a="1"/>
  <c r="J608" i="15" s="1"/>
  <c r="I609" i="15"/>
  <c r="J609" i="15" s="1" a="1"/>
  <c r="J609" i="15" s="1"/>
  <c r="I610" i="15"/>
  <c r="J610" i="15" s="1" a="1"/>
  <c r="J610" i="15" s="1"/>
  <c r="I611" i="15"/>
  <c r="J611" i="15" s="1" a="1"/>
  <c r="J611" i="15" s="1"/>
  <c r="I612" i="15"/>
  <c r="J612" i="15" a="1"/>
  <c r="J612" i="15" s="1"/>
  <c r="I613" i="15"/>
  <c r="J613" i="15" s="1" a="1"/>
  <c r="J613" i="15" s="1"/>
  <c r="I614" i="15"/>
  <c r="J614" i="15" s="1" a="1"/>
  <c r="J614" i="15" s="1"/>
  <c r="I615" i="15"/>
  <c r="J615" i="15" s="1" a="1"/>
  <c r="J615" i="15" s="1"/>
  <c r="I616" i="15"/>
  <c r="J616" i="15" s="1" a="1"/>
  <c r="J616" i="15" s="1"/>
  <c r="I617" i="15"/>
  <c r="J617" i="15" s="1" a="1"/>
  <c r="J617" i="15" s="1"/>
  <c r="I618" i="15"/>
  <c r="J618" i="15" s="1" a="1"/>
  <c r="J618" i="15" s="1"/>
  <c r="I619" i="15"/>
  <c r="J619" i="15" s="1" a="1"/>
  <c r="J619" i="15" s="1"/>
  <c r="I620" i="15"/>
  <c r="J620" i="15" s="1" a="1"/>
  <c r="J620" i="15" s="1"/>
  <c r="I621" i="15"/>
  <c r="J621" i="15" s="1" a="1"/>
  <c r="J621" i="15" s="1"/>
  <c r="I622" i="15"/>
  <c r="J622" i="15" s="1" a="1"/>
  <c r="J622" i="15" s="1"/>
  <c r="I623" i="15"/>
  <c r="J623" i="15" s="1" a="1"/>
  <c r="J623" i="15" s="1"/>
  <c r="I624" i="15"/>
  <c r="J624" i="15" s="1" a="1"/>
  <c r="J624" i="15" s="1"/>
  <c r="I625" i="15"/>
  <c r="J625" i="15" s="1" a="1"/>
  <c r="J625" i="15" s="1"/>
  <c r="I626" i="15"/>
  <c r="J626" i="15" s="1" a="1"/>
  <c r="J626" i="15" s="1"/>
  <c r="I627" i="15"/>
  <c r="J627" i="15" s="1" a="1"/>
  <c r="J627" i="15" s="1"/>
  <c r="I628" i="15"/>
  <c r="J628" i="15" s="1" a="1"/>
  <c r="J628" i="15" s="1"/>
  <c r="I629" i="15"/>
  <c r="J629" i="15" s="1" a="1"/>
  <c r="J629" i="15" s="1"/>
  <c r="I630" i="15"/>
  <c r="J630" i="15" a="1"/>
  <c r="J630" i="15" s="1"/>
  <c r="I631" i="15"/>
  <c r="J631" i="15" s="1" a="1"/>
  <c r="J631" i="15" s="1"/>
  <c r="I632" i="15"/>
  <c r="J632" i="15" s="1" a="1"/>
  <c r="J632" i="15" s="1"/>
  <c r="I633" i="15"/>
  <c r="J633" i="15" a="1"/>
  <c r="J633" i="15" s="1"/>
  <c r="I634" i="15"/>
  <c r="J634" i="15" s="1" a="1"/>
  <c r="J634" i="15" s="1"/>
  <c r="I635" i="15"/>
  <c r="J635" i="15" s="1" a="1"/>
  <c r="J635" i="15" s="1"/>
  <c r="I636" i="15"/>
  <c r="J636" i="15" a="1"/>
  <c r="J636" i="15" s="1"/>
  <c r="I637" i="15"/>
  <c r="J637" i="15" s="1" a="1"/>
  <c r="J637" i="15" s="1"/>
  <c r="I638" i="15"/>
  <c r="J638" i="15" s="1" a="1"/>
  <c r="J638" i="15" s="1"/>
  <c r="I639" i="15"/>
  <c r="J639" i="15" s="1" a="1"/>
  <c r="J639" i="15" s="1"/>
  <c r="I640" i="15"/>
  <c r="J640" i="15" s="1" a="1"/>
  <c r="J640" i="15" s="1"/>
  <c r="I641" i="15"/>
  <c r="J641" i="15" s="1" a="1"/>
  <c r="J641" i="15" s="1"/>
  <c r="I642" i="15"/>
  <c r="J642" i="15" a="1"/>
  <c r="J642" i="15" s="1"/>
  <c r="I643" i="15"/>
  <c r="J643" i="15" s="1" a="1"/>
  <c r="J643" i="15" s="1"/>
  <c r="I644" i="15"/>
  <c r="J644" i="15" s="1" a="1"/>
  <c r="J644" i="15" s="1"/>
  <c r="I645" i="15"/>
  <c r="J645" i="15" s="1" a="1"/>
  <c r="J645" i="15" s="1"/>
  <c r="I646" i="15"/>
  <c r="J646" i="15" s="1" a="1"/>
  <c r="J646" i="15" s="1"/>
  <c r="I647" i="15"/>
  <c r="J647" i="15" s="1" a="1"/>
  <c r="J647" i="15" s="1"/>
  <c r="I648" i="15"/>
  <c r="J648" i="15" s="1" a="1"/>
  <c r="J648" i="15" s="1"/>
  <c r="I649" i="15"/>
  <c r="J649" i="15" s="1" a="1"/>
  <c r="J649" i="15" s="1"/>
  <c r="I650" i="15"/>
  <c r="J650" i="15" s="1" a="1"/>
  <c r="J650" i="15" s="1"/>
  <c r="I651" i="15"/>
  <c r="J651" i="15" s="1" a="1"/>
  <c r="J651" i="15" s="1"/>
  <c r="I652" i="15"/>
  <c r="J652" i="15" s="1" a="1"/>
  <c r="J652" i="15" s="1"/>
  <c r="I653" i="15"/>
  <c r="J653" i="15" s="1" a="1"/>
  <c r="J653" i="15" s="1"/>
  <c r="I654" i="15"/>
  <c r="J654" i="15" s="1" a="1"/>
  <c r="J654" i="15" s="1"/>
  <c r="I655" i="15"/>
  <c r="J655" i="15" s="1" a="1"/>
  <c r="J655" i="15" s="1"/>
  <c r="I656" i="15"/>
  <c r="J656" i="15" s="1" a="1"/>
  <c r="J656" i="15" s="1"/>
  <c r="I657" i="15"/>
  <c r="J657" i="15" s="1" a="1"/>
  <c r="J657" i="15" s="1"/>
  <c r="I658" i="15"/>
  <c r="J658" i="15" a="1"/>
  <c r="J658" i="15" s="1"/>
  <c r="I659" i="15"/>
  <c r="J659" i="15" s="1" a="1"/>
  <c r="J659" i="15" s="1"/>
  <c r="I660" i="15"/>
  <c r="J660" i="15" s="1" a="1"/>
  <c r="J660" i="15" s="1"/>
  <c r="I661" i="15"/>
  <c r="J661" i="15" s="1" a="1"/>
  <c r="J661" i="15" s="1"/>
  <c r="I662" i="15"/>
  <c r="J662" i="15" s="1" a="1"/>
  <c r="J662" i="15" s="1"/>
  <c r="I663" i="15"/>
  <c r="J663" i="15" s="1" a="1"/>
  <c r="J663" i="15" s="1"/>
  <c r="I664" i="15"/>
  <c r="J664" i="15" s="1" a="1"/>
  <c r="J664" i="15" s="1"/>
  <c r="I665" i="15"/>
  <c r="J665" i="15" s="1" a="1"/>
  <c r="J665" i="15" s="1"/>
  <c r="I666" i="15"/>
  <c r="J666" i="15" s="1" a="1"/>
  <c r="J666" i="15" s="1"/>
  <c r="I667" i="15"/>
  <c r="J667" i="15" s="1" a="1"/>
  <c r="J667" i="15" s="1"/>
  <c r="I668" i="15"/>
  <c r="J668" i="15" s="1" a="1"/>
  <c r="J668" i="15" s="1"/>
  <c r="I669" i="15"/>
  <c r="J669" i="15" s="1" a="1"/>
  <c r="J669" i="15" s="1"/>
  <c r="I670" i="15"/>
  <c r="J670" i="15" s="1" a="1"/>
  <c r="J670" i="15" s="1"/>
  <c r="I671" i="15"/>
  <c r="J671" i="15" s="1" a="1"/>
  <c r="J671" i="15" s="1"/>
  <c r="I672" i="15"/>
  <c r="J672" i="15" s="1" a="1"/>
  <c r="J672" i="15" s="1"/>
  <c r="I673" i="15"/>
  <c r="J673" i="15" a="1"/>
  <c r="J673" i="15" s="1"/>
  <c r="I674" i="15"/>
  <c r="J674" i="15" s="1" a="1"/>
  <c r="J674" i="15" s="1"/>
  <c r="I675" i="15"/>
  <c r="J675" i="15" s="1" a="1"/>
  <c r="J675" i="15" s="1"/>
  <c r="I676" i="15"/>
  <c r="J676" i="15" a="1"/>
  <c r="J676" i="15" s="1"/>
  <c r="I677" i="15"/>
  <c r="J677" i="15" s="1" a="1"/>
  <c r="J677" i="15" s="1"/>
  <c r="I678" i="15"/>
  <c r="J678" i="15" s="1" a="1"/>
  <c r="J678" i="15" s="1"/>
  <c r="I679" i="15"/>
  <c r="J679" i="15" a="1"/>
  <c r="J679" i="15" s="1"/>
  <c r="I680" i="15"/>
  <c r="J680" i="15" s="1" a="1"/>
  <c r="J680" i="15" s="1"/>
  <c r="I681" i="15"/>
  <c r="J681" i="15" s="1" a="1"/>
  <c r="J681" i="15" s="1"/>
  <c r="I682" i="15"/>
  <c r="J682" i="15" s="1" a="1"/>
  <c r="J682" i="15" s="1"/>
  <c r="I683" i="15"/>
  <c r="J683" i="15" s="1" a="1"/>
  <c r="J683" i="15" s="1"/>
  <c r="I684" i="15"/>
  <c r="J684" i="15" s="1" a="1"/>
  <c r="J684" i="15" s="1"/>
  <c r="I685" i="15"/>
  <c r="J685" i="15" s="1" a="1"/>
  <c r="J685" i="15" s="1"/>
  <c r="I686" i="15"/>
  <c r="J686" i="15" s="1" a="1"/>
  <c r="J686" i="15" s="1"/>
  <c r="I687" i="15"/>
  <c r="J687" i="15" s="1" a="1"/>
  <c r="J687" i="15" s="1"/>
  <c r="I688" i="15"/>
  <c r="J688" i="15" s="1" a="1"/>
  <c r="J688" i="15" s="1"/>
  <c r="I689" i="15"/>
  <c r="J689" i="15" s="1" a="1"/>
  <c r="J689" i="15" s="1"/>
  <c r="I690" i="15"/>
  <c r="J690" i="15" s="1" a="1"/>
  <c r="J690" i="15" s="1"/>
  <c r="I691" i="15"/>
  <c r="J691" i="15" s="1" a="1"/>
  <c r="J691" i="15" s="1"/>
  <c r="I692" i="15"/>
  <c r="J692" i="15" s="1" a="1"/>
  <c r="J692" i="15" s="1"/>
  <c r="I693" i="15"/>
  <c r="J693" i="15" s="1" a="1"/>
  <c r="J693" i="15" s="1"/>
  <c r="I694" i="15"/>
  <c r="J694" i="15" s="1" a="1"/>
  <c r="J694" i="15" s="1"/>
  <c r="I695" i="15"/>
  <c r="J695" i="15" s="1" a="1"/>
  <c r="J695" i="15" s="1"/>
  <c r="I696" i="15"/>
  <c r="J696" i="15" s="1" a="1"/>
  <c r="J696" i="15" s="1"/>
  <c r="I697" i="15"/>
  <c r="J697" i="15" s="1" a="1"/>
  <c r="J697" i="15" s="1"/>
  <c r="I698" i="15"/>
  <c r="J698" i="15" s="1" a="1"/>
  <c r="J698" i="15" s="1"/>
  <c r="I699" i="15"/>
  <c r="J699" i="15" s="1" a="1"/>
  <c r="J699" i="15" s="1"/>
  <c r="I700" i="15"/>
  <c r="J700" i="15" s="1" a="1"/>
  <c r="J700" i="15" s="1"/>
  <c r="I701" i="15"/>
  <c r="J701" i="15" s="1" a="1"/>
  <c r="J701" i="15" s="1"/>
  <c r="I702" i="15"/>
  <c r="J702" i="15" s="1" a="1"/>
  <c r="J702" i="15" s="1"/>
  <c r="I703" i="15"/>
  <c r="J703" i="15" s="1" a="1"/>
  <c r="J703" i="15" s="1"/>
  <c r="I704" i="15"/>
  <c r="J704" i="15" s="1" a="1"/>
  <c r="J704" i="15" s="1"/>
  <c r="I705" i="15"/>
  <c r="J705" i="15" a="1"/>
  <c r="J705" i="15" s="1"/>
  <c r="I706" i="15"/>
  <c r="J706" i="15" s="1" a="1"/>
  <c r="J706" i="15" s="1"/>
  <c r="I707" i="15"/>
  <c r="J707" i="15" s="1" a="1"/>
  <c r="J707" i="15" s="1"/>
  <c r="I708" i="15"/>
  <c r="J708" i="15" a="1"/>
  <c r="J708" i="15" s="1"/>
  <c r="I709" i="15"/>
  <c r="J709" i="15" s="1" a="1"/>
  <c r="J709" i="15" s="1"/>
  <c r="I710" i="15"/>
  <c r="J710" i="15" s="1" a="1"/>
  <c r="J710" i="15" s="1"/>
  <c r="I711" i="15"/>
  <c r="J711" i="15" a="1"/>
  <c r="J711" i="15" s="1"/>
  <c r="I712" i="15"/>
  <c r="J712" i="15" s="1" a="1"/>
  <c r="J712" i="15" s="1"/>
  <c r="I713" i="15"/>
  <c r="J713" i="15" s="1" a="1"/>
  <c r="J713" i="15" s="1"/>
  <c r="I714" i="15"/>
  <c r="J714" i="15" s="1" a="1"/>
  <c r="J714" i="15" s="1"/>
  <c r="K616" i="3" l="1"/>
  <c r="L616" i="3" s="1"/>
  <c r="M616" i="3" s="1"/>
  <c r="K29" i="3"/>
  <c r="L29" i="3" s="1"/>
  <c r="M29" i="3" s="1"/>
  <c r="K27" i="3"/>
  <c r="L27" i="3" s="1"/>
  <c r="M27" i="3" s="1"/>
  <c r="K663" i="3"/>
  <c r="L663" i="3" s="1"/>
  <c r="M663" i="3" s="1"/>
  <c r="K3" i="3"/>
  <c r="L3" i="3" s="1"/>
  <c r="M3" i="3" s="1"/>
  <c r="K132" i="3"/>
  <c r="L132" i="3" s="1"/>
  <c r="M132" i="3" s="1"/>
  <c r="K124" i="3"/>
  <c r="L124" i="3" s="1"/>
  <c r="M124" i="3" s="1"/>
  <c r="K107" i="3"/>
  <c r="L107" i="3" s="1"/>
  <c r="M107" i="3" s="1"/>
  <c r="K232" i="3"/>
  <c r="L232" i="3" s="1"/>
  <c r="M232" i="3" s="1"/>
  <c r="K230" i="3"/>
  <c r="L230" i="3" s="1"/>
  <c r="M230" i="3" s="1"/>
  <c r="K699" i="3"/>
  <c r="L699" i="3" s="1"/>
  <c r="M699" i="3" s="1"/>
  <c r="K362" i="3"/>
  <c r="L362" i="3" s="1"/>
  <c r="M362" i="3" s="1"/>
  <c r="K352" i="3"/>
  <c r="L352" i="3" s="1"/>
  <c r="M352" i="3" s="1"/>
  <c r="K14" i="3"/>
  <c r="L14" i="3" s="1"/>
  <c r="M14" i="3" s="1"/>
  <c r="K91" i="3"/>
  <c r="L91" i="3" s="1"/>
  <c r="M91" i="3" s="1"/>
  <c r="K370" i="3"/>
  <c r="L370" i="3" s="1"/>
  <c r="M370" i="3" s="1"/>
  <c r="K30" i="3"/>
  <c r="L30" i="3" s="1"/>
  <c r="M30" i="3" s="1"/>
  <c r="K12" i="3"/>
  <c r="L12" i="3" s="1"/>
  <c r="M12" i="3" s="1"/>
  <c r="K587" i="3"/>
  <c r="L587" i="3" s="1"/>
  <c r="M587" i="3" s="1"/>
  <c r="K383" i="3"/>
  <c r="L383" i="3" s="1"/>
  <c r="M383" i="3" s="1"/>
  <c r="K161" i="3"/>
  <c r="L161" i="3" s="1"/>
  <c r="M161" i="3" s="1"/>
  <c r="K116" i="3"/>
  <c r="L116" i="3" s="1"/>
  <c r="M116" i="3" s="1"/>
  <c r="K84" i="3"/>
  <c r="L84" i="3" s="1"/>
  <c r="M84" i="3" s="1"/>
  <c r="K82" i="3"/>
  <c r="L82" i="3" s="1"/>
  <c r="M82" i="3" s="1"/>
  <c r="K44" i="3"/>
  <c r="L44" i="3" s="1"/>
  <c r="M44" i="3" s="1"/>
  <c r="K43" i="3"/>
  <c r="L43" i="3" s="1"/>
  <c r="M43" i="3" s="1"/>
  <c r="K17" i="3"/>
  <c r="L17" i="3" s="1"/>
  <c r="M17" i="3" s="1"/>
  <c r="K15" i="3"/>
  <c r="L15" i="3" s="1"/>
  <c r="M15" i="3" s="1"/>
  <c r="K411" i="3"/>
  <c r="L411" i="3" s="1"/>
  <c r="M411" i="3" s="1"/>
  <c r="K375" i="3"/>
  <c r="L375" i="3" s="1"/>
  <c r="M375" i="3" s="1"/>
  <c r="K239" i="3"/>
  <c r="L239" i="3" s="1"/>
  <c r="M239" i="3" s="1"/>
  <c r="K237" i="3"/>
  <c r="L237" i="3" s="1"/>
  <c r="M237" i="3" s="1"/>
  <c r="K218" i="3"/>
  <c r="L218" i="3" s="1"/>
  <c r="M218" i="3" s="1"/>
  <c r="K133" i="3"/>
  <c r="L133" i="3" s="1"/>
  <c r="M133" i="3" s="1"/>
  <c r="K100" i="3"/>
  <c r="L100" i="3" s="1"/>
  <c r="M100" i="3" s="1"/>
  <c r="K11" i="3"/>
  <c r="L11" i="3" s="1"/>
  <c r="M11" i="3" s="1"/>
  <c r="K714" i="3"/>
  <c r="L714" i="3" s="1"/>
  <c r="M714" i="3" s="1"/>
  <c r="K704" i="3"/>
  <c r="L704" i="3" s="1"/>
  <c r="M704" i="3" s="1"/>
  <c r="K702" i="3"/>
  <c r="L702" i="3" s="1"/>
  <c r="M702" i="3" s="1"/>
  <c r="K687" i="3"/>
  <c r="L687" i="3" s="1"/>
  <c r="M687" i="3" s="1"/>
  <c r="K682" i="3"/>
  <c r="L682" i="3" s="1"/>
  <c r="M682" i="3" s="1"/>
  <c r="K670" i="3"/>
  <c r="L670" i="3" s="1"/>
  <c r="M670" i="3" s="1"/>
  <c r="K668" i="3"/>
  <c r="L668" i="3" s="1"/>
  <c r="M668" i="3" s="1"/>
  <c r="K650" i="3"/>
  <c r="L650" i="3" s="1"/>
  <c r="M650" i="3" s="1"/>
  <c r="K648" i="3"/>
  <c r="L648" i="3" s="1"/>
  <c r="M648" i="3" s="1"/>
  <c r="K646" i="3"/>
  <c r="L646" i="3" s="1"/>
  <c r="M646" i="3" s="1"/>
  <c r="K631" i="3"/>
  <c r="L631" i="3" s="1"/>
  <c r="M631" i="3" s="1"/>
  <c r="K619" i="3"/>
  <c r="L619" i="3" s="1"/>
  <c r="M619" i="3" s="1"/>
  <c r="K255" i="3"/>
  <c r="L255" i="3" s="1"/>
  <c r="M255" i="3" s="1"/>
  <c r="K253" i="3"/>
  <c r="L253" i="3" s="1"/>
  <c r="M253" i="3" s="1"/>
  <c r="K141" i="3"/>
  <c r="L141" i="3" s="1"/>
  <c r="M141" i="3" s="1"/>
  <c r="K475" i="3"/>
  <c r="L475" i="3" s="1"/>
  <c r="M475" i="3" s="1"/>
  <c r="K396" i="3"/>
  <c r="L396" i="3" s="1"/>
  <c r="M396" i="3" s="1"/>
  <c r="K386" i="3"/>
  <c r="L386" i="3" s="1"/>
  <c r="M386" i="3" s="1"/>
  <c r="K369" i="3"/>
  <c r="L369" i="3" s="1"/>
  <c r="M369" i="3" s="1"/>
  <c r="K361" i="3"/>
  <c r="L361" i="3" s="1"/>
  <c r="M361" i="3" s="1"/>
  <c r="K355" i="3"/>
  <c r="L355" i="3" s="1"/>
  <c r="M355" i="3" s="1"/>
  <c r="K347" i="3"/>
  <c r="L347" i="3" s="1"/>
  <c r="M347" i="3" s="1"/>
  <c r="K339" i="3"/>
  <c r="L339" i="3" s="1"/>
  <c r="M339" i="3" s="1"/>
  <c r="K331" i="3"/>
  <c r="L331" i="3" s="1"/>
  <c r="M331" i="3" s="1"/>
  <c r="K323" i="3"/>
  <c r="L323" i="3" s="1"/>
  <c r="M323" i="3" s="1"/>
  <c r="K315" i="3"/>
  <c r="L315" i="3" s="1"/>
  <c r="M315" i="3" s="1"/>
  <c r="K307" i="3"/>
  <c r="L307" i="3" s="1"/>
  <c r="M307" i="3" s="1"/>
  <c r="K299" i="3"/>
  <c r="L299" i="3" s="1"/>
  <c r="M299" i="3" s="1"/>
  <c r="K291" i="3"/>
  <c r="L291" i="3" s="1"/>
  <c r="M291" i="3" s="1"/>
  <c r="K283" i="3"/>
  <c r="L283" i="3" s="1"/>
  <c r="M283" i="3" s="1"/>
  <c r="K275" i="3"/>
  <c r="L275" i="3" s="1"/>
  <c r="M275" i="3" s="1"/>
  <c r="K267" i="3"/>
  <c r="L267" i="3" s="1"/>
  <c r="M267" i="3" s="1"/>
  <c r="K262" i="3"/>
  <c r="L262" i="3" s="1"/>
  <c r="M262" i="3" s="1"/>
  <c r="K162" i="3"/>
  <c r="L162" i="3" s="1"/>
  <c r="M162" i="3" s="1"/>
  <c r="K643" i="3"/>
  <c r="L643" i="3" s="1"/>
  <c r="M643" i="3" s="1"/>
  <c r="K350" i="3"/>
  <c r="L350" i="3" s="1"/>
  <c r="M350" i="3" s="1"/>
  <c r="K342" i="3"/>
  <c r="L342" i="3" s="1"/>
  <c r="M342" i="3" s="1"/>
  <c r="K334" i="3"/>
  <c r="L334" i="3" s="1"/>
  <c r="M334" i="3" s="1"/>
  <c r="K326" i="3"/>
  <c r="L326" i="3" s="1"/>
  <c r="M326" i="3" s="1"/>
  <c r="K318" i="3"/>
  <c r="L318" i="3" s="1"/>
  <c r="M318" i="3" s="1"/>
  <c r="K310" i="3"/>
  <c r="L310" i="3" s="1"/>
  <c r="M310" i="3" s="1"/>
  <c r="K302" i="3"/>
  <c r="L302" i="3" s="1"/>
  <c r="M302" i="3" s="1"/>
  <c r="K294" i="3"/>
  <c r="L294" i="3" s="1"/>
  <c r="M294" i="3" s="1"/>
  <c r="K286" i="3"/>
  <c r="L286" i="3" s="1"/>
  <c r="M286" i="3" s="1"/>
  <c r="K278" i="3"/>
  <c r="L278" i="3" s="1"/>
  <c r="M278" i="3" s="1"/>
  <c r="K270" i="3"/>
  <c r="L270" i="3" s="1"/>
  <c r="M270" i="3" s="1"/>
  <c r="K260" i="3"/>
  <c r="L260" i="3" s="1"/>
  <c r="M260" i="3" s="1"/>
  <c r="K213" i="3"/>
  <c r="L213" i="3" s="1"/>
  <c r="M213" i="3" s="1"/>
  <c r="K195" i="3"/>
  <c r="L195" i="3" s="1"/>
  <c r="M195" i="3" s="1"/>
  <c r="K179" i="3"/>
  <c r="L179" i="3" s="1"/>
  <c r="M179" i="3" s="1"/>
  <c r="K169" i="3"/>
  <c r="L169" i="3" s="1"/>
  <c r="M169" i="3" s="1"/>
  <c r="K167" i="3"/>
  <c r="L167" i="3" s="1"/>
  <c r="M167" i="3" s="1"/>
  <c r="K157" i="3"/>
  <c r="L157" i="3" s="1"/>
  <c r="M157" i="3" s="1"/>
  <c r="K155" i="3"/>
  <c r="L155" i="3" s="1"/>
  <c r="M155" i="3" s="1"/>
  <c r="K128" i="3"/>
  <c r="L128" i="3" s="1"/>
  <c r="M128" i="3" s="1"/>
  <c r="K120" i="3"/>
  <c r="L120" i="3" s="1"/>
  <c r="M120" i="3" s="1"/>
  <c r="K115" i="3"/>
  <c r="L115" i="3" s="1"/>
  <c r="M115" i="3" s="1"/>
  <c r="K108" i="3"/>
  <c r="L108" i="3" s="1"/>
  <c r="M108" i="3" s="1"/>
  <c r="K99" i="3"/>
  <c r="L99" i="3" s="1"/>
  <c r="M99" i="3" s="1"/>
  <c r="K92" i="3"/>
  <c r="L92" i="3" s="1"/>
  <c r="M92" i="3" s="1"/>
  <c r="K76" i="3"/>
  <c r="L76" i="3" s="1"/>
  <c r="M76" i="3" s="1"/>
  <c r="K74" i="3"/>
  <c r="L74" i="3" s="1"/>
  <c r="M74" i="3" s="1"/>
  <c r="K33" i="3"/>
  <c r="L33" i="3" s="1"/>
  <c r="M33" i="3" s="1"/>
  <c r="K26" i="3"/>
  <c r="L26" i="3" s="1"/>
  <c r="M26" i="3" s="1"/>
  <c r="K518" i="3"/>
  <c r="L518" i="3" s="1"/>
  <c r="M518" i="3" s="1"/>
  <c r="K412" i="3"/>
  <c r="L412" i="3" s="1"/>
  <c r="M412" i="3" s="1"/>
  <c r="K402" i="3"/>
  <c r="L402" i="3" s="1"/>
  <c r="M402" i="3" s="1"/>
  <c r="K363" i="3"/>
  <c r="L363" i="3" s="1"/>
  <c r="M363" i="3" s="1"/>
  <c r="K222" i="3"/>
  <c r="L222" i="3" s="1"/>
  <c r="M222" i="3" s="1"/>
  <c r="K190" i="3"/>
  <c r="L190" i="3" s="1"/>
  <c r="M190" i="3" s="1"/>
  <c r="K146" i="3"/>
  <c r="L146" i="3" s="1"/>
  <c r="M146" i="3" s="1"/>
  <c r="K87" i="3"/>
  <c r="L87" i="3" s="1"/>
  <c r="M87" i="3" s="1"/>
  <c r="K67" i="3"/>
  <c r="L67" i="3" s="1"/>
  <c r="M67" i="3" s="1"/>
  <c r="K703" i="3"/>
  <c r="L703" i="3" s="1"/>
  <c r="M703" i="3" s="1"/>
  <c r="K698" i="3"/>
  <c r="L698" i="3" s="1"/>
  <c r="M698" i="3" s="1"/>
  <c r="K688" i="3"/>
  <c r="L688" i="3" s="1"/>
  <c r="M688" i="3" s="1"/>
  <c r="K686" i="3"/>
  <c r="L686" i="3" s="1"/>
  <c r="M686" i="3" s="1"/>
  <c r="K662" i="3"/>
  <c r="L662" i="3" s="1"/>
  <c r="M662" i="3" s="1"/>
  <c r="K660" i="3"/>
  <c r="L660" i="3" s="1"/>
  <c r="M660" i="3" s="1"/>
  <c r="K657" i="3"/>
  <c r="L657" i="3" s="1"/>
  <c r="M657" i="3" s="1"/>
  <c r="K647" i="3"/>
  <c r="L647" i="3" s="1"/>
  <c r="M647" i="3" s="1"/>
  <c r="K642" i="3"/>
  <c r="L642" i="3" s="1"/>
  <c r="M642" i="3" s="1"/>
  <c r="K640" i="3"/>
  <c r="L640" i="3" s="1"/>
  <c r="M640" i="3" s="1"/>
  <c r="K623" i="3"/>
  <c r="L623" i="3" s="1"/>
  <c r="M623" i="3" s="1"/>
  <c r="K618" i="3"/>
  <c r="L618" i="3" s="1"/>
  <c r="M618" i="3" s="1"/>
  <c r="K612" i="3"/>
  <c r="L612" i="3" s="1"/>
  <c r="M612" i="3" s="1"/>
  <c r="K602" i="3"/>
  <c r="L602" i="3" s="1"/>
  <c r="M602" i="3" s="1"/>
  <c r="K600" i="3"/>
  <c r="L600" i="3" s="1"/>
  <c r="M600" i="3" s="1"/>
  <c r="K579" i="3"/>
  <c r="L579" i="3" s="1"/>
  <c r="M579" i="3" s="1"/>
  <c r="K570" i="3"/>
  <c r="L570" i="3" s="1"/>
  <c r="M570" i="3" s="1"/>
  <c r="K568" i="3"/>
  <c r="L568" i="3" s="1"/>
  <c r="M568" i="3" s="1"/>
  <c r="K565" i="3"/>
  <c r="L565" i="3" s="1"/>
  <c r="M565" i="3" s="1"/>
  <c r="K550" i="3"/>
  <c r="L550" i="3" s="1"/>
  <c r="M550" i="3" s="1"/>
  <c r="K548" i="3"/>
  <c r="L548" i="3" s="1"/>
  <c r="M548" i="3" s="1"/>
  <c r="K546" i="3"/>
  <c r="L546" i="3" s="1"/>
  <c r="M546" i="3" s="1"/>
  <c r="K544" i="3"/>
  <c r="L544" i="3" s="1"/>
  <c r="M544" i="3" s="1"/>
  <c r="K530" i="3"/>
  <c r="L530" i="3" s="1"/>
  <c r="M530" i="3" s="1"/>
  <c r="K509" i="3"/>
  <c r="L509" i="3" s="1"/>
  <c r="M509" i="3" s="1"/>
  <c r="K507" i="3"/>
  <c r="L507" i="3" s="1"/>
  <c r="M507" i="3" s="1"/>
  <c r="K493" i="3"/>
  <c r="L493" i="3" s="1"/>
  <c r="M493" i="3" s="1"/>
  <c r="K491" i="3"/>
  <c r="L491" i="3" s="1"/>
  <c r="M491" i="3" s="1"/>
  <c r="K484" i="3"/>
  <c r="L484" i="3" s="1"/>
  <c r="M484" i="3" s="1"/>
  <c r="K479" i="3"/>
  <c r="L479" i="3" s="1"/>
  <c r="M479" i="3" s="1"/>
  <c r="K471" i="3"/>
  <c r="L471" i="3" s="1"/>
  <c r="M471" i="3" s="1"/>
  <c r="K453" i="3"/>
  <c r="L453" i="3" s="1"/>
  <c r="M453" i="3" s="1"/>
  <c r="K451" i="3"/>
  <c r="L451" i="3" s="1"/>
  <c r="M451" i="3" s="1"/>
  <c r="K443" i="3"/>
  <c r="L443" i="3" s="1"/>
  <c r="M443" i="3" s="1"/>
  <c r="K415" i="3"/>
  <c r="L415" i="3" s="1"/>
  <c r="M415" i="3" s="1"/>
  <c r="K407" i="3"/>
  <c r="L407" i="3" s="1"/>
  <c r="M407" i="3" s="1"/>
  <c r="K379" i="3"/>
  <c r="L379" i="3" s="1"/>
  <c r="M379" i="3" s="1"/>
  <c r="K366" i="3"/>
  <c r="L366" i="3" s="1"/>
  <c r="M366" i="3" s="1"/>
  <c r="K358" i="3"/>
  <c r="L358" i="3" s="1"/>
  <c r="M358" i="3" s="1"/>
  <c r="K356" i="3"/>
  <c r="L356" i="3" s="1"/>
  <c r="M356" i="3" s="1"/>
  <c r="K236" i="3"/>
  <c r="L236" i="3" s="1"/>
  <c r="M236" i="3" s="1"/>
  <c r="K224" i="3"/>
  <c r="L224" i="3" s="1"/>
  <c r="M224" i="3" s="1"/>
  <c r="K209" i="3"/>
  <c r="L209" i="3" s="1"/>
  <c r="M209" i="3" s="1"/>
  <c r="K202" i="3"/>
  <c r="L202" i="3" s="1"/>
  <c r="M202" i="3" s="1"/>
  <c r="K182" i="3"/>
  <c r="L182" i="3" s="1"/>
  <c r="M182" i="3" s="1"/>
  <c r="K42" i="3"/>
  <c r="L42" i="3" s="1"/>
  <c r="M42" i="3" s="1"/>
  <c r="K549" i="3"/>
  <c r="L549" i="3" s="1"/>
  <c r="M549" i="3" s="1"/>
  <c r="K524" i="3"/>
  <c r="L524" i="3" s="1"/>
  <c r="M524" i="3" s="1"/>
  <c r="K522" i="3"/>
  <c r="L522" i="3" s="1"/>
  <c r="M522" i="3" s="1"/>
  <c r="K520" i="3"/>
  <c r="L520" i="3" s="1"/>
  <c r="M520" i="3" s="1"/>
  <c r="K513" i="3"/>
  <c r="L513" i="3" s="1"/>
  <c r="M513" i="3" s="1"/>
  <c r="K511" i="3"/>
  <c r="L511" i="3" s="1"/>
  <c r="M511" i="3" s="1"/>
  <c r="K508" i="3"/>
  <c r="L508" i="3" s="1"/>
  <c r="M508" i="3" s="1"/>
  <c r="K497" i="3"/>
  <c r="L497" i="3" s="1"/>
  <c r="M497" i="3" s="1"/>
  <c r="K495" i="3"/>
  <c r="L495" i="3" s="1"/>
  <c r="M495" i="3" s="1"/>
  <c r="K492" i="3"/>
  <c r="L492" i="3" s="1"/>
  <c r="M492" i="3" s="1"/>
  <c r="K480" i="3"/>
  <c r="L480" i="3" s="1"/>
  <c r="M480" i="3" s="1"/>
  <c r="K463" i="3"/>
  <c r="L463" i="3" s="1"/>
  <c r="M463" i="3" s="1"/>
  <c r="K455" i="3"/>
  <c r="L455" i="3" s="1"/>
  <c r="M455" i="3" s="1"/>
  <c r="K437" i="3"/>
  <c r="L437" i="3" s="1"/>
  <c r="M437" i="3" s="1"/>
  <c r="K435" i="3"/>
  <c r="L435" i="3" s="1"/>
  <c r="M435" i="3" s="1"/>
  <c r="K427" i="3"/>
  <c r="L427" i="3" s="1"/>
  <c r="M427" i="3" s="1"/>
  <c r="K408" i="3"/>
  <c r="L408" i="3" s="1"/>
  <c r="M408" i="3" s="1"/>
  <c r="K399" i="3"/>
  <c r="L399" i="3" s="1"/>
  <c r="M399" i="3" s="1"/>
  <c r="K391" i="3"/>
  <c r="L391" i="3" s="1"/>
  <c r="M391" i="3" s="1"/>
  <c r="K247" i="3"/>
  <c r="L247" i="3" s="1"/>
  <c r="M247" i="3" s="1"/>
  <c r="K243" i="3"/>
  <c r="L243" i="3" s="1"/>
  <c r="M243" i="3" s="1"/>
  <c r="K241" i="3"/>
  <c r="L241" i="3" s="1"/>
  <c r="M241" i="3" s="1"/>
  <c r="K225" i="3"/>
  <c r="L225" i="3" s="1"/>
  <c r="M225" i="3" s="1"/>
  <c r="K193" i="3"/>
  <c r="L193" i="3" s="1"/>
  <c r="M193" i="3" s="1"/>
  <c r="K186" i="3"/>
  <c r="L186" i="3" s="1"/>
  <c r="M186" i="3" s="1"/>
  <c r="K135" i="3"/>
  <c r="L135" i="3" s="1"/>
  <c r="M135" i="3" s="1"/>
  <c r="K56" i="3"/>
  <c r="L56" i="3" s="1"/>
  <c r="M56" i="3" s="1"/>
  <c r="K47" i="3"/>
  <c r="L47" i="3" s="1"/>
  <c r="M47" i="3" s="1"/>
  <c r="K38" i="3"/>
  <c r="L38" i="3" s="1"/>
  <c r="M38" i="3" s="1"/>
  <c r="K37" i="3"/>
  <c r="L37" i="3" s="1"/>
  <c r="M37" i="3" s="1"/>
  <c r="K23" i="3"/>
  <c r="L23" i="3" s="1"/>
  <c r="M23" i="3" s="1"/>
  <c r="K19" i="3"/>
  <c r="L19" i="3" s="1"/>
  <c r="M19" i="3" s="1"/>
  <c r="K6" i="3"/>
  <c r="L6" i="3" s="1"/>
  <c r="M6" i="3" s="1"/>
  <c r="K691" i="3"/>
  <c r="L691" i="3" s="1"/>
  <c r="M691" i="3" s="1"/>
  <c r="K676" i="3"/>
  <c r="L676" i="3" s="1"/>
  <c r="M676" i="3" s="1"/>
  <c r="K667" i="3"/>
  <c r="L667" i="3" s="1"/>
  <c r="M667" i="3" s="1"/>
  <c r="K615" i="3"/>
  <c r="L615" i="3" s="1"/>
  <c r="M615" i="3" s="1"/>
  <c r="K575" i="3"/>
  <c r="L575" i="3" s="1"/>
  <c r="M575" i="3" s="1"/>
  <c r="K555" i="3"/>
  <c r="L555" i="3" s="1"/>
  <c r="M555" i="3" s="1"/>
  <c r="K523" i="3"/>
  <c r="L523" i="3" s="1"/>
  <c r="M523" i="3" s="1"/>
  <c r="K514" i="3"/>
  <c r="L514" i="3" s="1"/>
  <c r="M514" i="3" s="1"/>
  <c r="K498" i="3"/>
  <c r="L498" i="3" s="1"/>
  <c r="M498" i="3" s="1"/>
  <c r="K424" i="3"/>
  <c r="L424" i="3" s="1"/>
  <c r="M424" i="3" s="1"/>
  <c r="K418" i="3"/>
  <c r="L418" i="3" s="1"/>
  <c r="M418" i="3" s="1"/>
  <c r="K160" i="3"/>
  <c r="L160" i="3" s="1"/>
  <c r="M160" i="3" s="1"/>
  <c r="K131" i="3"/>
  <c r="L131" i="3" s="1"/>
  <c r="M131" i="3" s="1"/>
  <c r="K123" i="3"/>
  <c r="L123" i="3" s="1"/>
  <c r="M123" i="3" s="1"/>
  <c r="K105" i="3"/>
  <c r="L105" i="3" s="1"/>
  <c r="M105" i="3" s="1"/>
  <c r="K71" i="3"/>
  <c r="L71" i="3" s="1"/>
  <c r="M71" i="3" s="1"/>
  <c r="K66" i="3"/>
  <c r="L66" i="3" s="1"/>
  <c r="M66" i="3" s="1"/>
  <c r="K22" i="3"/>
  <c r="L22" i="3" s="1"/>
  <c r="M22" i="3" s="1"/>
  <c r="K10" i="3"/>
  <c r="L10" i="3" s="1"/>
  <c r="M10" i="3" s="1"/>
  <c r="K711" i="3"/>
  <c r="L711" i="3" s="1"/>
  <c r="M711" i="3" s="1"/>
  <c r="K706" i="3"/>
  <c r="L706" i="3" s="1"/>
  <c r="M706" i="3" s="1"/>
  <c r="K696" i="3"/>
  <c r="L696" i="3" s="1"/>
  <c r="M696" i="3" s="1"/>
  <c r="K694" i="3"/>
  <c r="L694" i="3" s="1"/>
  <c r="M694" i="3" s="1"/>
  <c r="K679" i="3"/>
  <c r="L679" i="3" s="1"/>
  <c r="M679" i="3" s="1"/>
  <c r="K674" i="3"/>
  <c r="L674" i="3" s="1"/>
  <c r="M674" i="3" s="1"/>
  <c r="K672" i="3"/>
  <c r="L672" i="3" s="1"/>
  <c r="M672" i="3" s="1"/>
  <c r="K658" i="3"/>
  <c r="L658" i="3" s="1"/>
  <c r="M658" i="3" s="1"/>
  <c r="K656" i="3"/>
  <c r="L656" i="3" s="1"/>
  <c r="M656" i="3" s="1"/>
  <c r="K654" i="3"/>
  <c r="L654" i="3" s="1"/>
  <c r="M654" i="3" s="1"/>
  <c r="K652" i="3"/>
  <c r="L652" i="3" s="1"/>
  <c r="M652" i="3" s="1"/>
  <c r="K628" i="3"/>
  <c r="L628" i="3" s="1"/>
  <c r="M628" i="3" s="1"/>
  <c r="K610" i="3"/>
  <c r="L610" i="3" s="1"/>
  <c r="M610" i="3" s="1"/>
  <c r="K608" i="3"/>
  <c r="L608" i="3" s="1"/>
  <c r="M608" i="3" s="1"/>
  <c r="K584" i="3"/>
  <c r="L584" i="3" s="1"/>
  <c r="M584" i="3" s="1"/>
  <c r="K571" i="3"/>
  <c r="L571" i="3" s="1"/>
  <c r="M571" i="3" s="1"/>
  <c r="K566" i="3"/>
  <c r="L566" i="3" s="1"/>
  <c r="M566" i="3" s="1"/>
  <c r="K564" i="3"/>
  <c r="L564" i="3" s="1"/>
  <c r="M564" i="3" s="1"/>
  <c r="K562" i="3"/>
  <c r="L562" i="3" s="1"/>
  <c r="M562" i="3" s="1"/>
  <c r="K560" i="3"/>
  <c r="L560" i="3" s="1"/>
  <c r="M560" i="3" s="1"/>
  <c r="K531" i="3"/>
  <c r="L531" i="3" s="1"/>
  <c r="M531" i="3" s="1"/>
  <c r="K469" i="3"/>
  <c r="L469" i="3" s="1"/>
  <c r="M469" i="3" s="1"/>
  <c r="K467" i="3"/>
  <c r="L467" i="3" s="1"/>
  <c r="M467" i="3" s="1"/>
  <c r="K459" i="3"/>
  <c r="L459" i="3" s="1"/>
  <c r="M459" i="3" s="1"/>
  <c r="K423" i="3"/>
  <c r="L423" i="3" s="1"/>
  <c r="M423" i="3" s="1"/>
  <c r="K395" i="3"/>
  <c r="L395" i="3" s="1"/>
  <c r="M395" i="3" s="1"/>
  <c r="K380" i="3"/>
  <c r="L380" i="3" s="1"/>
  <c r="M380" i="3" s="1"/>
  <c r="K263" i="3"/>
  <c r="L263" i="3" s="1"/>
  <c r="M263" i="3" s="1"/>
  <c r="K259" i="3"/>
  <c r="L259" i="3" s="1"/>
  <c r="M259" i="3" s="1"/>
  <c r="K257" i="3"/>
  <c r="L257" i="3" s="1"/>
  <c r="M257" i="3" s="1"/>
  <c r="K250" i="3"/>
  <c r="L250" i="3" s="1"/>
  <c r="M250" i="3" s="1"/>
  <c r="K248" i="3"/>
  <c r="L248" i="3" s="1"/>
  <c r="M248" i="3" s="1"/>
  <c r="K246" i="3"/>
  <c r="L246" i="3" s="1"/>
  <c r="M246" i="3" s="1"/>
  <c r="K244" i="3"/>
  <c r="L244" i="3" s="1"/>
  <c r="M244" i="3" s="1"/>
  <c r="K154" i="3"/>
  <c r="L154" i="3" s="1"/>
  <c r="M154" i="3" s="1"/>
  <c r="K149" i="3"/>
  <c r="L149" i="3" s="1"/>
  <c r="M149" i="3" s="1"/>
  <c r="K147" i="3"/>
  <c r="L147" i="3" s="1"/>
  <c r="M147" i="3" s="1"/>
  <c r="K117" i="3"/>
  <c r="L117" i="3" s="1"/>
  <c r="M117" i="3" s="1"/>
  <c r="K111" i="3"/>
  <c r="L111" i="3" s="1"/>
  <c r="M111" i="3" s="1"/>
  <c r="K104" i="3"/>
  <c r="L104" i="3" s="1"/>
  <c r="M104" i="3" s="1"/>
  <c r="K95" i="3"/>
  <c r="L95" i="3" s="1"/>
  <c r="M95" i="3" s="1"/>
  <c r="K88" i="3"/>
  <c r="L88" i="3" s="1"/>
  <c r="M88" i="3" s="1"/>
  <c r="K72" i="3"/>
  <c r="L72" i="3" s="1"/>
  <c r="M72" i="3" s="1"/>
  <c r="K39" i="3"/>
  <c r="L39" i="3" s="1"/>
  <c r="M39" i="3" s="1"/>
  <c r="K20" i="3"/>
  <c r="L20" i="3" s="1"/>
  <c r="M20" i="3" s="1"/>
  <c r="K649" i="3"/>
  <c r="L649" i="3" s="1"/>
  <c r="M649" i="3" s="1"/>
  <c r="K625" i="3"/>
  <c r="L625" i="3" s="1"/>
  <c r="M625" i="3" s="1"/>
  <c r="K581" i="3"/>
  <c r="L581" i="3" s="1"/>
  <c r="M581" i="3" s="1"/>
  <c r="K707" i="3"/>
  <c r="L707" i="3" s="1"/>
  <c r="M707" i="3" s="1"/>
  <c r="K639" i="3"/>
  <c r="L639" i="3" s="1"/>
  <c r="M639" i="3" s="1"/>
  <c r="K636" i="3"/>
  <c r="L636" i="3" s="1"/>
  <c r="M636" i="3" s="1"/>
  <c r="K626" i="3"/>
  <c r="L626" i="3" s="1"/>
  <c r="M626" i="3" s="1"/>
  <c r="K624" i="3"/>
  <c r="L624" i="3" s="1"/>
  <c r="M624" i="3" s="1"/>
  <c r="K622" i="3"/>
  <c r="L622" i="3" s="1"/>
  <c r="M622" i="3" s="1"/>
  <c r="K599" i="3"/>
  <c r="L599" i="3" s="1"/>
  <c r="M599" i="3" s="1"/>
  <c r="K594" i="3"/>
  <c r="L594" i="3" s="1"/>
  <c r="M594" i="3" s="1"/>
  <c r="K592" i="3"/>
  <c r="L592" i="3" s="1"/>
  <c r="M592" i="3" s="1"/>
  <c r="K582" i="3"/>
  <c r="L582" i="3" s="1"/>
  <c r="M582" i="3" s="1"/>
  <c r="K580" i="3"/>
  <c r="L580" i="3" s="1"/>
  <c r="M580" i="3" s="1"/>
  <c r="K578" i="3"/>
  <c r="L578" i="3" s="1"/>
  <c r="M578" i="3" s="1"/>
  <c r="K576" i="3"/>
  <c r="L576" i="3" s="1"/>
  <c r="M576" i="3" s="1"/>
  <c r="K547" i="3"/>
  <c r="L547" i="3" s="1"/>
  <c r="M547" i="3" s="1"/>
  <c r="K543" i="3"/>
  <c r="L543" i="3" s="1"/>
  <c r="M543" i="3" s="1"/>
  <c r="K538" i="3"/>
  <c r="L538" i="3" s="1"/>
  <c r="M538" i="3" s="1"/>
  <c r="K536" i="3"/>
  <c r="L536" i="3" s="1"/>
  <c r="M536" i="3" s="1"/>
  <c r="K533" i="3"/>
  <c r="L533" i="3" s="1"/>
  <c r="M533" i="3" s="1"/>
  <c r="K529" i="3"/>
  <c r="L529" i="3" s="1"/>
  <c r="M529" i="3" s="1"/>
  <c r="K521" i="3"/>
  <c r="L521" i="3" s="1"/>
  <c r="M521" i="3" s="1"/>
  <c r="K519" i="3"/>
  <c r="L519" i="3" s="1"/>
  <c r="M519" i="3" s="1"/>
  <c r="K512" i="3"/>
  <c r="L512" i="3" s="1"/>
  <c r="M512" i="3" s="1"/>
  <c r="K503" i="3"/>
  <c r="L503" i="3" s="1"/>
  <c r="M503" i="3" s="1"/>
  <c r="K500" i="3"/>
  <c r="L500" i="3" s="1"/>
  <c r="M500" i="3" s="1"/>
  <c r="K496" i="3"/>
  <c r="L496" i="3" s="1"/>
  <c r="M496" i="3" s="1"/>
  <c r="K487" i="3"/>
  <c r="L487" i="3" s="1"/>
  <c r="M487" i="3" s="1"/>
  <c r="K431" i="3"/>
  <c r="L431" i="3" s="1"/>
  <c r="M431" i="3" s="1"/>
  <c r="K712" i="3"/>
  <c r="L712" i="3" s="1"/>
  <c r="M712" i="3" s="1"/>
  <c r="K710" i="3"/>
  <c r="L710" i="3" s="1"/>
  <c r="M710" i="3" s="1"/>
  <c r="K695" i="3"/>
  <c r="L695" i="3" s="1"/>
  <c r="M695" i="3" s="1"/>
  <c r="K690" i="3"/>
  <c r="L690" i="3" s="1"/>
  <c r="M690" i="3" s="1"/>
  <c r="K683" i="3"/>
  <c r="L683" i="3" s="1"/>
  <c r="M683" i="3" s="1"/>
  <c r="K680" i="3"/>
  <c r="L680" i="3" s="1"/>
  <c r="M680" i="3" s="1"/>
  <c r="K678" i="3"/>
  <c r="L678" i="3" s="1"/>
  <c r="M678" i="3" s="1"/>
  <c r="K675" i="3"/>
  <c r="L675" i="3" s="1"/>
  <c r="M675" i="3" s="1"/>
  <c r="K655" i="3"/>
  <c r="L655" i="3" s="1"/>
  <c r="M655" i="3" s="1"/>
  <c r="K644" i="3"/>
  <c r="L644" i="3" s="1"/>
  <c r="M644" i="3" s="1"/>
  <c r="K634" i="3"/>
  <c r="L634" i="3" s="1"/>
  <c r="M634" i="3" s="1"/>
  <c r="K632" i="3"/>
  <c r="L632" i="3" s="1"/>
  <c r="M632" i="3" s="1"/>
  <c r="K607" i="3"/>
  <c r="L607" i="3" s="1"/>
  <c r="M607" i="3" s="1"/>
  <c r="K604" i="3"/>
  <c r="L604" i="3" s="1"/>
  <c r="M604" i="3" s="1"/>
  <c r="K595" i="3"/>
  <c r="L595" i="3" s="1"/>
  <c r="M595" i="3" s="1"/>
  <c r="K590" i="3"/>
  <c r="L590" i="3" s="1"/>
  <c r="M590" i="3" s="1"/>
  <c r="K588" i="3"/>
  <c r="L588" i="3" s="1"/>
  <c r="M588" i="3" s="1"/>
  <c r="K563" i="3"/>
  <c r="L563" i="3" s="1"/>
  <c r="M563" i="3" s="1"/>
  <c r="K559" i="3"/>
  <c r="L559" i="3" s="1"/>
  <c r="M559" i="3" s="1"/>
  <c r="K554" i="3"/>
  <c r="L554" i="3" s="1"/>
  <c r="M554" i="3" s="1"/>
  <c r="K552" i="3"/>
  <c r="L552" i="3" s="1"/>
  <c r="M552" i="3" s="1"/>
  <c r="K539" i="3"/>
  <c r="L539" i="3" s="1"/>
  <c r="M539" i="3" s="1"/>
  <c r="K534" i="3"/>
  <c r="L534" i="3" s="1"/>
  <c r="M534" i="3" s="1"/>
  <c r="K532" i="3"/>
  <c r="L532" i="3" s="1"/>
  <c r="M532" i="3" s="1"/>
  <c r="K525" i="3"/>
  <c r="L525" i="3" s="1"/>
  <c r="M525" i="3" s="1"/>
  <c r="K506" i="3"/>
  <c r="L506" i="3" s="1"/>
  <c r="M506" i="3" s="1"/>
  <c r="K501" i="3"/>
  <c r="L501" i="3" s="1"/>
  <c r="M501" i="3" s="1"/>
  <c r="K499" i="3"/>
  <c r="L499" i="3" s="1"/>
  <c r="M499" i="3" s="1"/>
  <c r="K490" i="3"/>
  <c r="L490" i="3" s="1"/>
  <c r="M490" i="3" s="1"/>
  <c r="K485" i="3"/>
  <c r="L485" i="3" s="1"/>
  <c r="M485" i="3" s="1"/>
  <c r="K483" i="3"/>
  <c r="L483" i="3" s="1"/>
  <c r="M483" i="3" s="1"/>
  <c r="K478" i="3"/>
  <c r="L478" i="3" s="1"/>
  <c r="M478" i="3" s="1"/>
  <c r="K447" i="3"/>
  <c r="L447" i="3" s="1"/>
  <c r="M447" i="3" s="1"/>
  <c r="K439" i="3"/>
  <c r="L439" i="3" s="1"/>
  <c r="M439" i="3" s="1"/>
  <c r="K421" i="3"/>
  <c r="L421" i="3" s="1"/>
  <c r="M421" i="3" s="1"/>
  <c r="K419" i="3"/>
  <c r="L419" i="3" s="1"/>
  <c r="M419" i="3" s="1"/>
  <c r="K405" i="3"/>
  <c r="L405" i="3" s="1"/>
  <c r="M405" i="3" s="1"/>
  <c r="K403" i="3"/>
  <c r="L403" i="3" s="1"/>
  <c r="M403" i="3" s="1"/>
  <c r="K389" i="3"/>
  <c r="L389" i="3" s="1"/>
  <c r="M389" i="3" s="1"/>
  <c r="K387" i="3"/>
  <c r="L387" i="3" s="1"/>
  <c r="M387" i="3" s="1"/>
  <c r="K368" i="3"/>
  <c r="L368" i="3" s="1"/>
  <c r="M368" i="3" s="1"/>
  <c r="K360" i="3"/>
  <c r="L360" i="3" s="1"/>
  <c r="M360" i="3" s="1"/>
  <c r="K357" i="3"/>
  <c r="L357" i="3" s="1"/>
  <c r="M357" i="3" s="1"/>
  <c r="K349" i="3"/>
  <c r="L349" i="3" s="1"/>
  <c r="M349" i="3" s="1"/>
  <c r="K341" i="3"/>
  <c r="L341" i="3" s="1"/>
  <c r="M341" i="3" s="1"/>
  <c r="K333" i="3"/>
  <c r="L333" i="3" s="1"/>
  <c r="M333" i="3" s="1"/>
  <c r="K325" i="3"/>
  <c r="L325" i="3" s="1"/>
  <c r="M325" i="3" s="1"/>
  <c r="K317" i="3"/>
  <c r="L317" i="3" s="1"/>
  <c r="M317" i="3" s="1"/>
  <c r="K309" i="3"/>
  <c r="L309" i="3" s="1"/>
  <c r="M309" i="3" s="1"/>
  <c r="K301" i="3"/>
  <c r="L301" i="3" s="1"/>
  <c r="M301" i="3" s="1"/>
  <c r="K293" i="3"/>
  <c r="L293" i="3" s="1"/>
  <c r="M293" i="3" s="1"/>
  <c r="K285" i="3"/>
  <c r="L285" i="3" s="1"/>
  <c r="M285" i="3" s="1"/>
  <c r="K277" i="3"/>
  <c r="L277" i="3" s="1"/>
  <c r="M277" i="3" s="1"/>
  <c r="K269" i="3"/>
  <c r="L269" i="3" s="1"/>
  <c r="M269" i="3" s="1"/>
  <c r="K251" i="3"/>
  <c r="L251" i="3" s="1"/>
  <c r="M251" i="3" s="1"/>
  <c r="K228" i="3"/>
  <c r="L228" i="3" s="1"/>
  <c r="M228" i="3" s="1"/>
  <c r="K216" i="3"/>
  <c r="L216" i="3" s="1"/>
  <c r="M216" i="3" s="1"/>
  <c r="K192" i="3"/>
  <c r="L192" i="3" s="1"/>
  <c r="M192" i="3" s="1"/>
  <c r="K177" i="3"/>
  <c r="L177" i="3" s="1"/>
  <c r="M177" i="3" s="1"/>
  <c r="K153" i="3"/>
  <c r="L153" i="3" s="1"/>
  <c r="M153" i="3" s="1"/>
  <c r="K151" i="3"/>
  <c r="L151" i="3" s="1"/>
  <c r="M151" i="3" s="1"/>
  <c r="K148" i="3"/>
  <c r="L148" i="3" s="1"/>
  <c r="M148" i="3" s="1"/>
  <c r="K140" i="3"/>
  <c r="L140" i="3" s="1"/>
  <c r="M140" i="3" s="1"/>
  <c r="K125" i="3"/>
  <c r="L125" i="3" s="1"/>
  <c r="M125" i="3" s="1"/>
  <c r="K101" i="3"/>
  <c r="L101" i="3" s="1"/>
  <c r="M101" i="3" s="1"/>
  <c r="K58" i="3"/>
  <c r="L58" i="3" s="1"/>
  <c r="M58" i="3" s="1"/>
  <c r="K35" i="3"/>
  <c r="L35" i="3" s="1"/>
  <c r="M35" i="3" s="1"/>
  <c r="K7" i="3"/>
  <c r="L7" i="3" s="1"/>
  <c r="M7" i="3" s="1"/>
  <c r="K464" i="3"/>
  <c r="L464" i="3" s="1"/>
  <c r="M464" i="3" s="1"/>
  <c r="K462" i="3"/>
  <c r="L462" i="3" s="1"/>
  <c r="M462" i="3" s="1"/>
  <c r="K448" i="3"/>
  <c r="L448" i="3" s="1"/>
  <c r="M448" i="3" s="1"/>
  <c r="K446" i="3"/>
  <c r="L446" i="3" s="1"/>
  <c r="M446" i="3" s="1"/>
  <c r="K432" i="3"/>
  <c r="L432" i="3" s="1"/>
  <c r="M432" i="3" s="1"/>
  <c r="K430" i="3"/>
  <c r="L430" i="3" s="1"/>
  <c r="M430" i="3" s="1"/>
  <c r="K416" i="3"/>
  <c r="L416" i="3" s="1"/>
  <c r="M416" i="3" s="1"/>
  <c r="K414" i="3"/>
  <c r="L414" i="3" s="1"/>
  <c r="M414" i="3" s="1"/>
  <c r="K400" i="3"/>
  <c r="L400" i="3" s="1"/>
  <c r="M400" i="3" s="1"/>
  <c r="K398" i="3"/>
  <c r="L398" i="3" s="1"/>
  <c r="M398" i="3" s="1"/>
  <c r="K384" i="3"/>
  <c r="L384" i="3" s="1"/>
  <c r="M384" i="3" s="1"/>
  <c r="K382" i="3"/>
  <c r="L382" i="3" s="1"/>
  <c r="M382" i="3" s="1"/>
  <c r="K365" i="3"/>
  <c r="L365" i="3" s="1"/>
  <c r="M365" i="3" s="1"/>
  <c r="K258" i="3"/>
  <c r="L258" i="3" s="1"/>
  <c r="M258" i="3" s="1"/>
  <c r="K256" i="3"/>
  <c r="L256" i="3" s="1"/>
  <c r="M256" i="3" s="1"/>
  <c r="K249" i="3"/>
  <c r="L249" i="3" s="1"/>
  <c r="M249" i="3" s="1"/>
  <c r="K242" i="3"/>
  <c r="L242" i="3" s="1"/>
  <c r="M242" i="3" s="1"/>
  <c r="K240" i="3"/>
  <c r="L240" i="3" s="1"/>
  <c r="M240" i="3" s="1"/>
  <c r="K233" i="3"/>
  <c r="L233" i="3" s="1"/>
  <c r="M233" i="3" s="1"/>
  <c r="K226" i="3"/>
  <c r="L226" i="3" s="1"/>
  <c r="M226" i="3" s="1"/>
  <c r="K210" i="3"/>
  <c r="L210" i="3" s="1"/>
  <c r="M210" i="3" s="1"/>
  <c r="K194" i="3"/>
  <c r="L194" i="3" s="1"/>
  <c r="M194" i="3" s="1"/>
  <c r="K178" i="3"/>
  <c r="L178" i="3" s="1"/>
  <c r="M178" i="3" s="1"/>
  <c r="K170" i="3"/>
  <c r="L170" i="3" s="1"/>
  <c r="M170" i="3" s="1"/>
  <c r="K164" i="3"/>
  <c r="L164" i="3" s="1"/>
  <c r="M164" i="3" s="1"/>
  <c r="K137" i="3"/>
  <c r="L137" i="3" s="1"/>
  <c r="M137" i="3" s="1"/>
  <c r="K127" i="3"/>
  <c r="L127" i="3" s="1"/>
  <c r="M127" i="3" s="1"/>
  <c r="K119" i="3"/>
  <c r="L119" i="3" s="1"/>
  <c r="M119" i="3" s="1"/>
  <c r="K113" i="3"/>
  <c r="L113" i="3" s="1"/>
  <c r="M113" i="3" s="1"/>
  <c r="K97" i="3"/>
  <c r="L97" i="3" s="1"/>
  <c r="M97" i="3" s="1"/>
  <c r="K79" i="3"/>
  <c r="L79" i="3" s="1"/>
  <c r="M79" i="3" s="1"/>
  <c r="K64" i="3"/>
  <c r="L64" i="3" s="1"/>
  <c r="M64" i="3" s="1"/>
  <c r="K62" i="3"/>
  <c r="L62" i="3" s="1"/>
  <c r="M62" i="3" s="1"/>
  <c r="K59" i="3"/>
  <c r="L59" i="3" s="1"/>
  <c r="M59" i="3" s="1"/>
  <c r="K55" i="3"/>
  <c r="L55" i="3" s="1"/>
  <c r="M55" i="3" s="1"/>
  <c r="K51" i="3"/>
  <c r="L51" i="3" s="1"/>
  <c r="M51" i="3" s="1"/>
  <c r="K31" i="3"/>
  <c r="L31" i="3" s="1"/>
  <c r="M31" i="3" s="1"/>
  <c r="K482" i="3"/>
  <c r="L482" i="3" s="1"/>
  <c r="M482" i="3" s="1"/>
  <c r="K476" i="3"/>
  <c r="L476" i="3" s="1"/>
  <c r="M476" i="3" s="1"/>
  <c r="K473" i="3"/>
  <c r="L473" i="3" s="1"/>
  <c r="M473" i="3" s="1"/>
  <c r="K472" i="3"/>
  <c r="L472" i="3" s="1"/>
  <c r="M472" i="3" s="1"/>
  <c r="K468" i="3"/>
  <c r="L468" i="3" s="1"/>
  <c r="M468" i="3" s="1"/>
  <c r="K466" i="3"/>
  <c r="L466" i="3" s="1"/>
  <c r="M466" i="3" s="1"/>
  <c r="K460" i="3"/>
  <c r="L460" i="3" s="1"/>
  <c r="M460" i="3" s="1"/>
  <c r="K457" i="3"/>
  <c r="L457" i="3" s="1"/>
  <c r="M457" i="3" s="1"/>
  <c r="K456" i="3"/>
  <c r="L456" i="3" s="1"/>
  <c r="M456" i="3" s="1"/>
  <c r="K452" i="3"/>
  <c r="L452" i="3" s="1"/>
  <c r="M452" i="3" s="1"/>
  <c r="K450" i="3"/>
  <c r="L450" i="3" s="1"/>
  <c r="M450" i="3" s="1"/>
  <c r="K444" i="3"/>
  <c r="L444" i="3" s="1"/>
  <c r="M444" i="3" s="1"/>
  <c r="K441" i="3"/>
  <c r="L441" i="3" s="1"/>
  <c r="M441" i="3" s="1"/>
  <c r="K440" i="3"/>
  <c r="L440" i="3" s="1"/>
  <c r="M440" i="3" s="1"/>
  <c r="K436" i="3"/>
  <c r="L436" i="3" s="1"/>
  <c r="M436" i="3" s="1"/>
  <c r="K434" i="3"/>
  <c r="L434" i="3" s="1"/>
  <c r="M434" i="3" s="1"/>
  <c r="K428" i="3"/>
  <c r="L428" i="3" s="1"/>
  <c r="M428" i="3" s="1"/>
  <c r="K425" i="3"/>
  <c r="L425" i="3" s="1"/>
  <c r="M425" i="3" s="1"/>
  <c r="K420" i="3"/>
  <c r="L420" i="3" s="1"/>
  <c r="M420" i="3" s="1"/>
  <c r="K409" i="3"/>
  <c r="L409" i="3" s="1"/>
  <c r="M409" i="3" s="1"/>
  <c r="K404" i="3"/>
  <c r="L404" i="3" s="1"/>
  <c r="M404" i="3" s="1"/>
  <c r="K393" i="3"/>
  <c r="L393" i="3" s="1"/>
  <c r="M393" i="3" s="1"/>
  <c r="K392" i="3"/>
  <c r="L392" i="3" s="1"/>
  <c r="M392" i="3" s="1"/>
  <c r="K388" i="3"/>
  <c r="L388" i="3" s="1"/>
  <c r="M388" i="3" s="1"/>
  <c r="K377" i="3"/>
  <c r="L377" i="3" s="1"/>
  <c r="M377" i="3" s="1"/>
  <c r="K376" i="3"/>
  <c r="L376" i="3" s="1"/>
  <c r="M376" i="3" s="1"/>
  <c r="K372" i="3"/>
  <c r="L372" i="3" s="1"/>
  <c r="M372" i="3" s="1"/>
  <c r="K346" i="3"/>
  <c r="L346" i="3" s="1"/>
  <c r="M346" i="3" s="1"/>
  <c r="K338" i="3"/>
  <c r="L338" i="3" s="1"/>
  <c r="M338" i="3" s="1"/>
  <c r="K330" i="3"/>
  <c r="L330" i="3" s="1"/>
  <c r="M330" i="3" s="1"/>
  <c r="K322" i="3"/>
  <c r="L322" i="3" s="1"/>
  <c r="M322" i="3" s="1"/>
  <c r="K314" i="3"/>
  <c r="L314" i="3" s="1"/>
  <c r="M314" i="3" s="1"/>
  <c r="K306" i="3"/>
  <c r="L306" i="3" s="1"/>
  <c r="M306" i="3" s="1"/>
  <c r="K298" i="3"/>
  <c r="L298" i="3" s="1"/>
  <c r="M298" i="3" s="1"/>
  <c r="K290" i="3"/>
  <c r="L290" i="3" s="1"/>
  <c r="M290" i="3" s="1"/>
  <c r="K282" i="3"/>
  <c r="L282" i="3" s="1"/>
  <c r="M282" i="3" s="1"/>
  <c r="K274" i="3"/>
  <c r="L274" i="3" s="1"/>
  <c r="M274" i="3" s="1"/>
  <c r="K266" i="3"/>
  <c r="L266" i="3" s="1"/>
  <c r="M266" i="3" s="1"/>
  <c r="K261" i="3"/>
  <c r="L261" i="3" s="1"/>
  <c r="M261" i="3" s="1"/>
  <c r="K254" i="3"/>
  <c r="L254" i="3" s="1"/>
  <c r="M254" i="3" s="1"/>
  <c r="K252" i="3"/>
  <c r="L252" i="3" s="1"/>
  <c r="M252" i="3" s="1"/>
  <c r="K245" i="3"/>
  <c r="L245" i="3" s="1"/>
  <c r="M245" i="3" s="1"/>
  <c r="K238" i="3"/>
  <c r="L238" i="3" s="1"/>
  <c r="M238" i="3" s="1"/>
  <c r="K231" i="3"/>
  <c r="L231" i="3" s="1"/>
  <c r="M231" i="3" s="1"/>
  <c r="K229" i="3"/>
  <c r="L229" i="3" s="1"/>
  <c r="M229" i="3" s="1"/>
  <c r="K219" i="3"/>
  <c r="L219" i="3" s="1"/>
  <c r="M219" i="3" s="1"/>
  <c r="K217" i="3"/>
  <c r="L217" i="3" s="1"/>
  <c r="M217" i="3" s="1"/>
  <c r="K205" i="3"/>
  <c r="L205" i="3" s="1"/>
  <c r="M205" i="3" s="1"/>
  <c r="K203" i="3"/>
  <c r="L203" i="3" s="1"/>
  <c r="M203" i="3" s="1"/>
  <c r="K199" i="3"/>
  <c r="L199" i="3" s="1"/>
  <c r="M199" i="3" s="1"/>
  <c r="K196" i="3"/>
  <c r="L196" i="3" s="1"/>
  <c r="M196" i="3" s="1"/>
  <c r="K189" i="3"/>
  <c r="L189" i="3" s="1"/>
  <c r="M189" i="3" s="1"/>
  <c r="K187" i="3"/>
  <c r="L187" i="3" s="1"/>
  <c r="M187" i="3" s="1"/>
  <c r="K183" i="3"/>
  <c r="L183" i="3" s="1"/>
  <c r="M183" i="3" s="1"/>
  <c r="K180" i="3"/>
  <c r="L180" i="3" s="1"/>
  <c r="M180" i="3" s="1"/>
  <c r="K173" i="3"/>
  <c r="L173" i="3" s="1"/>
  <c r="M173" i="3" s="1"/>
  <c r="K171" i="3"/>
  <c r="L171" i="3" s="1"/>
  <c r="M171" i="3" s="1"/>
  <c r="K165" i="3"/>
  <c r="L165" i="3" s="1"/>
  <c r="M165" i="3" s="1"/>
  <c r="K163" i="3"/>
  <c r="L163" i="3" s="1"/>
  <c r="M163" i="3" s="1"/>
  <c r="K145" i="3"/>
  <c r="L145" i="3" s="1"/>
  <c r="M145" i="3" s="1"/>
  <c r="K136" i="3"/>
  <c r="L136" i="3" s="1"/>
  <c r="M136" i="3" s="1"/>
  <c r="K129" i="3"/>
  <c r="L129" i="3" s="1"/>
  <c r="M129" i="3" s="1"/>
  <c r="K121" i="3"/>
  <c r="L121" i="3" s="1"/>
  <c r="M121" i="3" s="1"/>
  <c r="K112" i="3"/>
  <c r="L112" i="3" s="1"/>
  <c r="M112" i="3" s="1"/>
  <c r="K109" i="3"/>
  <c r="L109" i="3" s="1"/>
  <c r="M109" i="3" s="1"/>
  <c r="K103" i="3"/>
  <c r="L103" i="3" s="1"/>
  <c r="M103" i="3" s="1"/>
  <c r="K96" i="3"/>
  <c r="L96" i="3" s="1"/>
  <c r="M96" i="3" s="1"/>
  <c r="K93" i="3"/>
  <c r="L93" i="3" s="1"/>
  <c r="M93" i="3" s="1"/>
  <c r="K80" i="3"/>
  <c r="L80" i="3" s="1"/>
  <c r="M80" i="3" s="1"/>
  <c r="K65" i="3"/>
  <c r="L65" i="3" s="1"/>
  <c r="M65" i="3" s="1"/>
  <c r="K63" i="3"/>
  <c r="L63" i="3" s="1"/>
  <c r="M63" i="3" s="1"/>
  <c r="K54" i="3"/>
  <c r="L54" i="3" s="1"/>
  <c r="M54" i="3" s="1"/>
  <c r="K50" i="3"/>
  <c r="L50" i="3" s="1"/>
  <c r="M50" i="3" s="1"/>
  <c r="K669" i="3"/>
  <c r="L669" i="3" s="1"/>
  <c r="M669" i="3" s="1"/>
  <c r="K633" i="3"/>
  <c r="L633" i="3" s="1"/>
  <c r="M633" i="3" s="1"/>
  <c r="K609" i="3"/>
  <c r="L609" i="3" s="1"/>
  <c r="M609" i="3" s="1"/>
  <c r="K601" i="3"/>
  <c r="L601" i="3" s="1"/>
  <c r="M601" i="3" s="1"/>
  <c r="K589" i="3"/>
  <c r="L589" i="3" s="1"/>
  <c r="M589" i="3" s="1"/>
  <c r="K528" i="3"/>
  <c r="L528" i="3" s="1"/>
  <c r="M528" i="3" s="1"/>
  <c r="K527" i="3"/>
  <c r="L527" i="3" s="1"/>
  <c r="M527" i="3" s="1"/>
  <c r="K709" i="3"/>
  <c r="L709" i="3" s="1"/>
  <c r="M709" i="3" s="1"/>
  <c r="K701" i="3"/>
  <c r="L701" i="3" s="1"/>
  <c r="M701" i="3" s="1"/>
  <c r="K693" i="3"/>
  <c r="L693" i="3" s="1"/>
  <c r="M693" i="3" s="1"/>
  <c r="K685" i="3"/>
  <c r="L685" i="3" s="1"/>
  <c r="M685" i="3" s="1"/>
  <c r="K677" i="3"/>
  <c r="L677" i="3" s="1"/>
  <c r="M677" i="3" s="1"/>
  <c r="K671" i="3"/>
  <c r="L671" i="3" s="1"/>
  <c r="M671" i="3" s="1"/>
  <c r="K665" i="3"/>
  <c r="L665" i="3" s="1"/>
  <c r="M665" i="3" s="1"/>
  <c r="K659" i="3"/>
  <c r="L659" i="3" s="1"/>
  <c r="M659" i="3" s="1"/>
  <c r="K651" i="3"/>
  <c r="L651" i="3" s="1"/>
  <c r="M651" i="3" s="1"/>
  <c r="K645" i="3"/>
  <c r="L645" i="3" s="1"/>
  <c r="M645" i="3" s="1"/>
  <c r="K635" i="3"/>
  <c r="L635" i="3" s="1"/>
  <c r="M635" i="3" s="1"/>
  <c r="K627" i="3"/>
  <c r="L627" i="3" s="1"/>
  <c r="M627" i="3" s="1"/>
  <c r="K621" i="3"/>
  <c r="L621" i="3" s="1"/>
  <c r="M621" i="3" s="1"/>
  <c r="K611" i="3"/>
  <c r="L611" i="3" s="1"/>
  <c r="M611" i="3" s="1"/>
  <c r="K603" i="3"/>
  <c r="L603" i="3" s="1"/>
  <c r="M603" i="3" s="1"/>
  <c r="K597" i="3"/>
  <c r="L597" i="3" s="1"/>
  <c r="M597" i="3" s="1"/>
  <c r="K591" i="3"/>
  <c r="L591" i="3" s="1"/>
  <c r="M591" i="3" s="1"/>
  <c r="K583" i="3"/>
  <c r="L583" i="3" s="1"/>
  <c r="M583" i="3" s="1"/>
  <c r="K573" i="3"/>
  <c r="L573" i="3" s="1"/>
  <c r="M573" i="3" s="1"/>
  <c r="K567" i="3"/>
  <c r="L567" i="3" s="1"/>
  <c r="M567" i="3" s="1"/>
  <c r="K557" i="3"/>
  <c r="L557" i="3" s="1"/>
  <c r="M557" i="3" s="1"/>
  <c r="K551" i="3"/>
  <c r="L551" i="3" s="1"/>
  <c r="M551" i="3" s="1"/>
  <c r="K541" i="3"/>
  <c r="L541" i="3" s="1"/>
  <c r="M541" i="3" s="1"/>
  <c r="K535" i="3"/>
  <c r="L535" i="3" s="1"/>
  <c r="M535" i="3" s="1"/>
  <c r="K526" i="3"/>
  <c r="L526" i="3" s="1"/>
  <c r="M526" i="3" s="1"/>
  <c r="K516" i="3"/>
  <c r="L516" i="3" s="1"/>
  <c r="M516" i="3" s="1"/>
  <c r="K510" i="3"/>
  <c r="L510" i="3" s="1"/>
  <c r="M510" i="3" s="1"/>
  <c r="K504" i="3"/>
  <c r="L504" i="3" s="1"/>
  <c r="M504" i="3" s="1"/>
  <c r="K502" i="3"/>
  <c r="L502" i="3" s="1"/>
  <c r="M502" i="3" s="1"/>
  <c r="K494" i="3"/>
  <c r="L494" i="3" s="1"/>
  <c r="M494" i="3" s="1"/>
  <c r="K488" i="3"/>
  <c r="L488" i="3" s="1"/>
  <c r="M488" i="3" s="1"/>
  <c r="K486" i="3"/>
  <c r="L486" i="3" s="1"/>
  <c r="M486" i="3" s="1"/>
  <c r="K474" i="3"/>
  <c r="L474" i="3" s="1"/>
  <c r="M474" i="3" s="1"/>
  <c r="K470" i="3"/>
  <c r="L470" i="3" s="1"/>
  <c r="M470" i="3" s="1"/>
  <c r="K458" i="3"/>
  <c r="L458" i="3" s="1"/>
  <c r="M458" i="3" s="1"/>
  <c r="K454" i="3"/>
  <c r="L454" i="3" s="1"/>
  <c r="M454" i="3" s="1"/>
  <c r="K442" i="3"/>
  <c r="L442" i="3" s="1"/>
  <c r="M442" i="3" s="1"/>
  <c r="K438" i="3"/>
  <c r="L438" i="3" s="1"/>
  <c r="M438" i="3" s="1"/>
  <c r="K426" i="3"/>
  <c r="L426" i="3" s="1"/>
  <c r="M426" i="3" s="1"/>
  <c r="K422" i="3"/>
  <c r="L422" i="3" s="1"/>
  <c r="M422" i="3" s="1"/>
  <c r="K410" i="3"/>
  <c r="L410" i="3" s="1"/>
  <c r="M410" i="3" s="1"/>
  <c r="K406" i="3"/>
  <c r="L406" i="3" s="1"/>
  <c r="M406" i="3" s="1"/>
  <c r="K394" i="3"/>
  <c r="L394" i="3" s="1"/>
  <c r="M394" i="3" s="1"/>
  <c r="K390" i="3"/>
  <c r="L390" i="3" s="1"/>
  <c r="M390" i="3" s="1"/>
  <c r="K378" i="3"/>
  <c r="L378" i="3" s="1"/>
  <c r="M378" i="3" s="1"/>
  <c r="K374" i="3"/>
  <c r="L374" i="3" s="1"/>
  <c r="M374" i="3" s="1"/>
  <c r="K373" i="3"/>
  <c r="L373" i="3" s="1"/>
  <c r="M373" i="3" s="1"/>
  <c r="K371" i="3"/>
  <c r="L371" i="3" s="1"/>
  <c r="M371" i="3" s="1"/>
  <c r="K367" i="3"/>
  <c r="L367" i="3" s="1"/>
  <c r="M367" i="3" s="1"/>
  <c r="K351" i="3"/>
  <c r="L351" i="3" s="1"/>
  <c r="M351" i="3" s="1"/>
  <c r="K343" i="3"/>
  <c r="L343" i="3" s="1"/>
  <c r="M343" i="3" s="1"/>
  <c r="K335" i="3"/>
  <c r="L335" i="3" s="1"/>
  <c r="M335" i="3" s="1"/>
  <c r="K327" i="3"/>
  <c r="L327" i="3" s="1"/>
  <c r="M327" i="3" s="1"/>
  <c r="K319" i="3"/>
  <c r="L319" i="3" s="1"/>
  <c r="M319" i="3" s="1"/>
  <c r="K311" i="3"/>
  <c r="L311" i="3" s="1"/>
  <c r="M311" i="3" s="1"/>
  <c r="K303" i="3"/>
  <c r="L303" i="3" s="1"/>
  <c r="M303" i="3" s="1"/>
  <c r="K295" i="3"/>
  <c r="L295" i="3" s="1"/>
  <c r="M295" i="3" s="1"/>
  <c r="K287" i="3"/>
  <c r="L287" i="3" s="1"/>
  <c r="M287" i="3" s="1"/>
  <c r="K279" i="3"/>
  <c r="L279" i="3" s="1"/>
  <c r="M279" i="3" s="1"/>
  <c r="K271" i="3"/>
  <c r="L271" i="3" s="1"/>
  <c r="M271" i="3" s="1"/>
  <c r="K708" i="3"/>
  <c r="L708" i="3" s="1"/>
  <c r="M708" i="3" s="1"/>
  <c r="K700" i="3"/>
  <c r="L700" i="3" s="1"/>
  <c r="M700" i="3" s="1"/>
  <c r="K692" i="3"/>
  <c r="L692" i="3" s="1"/>
  <c r="M692" i="3" s="1"/>
  <c r="K684" i="3"/>
  <c r="L684" i="3" s="1"/>
  <c r="M684" i="3" s="1"/>
  <c r="K666" i="3"/>
  <c r="L666" i="3" s="1"/>
  <c r="M666" i="3" s="1"/>
  <c r="K664" i="3"/>
  <c r="L664" i="3" s="1"/>
  <c r="M664" i="3" s="1"/>
  <c r="K638" i="3"/>
  <c r="L638" i="3" s="1"/>
  <c r="M638" i="3" s="1"/>
  <c r="K630" i="3"/>
  <c r="L630" i="3" s="1"/>
  <c r="M630" i="3" s="1"/>
  <c r="K620" i="3"/>
  <c r="L620" i="3" s="1"/>
  <c r="M620" i="3" s="1"/>
  <c r="K614" i="3"/>
  <c r="L614" i="3" s="1"/>
  <c r="M614" i="3" s="1"/>
  <c r="K606" i="3"/>
  <c r="L606" i="3" s="1"/>
  <c r="M606" i="3" s="1"/>
  <c r="K598" i="3"/>
  <c r="L598" i="3" s="1"/>
  <c r="M598" i="3" s="1"/>
  <c r="K596" i="3"/>
  <c r="L596" i="3" s="1"/>
  <c r="M596" i="3" s="1"/>
  <c r="K586" i="3"/>
  <c r="L586" i="3" s="1"/>
  <c r="M586" i="3" s="1"/>
  <c r="K574" i="3"/>
  <c r="L574" i="3" s="1"/>
  <c r="M574" i="3" s="1"/>
  <c r="K572" i="3"/>
  <c r="L572" i="3" s="1"/>
  <c r="M572" i="3" s="1"/>
  <c r="K558" i="3"/>
  <c r="L558" i="3" s="1"/>
  <c r="M558" i="3" s="1"/>
  <c r="K556" i="3"/>
  <c r="L556" i="3" s="1"/>
  <c r="M556" i="3" s="1"/>
  <c r="K542" i="3"/>
  <c r="L542" i="3" s="1"/>
  <c r="M542" i="3" s="1"/>
  <c r="K540" i="3"/>
  <c r="L540" i="3" s="1"/>
  <c r="M540" i="3" s="1"/>
  <c r="K517" i="3"/>
  <c r="L517" i="3" s="1"/>
  <c r="M517" i="3" s="1"/>
  <c r="K515" i="3"/>
  <c r="L515" i="3" s="1"/>
  <c r="M515" i="3" s="1"/>
  <c r="K505" i="3"/>
  <c r="L505" i="3" s="1"/>
  <c r="M505" i="3" s="1"/>
  <c r="K489" i="3"/>
  <c r="L489" i="3" s="1"/>
  <c r="M489" i="3" s="1"/>
  <c r="K481" i="3"/>
  <c r="L481" i="3" s="1"/>
  <c r="M481" i="3" s="1"/>
  <c r="K477" i="3"/>
  <c r="L477" i="3" s="1"/>
  <c r="M477" i="3" s="1"/>
  <c r="K465" i="3"/>
  <c r="L465" i="3" s="1"/>
  <c r="M465" i="3" s="1"/>
  <c r="K461" i="3"/>
  <c r="L461" i="3" s="1"/>
  <c r="M461" i="3" s="1"/>
  <c r="K449" i="3"/>
  <c r="L449" i="3" s="1"/>
  <c r="M449" i="3" s="1"/>
  <c r="K445" i="3"/>
  <c r="L445" i="3" s="1"/>
  <c r="M445" i="3" s="1"/>
  <c r="K433" i="3"/>
  <c r="L433" i="3" s="1"/>
  <c r="M433" i="3" s="1"/>
  <c r="K429" i="3"/>
  <c r="L429" i="3" s="1"/>
  <c r="M429" i="3" s="1"/>
  <c r="K417" i="3"/>
  <c r="L417" i="3" s="1"/>
  <c r="M417" i="3" s="1"/>
  <c r="K413" i="3"/>
  <c r="L413" i="3" s="1"/>
  <c r="M413" i="3" s="1"/>
  <c r="K401" i="3"/>
  <c r="L401" i="3" s="1"/>
  <c r="M401" i="3" s="1"/>
  <c r="K397" i="3"/>
  <c r="L397" i="3" s="1"/>
  <c r="M397" i="3" s="1"/>
  <c r="K385" i="3"/>
  <c r="L385" i="3" s="1"/>
  <c r="M385" i="3" s="1"/>
  <c r="K381" i="3"/>
  <c r="L381" i="3" s="1"/>
  <c r="M381" i="3" s="1"/>
  <c r="K364" i="3"/>
  <c r="L364" i="3" s="1"/>
  <c r="M364" i="3" s="1"/>
  <c r="K359" i="3"/>
  <c r="L359" i="3" s="1"/>
  <c r="M359" i="3" s="1"/>
  <c r="K354" i="3"/>
  <c r="L354" i="3" s="1"/>
  <c r="M354" i="3" s="1"/>
  <c r="K348" i="3"/>
  <c r="L348" i="3" s="1"/>
  <c r="M348" i="3" s="1"/>
  <c r="K344" i="3"/>
  <c r="L344" i="3" s="1"/>
  <c r="M344" i="3" s="1"/>
  <c r="K340" i="3"/>
  <c r="L340" i="3" s="1"/>
  <c r="M340" i="3" s="1"/>
  <c r="K336" i="3"/>
  <c r="L336" i="3" s="1"/>
  <c r="M336" i="3" s="1"/>
  <c r="K332" i="3"/>
  <c r="L332" i="3" s="1"/>
  <c r="M332" i="3" s="1"/>
  <c r="K328" i="3"/>
  <c r="L328" i="3" s="1"/>
  <c r="M328" i="3" s="1"/>
  <c r="K324" i="3"/>
  <c r="L324" i="3" s="1"/>
  <c r="M324" i="3" s="1"/>
  <c r="K320" i="3"/>
  <c r="L320" i="3" s="1"/>
  <c r="M320" i="3" s="1"/>
  <c r="K316" i="3"/>
  <c r="L316" i="3" s="1"/>
  <c r="M316" i="3" s="1"/>
  <c r="K312" i="3"/>
  <c r="L312" i="3" s="1"/>
  <c r="M312" i="3" s="1"/>
  <c r="K308" i="3"/>
  <c r="L308" i="3" s="1"/>
  <c r="M308" i="3" s="1"/>
  <c r="K304" i="3"/>
  <c r="L304" i="3" s="1"/>
  <c r="M304" i="3" s="1"/>
  <c r="K300" i="3"/>
  <c r="L300" i="3" s="1"/>
  <c r="M300" i="3" s="1"/>
  <c r="K296" i="3"/>
  <c r="L296" i="3" s="1"/>
  <c r="M296" i="3" s="1"/>
  <c r="K292" i="3"/>
  <c r="L292" i="3" s="1"/>
  <c r="M292" i="3" s="1"/>
  <c r="K288" i="3"/>
  <c r="L288" i="3" s="1"/>
  <c r="M288" i="3" s="1"/>
  <c r="K284" i="3"/>
  <c r="L284" i="3" s="1"/>
  <c r="M284" i="3" s="1"/>
  <c r="K280" i="3"/>
  <c r="L280" i="3" s="1"/>
  <c r="M280" i="3" s="1"/>
  <c r="K276" i="3"/>
  <c r="L276" i="3" s="1"/>
  <c r="M276" i="3" s="1"/>
  <c r="K272" i="3"/>
  <c r="L272" i="3" s="1"/>
  <c r="M272" i="3" s="1"/>
  <c r="K268" i="3"/>
  <c r="L268" i="3" s="1"/>
  <c r="M268" i="3" s="1"/>
  <c r="K234" i="3"/>
  <c r="L234" i="3" s="1"/>
  <c r="M234" i="3" s="1"/>
  <c r="K223" i="3"/>
  <c r="L223" i="3" s="1"/>
  <c r="M223" i="3" s="1"/>
  <c r="K220" i="3"/>
  <c r="L220" i="3" s="1"/>
  <c r="M220" i="3" s="1"/>
  <c r="K214" i="3"/>
  <c r="L214" i="3" s="1"/>
  <c r="M214" i="3" s="1"/>
  <c r="K206" i="3"/>
  <c r="L206" i="3" s="1"/>
  <c r="M206" i="3" s="1"/>
  <c r="K197" i="3"/>
  <c r="L197" i="3" s="1"/>
  <c r="M197" i="3" s="1"/>
  <c r="K191" i="3"/>
  <c r="L191" i="3" s="1"/>
  <c r="M191" i="3" s="1"/>
  <c r="K188" i="3"/>
  <c r="L188" i="3" s="1"/>
  <c r="M188" i="3" s="1"/>
  <c r="K185" i="3"/>
  <c r="L185" i="3" s="1"/>
  <c r="M185" i="3" s="1"/>
  <c r="K184" i="3"/>
  <c r="L184" i="3" s="1"/>
  <c r="M184" i="3" s="1"/>
  <c r="K159" i="3"/>
  <c r="L159" i="3" s="1"/>
  <c r="M159" i="3" s="1"/>
  <c r="K156" i="3"/>
  <c r="L156" i="3" s="1"/>
  <c r="M156" i="3" s="1"/>
  <c r="K152" i="3"/>
  <c r="L152" i="3" s="1"/>
  <c r="M152" i="3" s="1"/>
  <c r="K126" i="3"/>
  <c r="L126" i="3" s="1"/>
  <c r="M126" i="3" s="1"/>
  <c r="K118" i="3"/>
  <c r="L118" i="3" s="1"/>
  <c r="M118" i="3" s="1"/>
  <c r="K86" i="3"/>
  <c r="L86" i="3" s="1"/>
  <c r="M86" i="3" s="1"/>
  <c r="K83" i="3"/>
  <c r="L83" i="3" s="1"/>
  <c r="M83" i="3" s="1"/>
  <c r="K215" i="3"/>
  <c r="L215" i="3" s="1"/>
  <c r="M215" i="3" s="1"/>
  <c r="K208" i="3"/>
  <c r="L208" i="3" s="1"/>
  <c r="M208" i="3" s="1"/>
  <c r="K198" i="3"/>
  <c r="L198" i="3" s="1"/>
  <c r="M198" i="3" s="1"/>
  <c r="K176" i="3"/>
  <c r="L176" i="3" s="1"/>
  <c r="M176" i="3" s="1"/>
  <c r="K144" i="3"/>
  <c r="L144" i="3" s="1"/>
  <c r="M144" i="3" s="1"/>
  <c r="K264" i="3"/>
  <c r="L264" i="3" s="1"/>
  <c r="M264" i="3" s="1"/>
  <c r="K235" i="3"/>
  <c r="L235" i="3" s="1"/>
  <c r="M235" i="3" s="1"/>
  <c r="K221" i="3"/>
  <c r="L221" i="3" s="1"/>
  <c r="M221" i="3" s="1"/>
  <c r="K212" i="3"/>
  <c r="L212" i="3" s="1"/>
  <c r="M212" i="3" s="1"/>
  <c r="K207" i="3"/>
  <c r="L207" i="3" s="1"/>
  <c r="M207" i="3" s="1"/>
  <c r="K204" i="3"/>
  <c r="L204" i="3" s="1"/>
  <c r="M204" i="3" s="1"/>
  <c r="K201" i="3"/>
  <c r="L201" i="3" s="1"/>
  <c r="M201" i="3" s="1"/>
  <c r="K200" i="3"/>
  <c r="L200" i="3" s="1"/>
  <c r="M200" i="3" s="1"/>
  <c r="K181" i="3"/>
  <c r="L181" i="3" s="1"/>
  <c r="M181" i="3" s="1"/>
  <c r="K175" i="3"/>
  <c r="L175" i="3" s="1"/>
  <c r="M175" i="3" s="1"/>
  <c r="K172" i="3"/>
  <c r="L172" i="3" s="1"/>
  <c r="M172" i="3" s="1"/>
  <c r="K168" i="3"/>
  <c r="L168" i="3" s="1"/>
  <c r="M168" i="3" s="1"/>
  <c r="K143" i="3"/>
  <c r="L143" i="3" s="1"/>
  <c r="M143" i="3" s="1"/>
  <c r="K130" i="3"/>
  <c r="L130" i="3" s="1"/>
  <c r="M130" i="3" s="1"/>
  <c r="K122" i="3"/>
  <c r="L122" i="3" s="1"/>
  <c r="M122" i="3" s="1"/>
  <c r="K78" i="3"/>
  <c r="L78" i="3" s="1"/>
  <c r="M78" i="3" s="1"/>
  <c r="K75" i="3"/>
  <c r="L75" i="3" s="1"/>
  <c r="M75" i="3" s="1"/>
  <c r="K40" i="3"/>
  <c r="L40" i="3" s="1"/>
  <c r="M40" i="3" s="1"/>
  <c r="K28" i="3"/>
  <c r="L28" i="3" s="1"/>
  <c r="M28" i="3" s="1"/>
  <c r="K174" i="3"/>
  <c r="L174" i="3" s="1"/>
  <c r="M174" i="3" s="1"/>
  <c r="K166" i="3"/>
  <c r="L166" i="3" s="1"/>
  <c r="M166" i="3" s="1"/>
  <c r="K158" i="3"/>
  <c r="L158" i="3" s="1"/>
  <c r="M158" i="3" s="1"/>
  <c r="K150" i="3"/>
  <c r="L150" i="3" s="1"/>
  <c r="M150" i="3" s="1"/>
  <c r="K142" i="3"/>
  <c r="L142" i="3" s="1"/>
  <c r="M142" i="3" s="1"/>
  <c r="K138" i="3"/>
  <c r="L138" i="3" s="1"/>
  <c r="M138" i="3" s="1"/>
  <c r="K134" i="3"/>
  <c r="L134" i="3" s="1"/>
  <c r="M134" i="3" s="1"/>
  <c r="K89" i="3"/>
  <c r="L89" i="3" s="1"/>
  <c r="M89" i="3" s="1"/>
  <c r="K85" i="3"/>
  <c r="L85" i="3" s="1"/>
  <c r="M85" i="3" s="1"/>
  <c r="K81" i="3"/>
  <c r="L81" i="3" s="1"/>
  <c r="M81" i="3" s="1"/>
  <c r="K77" i="3"/>
  <c r="L77" i="3" s="1"/>
  <c r="M77" i="3" s="1"/>
  <c r="K73" i="3"/>
  <c r="L73" i="3" s="1"/>
  <c r="M73" i="3" s="1"/>
  <c r="K70" i="3"/>
  <c r="L70" i="3" s="1"/>
  <c r="M70" i="3" s="1"/>
  <c r="K69" i="3"/>
  <c r="L69" i="3" s="1"/>
  <c r="M69" i="3" s="1"/>
  <c r="K57" i="3"/>
  <c r="L57" i="3" s="1"/>
  <c r="M57" i="3" s="1"/>
  <c r="K41" i="3"/>
  <c r="L41" i="3" s="1"/>
  <c r="M41" i="3" s="1"/>
  <c r="K36" i="3"/>
  <c r="L36" i="3" s="1"/>
  <c r="M36" i="3" s="1"/>
  <c r="K227" i="3"/>
  <c r="L227" i="3" s="1"/>
  <c r="M227" i="3" s="1"/>
  <c r="K211" i="3"/>
  <c r="L211" i="3" s="1"/>
  <c r="M211" i="3" s="1"/>
  <c r="K68" i="3"/>
  <c r="L68" i="3" s="1"/>
  <c r="M68" i="3" s="1"/>
  <c r="K60" i="3"/>
  <c r="L60" i="3" s="1"/>
  <c r="M60" i="3" s="1"/>
  <c r="K48" i="3"/>
  <c r="L48" i="3" s="1"/>
  <c r="M48" i="3" s="1"/>
  <c r="K34" i="3"/>
  <c r="L34" i="3" s="1"/>
  <c r="M34" i="3" s="1"/>
  <c r="K16" i="3"/>
  <c r="L16" i="3" s="1"/>
  <c r="M16" i="3" s="1"/>
  <c r="K114" i="3"/>
  <c r="L114" i="3" s="1"/>
  <c r="M114" i="3" s="1"/>
  <c r="K110" i="3"/>
  <c r="L110" i="3" s="1"/>
  <c r="M110" i="3" s="1"/>
  <c r="K106" i="3"/>
  <c r="L106" i="3" s="1"/>
  <c r="M106" i="3" s="1"/>
  <c r="K102" i="3"/>
  <c r="L102" i="3" s="1"/>
  <c r="M102" i="3" s="1"/>
  <c r="K98" i="3"/>
  <c r="L98" i="3" s="1"/>
  <c r="M98" i="3" s="1"/>
  <c r="K94" i="3"/>
  <c r="L94" i="3" s="1"/>
  <c r="M94" i="3" s="1"/>
  <c r="K90" i="3"/>
  <c r="L90" i="3" s="1"/>
  <c r="M90" i="3" s="1"/>
  <c r="K49" i="3"/>
  <c r="L49" i="3" s="1"/>
  <c r="M49" i="3" s="1"/>
  <c r="K46" i="3"/>
  <c r="L46" i="3" s="1"/>
  <c r="M46" i="3" s="1"/>
  <c r="K25" i="3"/>
  <c r="L25" i="3" s="1"/>
  <c r="M25" i="3" s="1"/>
  <c r="K18" i="3"/>
  <c r="L18" i="3" s="1"/>
  <c r="M18" i="3" s="1"/>
  <c r="K661" i="3"/>
  <c r="L661" i="3" s="1"/>
  <c r="M661" i="3" s="1"/>
  <c r="K637" i="3"/>
  <c r="L637" i="3" s="1"/>
  <c r="M637" i="3" s="1"/>
  <c r="K629" i="3"/>
  <c r="L629" i="3" s="1"/>
  <c r="M629" i="3" s="1"/>
  <c r="K617" i="3"/>
  <c r="L617" i="3" s="1"/>
  <c r="M617" i="3" s="1"/>
  <c r="K613" i="3"/>
  <c r="L613" i="3" s="1"/>
  <c r="M613" i="3" s="1"/>
  <c r="K605" i="3"/>
  <c r="L605" i="3" s="1"/>
  <c r="M605" i="3" s="1"/>
  <c r="K593" i="3"/>
  <c r="L593" i="3" s="1"/>
  <c r="M593" i="3" s="1"/>
  <c r="K585" i="3"/>
  <c r="L585" i="3" s="1"/>
  <c r="M585" i="3" s="1"/>
  <c r="K569" i="3"/>
  <c r="L569" i="3" s="1"/>
  <c r="M569" i="3" s="1"/>
  <c r="K553" i="3"/>
  <c r="L553" i="3" s="1"/>
  <c r="M553" i="3" s="1"/>
  <c r="K537" i="3"/>
  <c r="L537" i="3" s="1"/>
  <c r="M537" i="3" s="1"/>
  <c r="K713" i="3"/>
  <c r="L713" i="3" s="1"/>
  <c r="M713" i="3" s="1"/>
  <c r="K705" i="3"/>
  <c r="L705" i="3" s="1"/>
  <c r="M705" i="3" s="1"/>
  <c r="K697" i="3"/>
  <c r="L697" i="3" s="1"/>
  <c r="M697" i="3" s="1"/>
  <c r="K689" i="3"/>
  <c r="L689" i="3" s="1"/>
  <c r="M689" i="3" s="1"/>
  <c r="K681" i="3"/>
  <c r="L681" i="3" s="1"/>
  <c r="M681" i="3" s="1"/>
  <c r="K673" i="3"/>
  <c r="L673" i="3" s="1"/>
  <c r="M673" i="3" s="1"/>
  <c r="K653" i="3"/>
  <c r="L653" i="3" s="1"/>
  <c r="M653" i="3" s="1"/>
  <c r="K641" i="3"/>
  <c r="L641" i="3" s="1"/>
  <c r="M641" i="3" s="1"/>
  <c r="K577" i="3"/>
  <c r="L577" i="3" s="1"/>
  <c r="M577" i="3" s="1"/>
  <c r="K561" i="3"/>
  <c r="L561" i="3" s="1"/>
  <c r="M561" i="3" s="1"/>
  <c r="K545" i="3"/>
  <c r="L545" i="3" s="1"/>
  <c r="M545" i="3" s="1"/>
  <c r="K353" i="3"/>
  <c r="L353" i="3" s="1"/>
  <c r="M353" i="3" s="1"/>
  <c r="K345" i="3"/>
  <c r="L345" i="3" s="1"/>
  <c r="M345" i="3" s="1"/>
  <c r="K337" i="3"/>
  <c r="L337" i="3" s="1"/>
  <c r="M337" i="3" s="1"/>
  <c r="K329" i="3"/>
  <c r="L329" i="3" s="1"/>
  <c r="M329" i="3" s="1"/>
  <c r="K321" i="3"/>
  <c r="L321" i="3" s="1"/>
  <c r="M321" i="3" s="1"/>
  <c r="K313" i="3"/>
  <c r="L313" i="3" s="1"/>
  <c r="M313" i="3" s="1"/>
  <c r="K305" i="3"/>
  <c r="L305" i="3" s="1"/>
  <c r="M305" i="3" s="1"/>
  <c r="K297" i="3"/>
  <c r="L297" i="3" s="1"/>
  <c r="M297" i="3" s="1"/>
  <c r="K289" i="3"/>
  <c r="L289" i="3" s="1"/>
  <c r="M289" i="3" s="1"/>
  <c r="K281" i="3"/>
  <c r="L281" i="3" s="1"/>
  <c r="M281" i="3" s="1"/>
  <c r="K273" i="3"/>
  <c r="L273" i="3" s="1"/>
  <c r="M273" i="3" s="1"/>
  <c r="K265" i="3"/>
  <c r="L265" i="3" s="1"/>
  <c r="M265" i="3" s="1"/>
  <c r="K139" i="3"/>
  <c r="L139" i="3" s="1"/>
  <c r="M139" i="3" s="1"/>
  <c r="K53" i="3"/>
  <c r="L53" i="3" s="1"/>
  <c r="M53" i="3" s="1"/>
  <c r="K45" i="3"/>
  <c r="L45" i="3" s="1"/>
  <c r="M45" i="3" s="1"/>
  <c r="K32" i="3"/>
  <c r="L32" i="3" s="1"/>
  <c r="M32" i="3" s="1"/>
  <c r="K24" i="3"/>
  <c r="L24" i="3" s="1"/>
  <c r="M24" i="3" s="1"/>
  <c r="K13" i="3"/>
  <c r="L13" i="3" s="1"/>
  <c r="M13" i="3" s="1"/>
  <c r="K5" i="3"/>
  <c r="L5" i="3" s="1"/>
  <c r="M5" i="3" s="1"/>
  <c r="K61" i="3"/>
  <c r="L61" i="3" s="1"/>
  <c r="M61" i="3" s="1"/>
  <c r="K8" i="3"/>
  <c r="L8" i="3" s="1"/>
  <c r="M8" i="3" s="1"/>
  <c r="K52" i="3"/>
  <c r="L52" i="3" s="1"/>
  <c r="M52" i="3" s="1"/>
  <c r="K21" i="3"/>
  <c r="L21" i="3" s="1"/>
  <c r="M21" i="3" s="1"/>
  <c r="K9" i="3"/>
  <c r="L9" i="3" s="1"/>
  <c r="M9" i="3" s="1"/>
  <c r="K4" i="3"/>
  <c r="L4" i="3" s="1"/>
  <c r="M4" i="3" s="1"/>
  <c r="B25" i="15" l="1"/>
  <c r="B24" i="15"/>
  <c r="I2" i="15"/>
  <c r="J2" i="15" s="1" a="1"/>
  <c r="J2" i="15" s="1"/>
  <c r="H3" i="15" l="1"/>
  <c r="K3" i="15" s="1"/>
  <c r="L3" i="15" s="1"/>
  <c r="M3" i="15" s="1"/>
  <c r="H8" i="15"/>
  <c r="K8" i="15" s="1"/>
  <c r="L8" i="15" s="1"/>
  <c r="M8" i="15" s="1"/>
  <c r="H11" i="15"/>
  <c r="K11" i="15" s="1"/>
  <c r="L11" i="15" s="1"/>
  <c r="M11" i="15" s="1"/>
  <c r="H16" i="15"/>
  <c r="K16" i="15" s="1"/>
  <c r="L16" i="15" s="1"/>
  <c r="M16" i="15" s="1"/>
  <c r="H19" i="15"/>
  <c r="K19" i="15" s="1"/>
  <c r="L19" i="15" s="1"/>
  <c r="M19" i="15" s="1"/>
  <c r="H24" i="15"/>
  <c r="K24" i="15" s="1"/>
  <c r="L24" i="15" s="1"/>
  <c r="M24" i="15" s="1"/>
  <c r="H27" i="15"/>
  <c r="K27" i="15" s="1"/>
  <c r="L27" i="15" s="1"/>
  <c r="M27" i="15" s="1"/>
  <c r="H32" i="15"/>
  <c r="K32" i="15" s="1"/>
  <c r="L32" i="15" s="1"/>
  <c r="M32" i="15" s="1"/>
  <c r="H35" i="15"/>
  <c r="K35" i="15" s="1"/>
  <c r="L35" i="15" s="1"/>
  <c r="M35" i="15" s="1"/>
  <c r="H40" i="15"/>
  <c r="K40" i="15" s="1"/>
  <c r="L40" i="15" s="1"/>
  <c r="M40" i="15" s="1"/>
  <c r="H43" i="15"/>
  <c r="K43" i="15" s="1"/>
  <c r="L43" i="15" s="1"/>
  <c r="M43" i="15" s="1"/>
  <c r="H48" i="15"/>
  <c r="K48" i="15" s="1"/>
  <c r="L48" i="15" s="1"/>
  <c r="M48" i="15" s="1"/>
  <c r="H51" i="15"/>
  <c r="K51" i="15" s="1"/>
  <c r="L51" i="15" s="1"/>
  <c r="M51" i="15" s="1"/>
  <c r="H56" i="15"/>
  <c r="K56" i="15" s="1"/>
  <c r="L56" i="15" s="1"/>
  <c r="M56" i="15" s="1"/>
  <c r="H59" i="15"/>
  <c r="K59" i="15" s="1"/>
  <c r="L59" i="15" s="1"/>
  <c r="M59" i="15" s="1"/>
  <c r="H64" i="15"/>
  <c r="K64" i="15" s="1"/>
  <c r="L64" i="15" s="1"/>
  <c r="M64" i="15" s="1"/>
  <c r="H67" i="15"/>
  <c r="K67" i="15" s="1"/>
  <c r="L67" i="15" s="1"/>
  <c r="M67" i="15" s="1"/>
  <c r="H75" i="15"/>
  <c r="K75" i="15" s="1"/>
  <c r="L75" i="15" s="1"/>
  <c r="M75" i="15" s="1"/>
  <c r="H78" i="15"/>
  <c r="K78" i="15" s="1"/>
  <c r="L78" i="15" s="1"/>
  <c r="M78" i="15" s="1"/>
  <c r="H83" i="15"/>
  <c r="K83" i="15" s="1"/>
  <c r="L83" i="15" s="1"/>
  <c r="M83" i="15" s="1"/>
  <c r="H86" i="15"/>
  <c r="K86" i="15" s="1"/>
  <c r="L86" i="15" s="1"/>
  <c r="M86" i="15" s="1"/>
  <c r="H91" i="15"/>
  <c r="K91" i="15" s="1"/>
  <c r="L91" i="15" s="1"/>
  <c r="M91" i="15" s="1"/>
  <c r="H94" i="15"/>
  <c r="K94" i="15" s="1"/>
  <c r="L94" i="15" s="1"/>
  <c r="M94" i="15" s="1"/>
  <c r="H99" i="15"/>
  <c r="K99" i="15" s="1"/>
  <c r="L99" i="15" s="1"/>
  <c r="M99" i="15" s="1"/>
  <c r="H102" i="15"/>
  <c r="K102" i="15" s="1"/>
  <c r="L102" i="15" s="1"/>
  <c r="M102" i="15" s="1"/>
  <c r="H105" i="15"/>
  <c r="K105" i="15" s="1"/>
  <c r="L105" i="15" s="1"/>
  <c r="M105" i="15" s="1"/>
  <c r="H110" i="15"/>
  <c r="K110" i="15" s="1"/>
  <c r="L110" i="15" s="1"/>
  <c r="M110" i="15" s="1"/>
  <c r="H113" i="15"/>
  <c r="K113" i="15" s="1"/>
  <c r="L113" i="15" s="1"/>
  <c r="M113" i="15" s="1"/>
  <c r="H118" i="15"/>
  <c r="K118" i="15" s="1"/>
  <c r="L118" i="15" s="1"/>
  <c r="M118" i="15" s="1"/>
  <c r="H121" i="15"/>
  <c r="K121" i="15" s="1"/>
  <c r="L121" i="15" s="1"/>
  <c r="M121" i="15" s="1"/>
  <c r="H126" i="15"/>
  <c r="K126" i="15" s="1"/>
  <c r="L126" i="15" s="1"/>
  <c r="M126" i="15" s="1"/>
  <c r="H129" i="15"/>
  <c r="K129" i="15" s="1"/>
  <c r="L129" i="15" s="1"/>
  <c r="M129" i="15" s="1"/>
  <c r="H134" i="15"/>
  <c r="K134" i="15" s="1"/>
  <c r="L134" i="15" s="1"/>
  <c r="M134" i="15" s="1"/>
  <c r="H137" i="15"/>
  <c r="K137" i="15" s="1"/>
  <c r="L137" i="15" s="1"/>
  <c r="M137" i="15" s="1"/>
  <c r="H142" i="15"/>
  <c r="K142" i="15" s="1"/>
  <c r="L142" i="15" s="1"/>
  <c r="M142" i="15" s="1"/>
  <c r="H145" i="15"/>
  <c r="K145" i="15" s="1"/>
  <c r="L145" i="15" s="1"/>
  <c r="M145" i="15" s="1"/>
  <c r="H150" i="15"/>
  <c r="K150" i="15" s="1"/>
  <c r="L150" i="15" s="1"/>
  <c r="M150" i="15" s="1"/>
  <c r="H153" i="15"/>
  <c r="K153" i="15" s="1"/>
  <c r="L153" i="15" s="1"/>
  <c r="M153" i="15" s="1"/>
  <c r="H158" i="15"/>
  <c r="K158" i="15" s="1"/>
  <c r="L158" i="15" s="1"/>
  <c r="M158" i="15" s="1"/>
  <c r="H161" i="15"/>
  <c r="K161" i="15" s="1"/>
  <c r="L161" i="15" s="1"/>
  <c r="M161" i="15" s="1"/>
  <c r="H166" i="15"/>
  <c r="K166" i="15" s="1"/>
  <c r="L166" i="15" s="1"/>
  <c r="M166" i="15" s="1"/>
  <c r="H169" i="15"/>
  <c r="K169" i="15" s="1"/>
  <c r="L169" i="15" s="1"/>
  <c r="M169" i="15" s="1"/>
  <c r="H174" i="15"/>
  <c r="K174" i="15" s="1"/>
  <c r="L174" i="15" s="1"/>
  <c r="M174" i="15" s="1"/>
  <c r="H177" i="15"/>
  <c r="K177" i="15" s="1"/>
  <c r="L177" i="15" s="1"/>
  <c r="M177" i="15" s="1"/>
  <c r="H182" i="15"/>
  <c r="K182" i="15" s="1"/>
  <c r="L182" i="15" s="1"/>
  <c r="M182" i="15" s="1"/>
  <c r="H185" i="15"/>
  <c r="K185" i="15" s="1"/>
  <c r="L185" i="15" s="1"/>
  <c r="M185" i="15" s="1"/>
  <c r="H190" i="15"/>
  <c r="K190" i="15" s="1"/>
  <c r="L190" i="15" s="1"/>
  <c r="M190" i="15" s="1"/>
  <c r="H193" i="15"/>
  <c r="K193" i="15" s="1"/>
  <c r="L193" i="15" s="1"/>
  <c r="M193" i="15" s="1"/>
  <c r="H198" i="15"/>
  <c r="K198" i="15" s="1"/>
  <c r="L198" i="15" s="1"/>
  <c r="M198" i="15" s="1"/>
  <c r="H203" i="15"/>
  <c r="K203" i="15" s="1"/>
  <c r="L203" i="15" s="1"/>
  <c r="M203" i="15" s="1"/>
  <c r="H206" i="15"/>
  <c r="K206" i="15" s="1"/>
  <c r="L206" i="15" s="1"/>
  <c r="M206" i="15" s="1"/>
  <c r="H211" i="15"/>
  <c r="K211" i="15" s="1"/>
  <c r="L211" i="15" s="1"/>
  <c r="M211" i="15" s="1"/>
  <c r="H214" i="15"/>
  <c r="K214" i="15" s="1"/>
  <c r="L214" i="15" s="1"/>
  <c r="M214" i="15" s="1"/>
  <c r="H219" i="15"/>
  <c r="K219" i="15" s="1"/>
  <c r="L219" i="15" s="1"/>
  <c r="M219" i="15" s="1"/>
  <c r="H222" i="15"/>
  <c r="K222" i="15" s="1"/>
  <c r="L222" i="15" s="1"/>
  <c r="M222" i="15" s="1"/>
  <c r="H5" i="15"/>
  <c r="K5" i="15" s="1"/>
  <c r="L5" i="15" s="1"/>
  <c r="M5" i="15" s="1"/>
  <c r="H10" i="15"/>
  <c r="K10" i="15" s="1"/>
  <c r="L10" i="15" s="1"/>
  <c r="M10" i="15" s="1"/>
  <c r="H13" i="15"/>
  <c r="K13" i="15" s="1"/>
  <c r="L13" i="15" s="1"/>
  <c r="M13" i="15" s="1"/>
  <c r="H18" i="15"/>
  <c r="K18" i="15" s="1"/>
  <c r="L18" i="15" s="1"/>
  <c r="M18" i="15" s="1"/>
  <c r="H21" i="15"/>
  <c r="K21" i="15" s="1"/>
  <c r="L21" i="15" s="1"/>
  <c r="M21" i="15" s="1"/>
  <c r="H26" i="15"/>
  <c r="K26" i="15" s="1"/>
  <c r="L26" i="15" s="1"/>
  <c r="M26" i="15" s="1"/>
  <c r="H29" i="15"/>
  <c r="K29" i="15" s="1"/>
  <c r="L29" i="15" s="1"/>
  <c r="M29" i="15" s="1"/>
  <c r="H34" i="15"/>
  <c r="K34" i="15" s="1"/>
  <c r="L34" i="15" s="1"/>
  <c r="M34" i="15" s="1"/>
  <c r="H37" i="15"/>
  <c r="K37" i="15" s="1"/>
  <c r="L37" i="15" s="1"/>
  <c r="M37" i="15" s="1"/>
  <c r="H42" i="15"/>
  <c r="K42" i="15" s="1"/>
  <c r="L42" i="15" s="1"/>
  <c r="M42" i="15" s="1"/>
  <c r="H45" i="15"/>
  <c r="K45" i="15" s="1"/>
  <c r="L45" i="15" s="1"/>
  <c r="M45" i="15" s="1"/>
  <c r="H50" i="15"/>
  <c r="K50" i="15" s="1"/>
  <c r="L50" i="15" s="1"/>
  <c r="M50" i="15" s="1"/>
  <c r="H53" i="15"/>
  <c r="K53" i="15" s="1"/>
  <c r="L53" i="15" s="1"/>
  <c r="M53" i="15" s="1"/>
  <c r="H58" i="15"/>
  <c r="K58" i="15" s="1"/>
  <c r="L58" i="15" s="1"/>
  <c r="M58" i="15" s="1"/>
  <c r="H61" i="15"/>
  <c r="K61" i="15" s="1"/>
  <c r="L61" i="15" s="1"/>
  <c r="M61" i="15" s="1"/>
  <c r="H66" i="15"/>
  <c r="K66" i="15" s="1"/>
  <c r="L66" i="15" s="1"/>
  <c r="M66" i="15" s="1"/>
  <c r="H69" i="15"/>
  <c r="K69" i="15" s="1"/>
  <c r="L69" i="15" s="1"/>
  <c r="M69" i="15" s="1"/>
  <c r="H72" i="15"/>
  <c r="K72" i="15" s="1"/>
  <c r="L72" i="15" s="1"/>
  <c r="M72" i="15" s="1"/>
  <c r="H77" i="15"/>
  <c r="K77" i="15" s="1"/>
  <c r="L77" i="15" s="1"/>
  <c r="M77" i="15" s="1"/>
  <c r="H80" i="15"/>
  <c r="K80" i="15" s="1"/>
  <c r="L80" i="15" s="1"/>
  <c r="M80" i="15" s="1"/>
  <c r="H85" i="15"/>
  <c r="K85" i="15" s="1"/>
  <c r="L85" i="15" s="1"/>
  <c r="M85" i="15" s="1"/>
  <c r="H88" i="15"/>
  <c r="K88" i="15" s="1"/>
  <c r="L88" i="15" s="1"/>
  <c r="M88" i="15" s="1"/>
  <c r="H93" i="15"/>
  <c r="K93" i="15" s="1"/>
  <c r="L93" i="15" s="1"/>
  <c r="M93" i="15" s="1"/>
  <c r="H96" i="15"/>
  <c r="K96" i="15" s="1"/>
  <c r="L96" i="15" s="1"/>
  <c r="M96" i="15" s="1"/>
  <c r="H101" i="15"/>
  <c r="K101" i="15" s="1"/>
  <c r="L101" i="15" s="1"/>
  <c r="M101" i="15" s="1"/>
  <c r="H104" i="15"/>
  <c r="K104" i="15" s="1"/>
  <c r="L104" i="15" s="1"/>
  <c r="M104" i="15" s="1"/>
  <c r="H107" i="15"/>
  <c r="K107" i="15" s="1"/>
  <c r="L107" i="15" s="1"/>
  <c r="M107" i="15" s="1"/>
  <c r="H109" i="15"/>
  <c r="K109" i="15" s="1"/>
  <c r="L109" i="15" s="1"/>
  <c r="M109" i="15" s="1"/>
  <c r="H112" i="15"/>
  <c r="K112" i="15" s="1"/>
  <c r="L112" i="15" s="1"/>
  <c r="M112" i="15" s="1"/>
  <c r="H115" i="15"/>
  <c r="K115" i="15" s="1"/>
  <c r="L115" i="15" s="1"/>
  <c r="M115" i="15" s="1"/>
  <c r="H117" i="15"/>
  <c r="K117" i="15" s="1"/>
  <c r="L117" i="15" s="1"/>
  <c r="M117" i="15" s="1"/>
  <c r="H120" i="15"/>
  <c r="K120" i="15" s="1"/>
  <c r="L120" i="15" s="1"/>
  <c r="M120" i="15" s="1"/>
  <c r="H123" i="15"/>
  <c r="K123" i="15" s="1"/>
  <c r="L123" i="15" s="1"/>
  <c r="M123" i="15" s="1"/>
  <c r="H128" i="15"/>
  <c r="K128" i="15" s="1"/>
  <c r="L128" i="15" s="1"/>
  <c r="M128" i="15" s="1"/>
  <c r="H131" i="15"/>
  <c r="K131" i="15" s="1"/>
  <c r="L131" i="15" s="1"/>
  <c r="M131" i="15" s="1"/>
  <c r="H136" i="15"/>
  <c r="K136" i="15" s="1"/>
  <c r="L136" i="15" s="1"/>
  <c r="M136" i="15" s="1"/>
  <c r="H139" i="15"/>
  <c r="K139" i="15" s="1"/>
  <c r="L139" i="15" s="1"/>
  <c r="M139" i="15" s="1"/>
  <c r="H144" i="15"/>
  <c r="K144" i="15" s="1"/>
  <c r="L144" i="15" s="1"/>
  <c r="M144" i="15" s="1"/>
  <c r="H147" i="15"/>
  <c r="K147" i="15" s="1"/>
  <c r="L147" i="15" s="1"/>
  <c r="M147" i="15" s="1"/>
  <c r="H152" i="15"/>
  <c r="K152" i="15" s="1"/>
  <c r="L152" i="15" s="1"/>
  <c r="M152" i="15" s="1"/>
  <c r="H155" i="15"/>
  <c r="K155" i="15" s="1"/>
  <c r="L155" i="15" s="1"/>
  <c r="M155" i="15" s="1"/>
  <c r="H160" i="15"/>
  <c r="K160" i="15" s="1"/>
  <c r="L160" i="15" s="1"/>
  <c r="M160" i="15" s="1"/>
  <c r="H163" i="15"/>
  <c r="K163" i="15" s="1"/>
  <c r="L163" i="15" s="1"/>
  <c r="M163" i="15" s="1"/>
  <c r="H168" i="15"/>
  <c r="K168" i="15" s="1"/>
  <c r="L168" i="15" s="1"/>
  <c r="M168" i="15" s="1"/>
  <c r="H171" i="15"/>
  <c r="K171" i="15" s="1"/>
  <c r="L171" i="15" s="1"/>
  <c r="M171" i="15" s="1"/>
  <c r="H176" i="15"/>
  <c r="K176" i="15" s="1"/>
  <c r="L176" i="15" s="1"/>
  <c r="M176" i="15" s="1"/>
  <c r="H179" i="15"/>
  <c r="K179" i="15" s="1"/>
  <c r="L179" i="15" s="1"/>
  <c r="M179" i="15" s="1"/>
  <c r="H184" i="15"/>
  <c r="K184" i="15" s="1"/>
  <c r="L184" i="15" s="1"/>
  <c r="M184" i="15" s="1"/>
  <c r="H187" i="15"/>
  <c r="K187" i="15" s="1"/>
  <c r="L187" i="15" s="1"/>
  <c r="M187" i="15" s="1"/>
  <c r="H192" i="15"/>
  <c r="K192" i="15" s="1"/>
  <c r="L192" i="15" s="1"/>
  <c r="M192" i="15" s="1"/>
  <c r="H195" i="15"/>
  <c r="K195" i="15" s="1"/>
  <c r="L195" i="15" s="1"/>
  <c r="M195" i="15" s="1"/>
  <c r="H200" i="15"/>
  <c r="K200" i="15" s="1"/>
  <c r="L200" i="15" s="1"/>
  <c r="M200" i="15" s="1"/>
  <c r="H202" i="15"/>
  <c r="K202" i="15" s="1"/>
  <c r="L202" i="15" s="1"/>
  <c r="M202" i="15" s="1"/>
  <c r="H205" i="15"/>
  <c r="K205" i="15" s="1"/>
  <c r="L205" i="15" s="1"/>
  <c r="M205" i="15" s="1"/>
  <c r="H208" i="15"/>
  <c r="K208" i="15" s="1"/>
  <c r="L208" i="15" s="1"/>
  <c r="M208" i="15" s="1"/>
  <c r="H210" i="15"/>
  <c r="K210" i="15" s="1"/>
  <c r="L210" i="15" s="1"/>
  <c r="M210" i="15" s="1"/>
  <c r="H213" i="15"/>
  <c r="K213" i="15" s="1"/>
  <c r="L213" i="15" s="1"/>
  <c r="M213" i="15" s="1"/>
  <c r="H216" i="15"/>
  <c r="K216" i="15" s="1"/>
  <c r="L216" i="15" s="1"/>
  <c r="M216" i="15" s="1"/>
  <c r="H218" i="15"/>
  <c r="K218" i="15" s="1"/>
  <c r="L218" i="15" s="1"/>
  <c r="M218" i="15" s="1"/>
  <c r="H221" i="15"/>
  <c r="K221" i="15" s="1"/>
  <c r="L221" i="15" s="1"/>
  <c r="M221" i="15" s="1"/>
  <c r="H4" i="15"/>
  <c r="K4" i="15" s="1"/>
  <c r="L4" i="15" s="1"/>
  <c r="M4" i="15" s="1"/>
  <c r="H7" i="15"/>
  <c r="K7" i="15" s="1"/>
  <c r="L7" i="15" s="1"/>
  <c r="M7" i="15" s="1"/>
  <c r="H12" i="15"/>
  <c r="K12" i="15" s="1"/>
  <c r="L12" i="15" s="1"/>
  <c r="M12" i="15" s="1"/>
  <c r="H15" i="15"/>
  <c r="K15" i="15" s="1"/>
  <c r="L15" i="15" s="1"/>
  <c r="M15" i="15" s="1"/>
  <c r="H20" i="15"/>
  <c r="K20" i="15" s="1"/>
  <c r="L20" i="15" s="1"/>
  <c r="M20" i="15" s="1"/>
  <c r="H23" i="15"/>
  <c r="K23" i="15" s="1"/>
  <c r="L23" i="15" s="1"/>
  <c r="M23" i="15" s="1"/>
  <c r="H28" i="15"/>
  <c r="K28" i="15" s="1"/>
  <c r="L28" i="15" s="1"/>
  <c r="M28" i="15" s="1"/>
  <c r="H31" i="15"/>
  <c r="K31" i="15" s="1"/>
  <c r="L31" i="15" s="1"/>
  <c r="M31" i="15" s="1"/>
  <c r="H36" i="15"/>
  <c r="K36" i="15" s="1"/>
  <c r="L36" i="15" s="1"/>
  <c r="M36" i="15" s="1"/>
  <c r="H39" i="15"/>
  <c r="K39" i="15" s="1"/>
  <c r="L39" i="15" s="1"/>
  <c r="M39" i="15" s="1"/>
  <c r="H44" i="15"/>
  <c r="K44" i="15" s="1"/>
  <c r="L44" i="15" s="1"/>
  <c r="M44" i="15" s="1"/>
  <c r="H47" i="15"/>
  <c r="K47" i="15" s="1"/>
  <c r="L47" i="15" s="1"/>
  <c r="M47" i="15" s="1"/>
  <c r="H52" i="15"/>
  <c r="K52" i="15" s="1"/>
  <c r="L52" i="15" s="1"/>
  <c r="M52" i="15" s="1"/>
  <c r="H55" i="15"/>
  <c r="K55" i="15" s="1"/>
  <c r="L55" i="15" s="1"/>
  <c r="M55" i="15" s="1"/>
  <c r="H60" i="15"/>
  <c r="K60" i="15" s="1"/>
  <c r="L60" i="15" s="1"/>
  <c r="M60" i="15" s="1"/>
  <c r="H63" i="15"/>
  <c r="K63" i="15" s="1"/>
  <c r="L63" i="15" s="1"/>
  <c r="M63" i="15" s="1"/>
  <c r="H68" i="15"/>
  <c r="K68" i="15" s="1"/>
  <c r="L68" i="15" s="1"/>
  <c r="M68" i="15" s="1"/>
  <c r="H71" i="15"/>
  <c r="K71" i="15" s="1"/>
  <c r="L71" i="15" s="1"/>
  <c r="M71" i="15" s="1"/>
  <c r="H74" i="15"/>
  <c r="K74" i="15" s="1"/>
  <c r="L74" i="15" s="1"/>
  <c r="M74" i="15" s="1"/>
  <c r="H79" i="15"/>
  <c r="K79" i="15" s="1"/>
  <c r="L79" i="15" s="1"/>
  <c r="M79" i="15" s="1"/>
  <c r="H82" i="15"/>
  <c r="K82" i="15" s="1"/>
  <c r="L82" i="15" s="1"/>
  <c r="M82" i="15" s="1"/>
  <c r="H87" i="15"/>
  <c r="K87" i="15" s="1"/>
  <c r="L87" i="15" s="1"/>
  <c r="M87" i="15" s="1"/>
  <c r="H90" i="15"/>
  <c r="K90" i="15" s="1"/>
  <c r="L90" i="15" s="1"/>
  <c r="M90" i="15" s="1"/>
  <c r="H95" i="15"/>
  <c r="K95" i="15" s="1"/>
  <c r="L95" i="15" s="1"/>
  <c r="M95" i="15" s="1"/>
  <c r="H98" i="15"/>
  <c r="K98" i="15" s="1"/>
  <c r="L98" i="15" s="1"/>
  <c r="M98" i="15" s="1"/>
  <c r="H103" i="15"/>
  <c r="K103" i="15" s="1"/>
  <c r="L103" i="15" s="1"/>
  <c r="M103" i="15" s="1"/>
  <c r="H111" i="15"/>
  <c r="K111" i="15" s="1"/>
  <c r="L111" i="15" s="1"/>
  <c r="M111" i="15" s="1"/>
  <c r="H119" i="15"/>
  <c r="K119" i="15" s="1"/>
  <c r="L119" i="15" s="1"/>
  <c r="M119" i="15" s="1"/>
  <c r="H122" i="15"/>
  <c r="K122" i="15" s="1"/>
  <c r="L122" i="15" s="1"/>
  <c r="M122" i="15" s="1"/>
  <c r="H125" i="15"/>
  <c r="K125" i="15" s="1"/>
  <c r="L125" i="15" s="1"/>
  <c r="M125" i="15" s="1"/>
  <c r="H130" i="15"/>
  <c r="K130" i="15" s="1"/>
  <c r="L130" i="15" s="1"/>
  <c r="M130" i="15" s="1"/>
  <c r="H133" i="15"/>
  <c r="K133" i="15" s="1"/>
  <c r="L133" i="15" s="1"/>
  <c r="M133" i="15" s="1"/>
  <c r="H138" i="15"/>
  <c r="K138" i="15" s="1"/>
  <c r="L138" i="15" s="1"/>
  <c r="M138" i="15" s="1"/>
  <c r="H141" i="15"/>
  <c r="K141" i="15" s="1"/>
  <c r="L141" i="15" s="1"/>
  <c r="M141" i="15" s="1"/>
  <c r="H146" i="15"/>
  <c r="K146" i="15" s="1"/>
  <c r="L146" i="15" s="1"/>
  <c r="M146" i="15" s="1"/>
  <c r="H149" i="15"/>
  <c r="K149" i="15" s="1"/>
  <c r="L149" i="15" s="1"/>
  <c r="M149" i="15" s="1"/>
  <c r="H154" i="15"/>
  <c r="K154" i="15" s="1"/>
  <c r="L154" i="15" s="1"/>
  <c r="M154" i="15" s="1"/>
  <c r="H157" i="15"/>
  <c r="K157" i="15" s="1"/>
  <c r="L157" i="15" s="1"/>
  <c r="M157" i="15" s="1"/>
  <c r="H162" i="15"/>
  <c r="K162" i="15" s="1"/>
  <c r="L162" i="15" s="1"/>
  <c r="M162" i="15" s="1"/>
  <c r="H165" i="15"/>
  <c r="K165" i="15" s="1"/>
  <c r="L165" i="15" s="1"/>
  <c r="M165" i="15" s="1"/>
  <c r="H170" i="15"/>
  <c r="K170" i="15" s="1"/>
  <c r="L170" i="15" s="1"/>
  <c r="M170" i="15" s="1"/>
  <c r="H173" i="15"/>
  <c r="K173" i="15" s="1"/>
  <c r="L173" i="15" s="1"/>
  <c r="M173" i="15" s="1"/>
  <c r="H178" i="15"/>
  <c r="K178" i="15" s="1"/>
  <c r="L178" i="15" s="1"/>
  <c r="M178" i="15" s="1"/>
  <c r="H181" i="15"/>
  <c r="K181" i="15" s="1"/>
  <c r="L181" i="15" s="1"/>
  <c r="M181" i="15" s="1"/>
  <c r="H186" i="15"/>
  <c r="K186" i="15" s="1"/>
  <c r="L186" i="15" s="1"/>
  <c r="M186" i="15" s="1"/>
  <c r="H189" i="15"/>
  <c r="K189" i="15" s="1"/>
  <c r="L189" i="15" s="1"/>
  <c r="M189" i="15" s="1"/>
  <c r="H194" i="15"/>
  <c r="K194" i="15" s="1"/>
  <c r="L194" i="15" s="1"/>
  <c r="M194" i="15" s="1"/>
  <c r="H197" i="15"/>
  <c r="K197" i="15" s="1"/>
  <c r="L197" i="15" s="1"/>
  <c r="M197" i="15" s="1"/>
  <c r="H204" i="15"/>
  <c r="K204" i="15" s="1"/>
  <c r="L204" i="15" s="1"/>
  <c r="M204" i="15" s="1"/>
  <c r="H212" i="15"/>
  <c r="K212" i="15" s="1"/>
  <c r="L212" i="15" s="1"/>
  <c r="M212" i="15" s="1"/>
  <c r="H220" i="15"/>
  <c r="K220" i="15" s="1"/>
  <c r="L220" i="15" s="1"/>
  <c r="M220" i="15" s="1"/>
  <c r="H9" i="15"/>
  <c r="K9" i="15" s="1"/>
  <c r="L9" i="15" s="1"/>
  <c r="M9" i="15" s="1"/>
  <c r="H17" i="15"/>
  <c r="K17" i="15" s="1"/>
  <c r="L17" i="15" s="1"/>
  <c r="M17" i="15" s="1"/>
  <c r="H25" i="15"/>
  <c r="K25" i="15" s="1"/>
  <c r="L25" i="15" s="1"/>
  <c r="M25" i="15" s="1"/>
  <c r="H33" i="15"/>
  <c r="K33" i="15" s="1"/>
  <c r="L33" i="15" s="1"/>
  <c r="M33" i="15" s="1"/>
  <c r="H41" i="15"/>
  <c r="K41" i="15" s="1"/>
  <c r="L41" i="15" s="1"/>
  <c r="M41" i="15" s="1"/>
  <c r="H49" i="15"/>
  <c r="K49" i="15" s="1"/>
  <c r="L49" i="15" s="1"/>
  <c r="M49" i="15" s="1"/>
  <c r="H57" i="15"/>
  <c r="K57" i="15" s="1"/>
  <c r="L57" i="15" s="1"/>
  <c r="M57" i="15" s="1"/>
  <c r="H65" i="15"/>
  <c r="K65" i="15" s="1"/>
  <c r="L65" i="15" s="1"/>
  <c r="M65" i="15" s="1"/>
  <c r="H73" i="15"/>
  <c r="K73" i="15" s="1"/>
  <c r="L73" i="15" s="1"/>
  <c r="M73" i="15" s="1"/>
  <c r="H81" i="15"/>
  <c r="K81" i="15" s="1"/>
  <c r="L81" i="15" s="1"/>
  <c r="M81" i="15" s="1"/>
  <c r="H89" i="15"/>
  <c r="K89" i="15" s="1"/>
  <c r="L89" i="15" s="1"/>
  <c r="M89" i="15" s="1"/>
  <c r="H97" i="15"/>
  <c r="K97" i="15" s="1"/>
  <c r="L97" i="15" s="1"/>
  <c r="M97" i="15" s="1"/>
  <c r="H124" i="15"/>
  <c r="K124" i="15" s="1"/>
  <c r="L124" i="15" s="1"/>
  <c r="M124" i="15" s="1"/>
  <c r="H132" i="15"/>
  <c r="K132" i="15" s="1"/>
  <c r="L132" i="15" s="1"/>
  <c r="M132" i="15" s="1"/>
  <c r="H140" i="15"/>
  <c r="K140" i="15" s="1"/>
  <c r="L140" i="15" s="1"/>
  <c r="M140" i="15" s="1"/>
  <c r="H148" i="15"/>
  <c r="K148" i="15" s="1"/>
  <c r="L148" i="15" s="1"/>
  <c r="M148" i="15" s="1"/>
  <c r="H156" i="15"/>
  <c r="K156" i="15" s="1"/>
  <c r="L156" i="15" s="1"/>
  <c r="M156" i="15" s="1"/>
  <c r="H164" i="15"/>
  <c r="K164" i="15" s="1"/>
  <c r="L164" i="15" s="1"/>
  <c r="M164" i="15" s="1"/>
  <c r="H172" i="15"/>
  <c r="K172" i="15" s="1"/>
  <c r="L172" i="15" s="1"/>
  <c r="M172" i="15" s="1"/>
  <c r="H180" i="15"/>
  <c r="K180" i="15" s="1"/>
  <c r="L180" i="15" s="1"/>
  <c r="M180" i="15" s="1"/>
  <c r="H188" i="15"/>
  <c r="K188" i="15" s="1"/>
  <c r="L188" i="15" s="1"/>
  <c r="M188" i="15" s="1"/>
  <c r="H196" i="15"/>
  <c r="K196" i="15" s="1"/>
  <c r="L196" i="15" s="1"/>
  <c r="M196" i="15" s="1"/>
  <c r="H201" i="15"/>
  <c r="K201" i="15" s="1"/>
  <c r="L201" i="15" s="1"/>
  <c r="M201" i="15" s="1"/>
  <c r="H209" i="15"/>
  <c r="K209" i="15" s="1"/>
  <c r="L209" i="15" s="1"/>
  <c r="M209" i="15" s="1"/>
  <c r="H217" i="15"/>
  <c r="K217" i="15" s="1"/>
  <c r="L217" i="15" s="1"/>
  <c r="M217" i="15" s="1"/>
  <c r="H224" i="15"/>
  <c r="K224" i="15" s="1"/>
  <c r="L224" i="15" s="1"/>
  <c r="M224" i="15" s="1"/>
  <c r="H226" i="15"/>
  <c r="K226" i="15" s="1"/>
  <c r="L226" i="15" s="1"/>
  <c r="M226" i="15" s="1"/>
  <c r="H231" i="15"/>
  <c r="K231" i="15" s="1"/>
  <c r="L231" i="15" s="1"/>
  <c r="M231" i="15" s="1"/>
  <c r="H234" i="15"/>
  <c r="K234" i="15" s="1"/>
  <c r="L234" i="15" s="1"/>
  <c r="M234" i="15" s="1"/>
  <c r="H239" i="15"/>
  <c r="K239" i="15" s="1"/>
  <c r="L239" i="15" s="1"/>
  <c r="M239" i="15" s="1"/>
  <c r="H242" i="15"/>
  <c r="K242" i="15" s="1"/>
  <c r="L242" i="15" s="1"/>
  <c r="M242" i="15" s="1"/>
  <c r="H247" i="15"/>
  <c r="K247" i="15" s="1"/>
  <c r="L247" i="15" s="1"/>
  <c r="M247" i="15" s="1"/>
  <c r="H250" i="15"/>
  <c r="K250" i="15" s="1"/>
  <c r="L250" i="15" s="1"/>
  <c r="M250" i="15" s="1"/>
  <c r="H255" i="15"/>
  <c r="K255" i="15" s="1"/>
  <c r="L255" i="15" s="1"/>
  <c r="M255" i="15" s="1"/>
  <c r="H258" i="15"/>
  <c r="K258" i="15" s="1"/>
  <c r="L258" i="15" s="1"/>
  <c r="M258" i="15" s="1"/>
  <c r="H263" i="15"/>
  <c r="K263" i="15" s="1"/>
  <c r="L263" i="15" s="1"/>
  <c r="M263" i="15" s="1"/>
  <c r="H266" i="15"/>
  <c r="K266" i="15" s="1"/>
  <c r="L266" i="15" s="1"/>
  <c r="M266" i="15" s="1"/>
  <c r="H271" i="15"/>
  <c r="K271" i="15" s="1"/>
  <c r="L271" i="15" s="1"/>
  <c r="M271" i="15" s="1"/>
  <c r="H274" i="15"/>
  <c r="K274" i="15" s="1"/>
  <c r="L274" i="15" s="1"/>
  <c r="M274" i="15" s="1"/>
  <c r="H279" i="15"/>
  <c r="K279" i="15" s="1"/>
  <c r="L279" i="15" s="1"/>
  <c r="M279" i="15" s="1"/>
  <c r="H282" i="15"/>
  <c r="K282" i="15" s="1"/>
  <c r="L282" i="15" s="1"/>
  <c r="M282" i="15" s="1"/>
  <c r="H287" i="15"/>
  <c r="K287" i="15" s="1"/>
  <c r="L287" i="15" s="1"/>
  <c r="M287" i="15" s="1"/>
  <c r="H290" i="15"/>
  <c r="K290" i="15" s="1"/>
  <c r="L290" i="15" s="1"/>
  <c r="M290" i="15" s="1"/>
  <c r="H295" i="15"/>
  <c r="K295" i="15" s="1"/>
  <c r="L295" i="15" s="1"/>
  <c r="M295" i="15" s="1"/>
  <c r="H298" i="15"/>
  <c r="K298" i="15" s="1"/>
  <c r="L298" i="15" s="1"/>
  <c r="M298" i="15" s="1"/>
  <c r="H303" i="15"/>
  <c r="K303" i="15" s="1"/>
  <c r="L303" i="15" s="1"/>
  <c r="M303" i="15" s="1"/>
  <c r="H306" i="15"/>
  <c r="K306" i="15" s="1"/>
  <c r="L306" i="15" s="1"/>
  <c r="M306" i="15" s="1"/>
  <c r="H311" i="15"/>
  <c r="K311" i="15" s="1"/>
  <c r="L311" i="15" s="1"/>
  <c r="M311" i="15" s="1"/>
  <c r="H314" i="15"/>
  <c r="K314" i="15" s="1"/>
  <c r="L314" i="15" s="1"/>
  <c r="M314" i="15" s="1"/>
  <c r="H320" i="15"/>
  <c r="K320" i="15" s="1"/>
  <c r="L320" i="15" s="1"/>
  <c r="M320" i="15" s="1"/>
  <c r="H322" i="15"/>
  <c r="K322" i="15" s="1"/>
  <c r="L322" i="15" s="1"/>
  <c r="M322" i="15" s="1"/>
  <c r="H328" i="15"/>
  <c r="K328" i="15" s="1"/>
  <c r="L328" i="15" s="1"/>
  <c r="M328" i="15" s="1"/>
  <c r="H330" i="15"/>
  <c r="K330" i="15" s="1"/>
  <c r="L330" i="15" s="1"/>
  <c r="M330" i="15" s="1"/>
  <c r="H336" i="15"/>
  <c r="K336" i="15" s="1"/>
  <c r="L336" i="15" s="1"/>
  <c r="M336" i="15" s="1"/>
  <c r="H338" i="15"/>
  <c r="K338" i="15" s="1"/>
  <c r="L338" i="15" s="1"/>
  <c r="M338" i="15" s="1"/>
  <c r="H344" i="15"/>
  <c r="K344" i="15" s="1"/>
  <c r="L344" i="15" s="1"/>
  <c r="M344" i="15" s="1"/>
  <c r="H346" i="15"/>
  <c r="K346" i="15" s="1"/>
  <c r="L346" i="15" s="1"/>
  <c r="M346" i="15" s="1"/>
  <c r="H352" i="15"/>
  <c r="K352" i="15" s="1"/>
  <c r="L352" i="15" s="1"/>
  <c r="M352" i="15" s="1"/>
  <c r="H354" i="15"/>
  <c r="K354" i="15" s="1"/>
  <c r="L354" i="15" s="1"/>
  <c r="M354" i="15" s="1"/>
  <c r="H359" i="15"/>
  <c r="K359" i="15" s="1"/>
  <c r="L359" i="15" s="1"/>
  <c r="M359" i="15" s="1"/>
  <c r="H364" i="15"/>
  <c r="K364" i="15" s="1"/>
  <c r="L364" i="15" s="1"/>
  <c r="M364" i="15" s="1"/>
  <c r="H367" i="15"/>
  <c r="K367" i="15" s="1"/>
  <c r="L367" i="15" s="1"/>
  <c r="M367" i="15" s="1"/>
  <c r="H372" i="15"/>
  <c r="K372" i="15" s="1"/>
  <c r="L372" i="15" s="1"/>
  <c r="M372" i="15" s="1"/>
  <c r="H375" i="15"/>
  <c r="K375" i="15" s="1"/>
  <c r="L375" i="15" s="1"/>
  <c r="M375" i="15" s="1"/>
  <c r="H380" i="15"/>
  <c r="K380" i="15" s="1"/>
  <c r="L380" i="15" s="1"/>
  <c r="M380" i="15" s="1"/>
  <c r="H383" i="15"/>
  <c r="K383" i="15" s="1"/>
  <c r="L383" i="15" s="1"/>
  <c r="M383" i="15" s="1"/>
  <c r="H388" i="15"/>
  <c r="K388" i="15" s="1"/>
  <c r="L388" i="15" s="1"/>
  <c r="M388" i="15" s="1"/>
  <c r="H391" i="15"/>
  <c r="K391" i="15" s="1"/>
  <c r="L391" i="15" s="1"/>
  <c r="M391" i="15" s="1"/>
  <c r="H396" i="15"/>
  <c r="K396" i="15" s="1"/>
  <c r="L396" i="15" s="1"/>
  <c r="M396" i="15" s="1"/>
  <c r="H399" i="15"/>
  <c r="K399" i="15" s="1"/>
  <c r="L399" i="15" s="1"/>
  <c r="M399" i="15" s="1"/>
  <c r="H404" i="15"/>
  <c r="K404" i="15" s="1"/>
  <c r="L404" i="15" s="1"/>
  <c r="M404" i="15" s="1"/>
  <c r="H407" i="15"/>
  <c r="K407" i="15" s="1"/>
  <c r="L407" i="15" s="1"/>
  <c r="M407" i="15" s="1"/>
  <c r="H412" i="15"/>
  <c r="K412" i="15" s="1"/>
  <c r="L412" i="15" s="1"/>
  <c r="M412" i="15" s="1"/>
  <c r="H415" i="15"/>
  <c r="K415" i="15" s="1"/>
  <c r="L415" i="15" s="1"/>
  <c r="M415" i="15" s="1"/>
  <c r="H420" i="15"/>
  <c r="K420" i="15" s="1"/>
  <c r="L420" i="15" s="1"/>
  <c r="M420" i="15" s="1"/>
  <c r="H423" i="15"/>
  <c r="K423" i="15" s="1"/>
  <c r="L423" i="15" s="1"/>
  <c r="M423" i="15" s="1"/>
  <c r="H428" i="15"/>
  <c r="K428" i="15" s="1"/>
  <c r="L428" i="15" s="1"/>
  <c r="M428" i="15" s="1"/>
  <c r="H431" i="15"/>
  <c r="K431" i="15" s="1"/>
  <c r="L431" i="15" s="1"/>
  <c r="M431" i="15" s="1"/>
  <c r="H436" i="15"/>
  <c r="K436" i="15" s="1"/>
  <c r="L436" i="15" s="1"/>
  <c r="M436" i="15" s="1"/>
  <c r="H439" i="15"/>
  <c r="K439" i="15" s="1"/>
  <c r="L439" i="15" s="1"/>
  <c r="M439" i="15" s="1"/>
  <c r="H444" i="15"/>
  <c r="K444" i="15" s="1"/>
  <c r="L444" i="15" s="1"/>
  <c r="M444" i="15" s="1"/>
  <c r="H447" i="15"/>
  <c r="K447" i="15" s="1"/>
  <c r="L447" i="15" s="1"/>
  <c r="M447" i="15" s="1"/>
  <c r="H452" i="15"/>
  <c r="K452" i="15" s="1"/>
  <c r="L452" i="15" s="1"/>
  <c r="M452" i="15" s="1"/>
  <c r="H455" i="15"/>
  <c r="K455" i="15" s="1"/>
  <c r="L455" i="15" s="1"/>
  <c r="M455" i="15" s="1"/>
  <c r="H460" i="15"/>
  <c r="K460" i="15" s="1"/>
  <c r="L460" i="15" s="1"/>
  <c r="M460" i="15" s="1"/>
  <c r="H463" i="15"/>
  <c r="K463" i="15" s="1"/>
  <c r="L463" i="15" s="1"/>
  <c r="M463" i="15" s="1"/>
  <c r="H468" i="15"/>
  <c r="K468" i="15" s="1"/>
  <c r="L468" i="15" s="1"/>
  <c r="M468" i="15" s="1"/>
  <c r="H471" i="15"/>
  <c r="K471" i="15" s="1"/>
  <c r="L471" i="15" s="1"/>
  <c r="M471" i="15" s="1"/>
  <c r="H476" i="15"/>
  <c r="K476" i="15" s="1"/>
  <c r="L476" i="15" s="1"/>
  <c r="M476" i="15" s="1"/>
  <c r="H479" i="15"/>
  <c r="K479" i="15" s="1"/>
  <c r="L479" i="15" s="1"/>
  <c r="M479" i="15" s="1"/>
  <c r="H484" i="15"/>
  <c r="K484" i="15" s="1"/>
  <c r="L484" i="15" s="1"/>
  <c r="M484" i="15" s="1"/>
  <c r="H487" i="15"/>
  <c r="K487" i="15" s="1"/>
  <c r="L487" i="15" s="1"/>
  <c r="M487" i="15" s="1"/>
  <c r="H492" i="15"/>
  <c r="K492" i="15" s="1"/>
  <c r="L492" i="15" s="1"/>
  <c r="M492" i="15" s="1"/>
  <c r="H495" i="15"/>
  <c r="K495" i="15" s="1"/>
  <c r="L495" i="15" s="1"/>
  <c r="M495" i="15" s="1"/>
  <c r="H500" i="15"/>
  <c r="K500" i="15" s="1"/>
  <c r="L500" i="15" s="1"/>
  <c r="M500" i="15" s="1"/>
  <c r="H503" i="15"/>
  <c r="K503" i="15" s="1"/>
  <c r="L503" i="15" s="1"/>
  <c r="M503" i="15" s="1"/>
  <c r="H508" i="15"/>
  <c r="K508" i="15" s="1"/>
  <c r="L508" i="15" s="1"/>
  <c r="M508" i="15" s="1"/>
  <c r="H511" i="15"/>
  <c r="K511" i="15" s="1"/>
  <c r="L511" i="15" s="1"/>
  <c r="M511" i="15" s="1"/>
  <c r="H516" i="15"/>
  <c r="K516" i="15" s="1"/>
  <c r="L516" i="15" s="1"/>
  <c r="M516" i="15" s="1"/>
  <c r="H519" i="15"/>
  <c r="K519" i="15" s="1"/>
  <c r="L519" i="15" s="1"/>
  <c r="M519" i="15" s="1"/>
  <c r="H524" i="15"/>
  <c r="K524" i="15" s="1"/>
  <c r="L524" i="15" s="1"/>
  <c r="M524" i="15" s="1"/>
  <c r="H527" i="15"/>
  <c r="K527" i="15" s="1"/>
  <c r="L527" i="15" s="1"/>
  <c r="M527" i="15" s="1"/>
  <c r="H532" i="15"/>
  <c r="K532" i="15" s="1"/>
  <c r="L532" i="15" s="1"/>
  <c r="M532" i="15" s="1"/>
  <c r="H535" i="15"/>
  <c r="K535" i="15" s="1"/>
  <c r="L535" i="15" s="1"/>
  <c r="M535" i="15" s="1"/>
  <c r="H540" i="15"/>
  <c r="K540" i="15" s="1"/>
  <c r="L540" i="15" s="1"/>
  <c r="M540" i="15" s="1"/>
  <c r="H543" i="15"/>
  <c r="K543" i="15" s="1"/>
  <c r="L543" i="15" s="1"/>
  <c r="M543" i="15" s="1"/>
  <c r="H548" i="15"/>
  <c r="K548" i="15" s="1"/>
  <c r="L548" i="15" s="1"/>
  <c r="M548" i="15" s="1"/>
  <c r="H551" i="15"/>
  <c r="K551" i="15" s="1"/>
  <c r="L551" i="15" s="1"/>
  <c r="M551" i="15" s="1"/>
  <c r="H556" i="15"/>
  <c r="K556" i="15" s="1"/>
  <c r="L556" i="15" s="1"/>
  <c r="M556" i="15" s="1"/>
  <c r="H559" i="15"/>
  <c r="K559" i="15" s="1"/>
  <c r="L559" i="15" s="1"/>
  <c r="M559" i="15" s="1"/>
  <c r="H564" i="15"/>
  <c r="K564" i="15" s="1"/>
  <c r="L564" i="15" s="1"/>
  <c r="M564" i="15" s="1"/>
  <c r="H567" i="15"/>
  <c r="K567" i="15" s="1"/>
  <c r="L567" i="15" s="1"/>
  <c r="M567" i="15" s="1"/>
  <c r="H572" i="15"/>
  <c r="K572" i="15" s="1"/>
  <c r="L572" i="15" s="1"/>
  <c r="M572" i="15" s="1"/>
  <c r="H575" i="15"/>
  <c r="K575" i="15" s="1"/>
  <c r="L575" i="15" s="1"/>
  <c r="M575" i="15" s="1"/>
  <c r="H580" i="15"/>
  <c r="K580" i="15" s="1"/>
  <c r="L580" i="15" s="1"/>
  <c r="M580" i="15" s="1"/>
  <c r="H583" i="15"/>
  <c r="K583" i="15" s="1"/>
  <c r="L583" i="15" s="1"/>
  <c r="M583" i="15" s="1"/>
  <c r="H588" i="15"/>
  <c r="K588" i="15" s="1"/>
  <c r="L588" i="15" s="1"/>
  <c r="M588" i="15" s="1"/>
  <c r="H591" i="15"/>
  <c r="K591" i="15" s="1"/>
  <c r="L591" i="15" s="1"/>
  <c r="M591" i="15" s="1"/>
  <c r="H596" i="15"/>
  <c r="K596" i="15" s="1"/>
  <c r="L596" i="15" s="1"/>
  <c r="M596" i="15" s="1"/>
  <c r="H76" i="15"/>
  <c r="K76" i="15" s="1"/>
  <c r="L76" i="15" s="1"/>
  <c r="M76" i="15" s="1"/>
  <c r="H84" i="15"/>
  <c r="K84" i="15" s="1"/>
  <c r="L84" i="15" s="1"/>
  <c r="M84" i="15" s="1"/>
  <c r="H92" i="15"/>
  <c r="K92" i="15" s="1"/>
  <c r="L92" i="15" s="1"/>
  <c r="M92" i="15" s="1"/>
  <c r="H100" i="15"/>
  <c r="K100" i="15" s="1"/>
  <c r="L100" i="15" s="1"/>
  <c r="M100" i="15" s="1"/>
  <c r="H108" i="15"/>
  <c r="K108" i="15" s="1"/>
  <c r="L108" i="15" s="1"/>
  <c r="M108" i="15" s="1"/>
  <c r="H116" i="15"/>
  <c r="K116" i="15" s="1"/>
  <c r="L116" i="15" s="1"/>
  <c r="M116" i="15" s="1"/>
  <c r="H127" i="15"/>
  <c r="K127" i="15" s="1"/>
  <c r="L127" i="15" s="1"/>
  <c r="M127" i="15" s="1"/>
  <c r="H135" i="15"/>
  <c r="K135" i="15" s="1"/>
  <c r="L135" i="15" s="1"/>
  <c r="M135" i="15" s="1"/>
  <c r="H143" i="15"/>
  <c r="K143" i="15" s="1"/>
  <c r="L143" i="15" s="1"/>
  <c r="M143" i="15" s="1"/>
  <c r="H151" i="15"/>
  <c r="K151" i="15" s="1"/>
  <c r="L151" i="15" s="1"/>
  <c r="M151" i="15" s="1"/>
  <c r="H159" i="15"/>
  <c r="K159" i="15" s="1"/>
  <c r="L159" i="15" s="1"/>
  <c r="M159" i="15" s="1"/>
  <c r="H167" i="15"/>
  <c r="K167" i="15" s="1"/>
  <c r="L167" i="15" s="1"/>
  <c r="M167" i="15" s="1"/>
  <c r="H175" i="15"/>
  <c r="K175" i="15" s="1"/>
  <c r="L175" i="15" s="1"/>
  <c r="M175" i="15" s="1"/>
  <c r="H183" i="15"/>
  <c r="K183" i="15" s="1"/>
  <c r="L183" i="15" s="1"/>
  <c r="M183" i="15" s="1"/>
  <c r="H191" i="15"/>
  <c r="K191" i="15" s="1"/>
  <c r="L191" i="15" s="1"/>
  <c r="M191" i="15" s="1"/>
  <c r="H199" i="15"/>
  <c r="K199" i="15" s="1"/>
  <c r="L199" i="15" s="1"/>
  <c r="M199" i="15" s="1"/>
  <c r="H207" i="15"/>
  <c r="K207" i="15" s="1"/>
  <c r="L207" i="15" s="1"/>
  <c r="M207" i="15" s="1"/>
  <c r="H215" i="15"/>
  <c r="K215" i="15" s="1"/>
  <c r="L215" i="15" s="1"/>
  <c r="M215" i="15" s="1"/>
  <c r="H228" i="15"/>
  <c r="K228" i="15" s="1"/>
  <c r="L228" i="15" s="1"/>
  <c r="M228" i="15" s="1"/>
  <c r="H233" i="15"/>
  <c r="K233" i="15" s="1"/>
  <c r="L233" i="15" s="1"/>
  <c r="M233" i="15" s="1"/>
  <c r="H236" i="15"/>
  <c r="K236" i="15" s="1"/>
  <c r="L236" i="15" s="1"/>
  <c r="M236" i="15" s="1"/>
  <c r="H241" i="15"/>
  <c r="K241" i="15" s="1"/>
  <c r="L241" i="15" s="1"/>
  <c r="M241" i="15" s="1"/>
  <c r="H244" i="15"/>
  <c r="K244" i="15" s="1"/>
  <c r="L244" i="15" s="1"/>
  <c r="M244" i="15" s="1"/>
  <c r="H249" i="15"/>
  <c r="K249" i="15" s="1"/>
  <c r="L249" i="15" s="1"/>
  <c r="M249" i="15" s="1"/>
  <c r="H252" i="15"/>
  <c r="K252" i="15" s="1"/>
  <c r="L252" i="15" s="1"/>
  <c r="M252" i="15" s="1"/>
  <c r="H257" i="15"/>
  <c r="K257" i="15" s="1"/>
  <c r="L257" i="15" s="1"/>
  <c r="M257" i="15" s="1"/>
  <c r="H260" i="15"/>
  <c r="K260" i="15" s="1"/>
  <c r="L260" i="15" s="1"/>
  <c r="M260" i="15" s="1"/>
  <c r="H265" i="15"/>
  <c r="K265" i="15" s="1"/>
  <c r="L265" i="15" s="1"/>
  <c r="M265" i="15" s="1"/>
  <c r="H268" i="15"/>
  <c r="K268" i="15" s="1"/>
  <c r="L268" i="15" s="1"/>
  <c r="M268" i="15" s="1"/>
  <c r="H273" i="15"/>
  <c r="K273" i="15" s="1"/>
  <c r="L273" i="15" s="1"/>
  <c r="M273" i="15" s="1"/>
  <c r="H276" i="15"/>
  <c r="K276" i="15" s="1"/>
  <c r="L276" i="15" s="1"/>
  <c r="M276" i="15" s="1"/>
  <c r="H281" i="15"/>
  <c r="K281" i="15" s="1"/>
  <c r="L281" i="15" s="1"/>
  <c r="M281" i="15" s="1"/>
  <c r="H284" i="15"/>
  <c r="K284" i="15" s="1"/>
  <c r="L284" i="15" s="1"/>
  <c r="M284" i="15" s="1"/>
  <c r="H289" i="15"/>
  <c r="K289" i="15" s="1"/>
  <c r="L289" i="15" s="1"/>
  <c r="M289" i="15" s="1"/>
  <c r="H292" i="15"/>
  <c r="K292" i="15" s="1"/>
  <c r="L292" i="15" s="1"/>
  <c r="M292" i="15" s="1"/>
  <c r="H297" i="15"/>
  <c r="K297" i="15" s="1"/>
  <c r="L297" i="15" s="1"/>
  <c r="M297" i="15" s="1"/>
  <c r="H300" i="15"/>
  <c r="K300" i="15" s="1"/>
  <c r="L300" i="15" s="1"/>
  <c r="M300" i="15" s="1"/>
  <c r="H305" i="15"/>
  <c r="K305" i="15" s="1"/>
  <c r="L305" i="15" s="1"/>
  <c r="M305" i="15" s="1"/>
  <c r="H308" i="15"/>
  <c r="K308" i="15" s="1"/>
  <c r="L308" i="15" s="1"/>
  <c r="M308" i="15" s="1"/>
  <c r="H313" i="15"/>
  <c r="K313" i="15" s="1"/>
  <c r="L313" i="15" s="1"/>
  <c r="M313" i="15" s="1"/>
  <c r="H316" i="15"/>
  <c r="K316" i="15" s="1"/>
  <c r="L316" i="15" s="1"/>
  <c r="M316" i="15" s="1"/>
  <c r="H319" i="15"/>
  <c r="K319" i="15" s="1"/>
  <c r="L319" i="15" s="1"/>
  <c r="M319" i="15" s="1"/>
  <c r="H324" i="15"/>
  <c r="K324" i="15" s="1"/>
  <c r="L324" i="15" s="1"/>
  <c r="M324" i="15" s="1"/>
  <c r="H327" i="15"/>
  <c r="K327" i="15" s="1"/>
  <c r="L327" i="15" s="1"/>
  <c r="M327" i="15" s="1"/>
  <c r="H332" i="15"/>
  <c r="K332" i="15" s="1"/>
  <c r="L332" i="15" s="1"/>
  <c r="M332" i="15" s="1"/>
  <c r="H335" i="15"/>
  <c r="K335" i="15" s="1"/>
  <c r="L335" i="15" s="1"/>
  <c r="M335" i="15" s="1"/>
  <c r="H340" i="15"/>
  <c r="K340" i="15" s="1"/>
  <c r="L340" i="15" s="1"/>
  <c r="M340" i="15" s="1"/>
  <c r="H343" i="15"/>
  <c r="K343" i="15" s="1"/>
  <c r="L343" i="15" s="1"/>
  <c r="M343" i="15" s="1"/>
  <c r="H348" i="15"/>
  <c r="K348" i="15" s="1"/>
  <c r="L348" i="15" s="1"/>
  <c r="M348" i="15" s="1"/>
  <c r="H351" i="15"/>
  <c r="K351" i="15" s="1"/>
  <c r="L351" i="15" s="1"/>
  <c r="M351" i="15" s="1"/>
  <c r="H356" i="15"/>
  <c r="K356" i="15" s="1"/>
  <c r="L356" i="15" s="1"/>
  <c r="M356" i="15" s="1"/>
  <c r="H358" i="15"/>
  <c r="K358" i="15" s="1"/>
  <c r="L358" i="15" s="1"/>
  <c r="M358" i="15" s="1"/>
  <c r="H361" i="15"/>
  <c r="K361" i="15" s="1"/>
  <c r="L361" i="15" s="1"/>
  <c r="M361" i="15" s="1"/>
  <c r="H366" i="15"/>
  <c r="K366" i="15" s="1"/>
  <c r="L366" i="15" s="1"/>
  <c r="M366" i="15" s="1"/>
  <c r="H369" i="15"/>
  <c r="K369" i="15" s="1"/>
  <c r="L369" i="15" s="1"/>
  <c r="M369" i="15" s="1"/>
  <c r="H374" i="15"/>
  <c r="K374" i="15" s="1"/>
  <c r="L374" i="15" s="1"/>
  <c r="M374" i="15" s="1"/>
  <c r="H377" i="15"/>
  <c r="K377" i="15" s="1"/>
  <c r="L377" i="15" s="1"/>
  <c r="M377" i="15" s="1"/>
  <c r="H382" i="15"/>
  <c r="K382" i="15" s="1"/>
  <c r="L382" i="15" s="1"/>
  <c r="M382" i="15" s="1"/>
  <c r="H385" i="15"/>
  <c r="K385" i="15" s="1"/>
  <c r="L385" i="15" s="1"/>
  <c r="M385" i="15" s="1"/>
  <c r="H390" i="15"/>
  <c r="K390" i="15" s="1"/>
  <c r="L390" i="15" s="1"/>
  <c r="M390" i="15" s="1"/>
  <c r="H393" i="15"/>
  <c r="K393" i="15" s="1"/>
  <c r="L393" i="15" s="1"/>
  <c r="M393" i="15" s="1"/>
  <c r="H398" i="15"/>
  <c r="K398" i="15" s="1"/>
  <c r="L398" i="15" s="1"/>
  <c r="M398" i="15" s="1"/>
  <c r="H401" i="15"/>
  <c r="K401" i="15" s="1"/>
  <c r="L401" i="15" s="1"/>
  <c r="M401" i="15" s="1"/>
  <c r="H406" i="15"/>
  <c r="K406" i="15" s="1"/>
  <c r="L406" i="15" s="1"/>
  <c r="M406" i="15" s="1"/>
  <c r="H409" i="15"/>
  <c r="K409" i="15" s="1"/>
  <c r="L409" i="15" s="1"/>
  <c r="M409" i="15" s="1"/>
  <c r="H414" i="15"/>
  <c r="K414" i="15" s="1"/>
  <c r="L414" i="15" s="1"/>
  <c r="M414" i="15" s="1"/>
  <c r="H417" i="15"/>
  <c r="K417" i="15" s="1"/>
  <c r="L417" i="15" s="1"/>
  <c r="M417" i="15" s="1"/>
  <c r="H422" i="15"/>
  <c r="K422" i="15" s="1"/>
  <c r="L422" i="15" s="1"/>
  <c r="M422" i="15" s="1"/>
  <c r="H425" i="15"/>
  <c r="K425" i="15" s="1"/>
  <c r="L425" i="15" s="1"/>
  <c r="M425" i="15" s="1"/>
  <c r="H430" i="15"/>
  <c r="K430" i="15" s="1"/>
  <c r="L430" i="15" s="1"/>
  <c r="M430" i="15" s="1"/>
  <c r="H433" i="15"/>
  <c r="K433" i="15" s="1"/>
  <c r="L433" i="15" s="1"/>
  <c r="M433" i="15" s="1"/>
  <c r="H438" i="15"/>
  <c r="K438" i="15" s="1"/>
  <c r="L438" i="15" s="1"/>
  <c r="M438" i="15" s="1"/>
  <c r="H441" i="15"/>
  <c r="K441" i="15" s="1"/>
  <c r="L441" i="15" s="1"/>
  <c r="M441" i="15" s="1"/>
  <c r="H446" i="15"/>
  <c r="K446" i="15" s="1"/>
  <c r="L446" i="15" s="1"/>
  <c r="M446" i="15" s="1"/>
  <c r="H449" i="15"/>
  <c r="K449" i="15" s="1"/>
  <c r="L449" i="15" s="1"/>
  <c r="M449" i="15" s="1"/>
  <c r="H454" i="15"/>
  <c r="K454" i="15" s="1"/>
  <c r="L454" i="15" s="1"/>
  <c r="M454" i="15" s="1"/>
  <c r="H457" i="15"/>
  <c r="K457" i="15" s="1"/>
  <c r="L457" i="15" s="1"/>
  <c r="M457" i="15" s="1"/>
  <c r="H462" i="15"/>
  <c r="K462" i="15" s="1"/>
  <c r="L462" i="15" s="1"/>
  <c r="M462" i="15" s="1"/>
  <c r="H465" i="15"/>
  <c r="K465" i="15" s="1"/>
  <c r="L465" i="15" s="1"/>
  <c r="M465" i="15" s="1"/>
  <c r="H470" i="15"/>
  <c r="K470" i="15" s="1"/>
  <c r="L470" i="15" s="1"/>
  <c r="M470" i="15" s="1"/>
  <c r="H473" i="15"/>
  <c r="K473" i="15" s="1"/>
  <c r="L473" i="15" s="1"/>
  <c r="M473" i="15" s="1"/>
  <c r="H478" i="15"/>
  <c r="K478" i="15" s="1"/>
  <c r="L478" i="15" s="1"/>
  <c r="M478" i="15" s="1"/>
  <c r="H481" i="15"/>
  <c r="K481" i="15" s="1"/>
  <c r="L481" i="15" s="1"/>
  <c r="M481" i="15" s="1"/>
  <c r="H486" i="15"/>
  <c r="K486" i="15" s="1"/>
  <c r="L486" i="15" s="1"/>
  <c r="M486" i="15" s="1"/>
  <c r="H489" i="15"/>
  <c r="K489" i="15" s="1"/>
  <c r="L489" i="15" s="1"/>
  <c r="M489" i="15" s="1"/>
  <c r="H494" i="15"/>
  <c r="K494" i="15" s="1"/>
  <c r="L494" i="15" s="1"/>
  <c r="M494" i="15" s="1"/>
  <c r="H497" i="15"/>
  <c r="K497" i="15" s="1"/>
  <c r="L497" i="15" s="1"/>
  <c r="M497" i="15" s="1"/>
  <c r="H502" i="15"/>
  <c r="K502" i="15" s="1"/>
  <c r="L502" i="15" s="1"/>
  <c r="M502" i="15" s="1"/>
  <c r="H505" i="15"/>
  <c r="K505" i="15" s="1"/>
  <c r="L505" i="15" s="1"/>
  <c r="M505" i="15" s="1"/>
  <c r="H510" i="15"/>
  <c r="K510" i="15" s="1"/>
  <c r="L510" i="15" s="1"/>
  <c r="M510" i="15" s="1"/>
  <c r="H513" i="15"/>
  <c r="K513" i="15" s="1"/>
  <c r="L513" i="15" s="1"/>
  <c r="M513" i="15" s="1"/>
  <c r="H518" i="15"/>
  <c r="K518" i="15" s="1"/>
  <c r="L518" i="15" s="1"/>
  <c r="M518" i="15" s="1"/>
  <c r="H521" i="15"/>
  <c r="K521" i="15" s="1"/>
  <c r="L521" i="15" s="1"/>
  <c r="M521" i="15" s="1"/>
  <c r="H526" i="15"/>
  <c r="K526" i="15" s="1"/>
  <c r="L526" i="15" s="1"/>
  <c r="M526" i="15" s="1"/>
  <c r="H529" i="15"/>
  <c r="K529" i="15" s="1"/>
  <c r="L529" i="15" s="1"/>
  <c r="M529" i="15" s="1"/>
  <c r="H534" i="15"/>
  <c r="K534" i="15" s="1"/>
  <c r="L534" i="15" s="1"/>
  <c r="M534" i="15" s="1"/>
  <c r="H537" i="15"/>
  <c r="K537" i="15" s="1"/>
  <c r="L537" i="15" s="1"/>
  <c r="M537" i="15" s="1"/>
  <c r="H542" i="15"/>
  <c r="K542" i="15" s="1"/>
  <c r="L542" i="15" s="1"/>
  <c r="M542" i="15" s="1"/>
  <c r="H545" i="15"/>
  <c r="K545" i="15" s="1"/>
  <c r="L545" i="15" s="1"/>
  <c r="M545" i="15" s="1"/>
  <c r="H550" i="15"/>
  <c r="K550" i="15" s="1"/>
  <c r="L550" i="15" s="1"/>
  <c r="M550" i="15" s="1"/>
  <c r="H553" i="15"/>
  <c r="K553" i="15" s="1"/>
  <c r="L553" i="15" s="1"/>
  <c r="M553" i="15" s="1"/>
  <c r="H558" i="15"/>
  <c r="K558" i="15" s="1"/>
  <c r="L558" i="15" s="1"/>
  <c r="M558" i="15" s="1"/>
  <c r="H561" i="15"/>
  <c r="K561" i="15" s="1"/>
  <c r="L561" i="15" s="1"/>
  <c r="M561" i="15" s="1"/>
  <c r="H566" i="15"/>
  <c r="K566" i="15" s="1"/>
  <c r="L566" i="15" s="1"/>
  <c r="M566" i="15" s="1"/>
  <c r="H569" i="15"/>
  <c r="K569" i="15" s="1"/>
  <c r="L569" i="15" s="1"/>
  <c r="M569" i="15" s="1"/>
  <c r="H574" i="15"/>
  <c r="K574" i="15" s="1"/>
  <c r="L574" i="15" s="1"/>
  <c r="M574" i="15" s="1"/>
  <c r="H577" i="15"/>
  <c r="K577" i="15" s="1"/>
  <c r="L577" i="15" s="1"/>
  <c r="M577" i="15" s="1"/>
  <c r="H582" i="15"/>
  <c r="K582" i="15" s="1"/>
  <c r="L582" i="15" s="1"/>
  <c r="M582" i="15" s="1"/>
  <c r="H585" i="15"/>
  <c r="K585" i="15" s="1"/>
  <c r="L585" i="15" s="1"/>
  <c r="M585" i="15" s="1"/>
  <c r="H590" i="15"/>
  <c r="K590" i="15" s="1"/>
  <c r="L590" i="15" s="1"/>
  <c r="M590" i="15" s="1"/>
  <c r="H593" i="15"/>
  <c r="K593" i="15" s="1"/>
  <c r="L593" i="15" s="1"/>
  <c r="M593" i="15" s="1"/>
  <c r="H598" i="15"/>
  <c r="K598" i="15" s="1"/>
  <c r="L598" i="15" s="1"/>
  <c r="M598" i="15" s="1"/>
  <c r="H601" i="15"/>
  <c r="K601" i="15" s="1"/>
  <c r="L601" i="15" s="1"/>
  <c r="M601" i="15" s="1"/>
  <c r="H606" i="15"/>
  <c r="K606" i="15" s="1"/>
  <c r="L606" i="15" s="1"/>
  <c r="M606" i="15" s="1"/>
  <c r="H609" i="15"/>
  <c r="K609" i="15" s="1"/>
  <c r="L609" i="15" s="1"/>
  <c r="M609" i="15" s="1"/>
  <c r="H106" i="15"/>
  <c r="K106" i="15" s="1"/>
  <c r="L106" i="15" s="1"/>
  <c r="M106" i="15" s="1"/>
  <c r="H114" i="15"/>
  <c r="K114" i="15" s="1"/>
  <c r="L114" i="15" s="1"/>
  <c r="M114" i="15" s="1"/>
  <c r="H223" i="15"/>
  <c r="K223" i="15" s="1"/>
  <c r="L223" i="15" s="1"/>
  <c r="M223" i="15" s="1"/>
  <c r="H225" i="15"/>
  <c r="K225" i="15" s="1"/>
  <c r="L225" i="15" s="1"/>
  <c r="M225" i="15" s="1"/>
  <c r="H230" i="15"/>
  <c r="K230" i="15" s="1"/>
  <c r="L230" i="15" s="1"/>
  <c r="M230" i="15" s="1"/>
  <c r="H235" i="15"/>
  <c r="K235" i="15" s="1"/>
  <c r="L235" i="15" s="1"/>
  <c r="M235" i="15" s="1"/>
  <c r="H238" i="15"/>
  <c r="K238" i="15" s="1"/>
  <c r="L238" i="15" s="1"/>
  <c r="M238" i="15" s="1"/>
  <c r="H243" i="15"/>
  <c r="K243" i="15" s="1"/>
  <c r="L243" i="15" s="1"/>
  <c r="M243" i="15" s="1"/>
  <c r="H246" i="15"/>
  <c r="K246" i="15" s="1"/>
  <c r="L246" i="15" s="1"/>
  <c r="M246" i="15" s="1"/>
  <c r="H251" i="15"/>
  <c r="K251" i="15" s="1"/>
  <c r="L251" i="15" s="1"/>
  <c r="M251" i="15" s="1"/>
  <c r="H254" i="15"/>
  <c r="K254" i="15" s="1"/>
  <c r="L254" i="15" s="1"/>
  <c r="M254" i="15" s="1"/>
  <c r="H30" i="15"/>
  <c r="K30" i="15" s="1"/>
  <c r="L30" i="15" s="1"/>
  <c r="M30" i="15" s="1"/>
  <c r="H62" i="15"/>
  <c r="K62" i="15" s="1"/>
  <c r="L62" i="15" s="1"/>
  <c r="M62" i="15" s="1"/>
  <c r="H256" i="15"/>
  <c r="K256" i="15" s="1"/>
  <c r="L256" i="15" s="1"/>
  <c r="M256" i="15" s="1"/>
  <c r="H261" i="15"/>
  <c r="K261" i="15" s="1"/>
  <c r="L261" i="15" s="1"/>
  <c r="M261" i="15" s="1"/>
  <c r="H267" i="15"/>
  <c r="K267" i="15" s="1"/>
  <c r="L267" i="15" s="1"/>
  <c r="M267" i="15" s="1"/>
  <c r="H286" i="15"/>
  <c r="K286" i="15" s="1"/>
  <c r="L286" i="15" s="1"/>
  <c r="M286" i="15" s="1"/>
  <c r="H288" i="15"/>
  <c r="K288" i="15" s="1"/>
  <c r="L288" i="15" s="1"/>
  <c r="M288" i="15" s="1"/>
  <c r="H293" i="15"/>
  <c r="K293" i="15" s="1"/>
  <c r="L293" i="15" s="1"/>
  <c r="M293" i="15" s="1"/>
  <c r="H299" i="15"/>
  <c r="K299" i="15" s="1"/>
  <c r="L299" i="15" s="1"/>
  <c r="M299" i="15" s="1"/>
  <c r="H321" i="15"/>
  <c r="K321" i="15" s="1"/>
  <c r="L321" i="15" s="1"/>
  <c r="M321" i="15" s="1"/>
  <c r="H326" i="15"/>
  <c r="K326" i="15" s="1"/>
  <c r="L326" i="15" s="1"/>
  <c r="M326" i="15" s="1"/>
  <c r="H331" i="15"/>
  <c r="K331" i="15" s="1"/>
  <c r="L331" i="15" s="1"/>
  <c r="M331" i="15" s="1"/>
  <c r="H341" i="15"/>
  <c r="K341" i="15" s="1"/>
  <c r="L341" i="15" s="1"/>
  <c r="M341" i="15" s="1"/>
  <c r="H353" i="15"/>
  <c r="K353" i="15" s="1"/>
  <c r="L353" i="15" s="1"/>
  <c r="M353" i="15" s="1"/>
  <c r="H363" i="15"/>
  <c r="K363" i="15" s="1"/>
  <c r="L363" i="15" s="1"/>
  <c r="M363" i="15" s="1"/>
  <c r="H365" i="15"/>
  <c r="K365" i="15" s="1"/>
  <c r="L365" i="15" s="1"/>
  <c r="M365" i="15" s="1"/>
  <c r="H370" i="15"/>
  <c r="K370" i="15" s="1"/>
  <c r="L370" i="15" s="1"/>
  <c r="M370" i="15" s="1"/>
  <c r="H379" i="15"/>
  <c r="K379" i="15" s="1"/>
  <c r="L379" i="15" s="1"/>
  <c r="M379" i="15" s="1"/>
  <c r="H381" i="15"/>
  <c r="K381" i="15" s="1"/>
  <c r="L381" i="15" s="1"/>
  <c r="M381" i="15" s="1"/>
  <c r="H386" i="15"/>
  <c r="K386" i="15" s="1"/>
  <c r="L386" i="15" s="1"/>
  <c r="M386" i="15" s="1"/>
  <c r="H395" i="15"/>
  <c r="K395" i="15" s="1"/>
  <c r="L395" i="15" s="1"/>
  <c r="M395" i="15" s="1"/>
  <c r="H397" i="15"/>
  <c r="K397" i="15" s="1"/>
  <c r="L397" i="15" s="1"/>
  <c r="M397" i="15" s="1"/>
  <c r="H402" i="15"/>
  <c r="K402" i="15" s="1"/>
  <c r="L402" i="15" s="1"/>
  <c r="M402" i="15" s="1"/>
  <c r="H411" i="15"/>
  <c r="K411" i="15" s="1"/>
  <c r="L411" i="15" s="1"/>
  <c r="M411" i="15" s="1"/>
  <c r="H413" i="15"/>
  <c r="K413" i="15" s="1"/>
  <c r="L413" i="15" s="1"/>
  <c r="M413" i="15" s="1"/>
  <c r="H418" i="15"/>
  <c r="K418" i="15" s="1"/>
  <c r="L418" i="15" s="1"/>
  <c r="M418" i="15" s="1"/>
  <c r="H427" i="15"/>
  <c r="K427" i="15" s="1"/>
  <c r="L427" i="15" s="1"/>
  <c r="M427" i="15" s="1"/>
  <c r="H429" i="15"/>
  <c r="K429" i="15" s="1"/>
  <c r="L429" i="15" s="1"/>
  <c r="M429" i="15" s="1"/>
  <c r="H434" i="15"/>
  <c r="K434" i="15" s="1"/>
  <c r="L434" i="15" s="1"/>
  <c r="M434" i="15" s="1"/>
  <c r="H443" i="15"/>
  <c r="K443" i="15" s="1"/>
  <c r="L443" i="15" s="1"/>
  <c r="M443" i="15" s="1"/>
  <c r="H445" i="15"/>
  <c r="K445" i="15" s="1"/>
  <c r="L445" i="15" s="1"/>
  <c r="M445" i="15" s="1"/>
  <c r="H450" i="15"/>
  <c r="K450" i="15" s="1"/>
  <c r="L450" i="15" s="1"/>
  <c r="M450" i="15" s="1"/>
  <c r="H459" i="15"/>
  <c r="K459" i="15" s="1"/>
  <c r="L459" i="15" s="1"/>
  <c r="M459" i="15" s="1"/>
  <c r="H461" i="15"/>
  <c r="K461" i="15" s="1"/>
  <c r="L461" i="15" s="1"/>
  <c r="M461" i="15" s="1"/>
  <c r="H466" i="15"/>
  <c r="K466" i="15" s="1"/>
  <c r="L466" i="15" s="1"/>
  <c r="M466" i="15" s="1"/>
  <c r="H475" i="15"/>
  <c r="K475" i="15" s="1"/>
  <c r="L475" i="15" s="1"/>
  <c r="M475" i="15" s="1"/>
  <c r="H477" i="15"/>
  <c r="K477" i="15" s="1"/>
  <c r="L477" i="15" s="1"/>
  <c r="M477" i="15" s="1"/>
  <c r="H482" i="15"/>
  <c r="K482" i="15" s="1"/>
  <c r="L482" i="15" s="1"/>
  <c r="M482" i="15" s="1"/>
  <c r="H491" i="15"/>
  <c r="K491" i="15" s="1"/>
  <c r="L491" i="15" s="1"/>
  <c r="M491" i="15" s="1"/>
  <c r="H493" i="15"/>
  <c r="K493" i="15" s="1"/>
  <c r="L493" i="15" s="1"/>
  <c r="M493" i="15" s="1"/>
  <c r="H498" i="15"/>
  <c r="K498" i="15" s="1"/>
  <c r="L498" i="15" s="1"/>
  <c r="M498" i="15" s="1"/>
  <c r="H507" i="15"/>
  <c r="K507" i="15" s="1"/>
  <c r="L507" i="15" s="1"/>
  <c r="M507" i="15" s="1"/>
  <c r="H509" i="15"/>
  <c r="K509" i="15" s="1"/>
  <c r="L509" i="15" s="1"/>
  <c r="M509" i="15" s="1"/>
  <c r="H514" i="15"/>
  <c r="K514" i="15" s="1"/>
  <c r="L514" i="15" s="1"/>
  <c r="M514" i="15" s="1"/>
  <c r="H523" i="15"/>
  <c r="K523" i="15" s="1"/>
  <c r="L523" i="15" s="1"/>
  <c r="M523" i="15" s="1"/>
  <c r="H525" i="15"/>
  <c r="K525" i="15" s="1"/>
  <c r="L525" i="15" s="1"/>
  <c r="M525" i="15" s="1"/>
  <c r="H530" i="15"/>
  <c r="K530" i="15" s="1"/>
  <c r="L530" i="15" s="1"/>
  <c r="M530" i="15" s="1"/>
  <c r="H539" i="15"/>
  <c r="K539" i="15" s="1"/>
  <c r="L539" i="15" s="1"/>
  <c r="M539" i="15" s="1"/>
  <c r="H541" i="15"/>
  <c r="K541" i="15" s="1"/>
  <c r="L541" i="15" s="1"/>
  <c r="M541" i="15" s="1"/>
  <c r="H546" i="15"/>
  <c r="K546" i="15" s="1"/>
  <c r="L546" i="15" s="1"/>
  <c r="M546" i="15" s="1"/>
  <c r="H555" i="15"/>
  <c r="K555" i="15" s="1"/>
  <c r="L555" i="15" s="1"/>
  <c r="M555" i="15" s="1"/>
  <c r="H557" i="15"/>
  <c r="K557" i="15" s="1"/>
  <c r="L557" i="15" s="1"/>
  <c r="M557" i="15" s="1"/>
  <c r="H562" i="15"/>
  <c r="K562" i="15" s="1"/>
  <c r="L562" i="15" s="1"/>
  <c r="M562" i="15" s="1"/>
  <c r="H571" i="15"/>
  <c r="K571" i="15" s="1"/>
  <c r="L571" i="15" s="1"/>
  <c r="M571" i="15" s="1"/>
  <c r="H573" i="15"/>
  <c r="K573" i="15" s="1"/>
  <c r="L573" i="15" s="1"/>
  <c r="M573" i="15" s="1"/>
  <c r="H578" i="15"/>
  <c r="K578" i="15" s="1"/>
  <c r="L578" i="15" s="1"/>
  <c r="M578" i="15" s="1"/>
  <c r="H587" i="15"/>
  <c r="K587" i="15" s="1"/>
  <c r="L587" i="15" s="1"/>
  <c r="M587" i="15" s="1"/>
  <c r="H589" i="15"/>
  <c r="K589" i="15" s="1"/>
  <c r="L589" i="15" s="1"/>
  <c r="M589" i="15" s="1"/>
  <c r="H594" i="15"/>
  <c r="K594" i="15" s="1"/>
  <c r="L594" i="15" s="1"/>
  <c r="M594" i="15" s="1"/>
  <c r="H600" i="15"/>
  <c r="K600" i="15" s="1"/>
  <c r="L600" i="15" s="1"/>
  <c r="M600" i="15" s="1"/>
  <c r="H602" i="15"/>
  <c r="K602" i="15" s="1"/>
  <c r="L602" i="15" s="1"/>
  <c r="M602" i="15" s="1"/>
  <c r="H604" i="15"/>
  <c r="K604" i="15" s="1"/>
  <c r="L604" i="15" s="1"/>
  <c r="M604" i="15" s="1"/>
  <c r="H613" i="15"/>
  <c r="K613" i="15" s="1"/>
  <c r="L613" i="15" s="1"/>
  <c r="M613" i="15" s="1"/>
  <c r="H618" i="15"/>
  <c r="K618" i="15" s="1"/>
  <c r="L618" i="15" s="1"/>
  <c r="M618" i="15" s="1"/>
  <c r="H621" i="15"/>
  <c r="K621" i="15" s="1"/>
  <c r="L621" i="15" s="1"/>
  <c r="M621" i="15" s="1"/>
  <c r="H627" i="15"/>
  <c r="K627" i="15" s="1"/>
  <c r="L627" i="15" s="1"/>
  <c r="M627" i="15" s="1"/>
  <c r="H629" i="15"/>
  <c r="K629" i="15" s="1"/>
  <c r="L629" i="15" s="1"/>
  <c r="M629" i="15" s="1"/>
  <c r="H632" i="15"/>
  <c r="K632" i="15" s="1"/>
  <c r="L632" i="15" s="1"/>
  <c r="M632" i="15" s="1"/>
  <c r="H638" i="15"/>
  <c r="K638" i="15" s="1"/>
  <c r="L638" i="15" s="1"/>
  <c r="M638" i="15" s="1"/>
  <c r="H641" i="15"/>
  <c r="K641" i="15" s="1"/>
  <c r="L641" i="15" s="1"/>
  <c r="M641" i="15" s="1"/>
  <c r="H644" i="15"/>
  <c r="K644" i="15" s="1"/>
  <c r="L644" i="15" s="1"/>
  <c r="M644" i="15" s="1"/>
  <c r="H647" i="15"/>
  <c r="K647" i="15" s="1"/>
  <c r="L647" i="15" s="1"/>
  <c r="M647" i="15" s="1"/>
  <c r="H650" i="15"/>
  <c r="K650" i="15" s="1"/>
  <c r="L650" i="15" s="1"/>
  <c r="M650" i="15" s="1"/>
  <c r="H653" i="15"/>
  <c r="K653" i="15" s="1"/>
  <c r="L653" i="15" s="1"/>
  <c r="M653" i="15" s="1"/>
  <c r="H659" i="15"/>
  <c r="K659" i="15" s="1"/>
  <c r="L659" i="15" s="1"/>
  <c r="M659" i="15" s="1"/>
  <c r="H661" i="15"/>
  <c r="K661" i="15" s="1"/>
  <c r="L661" i="15" s="1"/>
  <c r="M661" i="15" s="1"/>
  <c r="H664" i="15"/>
  <c r="K664" i="15" s="1"/>
  <c r="L664" i="15" s="1"/>
  <c r="M664" i="15" s="1"/>
  <c r="H667" i="15"/>
  <c r="K667" i="15" s="1"/>
  <c r="L667" i="15" s="1"/>
  <c r="M667" i="15" s="1"/>
  <c r="H674" i="15"/>
  <c r="K674" i="15" s="1"/>
  <c r="L674" i="15" s="1"/>
  <c r="M674" i="15" s="1"/>
  <c r="H677" i="15"/>
  <c r="K677" i="15" s="1"/>
  <c r="L677" i="15" s="1"/>
  <c r="M677" i="15" s="1"/>
  <c r="H680" i="15"/>
  <c r="K680" i="15" s="1"/>
  <c r="L680" i="15" s="1"/>
  <c r="M680" i="15" s="1"/>
  <c r="H683" i="15"/>
  <c r="K683" i="15" s="1"/>
  <c r="L683" i="15" s="1"/>
  <c r="M683" i="15" s="1"/>
  <c r="H690" i="15"/>
  <c r="K690" i="15" s="1"/>
  <c r="L690" i="15" s="1"/>
  <c r="M690" i="15" s="1"/>
  <c r="H693" i="15"/>
  <c r="K693" i="15" s="1"/>
  <c r="L693" i="15" s="1"/>
  <c r="M693" i="15" s="1"/>
  <c r="H696" i="15"/>
  <c r="K696" i="15" s="1"/>
  <c r="L696" i="15" s="1"/>
  <c r="M696" i="15" s="1"/>
  <c r="H699" i="15"/>
  <c r="K699" i="15" s="1"/>
  <c r="L699" i="15" s="1"/>
  <c r="M699" i="15" s="1"/>
  <c r="H706" i="15"/>
  <c r="K706" i="15" s="1"/>
  <c r="L706" i="15" s="1"/>
  <c r="M706" i="15" s="1"/>
  <c r="H709" i="15"/>
  <c r="K709" i="15" s="1"/>
  <c r="L709" i="15" s="1"/>
  <c r="M709" i="15" s="1"/>
  <c r="H712" i="15"/>
  <c r="K712" i="15" s="1"/>
  <c r="L712" i="15" s="1"/>
  <c r="M712" i="15" s="1"/>
  <c r="H368" i="15"/>
  <c r="K368" i="15" s="1"/>
  <c r="L368" i="15" s="1"/>
  <c r="M368" i="15" s="1"/>
  <c r="H400" i="15"/>
  <c r="K400" i="15" s="1"/>
  <c r="L400" i="15" s="1"/>
  <c r="M400" i="15" s="1"/>
  <c r="H480" i="15"/>
  <c r="K480" i="15" s="1"/>
  <c r="L480" i="15" s="1"/>
  <c r="M480" i="15" s="1"/>
  <c r="H496" i="15"/>
  <c r="K496" i="15" s="1"/>
  <c r="L496" i="15" s="1"/>
  <c r="M496" i="15" s="1"/>
  <c r="H544" i="15"/>
  <c r="K544" i="15" s="1"/>
  <c r="L544" i="15" s="1"/>
  <c r="M544" i="15" s="1"/>
  <c r="H560" i="15"/>
  <c r="K560" i="15" s="1"/>
  <c r="L560" i="15" s="1"/>
  <c r="M560" i="15" s="1"/>
  <c r="H592" i="15"/>
  <c r="K592" i="15" s="1"/>
  <c r="L592" i="15" s="1"/>
  <c r="M592" i="15" s="1"/>
  <c r="H610" i="15"/>
  <c r="K610" i="15" s="1"/>
  <c r="L610" i="15" s="1"/>
  <c r="M610" i="15" s="1"/>
  <c r="H620" i="15"/>
  <c r="K620" i="15" s="1"/>
  <c r="L620" i="15" s="1"/>
  <c r="M620" i="15" s="1"/>
  <c r="H626" i="15"/>
  <c r="K626" i="15" s="1"/>
  <c r="L626" i="15" s="1"/>
  <c r="M626" i="15" s="1"/>
  <c r="H635" i="15"/>
  <c r="K635" i="15" s="1"/>
  <c r="L635" i="15" s="1"/>
  <c r="M635" i="15" s="1"/>
  <c r="H640" i="15"/>
  <c r="K640" i="15" s="1"/>
  <c r="L640" i="15" s="1"/>
  <c r="M640" i="15" s="1"/>
  <c r="H646" i="15"/>
  <c r="K646" i="15" s="1"/>
  <c r="L646" i="15" s="1"/>
  <c r="M646" i="15" s="1"/>
  <c r="H655" i="15"/>
  <c r="K655" i="15" s="1"/>
  <c r="L655" i="15" s="1"/>
  <c r="M655" i="15" s="1"/>
  <c r="H658" i="15"/>
  <c r="K658" i="15" s="1"/>
  <c r="L658" i="15" s="1"/>
  <c r="M658" i="15" s="1"/>
  <c r="H673" i="15"/>
  <c r="K673" i="15" s="1"/>
  <c r="L673" i="15" s="1"/>
  <c r="M673" i="15" s="1"/>
  <c r="H686" i="15"/>
  <c r="K686" i="15" s="1"/>
  <c r="L686" i="15" s="1"/>
  <c r="M686" i="15" s="1"/>
  <c r="H702" i="15"/>
  <c r="K702" i="15" s="1"/>
  <c r="L702" i="15" s="1"/>
  <c r="M702" i="15" s="1"/>
  <c r="H708" i="15"/>
  <c r="K708" i="15" s="1"/>
  <c r="L708" i="15" s="1"/>
  <c r="M708" i="15" s="1"/>
  <c r="H711" i="15"/>
  <c r="K711" i="15" s="1"/>
  <c r="L711" i="15" s="1"/>
  <c r="M711" i="15" s="1"/>
  <c r="H307" i="15"/>
  <c r="K307" i="15" s="1"/>
  <c r="L307" i="15" s="1"/>
  <c r="M307" i="15" s="1"/>
  <c r="H392" i="15"/>
  <c r="K392" i="15" s="1"/>
  <c r="L392" i="15" s="1"/>
  <c r="M392" i="15" s="1"/>
  <c r="H408" i="15"/>
  <c r="K408" i="15" s="1"/>
  <c r="L408" i="15" s="1"/>
  <c r="M408" i="15" s="1"/>
  <c r="H456" i="15"/>
  <c r="K456" i="15" s="1"/>
  <c r="L456" i="15" s="1"/>
  <c r="M456" i="15" s="1"/>
  <c r="H488" i="15"/>
  <c r="K488" i="15" s="1"/>
  <c r="L488" i="15" s="1"/>
  <c r="M488" i="15" s="1"/>
  <c r="H536" i="15"/>
  <c r="K536" i="15" s="1"/>
  <c r="L536" i="15" s="1"/>
  <c r="M536" i="15" s="1"/>
  <c r="H584" i="15"/>
  <c r="K584" i="15" s="1"/>
  <c r="L584" i="15" s="1"/>
  <c r="M584" i="15" s="1"/>
  <c r="H611" i="15"/>
  <c r="K611" i="15" s="1"/>
  <c r="L611" i="15" s="1"/>
  <c r="M611" i="15" s="1"/>
  <c r="H630" i="15"/>
  <c r="K630" i="15" s="1"/>
  <c r="L630" i="15" s="1"/>
  <c r="M630" i="15" s="1"/>
  <c r="H633" i="15"/>
  <c r="K633" i="15" s="1"/>
  <c r="L633" i="15" s="1"/>
  <c r="M633" i="15" s="1"/>
  <c r="H651" i="15"/>
  <c r="K651" i="15" s="1"/>
  <c r="L651" i="15" s="1"/>
  <c r="M651" i="15" s="1"/>
  <c r="H681" i="15"/>
  <c r="K681" i="15" s="1"/>
  <c r="L681" i="15" s="1"/>
  <c r="M681" i="15" s="1"/>
  <c r="H684" i="15"/>
  <c r="K684" i="15" s="1"/>
  <c r="L684" i="15" s="1"/>
  <c r="M684" i="15" s="1"/>
  <c r="H22" i="15"/>
  <c r="K22" i="15" s="1"/>
  <c r="L22" i="15" s="1"/>
  <c r="M22" i="15" s="1"/>
  <c r="H54" i="15"/>
  <c r="K54" i="15" s="1"/>
  <c r="L54" i="15" s="1"/>
  <c r="M54" i="15" s="1"/>
  <c r="H229" i="15"/>
  <c r="K229" i="15" s="1"/>
  <c r="L229" i="15" s="1"/>
  <c r="M229" i="15" s="1"/>
  <c r="H237" i="15"/>
  <c r="K237" i="15" s="1"/>
  <c r="L237" i="15" s="1"/>
  <c r="M237" i="15" s="1"/>
  <c r="H245" i="15"/>
  <c r="K245" i="15" s="1"/>
  <c r="L245" i="15" s="1"/>
  <c r="M245" i="15" s="1"/>
  <c r="H259" i="15"/>
  <c r="K259" i="15" s="1"/>
  <c r="L259" i="15" s="1"/>
  <c r="M259" i="15" s="1"/>
  <c r="H278" i="15"/>
  <c r="K278" i="15" s="1"/>
  <c r="L278" i="15" s="1"/>
  <c r="M278" i="15" s="1"/>
  <c r="H280" i="15"/>
  <c r="K280" i="15" s="1"/>
  <c r="L280" i="15" s="1"/>
  <c r="M280" i="15" s="1"/>
  <c r="H285" i="15"/>
  <c r="K285" i="15" s="1"/>
  <c r="L285" i="15" s="1"/>
  <c r="M285" i="15" s="1"/>
  <c r="H291" i="15"/>
  <c r="K291" i="15" s="1"/>
  <c r="L291" i="15" s="1"/>
  <c r="M291" i="15" s="1"/>
  <c r="H310" i="15"/>
  <c r="K310" i="15" s="1"/>
  <c r="L310" i="15" s="1"/>
  <c r="M310" i="15" s="1"/>
  <c r="H312" i="15"/>
  <c r="K312" i="15" s="1"/>
  <c r="L312" i="15" s="1"/>
  <c r="M312" i="15" s="1"/>
  <c r="H317" i="15"/>
  <c r="K317" i="15" s="1"/>
  <c r="L317" i="15" s="1"/>
  <c r="M317" i="15" s="1"/>
  <c r="H329" i="15"/>
  <c r="K329" i="15" s="1"/>
  <c r="L329" i="15" s="1"/>
  <c r="M329" i="15" s="1"/>
  <c r="H334" i="15"/>
  <c r="K334" i="15" s="1"/>
  <c r="L334" i="15" s="1"/>
  <c r="M334" i="15" s="1"/>
  <c r="H339" i="15"/>
  <c r="K339" i="15" s="1"/>
  <c r="L339" i="15" s="1"/>
  <c r="M339" i="15" s="1"/>
  <c r="H349" i="15"/>
  <c r="K349" i="15" s="1"/>
  <c r="L349" i="15" s="1"/>
  <c r="M349" i="15" s="1"/>
  <c r="H384" i="15"/>
  <c r="K384" i="15" s="1"/>
  <c r="L384" i="15" s="1"/>
  <c r="M384" i="15" s="1"/>
  <c r="H416" i="15"/>
  <c r="K416" i="15" s="1"/>
  <c r="L416" i="15" s="1"/>
  <c r="M416" i="15" s="1"/>
  <c r="H432" i="15"/>
  <c r="K432" i="15" s="1"/>
  <c r="L432" i="15" s="1"/>
  <c r="M432" i="15" s="1"/>
  <c r="H448" i="15"/>
  <c r="K448" i="15" s="1"/>
  <c r="L448" i="15" s="1"/>
  <c r="M448" i="15" s="1"/>
  <c r="H464" i="15"/>
  <c r="K464" i="15" s="1"/>
  <c r="L464" i="15" s="1"/>
  <c r="M464" i="15" s="1"/>
  <c r="H512" i="15"/>
  <c r="K512" i="15" s="1"/>
  <c r="L512" i="15" s="1"/>
  <c r="M512" i="15" s="1"/>
  <c r="H528" i="15"/>
  <c r="K528" i="15" s="1"/>
  <c r="L528" i="15" s="1"/>
  <c r="M528" i="15" s="1"/>
  <c r="H576" i="15"/>
  <c r="K576" i="15" s="1"/>
  <c r="L576" i="15" s="1"/>
  <c r="M576" i="15" s="1"/>
  <c r="H608" i="15"/>
  <c r="K608" i="15" s="1"/>
  <c r="L608" i="15" s="1"/>
  <c r="M608" i="15" s="1"/>
  <c r="H612" i="15"/>
  <c r="K612" i="15" s="1"/>
  <c r="L612" i="15" s="1"/>
  <c r="M612" i="15" s="1"/>
  <c r="H615" i="15"/>
  <c r="K615" i="15" s="1"/>
  <c r="L615" i="15" s="1"/>
  <c r="M615" i="15" s="1"/>
  <c r="H623" i="15"/>
  <c r="K623" i="15" s="1"/>
  <c r="L623" i="15" s="1"/>
  <c r="M623" i="15" s="1"/>
  <c r="H649" i="15"/>
  <c r="K649" i="15" s="1"/>
  <c r="L649" i="15" s="1"/>
  <c r="M649" i="15" s="1"/>
  <c r="H652" i="15"/>
  <c r="K652" i="15" s="1"/>
  <c r="L652" i="15" s="1"/>
  <c r="M652" i="15" s="1"/>
  <c r="H670" i="15"/>
  <c r="K670" i="15" s="1"/>
  <c r="L670" i="15" s="1"/>
  <c r="M670" i="15" s="1"/>
  <c r="H676" i="15"/>
  <c r="K676" i="15" s="1"/>
  <c r="L676" i="15" s="1"/>
  <c r="M676" i="15" s="1"/>
  <c r="H679" i="15"/>
  <c r="K679" i="15" s="1"/>
  <c r="L679" i="15" s="1"/>
  <c r="M679" i="15" s="1"/>
  <c r="H689" i="15"/>
  <c r="K689" i="15" s="1"/>
  <c r="L689" i="15" s="1"/>
  <c r="M689" i="15" s="1"/>
  <c r="H692" i="15"/>
  <c r="K692" i="15" s="1"/>
  <c r="L692" i="15" s="1"/>
  <c r="M692" i="15" s="1"/>
  <c r="H695" i="15"/>
  <c r="K695" i="15" s="1"/>
  <c r="L695" i="15" s="1"/>
  <c r="M695" i="15" s="1"/>
  <c r="H705" i="15"/>
  <c r="K705" i="15" s="1"/>
  <c r="L705" i="15" s="1"/>
  <c r="M705" i="15" s="1"/>
  <c r="H424" i="15"/>
  <c r="K424" i="15" s="1"/>
  <c r="L424" i="15" s="1"/>
  <c r="M424" i="15" s="1"/>
  <c r="H504" i="15"/>
  <c r="K504" i="15" s="1"/>
  <c r="L504" i="15" s="1"/>
  <c r="M504" i="15" s="1"/>
  <c r="H552" i="15"/>
  <c r="K552" i="15" s="1"/>
  <c r="L552" i="15" s="1"/>
  <c r="M552" i="15" s="1"/>
  <c r="H636" i="15"/>
  <c r="K636" i="15" s="1"/>
  <c r="L636" i="15" s="1"/>
  <c r="M636" i="15" s="1"/>
  <c r="H665" i="15"/>
  <c r="K665" i="15" s="1"/>
  <c r="L665" i="15" s="1"/>
  <c r="M665" i="15" s="1"/>
  <c r="H668" i="15"/>
  <c r="K668" i="15" s="1"/>
  <c r="L668" i="15" s="1"/>
  <c r="M668" i="15" s="1"/>
  <c r="H703" i="15"/>
  <c r="K703" i="15" s="1"/>
  <c r="L703" i="15" s="1"/>
  <c r="M703" i="15" s="1"/>
  <c r="H710" i="15"/>
  <c r="K710" i="15" s="1"/>
  <c r="L710" i="15" s="1"/>
  <c r="M710" i="15" s="1"/>
  <c r="H713" i="15"/>
  <c r="K713" i="15" s="1"/>
  <c r="L713" i="15" s="1"/>
  <c r="M713" i="15" s="1"/>
  <c r="H14" i="15"/>
  <c r="K14" i="15" s="1"/>
  <c r="L14" i="15" s="1"/>
  <c r="M14" i="15" s="1"/>
  <c r="H46" i="15"/>
  <c r="K46" i="15" s="1"/>
  <c r="L46" i="15" s="1"/>
  <c r="M46" i="15" s="1"/>
  <c r="H227" i="15"/>
  <c r="K227" i="15" s="1"/>
  <c r="L227" i="15" s="1"/>
  <c r="M227" i="15" s="1"/>
  <c r="H232" i="15"/>
  <c r="K232" i="15" s="1"/>
  <c r="L232" i="15" s="1"/>
  <c r="M232" i="15" s="1"/>
  <c r="H240" i="15"/>
  <c r="K240" i="15" s="1"/>
  <c r="L240" i="15" s="1"/>
  <c r="M240" i="15" s="1"/>
  <c r="H253" i="15"/>
  <c r="K253" i="15" s="1"/>
  <c r="L253" i="15" s="1"/>
  <c r="M253" i="15" s="1"/>
  <c r="H270" i="15"/>
  <c r="K270" i="15" s="1"/>
  <c r="L270" i="15" s="1"/>
  <c r="M270" i="15" s="1"/>
  <c r="H272" i="15"/>
  <c r="K272" i="15" s="1"/>
  <c r="L272" i="15" s="1"/>
  <c r="M272" i="15" s="1"/>
  <c r="H277" i="15"/>
  <c r="K277" i="15" s="1"/>
  <c r="L277" i="15" s="1"/>
  <c r="M277" i="15" s="1"/>
  <c r="H283" i="15"/>
  <c r="K283" i="15" s="1"/>
  <c r="L283" i="15" s="1"/>
  <c r="M283" i="15" s="1"/>
  <c r="H302" i="15"/>
  <c r="K302" i="15" s="1"/>
  <c r="L302" i="15" s="1"/>
  <c r="M302" i="15" s="1"/>
  <c r="H304" i="15"/>
  <c r="K304" i="15" s="1"/>
  <c r="L304" i="15" s="1"/>
  <c r="M304" i="15" s="1"/>
  <c r="H309" i="15"/>
  <c r="K309" i="15" s="1"/>
  <c r="L309" i="15" s="1"/>
  <c r="M309" i="15" s="1"/>
  <c r="H315" i="15"/>
  <c r="K315" i="15" s="1"/>
  <c r="L315" i="15" s="1"/>
  <c r="M315" i="15" s="1"/>
  <c r="H325" i="15"/>
  <c r="K325" i="15" s="1"/>
  <c r="L325" i="15" s="1"/>
  <c r="M325" i="15" s="1"/>
  <c r="H337" i="15"/>
  <c r="K337" i="15" s="1"/>
  <c r="L337" i="15" s="1"/>
  <c r="M337" i="15" s="1"/>
  <c r="H342" i="15"/>
  <c r="K342" i="15" s="1"/>
  <c r="L342" i="15" s="1"/>
  <c r="M342" i="15" s="1"/>
  <c r="H347" i="15"/>
  <c r="K347" i="15" s="1"/>
  <c r="L347" i="15" s="1"/>
  <c r="M347" i="15" s="1"/>
  <c r="H357" i="15"/>
  <c r="K357" i="15" s="1"/>
  <c r="L357" i="15" s="1"/>
  <c r="M357" i="15" s="1"/>
  <c r="H362" i="15"/>
  <c r="K362" i="15" s="1"/>
  <c r="L362" i="15" s="1"/>
  <c r="M362" i="15" s="1"/>
  <c r="H371" i="15"/>
  <c r="K371" i="15" s="1"/>
  <c r="L371" i="15" s="1"/>
  <c r="M371" i="15" s="1"/>
  <c r="H373" i="15"/>
  <c r="K373" i="15" s="1"/>
  <c r="L373" i="15" s="1"/>
  <c r="M373" i="15" s="1"/>
  <c r="H378" i="15"/>
  <c r="K378" i="15" s="1"/>
  <c r="L378" i="15" s="1"/>
  <c r="M378" i="15" s="1"/>
  <c r="H387" i="15"/>
  <c r="K387" i="15" s="1"/>
  <c r="L387" i="15" s="1"/>
  <c r="M387" i="15" s="1"/>
  <c r="H389" i="15"/>
  <c r="K389" i="15" s="1"/>
  <c r="L389" i="15" s="1"/>
  <c r="M389" i="15" s="1"/>
  <c r="H394" i="15"/>
  <c r="K394" i="15" s="1"/>
  <c r="L394" i="15" s="1"/>
  <c r="M394" i="15" s="1"/>
  <c r="H403" i="15"/>
  <c r="K403" i="15" s="1"/>
  <c r="L403" i="15" s="1"/>
  <c r="M403" i="15" s="1"/>
  <c r="H405" i="15"/>
  <c r="K405" i="15" s="1"/>
  <c r="L405" i="15" s="1"/>
  <c r="M405" i="15" s="1"/>
  <c r="H410" i="15"/>
  <c r="K410" i="15" s="1"/>
  <c r="L410" i="15" s="1"/>
  <c r="M410" i="15" s="1"/>
  <c r="H419" i="15"/>
  <c r="K419" i="15" s="1"/>
  <c r="L419" i="15" s="1"/>
  <c r="M419" i="15" s="1"/>
  <c r="H421" i="15"/>
  <c r="K421" i="15" s="1"/>
  <c r="L421" i="15" s="1"/>
  <c r="M421" i="15" s="1"/>
  <c r="H426" i="15"/>
  <c r="K426" i="15" s="1"/>
  <c r="L426" i="15" s="1"/>
  <c r="M426" i="15" s="1"/>
  <c r="H435" i="15"/>
  <c r="K435" i="15" s="1"/>
  <c r="L435" i="15" s="1"/>
  <c r="M435" i="15" s="1"/>
  <c r="H437" i="15"/>
  <c r="K437" i="15" s="1"/>
  <c r="L437" i="15" s="1"/>
  <c r="M437" i="15" s="1"/>
  <c r="H442" i="15"/>
  <c r="K442" i="15" s="1"/>
  <c r="L442" i="15" s="1"/>
  <c r="M442" i="15" s="1"/>
  <c r="H451" i="15"/>
  <c r="K451" i="15" s="1"/>
  <c r="L451" i="15" s="1"/>
  <c r="M451" i="15" s="1"/>
  <c r="H453" i="15"/>
  <c r="K453" i="15" s="1"/>
  <c r="L453" i="15" s="1"/>
  <c r="M453" i="15" s="1"/>
  <c r="H458" i="15"/>
  <c r="K458" i="15" s="1"/>
  <c r="L458" i="15" s="1"/>
  <c r="M458" i="15" s="1"/>
  <c r="H467" i="15"/>
  <c r="K467" i="15" s="1"/>
  <c r="L467" i="15" s="1"/>
  <c r="M467" i="15" s="1"/>
  <c r="H469" i="15"/>
  <c r="K469" i="15" s="1"/>
  <c r="L469" i="15" s="1"/>
  <c r="M469" i="15" s="1"/>
  <c r="H474" i="15"/>
  <c r="K474" i="15" s="1"/>
  <c r="L474" i="15" s="1"/>
  <c r="M474" i="15" s="1"/>
  <c r="H483" i="15"/>
  <c r="K483" i="15" s="1"/>
  <c r="L483" i="15" s="1"/>
  <c r="M483" i="15" s="1"/>
  <c r="H485" i="15"/>
  <c r="K485" i="15" s="1"/>
  <c r="L485" i="15" s="1"/>
  <c r="M485" i="15" s="1"/>
  <c r="H490" i="15"/>
  <c r="K490" i="15" s="1"/>
  <c r="L490" i="15" s="1"/>
  <c r="M490" i="15" s="1"/>
  <c r="H499" i="15"/>
  <c r="K499" i="15" s="1"/>
  <c r="L499" i="15" s="1"/>
  <c r="M499" i="15" s="1"/>
  <c r="H501" i="15"/>
  <c r="K501" i="15" s="1"/>
  <c r="L501" i="15" s="1"/>
  <c r="M501" i="15" s="1"/>
  <c r="H506" i="15"/>
  <c r="K506" i="15" s="1"/>
  <c r="L506" i="15" s="1"/>
  <c r="M506" i="15" s="1"/>
  <c r="H515" i="15"/>
  <c r="K515" i="15" s="1"/>
  <c r="L515" i="15" s="1"/>
  <c r="M515" i="15" s="1"/>
  <c r="H517" i="15"/>
  <c r="K517" i="15" s="1"/>
  <c r="L517" i="15" s="1"/>
  <c r="M517" i="15" s="1"/>
  <c r="H522" i="15"/>
  <c r="K522" i="15" s="1"/>
  <c r="L522" i="15" s="1"/>
  <c r="M522" i="15" s="1"/>
  <c r="H531" i="15"/>
  <c r="K531" i="15" s="1"/>
  <c r="L531" i="15" s="1"/>
  <c r="M531" i="15" s="1"/>
  <c r="H533" i="15"/>
  <c r="K533" i="15" s="1"/>
  <c r="L533" i="15" s="1"/>
  <c r="M533" i="15" s="1"/>
  <c r="H538" i="15"/>
  <c r="K538" i="15" s="1"/>
  <c r="L538" i="15" s="1"/>
  <c r="M538" i="15" s="1"/>
  <c r="H547" i="15"/>
  <c r="K547" i="15" s="1"/>
  <c r="L547" i="15" s="1"/>
  <c r="M547" i="15" s="1"/>
  <c r="H549" i="15"/>
  <c r="K549" i="15" s="1"/>
  <c r="L549" i="15" s="1"/>
  <c r="M549" i="15" s="1"/>
  <c r="H554" i="15"/>
  <c r="K554" i="15" s="1"/>
  <c r="L554" i="15" s="1"/>
  <c r="M554" i="15" s="1"/>
  <c r="H563" i="15"/>
  <c r="K563" i="15" s="1"/>
  <c r="L563" i="15" s="1"/>
  <c r="M563" i="15" s="1"/>
  <c r="H565" i="15"/>
  <c r="K565" i="15" s="1"/>
  <c r="L565" i="15" s="1"/>
  <c r="M565" i="15" s="1"/>
  <c r="H570" i="15"/>
  <c r="K570" i="15" s="1"/>
  <c r="L570" i="15" s="1"/>
  <c r="M570" i="15" s="1"/>
  <c r="H579" i="15"/>
  <c r="K579" i="15" s="1"/>
  <c r="L579" i="15" s="1"/>
  <c r="M579" i="15" s="1"/>
  <c r="H581" i="15"/>
  <c r="K581" i="15" s="1"/>
  <c r="L581" i="15" s="1"/>
  <c r="M581" i="15" s="1"/>
  <c r="H586" i="15"/>
  <c r="K586" i="15" s="1"/>
  <c r="L586" i="15" s="1"/>
  <c r="M586" i="15" s="1"/>
  <c r="H595" i="15"/>
  <c r="K595" i="15" s="1"/>
  <c r="L595" i="15" s="1"/>
  <c r="M595" i="15" s="1"/>
  <c r="H597" i="15"/>
  <c r="K597" i="15" s="1"/>
  <c r="L597" i="15" s="1"/>
  <c r="M597" i="15" s="1"/>
  <c r="H599" i="15"/>
  <c r="K599" i="15" s="1"/>
  <c r="L599" i="15" s="1"/>
  <c r="M599" i="15" s="1"/>
  <c r="H603" i="15"/>
  <c r="K603" i="15" s="1"/>
  <c r="L603" i="15" s="1"/>
  <c r="M603" i="15" s="1"/>
  <c r="H614" i="15"/>
  <c r="K614" i="15" s="1"/>
  <c r="L614" i="15" s="1"/>
  <c r="M614" i="15" s="1"/>
  <c r="H617" i="15"/>
  <c r="K617" i="15" s="1"/>
  <c r="L617" i="15" s="1"/>
  <c r="M617" i="15" s="1"/>
  <c r="H622" i="15"/>
  <c r="K622" i="15" s="1"/>
  <c r="L622" i="15" s="1"/>
  <c r="M622" i="15" s="1"/>
  <c r="H625" i="15"/>
  <c r="K625" i="15" s="1"/>
  <c r="L625" i="15" s="1"/>
  <c r="M625" i="15" s="1"/>
  <c r="H628" i="15"/>
  <c r="K628" i="15" s="1"/>
  <c r="L628" i="15" s="1"/>
  <c r="M628" i="15" s="1"/>
  <c r="H631" i="15"/>
  <c r="K631" i="15" s="1"/>
  <c r="L631" i="15" s="1"/>
  <c r="M631" i="15" s="1"/>
  <c r="H634" i="15"/>
  <c r="K634" i="15" s="1"/>
  <c r="L634" i="15" s="1"/>
  <c r="M634" i="15" s="1"/>
  <c r="H637" i="15"/>
  <c r="K637" i="15" s="1"/>
  <c r="L637" i="15" s="1"/>
  <c r="M637" i="15" s="1"/>
  <c r="H643" i="15"/>
  <c r="K643" i="15" s="1"/>
  <c r="L643" i="15" s="1"/>
  <c r="M643" i="15" s="1"/>
  <c r="H645" i="15"/>
  <c r="K645" i="15" s="1"/>
  <c r="L645" i="15" s="1"/>
  <c r="M645" i="15" s="1"/>
  <c r="H648" i="15"/>
  <c r="K648" i="15" s="1"/>
  <c r="L648" i="15" s="1"/>
  <c r="M648" i="15" s="1"/>
  <c r="H654" i="15"/>
  <c r="K654" i="15" s="1"/>
  <c r="L654" i="15" s="1"/>
  <c r="M654" i="15" s="1"/>
  <c r="H657" i="15"/>
  <c r="K657" i="15" s="1"/>
  <c r="L657" i="15" s="1"/>
  <c r="M657" i="15" s="1"/>
  <c r="H660" i="15"/>
  <c r="K660" i="15" s="1"/>
  <c r="L660" i="15" s="1"/>
  <c r="M660" i="15" s="1"/>
  <c r="H663" i="15"/>
  <c r="K663" i="15" s="1"/>
  <c r="L663" i="15" s="1"/>
  <c r="M663" i="15" s="1"/>
  <c r="H666" i="15"/>
  <c r="K666" i="15" s="1"/>
  <c r="L666" i="15" s="1"/>
  <c r="M666" i="15" s="1"/>
  <c r="H669" i="15"/>
  <c r="K669" i="15" s="1"/>
  <c r="L669" i="15" s="1"/>
  <c r="M669" i="15" s="1"/>
  <c r="H672" i="15"/>
  <c r="K672" i="15" s="1"/>
  <c r="L672" i="15" s="1"/>
  <c r="M672" i="15" s="1"/>
  <c r="H675" i="15"/>
  <c r="K675" i="15" s="1"/>
  <c r="L675" i="15" s="1"/>
  <c r="M675" i="15" s="1"/>
  <c r="H682" i="15"/>
  <c r="K682" i="15" s="1"/>
  <c r="L682" i="15" s="1"/>
  <c r="M682" i="15" s="1"/>
  <c r="H685" i="15"/>
  <c r="K685" i="15" s="1"/>
  <c r="L685" i="15" s="1"/>
  <c r="M685" i="15" s="1"/>
  <c r="H688" i="15"/>
  <c r="K688" i="15" s="1"/>
  <c r="L688" i="15" s="1"/>
  <c r="M688" i="15" s="1"/>
  <c r="H691" i="15"/>
  <c r="K691" i="15" s="1"/>
  <c r="L691" i="15" s="1"/>
  <c r="M691" i="15" s="1"/>
  <c r="H698" i="15"/>
  <c r="K698" i="15" s="1"/>
  <c r="L698" i="15" s="1"/>
  <c r="M698" i="15" s="1"/>
  <c r="H701" i="15"/>
  <c r="K701" i="15" s="1"/>
  <c r="L701" i="15" s="1"/>
  <c r="M701" i="15" s="1"/>
  <c r="H704" i="15"/>
  <c r="K704" i="15" s="1"/>
  <c r="L704" i="15" s="1"/>
  <c r="M704" i="15" s="1"/>
  <c r="H707" i="15"/>
  <c r="K707" i="15" s="1"/>
  <c r="L707" i="15" s="1"/>
  <c r="M707" i="15" s="1"/>
  <c r="H714" i="15"/>
  <c r="K714" i="15" s="1"/>
  <c r="L714" i="15" s="1"/>
  <c r="M714" i="15" s="1"/>
  <c r="H6" i="15"/>
  <c r="K6" i="15" s="1"/>
  <c r="L6" i="15" s="1"/>
  <c r="M6" i="15" s="1"/>
  <c r="H38" i="15"/>
  <c r="K38" i="15" s="1"/>
  <c r="L38" i="15" s="1"/>
  <c r="M38" i="15" s="1"/>
  <c r="H70" i="15"/>
  <c r="K70" i="15" s="1"/>
  <c r="L70" i="15" s="1"/>
  <c r="M70" i="15" s="1"/>
  <c r="H248" i="15"/>
  <c r="K248" i="15" s="1"/>
  <c r="L248" i="15" s="1"/>
  <c r="M248" i="15" s="1"/>
  <c r="H262" i="15"/>
  <c r="K262" i="15" s="1"/>
  <c r="L262" i="15" s="1"/>
  <c r="M262" i="15" s="1"/>
  <c r="H264" i="15"/>
  <c r="K264" i="15" s="1"/>
  <c r="L264" i="15" s="1"/>
  <c r="M264" i="15" s="1"/>
  <c r="H269" i="15"/>
  <c r="K269" i="15" s="1"/>
  <c r="L269" i="15" s="1"/>
  <c r="M269" i="15" s="1"/>
  <c r="H275" i="15"/>
  <c r="K275" i="15" s="1"/>
  <c r="L275" i="15" s="1"/>
  <c r="M275" i="15" s="1"/>
  <c r="H294" i="15"/>
  <c r="K294" i="15" s="1"/>
  <c r="L294" i="15" s="1"/>
  <c r="M294" i="15" s="1"/>
  <c r="H296" i="15"/>
  <c r="K296" i="15" s="1"/>
  <c r="L296" i="15" s="1"/>
  <c r="M296" i="15" s="1"/>
  <c r="H301" i="15"/>
  <c r="K301" i="15" s="1"/>
  <c r="L301" i="15" s="1"/>
  <c r="M301" i="15" s="1"/>
  <c r="H318" i="15"/>
  <c r="K318" i="15" s="1"/>
  <c r="L318" i="15" s="1"/>
  <c r="M318" i="15" s="1"/>
  <c r="H323" i="15"/>
  <c r="K323" i="15" s="1"/>
  <c r="L323" i="15" s="1"/>
  <c r="M323" i="15" s="1"/>
  <c r="H333" i="15"/>
  <c r="K333" i="15" s="1"/>
  <c r="L333" i="15" s="1"/>
  <c r="M333" i="15" s="1"/>
  <c r="H345" i="15"/>
  <c r="K345" i="15" s="1"/>
  <c r="L345" i="15" s="1"/>
  <c r="M345" i="15" s="1"/>
  <c r="H350" i="15"/>
  <c r="K350" i="15" s="1"/>
  <c r="L350" i="15" s="1"/>
  <c r="M350" i="15" s="1"/>
  <c r="H355" i="15"/>
  <c r="K355" i="15" s="1"/>
  <c r="L355" i="15" s="1"/>
  <c r="M355" i="15" s="1"/>
  <c r="H360" i="15"/>
  <c r="K360" i="15" s="1"/>
  <c r="L360" i="15" s="1"/>
  <c r="M360" i="15" s="1"/>
  <c r="H376" i="15"/>
  <c r="K376" i="15" s="1"/>
  <c r="L376" i="15" s="1"/>
  <c r="M376" i="15" s="1"/>
  <c r="H440" i="15"/>
  <c r="K440" i="15" s="1"/>
  <c r="L440" i="15" s="1"/>
  <c r="M440" i="15" s="1"/>
  <c r="H472" i="15"/>
  <c r="K472" i="15" s="1"/>
  <c r="L472" i="15" s="1"/>
  <c r="M472" i="15" s="1"/>
  <c r="H520" i="15"/>
  <c r="K520" i="15" s="1"/>
  <c r="L520" i="15" s="1"/>
  <c r="M520" i="15" s="1"/>
  <c r="H568" i="15"/>
  <c r="K568" i="15" s="1"/>
  <c r="L568" i="15" s="1"/>
  <c r="M568" i="15" s="1"/>
  <c r="H605" i="15"/>
  <c r="K605" i="15" s="1"/>
  <c r="L605" i="15" s="1"/>
  <c r="M605" i="15" s="1"/>
  <c r="H607" i="15"/>
  <c r="K607" i="15" s="1"/>
  <c r="L607" i="15" s="1"/>
  <c r="M607" i="15" s="1"/>
  <c r="H616" i="15"/>
  <c r="K616" i="15" s="1"/>
  <c r="L616" i="15" s="1"/>
  <c r="M616" i="15" s="1"/>
  <c r="H619" i="15"/>
  <c r="K619" i="15" s="1"/>
  <c r="L619" i="15" s="1"/>
  <c r="M619" i="15" s="1"/>
  <c r="H624" i="15"/>
  <c r="K624" i="15" s="1"/>
  <c r="L624" i="15" s="1"/>
  <c r="M624" i="15" s="1"/>
  <c r="H639" i="15"/>
  <c r="K639" i="15" s="1"/>
  <c r="L639" i="15" s="1"/>
  <c r="M639" i="15" s="1"/>
  <c r="H642" i="15"/>
  <c r="K642" i="15" s="1"/>
  <c r="L642" i="15" s="1"/>
  <c r="M642" i="15" s="1"/>
  <c r="H656" i="15"/>
  <c r="K656" i="15" s="1"/>
  <c r="L656" i="15" s="1"/>
  <c r="M656" i="15" s="1"/>
  <c r="H662" i="15"/>
  <c r="K662" i="15" s="1"/>
  <c r="L662" i="15" s="1"/>
  <c r="M662" i="15" s="1"/>
  <c r="H671" i="15"/>
  <c r="K671" i="15" s="1"/>
  <c r="L671" i="15" s="1"/>
  <c r="M671" i="15" s="1"/>
  <c r="H678" i="15"/>
  <c r="K678" i="15" s="1"/>
  <c r="L678" i="15" s="1"/>
  <c r="M678" i="15" s="1"/>
  <c r="H687" i="15"/>
  <c r="K687" i="15" s="1"/>
  <c r="L687" i="15" s="1"/>
  <c r="M687" i="15" s="1"/>
  <c r="H694" i="15"/>
  <c r="K694" i="15" s="1"/>
  <c r="L694" i="15" s="1"/>
  <c r="M694" i="15" s="1"/>
  <c r="H697" i="15"/>
  <c r="K697" i="15" s="1"/>
  <c r="L697" i="15" s="1"/>
  <c r="M697" i="15" s="1"/>
  <c r="H700" i="15"/>
  <c r="K700" i="15" s="1"/>
  <c r="L700" i="15" s="1"/>
  <c r="M700" i="15" s="1"/>
  <c r="B24" i="3"/>
  <c r="I2" i="3"/>
  <c r="J2" i="3" s="1" a="1"/>
  <c r="J2" i="3" s="1"/>
  <c r="H2" i="3"/>
  <c r="B25" i="3"/>
  <c r="K2" i="3" l="1"/>
  <c r="L2" i="3" s="1"/>
  <c r="M2" i="3" l="1"/>
  <c r="B27" i="3" s="1"/>
  <c r="H2" i="15" l="1"/>
  <c r="K2" i="15" s="1"/>
  <c r="L2" i="15" l="1"/>
  <c r="M2" i="15" s="1"/>
  <c r="B27" i="15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<sst xmlns="http://schemas.openxmlformats.org/spreadsheetml/2006/main" count="109" uniqueCount="62">
  <si>
    <t>Date</t>
  </si>
  <si>
    <t>CO2</t>
  </si>
  <si>
    <t>季節変動</t>
    <rPh sb="0" eb="2">
      <t>キセツ</t>
    </rPh>
    <rPh sb="2" eb="4">
      <t>ヘンドウ</t>
    </rPh>
    <phoneticPr fontId="1"/>
  </si>
  <si>
    <t>：指数関数＋バイアス（dは測定年月(Date)）</t>
    <rPh sb="1" eb="3">
      <t>シスウ</t>
    </rPh>
    <rPh sb="3" eb="5">
      <t>カンスウ</t>
    </rPh>
    <rPh sb="13" eb="15">
      <t>ソクテイ</t>
    </rPh>
    <rPh sb="15" eb="16">
      <t>ネン</t>
    </rPh>
    <rPh sb="16" eb="17">
      <t>ゲツ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</si>
  <si>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</si>
  <si>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</si>
  <si>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</si>
  <si>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</si>
  <si>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</si>
  <si>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m(d)</t>
    <phoneticPr fontId="1"/>
  </si>
  <si>
    <t>季節変動の月別値</t>
    <rPh sb="0" eb="4">
      <t>キセツヘンドウ</t>
    </rPh>
    <rPh sb="5" eb="8">
      <t>ツキベツチ</t>
    </rPh>
    <phoneticPr fontId="1"/>
  </si>
  <si>
    <t>が最小になるように</t>
    <rPh sb="1" eb="3">
      <t>サイショウ</t>
    </rPh>
    <phoneticPr fontId="1"/>
  </si>
  <si>
    <t>の値を調整する</t>
    <rPh sb="1" eb="2">
      <t>アタイ</t>
    </rPh>
    <rPh sb="3" eb="5">
      <t>チョウセイ</t>
    </rPh>
    <phoneticPr fontId="1"/>
  </si>
  <si>
    <t>ソルバーアドインを使って，</t>
    <rPh sb="9" eb="10">
      <t>ツカ</t>
    </rPh>
    <phoneticPr fontId="1"/>
  </si>
  <si>
    <t>S(m(d))</t>
    <phoneticPr fontId="1"/>
  </si>
  <si>
    <t>S(m)</t>
    <phoneticPr fontId="1"/>
  </si>
  <si>
    <t>残差(I)</t>
    <rPh sb="0" eb="2">
      <t>ザンサ</t>
    </rPh>
    <phoneticPr fontId="1"/>
  </si>
  <si>
    <t xml:space="preserve"> = S(1)</t>
    <phoneticPr fontId="1"/>
  </si>
  <si>
    <r>
      <t>残差平方(I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)</t>
    </r>
    <rPh sb="0" eb="4">
      <t>ザンサヘイホウ</t>
    </rPh>
    <phoneticPr fontId="1"/>
  </si>
  <si>
    <t>T(d)</t>
    <phoneticPr fontId="1"/>
  </si>
  <si>
    <r>
      <t>T(d) = e</t>
    </r>
    <r>
      <rPr>
        <vertAlign val="superscript"/>
        <sz val="11"/>
        <color theme="1"/>
        <rFont val="游ゴシック"/>
        <family val="3"/>
        <charset val="128"/>
        <scheme val="minor"/>
      </rPr>
      <t>Ad+B</t>
    </r>
    <r>
      <rPr>
        <sz val="11"/>
        <color theme="1"/>
        <rFont val="游ゴシック"/>
        <family val="2"/>
        <charset val="128"/>
        <scheme val="minor"/>
      </rPr>
      <t>+C</t>
    </r>
    <phoneticPr fontId="1"/>
  </si>
  <si>
    <t>TS(d)=T(d)+S(m(d))</t>
    <phoneticPr fontId="1"/>
  </si>
  <si>
    <t>傾向変動</t>
  </si>
  <si>
    <t>傾向変動</t>
    <rPh sb="0" eb="4">
      <t>ケイコウヘンドウ</t>
    </rPh>
    <phoneticPr fontId="1"/>
  </si>
  <si>
    <t>：傾向変動からの変位（m(d) は d の月部分 ）</t>
    <rPh sb="8" eb="10">
      <t>ヘンイ</t>
    </rPh>
    <rPh sb="21" eb="22">
      <t>ツキ</t>
    </rPh>
    <rPh sb="22" eb="24">
      <t>ブブン</t>
    </rPh>
    <phoneticPr fontId="1"/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</si>
  <si>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</si>
  <si>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TS(d)</t>
    <phoneticPr fontId="1"/>
  </si>
  <si>
    <t>残差平方の平均</t>
    <rPh sb="0" eb="4">
      <t>ザンサヘイホウ</t>
    </rPh>
    <rPh sb="5" eb="7">
      <t>ヘイキン</t>
    </rPh>
    <phoneticPr fontId="1"/>
  </si>
  <si>
    <t>：2次多項式（dは測定年月(Date)）</t>
    <rPh sb="2" eb="3">
      <t>ジ</t>
    </rPh>
    <rPh sb="3" eb="6">
      <t>タコウシキ</t>
    </rPh>
    <rPh sb="9" eb="11">
      <t>ソクテイ</t>
    </rPh>
    <rPh sb="11" eb="12">
      <t>ネン</t>
    </rPh>
    <rPh sb="12" eb="13">
      <t>ゲツ</t>
    </rPh>
    <phoneticPr fontId="1"/>
  </si>
  <si>
    <r>
      <t>T(d) = Ad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+Bd+C</t>
    </r>
    <phoneticPr fontId="1"/>
  </si>
  <si>
    <t>傾向変動のパラメータ（適当な初期値からソルバーで決定）</t>
    <rPh sb="11" eb="13">
      <t>テキトウ</t>
    </rPh>
    <rPh sb="14" eb="17">
      <t>ショキチ</t>
    </rPh>
    <rPh sb="24" eb="26">
      <t>ケッテイ</t>
    </rPh>
    <phoneticPr fontId="1"/>
  </si>
  <si>
    <t xml:space="preserve"> = 0 という制約条件の下で，</t>
    <rPh sb="8" eb="10">
      <t>セイヤク</t>
    </rPh>
    <rPh sb="10" eb="12">
      <t>ジョウケン</t>
    </rPh>
    <rPh sb="13" eb="14">
      <t>モト</t>
    </rPh>
    <phoneticPr fontId="1"/>
  </si>
  <si>
    <t>目的変数</t>
    <rPh sb="0" eb="4">
      <t>モクテキヘンスウ</t>
    </rPh>
    <phoneticPr fontId="1"/>
  </si>
  <si>
    <t>変数セル</t>
    <rPh sb="0" eb="2">
      <t>ヘンスウ</t>
    </rPh>
    <phoneticPr fontId="1"/>
  </si>
  <si>
    <t>傾向変動のパラメータ（最小二乗法による2次多項式近似 — Excelの関数で計算）</t>
    <rPh sb="11" eb="16">
      <t>サイショウニジョウホウ</t>
    </rPh>
    <rPh sb="20" eb="26">
      <t>ジタコウシキキンジ</t>
    </rPh>
    <rPh sb="35" eb="37">
      <t>カンスウ</t>
    </rPh>
    <rPh sb="38" eb="40">
      <t>ケイサン</t>
    </rPh>
    <phoneticPr fontId="1"/>
  </si>
  <si>
    <t>手順</t>
    <rPh sb="0" eb="2">
      <t>テジュン</t>
    </rPh>
    <phoneticPr fontId="1"/>
  </si>
  <si>
    <t>ソルバーアドインを追加</t>
    <rPh sb="9" eb="11">
      <t>ツイカ</t>
    </rPh>
    <phoneticPr fontId="1"/>
  </si>
  <si>
    <t>「データ」タブの右端「分析」グループから「ソルバー」を起動</t>
    <rPh sb="8" eb="10">
      <t>ミギハシ</t>
    </rPh>
    <rPh sb="11" eb="13">
      <t>ブンセキ</t>
    </rPh>
    <rPh sb="27" eb="29">
      <t>キドウ</t>
    </rPh>
    <phoneticPr fontId="1"/>
  </si>
  <si>
    <t>「解決方法の選択」を GRG非線形 にして「解決」をクリック</t>
    <rPh sb="14" eb="17">
      <t>ヒセンケイ</t>
    </rPh>
    <rPh sb="22" eb="24">
      <t>カイケツ</t>
    </rPh>
    <phoneticPr fontId="1"/>
  </si>
  <si>
    <t>d, CO2, T(d)（F～H列）で散布図(平滑線)を書いてみる</t>
    <rPh sb="16" eb="17">
      <t>レツ</t>
    </rPh>
    <rPh sb="19" eb="22">
      <t>サンプズ</t>
    </rPh>
    <rPh sb="23" eb="26">
      <t>ヘイカツセン</t>
    </rPh>
    <rPh sb="28" eb="29">
      <t>カ</t>
    </rPh>
    <phoneticPr fontId="1"/>
  </si>
  <si>
    <t>準備</t>
    <rPh sb="0" eb="2">
      <t>ジュンビ</t>
    </rPh>
    <phoneticPr fontId="1"/>
  </si>
  <si>
    <t>-</t>
    <phoneticPr fontId="1"/>
  </si>
  <si>
    <t>「変数セルの変更」をB12:B23に，</t>
  </si>
  <si>
    <t>A11:B24を選択して，散布図(平滑線とマーカー)を書いてみる</t>
    <rPh sb="8" eb="10">
      <t>センタク</t>
    </rPh>
    <rPh sb="13" eb="16">
      <t>サンプズ</t>
    </rPh>
    <rPh sb="17" eb="20">
      <t>ヘイカツセン</t>
    </rPh>
    <rPh sb="27" eb="28">
      <t>カ</t>
    </rPh>
    <phoneticPr fontId="1"/>
  </si>
  <si>
    <t>d, 残差(I)（F,L列）で集合縦棒グラフを書いてみる</t>
    <rPh sb="3" eb="5">
      <t>ザンサ</t>
    </rPh>
    <rPh sb="12" eb="13">
      <t>レツ</t>
    </rPh>
    <rPh sb="15" eb="17">
      <t>シュウゴウ</t>
    </rPh>
    <rPh sb="17" eb="19">
      <t>タテボウ</t>
    </rPh>
    <rPh sb="23" eb="24">
      <t>カ</t>
    </rPh>
    <phoneticPr fontId="1"/>
  </si>
  <si>
    <t>「目的セル」をB27に，「目標値」を最小値に，</t>
    <rPh sb="1" eb="3">
      <t>モクテキ</t>
    </rPh>
    <rPh sb="13" eb="16">
      <t>モクヒョウチ</t>
    </rPh>
    <rPh sb="18" eb="21">
      <t>サイショウチ</t>
    </rPh>
    <phoneticPr fontId="1"/>
  </si>
  <si>
    <t>傾向変動のパラメータ（B6:B8）の数式を眺める</t>
    <rPh sb="0" eb="4">
      <t>ケイコウヘンドウ</t>
    </rPh>
    <rPh sb="18" eb="20">
      <t>スウシキ</t>
    </rPh>
    <rPh sb="21" eb="22">
      <t>ナガ</t>
    </rPh>
    <phoneticPr fontId="1"/>
  </si>
  <si>
    <r>
      <t>T(d), m(d), S(m(d)), TS(d), 残差(I), 残差平方(I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)（H～M列）の</t>
    </r>
    <rPh sb="47" eb="48">
      <t>レツ</t>
    </rPh>
    <phoneticPr fontId="1"/>
  </si>
  <si>
    <t>数式を確認する</t>
    <rPh sb="3" eb="5">
      <t>カクニン</t>
    </rPh>
    <phoneticPr fontId="1"/>
  </si>
  <si>
    <t>（将来予測）</t>
    <rPh sb="1" eb="5">
      <t>ショウライヨソク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</si>
  <si>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</si>
  <si>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t>「変数セルの変更」をB6:B8,B12:B23に，</t>
    <phoneticPr fontId="1"/>
  </si>
  <si>
    <t>d, CO2, TS(d)（F, G, K列）で散布図(平滑線)を書いてみる</t>
    <rPh sb="21" eb="22">
      <t>レツ</t>
    </rPh>
    <rPh sb="24" eb="27">
      <t>サンプズ</t>
    </rPh>
    <rPh sb="28" eb="31">
      <t>ヘイカツセン</t>
    </rPh>
    <rPh sb="33" eb="34">
      <t>カ</t>
    </rPh>
    <phoneticPr fontId="1"/>
  </si>
  <si>
    <t>「制約条件の対象」に Sm_ave=0 (B25=0) を追加，</t>
    <rPh sb="1" eb="5">
      <t>セイヤクジョウケン</t>
    </rPh>
    <rPh sb="6" eb="8">
      <t>タイショウ</t>
    </rPh>
    <rPh sb="29" eb="31">
      <t>ツイカ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</si>
  <si>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</si>
  <si>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t>※ 2次多項式モデルは，増加率が線形に増加するモデル</t>
    <rPh sb="3" eb="4">
      <t>ジ</t>
    </rPh>
    <rPh sb="4" eb="7">
      <t>タコウシキ</t>
    </rPh>
    <rPh sb="12" eb="15">
      <t>ゾウカリツ</t>
    </rPh>
    <rPh sb="16" eb="18">
      <t>センケイ</t>
    </rPh>
    <rPh sb="19" eb="21">
      <t>ゾウカ</t>
    </rPh>
    <phoneticPr fontId="1"/>
  </si>
  <si>
    <t>※ 指数+定数モデルは，増加率が指数関数的に増大するモデル</t>
    <rPh sb="12" eb="15">
      <t>ゾウカリツ</t>
    </rPh>
    <rPh sb="16" eb="21">
      <t>シスウカンスウテキ</t>
    </rPh>
    <rPh sb="22" eb="24">
      <t>ゾウダイ</t>
    </rPh>
    <phoneticPr fontId="1"/>
  </si>
  <si>
    <t>d</t>
    <phoneticPr fontId="1"/>
  </si>
  <si>
    <t>H～K列の数式を200か月分（942行目 (2036/12/1) まで）拡張する</t>
    <rPh sb="3" eb="4">
      <t>レツ</t>
    </rPh>
    <rPh sb="5" eb="7">
      <t>スウシキ</t>
    </rPh>
    <rPh sb="12" eb="14">
      <t>ゲツブン</t>
    </rPh>
    <rPh sb="18" eb="20">
      <t>ギョウメ</t>
    </rPh>
    <rPh sb="36" eb="38">
      <t>カクチョウ</t>
    </rPh>
    <phoneticPr fontId="1"/>
  </si>
  <si>
    <t>予測(CO2)</t>
  </si>
  <si>
    <t>信頼下限(CO2)</t>
  </si>
  <si>
    <t>信頼上限(CO2)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</si>
</sst>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/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NumberFormat="1" applyBorder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7" xfId="0" applyFont="1" applyFill="1" applyBorder="1">
      <alignment vertical="center"/>
    </xf>
    <xf numFmtId="0" fontId="3" fillId="0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6" xfId="1" applyNumberFormat="1" applyFont="1" applyBorder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14" fontId="0" fillId="0" borderId="0" xfId="0" applyNumberFormat="1" applyAlignment="1"/>
    <xf numFmtId="0" fontId="0" fillId="0" borderId="0" xfId="0" applyNumberFormat="1" applyAlignment="1"/>
    <xf numFmtId="2" fontId="0" fillId="0" borderId="0" xfId="0" applyNumberFormat="1" applyAlignment="1"/>
  </cellXfs>
  <cellStyles count="2">
    <cellStyle name="桁区切り" xfId="1" builtinId="6"/>
    <cellStyle name="標準" xfId="0" builtinId="0"/>
  </cellStyles>
  <dxfs count="5">
    <dxf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yyyy/m/d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worksheet" Target="worksheets/sheet4.xml"/><Relationship Id="rId1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9.xml"/><Relationship Id="rId17" Type="http://schemas.openxmlformats.org/officeDocument/2006/relationships/sheetMetadata" Target="metadata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8.xml"/><Relationship Id="rId5" Type="http://schemas.openxmlformats.org/officeDocument/2006/relationships/chartsheet" Target="chartsheets/sheet3.xml"/><Relationship Id="rId15" Type="http://schemas.openxmlformats.org/officeDocument/2006/relationships/styles" Target="styles.xml"/><Relationship Id="rId10" Type="http://schemas.openxmlformats.org/officeDocument/2006/relationships/chartsheet" Target="chartsheets/sheet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Sheet1!$B$2:$B$947</c:f>
              <c:numCache>
                <c:formatCode>General</c:formatCode>
                <c:ptCount val="946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316.685</c:v>
                </c:pt>
                <c:pt idx="4">
                  <c:v>315.86</c:v>
                </c:pt>
                <c:pt idx="5">
                  <c:v>314.93</c:v>
                </c:pt>
                <c:pt idx="6">
                  <c:v>313.20999999999998</c:v>
                </c:pt>
                <c:pt idx="7">
                  <c:v>313.27</c:v>
                </c:pt>
                <c:pt idx="8">
                  <c:v>313.33</c:v>
                </c:pt>
                <c:pt idx="9">
                  <c:v>314.67</c:v>
                </c:pt>
                <c:pt idx="10">
                  <c:v>315.58</c:v>
                </c:pt>
                <c:pt idx="11">
                  <c:v>316.49</c:v>
                </c:pt>
                <c:pt idx="12">
                  <c:v>316.64999999999998</c:v>
                </c:pt>
                <c:pt idx="13">
                  <c:v>317.72000000000003</c:v>
                </c:pt>
                <c:pt idx="14">
                  <c:v>318.29000000000002</c:v>
                </c:pt>
                <c:pt idx="15">
                  <c:v>318.14999999999998</c:v>
                </c:pt>
                <c:pt idx="16">
                  <c:v>316.54000000000002</c:v>
                </c:pt>
                <c:pt idx="17">
                  <c:v>314.8</c:v>
                </c:pt>
                <c:pt idx="18">
                  <c:v>313.83999999999997</c:v>
                </c:pt>
                <c:pt idx="19">
                  <c:v>313.33</c:v>
                </c:pt>
                <c:pt idx="20">
                  <c:v>314.81</c:v>
                </c:pt>
                <c:pt idx="21">
                  <c:v>315.58</c:v>
                </c:pt>
                <c:pt idx="22">
                  <c:v>316.43</c:v>
                </c:pt>
                <c:pt idx="23">
                  <c:v>316.98</c:v>
                </c:pt>
                <c:pt idx="24">
                  <c:v>317.58</c:v>
                </c:pt>
                <c:pt idx="25">
                  <c:v>319.02999999999997</c:v>
                </c:pt>
                <c:pt idx="26">
                  <c:v>320.04000000000002</c:v>
                </c:pt>
                <c:pt idx="27">
                  <c:v>319.58</c:v>
                </c:pt>
                <c:pt idx="28">
                  <c:v>318.18</c:v>
                </c:pt>
                <c:pt idx="29">
                  <c:v>315.89999999999998</c:v>
                </c:pt>
                <c:pt idx="30">
                  <c:v>314.17</c:v>
                </c:pt>
                <c:pt idx="31">
                  <c:v>313.83</c:v>
                </c:pt>
                <c:pt idx="32">
                  <c:v>315</c:v>
                </c:pt>
                <c:pt idx="33">
                  <c:v>316.19</c:v>
                </c:pt>
                <c:pt idx="34">
                  <c:v>316.89999999999998</c:v>
                </c:pt>
                <c:pt idx="35">
                  <c:v>317.7</c:v>
                </c:pt>
                <c:pt idx="36">
                  <c:v>318.54000000000002</c:v>
                </c:pt>
                <c:pt idx="37">
                  <c:v>319.48</c:v>
                </c:pt>
                <c:pt idx="38">
                  <c:v>320.58</c:v>
                </c:pt>
                <c:pt idx="39">
                  <c:v>319.77</c:v>
                </c:pt>
                <c:pt idx="40">
                  <c:v>318.57</c:v>
                </c:pt>
                <c:pt idx="41">
                  <c:v>316.79000000000002</c:v>
                </c:pt>
                <c:pt idx="42">
                  <c:v>314.99</c:v>
                </c:pt>
                <c:pt idx="43">
                  <c:v>315.31</c:v>
                </c:pt>
                <c:pt idx="44">
                  <c:v>316.10000000000002</c:v>
                </c:pt>
                <c:pt idx="45">
                  <c:v>317.01</c:v>
                </c:pt>
                <c:pt idx="46">
                  <c:v>317.94</c:v>
                </c:pt>
                <c:pt idx="47">
                  <c:v>318.55</c:v>
                </c:pt>
                <c:pt idx="48">
                  <c:v>319.68</c:v>
                </c:pt>
                <c:pt idx="49">
                  <c:v>320.57</c:v>
                </c:pt>
                <c:pt idx="50">
                  <c:v>321.02</c:v>
                </c:pt>
                <c:pt idx="51">
                  <c:v>320.62</c:v>
                </c:pt>
                <c:pt idx="52">
                  <c:v>319.61</c:v>
                </c:pt>
                <c:pt idx="53">
                  <c:v>317.39999999999998</c:v>
                </c:pt>
                <c:pt idx="54">
                  <c:v>316.25</c:v>
                </c:pt>
                <c:pt idx="55">
                  <c:v>315.42</c:v>
                </c:pt>
                <c:pt idx="56">
                  <c:v>316.69</c:v>
                </c:pt>
                <c:pt idx="57">
                  <c:v>317.7</c:v>
                </c:pt>
                <c:pt idx="58">
                  <c:v>318.74</c:v>
                </c:pt>
                <c:pt idx="59">
                  <c:v>319.07</c:v>
                </c:pt>
                <c:pt idx="60">
                  <c:v>319.86</c:v>
                </c:pt>
                <c:pt idx="61">
                  <c:v>321.38</c:v>
                </c:pt>
                <c:pt idx="62">
                  <c:v>322.25</c:v>
                </c:pt>
                <c:pt idx="63">
                  <c:v>321.48</c:v>
                </c:pt>
                <c:pt idx="64">
                  <c:v>319.74</c:v>
                </c:pt>
                <c:pt idx="65">
                  <c:v>317.77</c:v>
                </c:pt>
                <c:pt idx="66">
                  <c:v>316.20999999999998</c:v>
                </c:pt>
                <c:pt idx="67">
                  <c:v>315.99</c:v>
                </c:pt>
                <c:pt idx="68">
                  <c:v>317.07</c:v>
                </c:pt>
                <c:pt idx="69">
                  <c:v>318.35000000000002</c:v>
                </c:pt>
                <c:pt idx="70">
                  <c:v>319.57</c:v>
                </c:pt>
                <c:pt idx="71">
                  <c:v>320.24250000000001</c:v>
                </c:pt>
                <c:pt idx="72">
                  <c:v>320.91499999999996</c:v>
                </c:pt>
                <c:pt idx="73">
                  <c:v>321.58749999999998</c:v>
                </c:pt>
                <c:pt idx="74">
                  <c:v>322.26</c:v>
                </c:pt>
                <c:pt idx="75">
                  <c:v>321.89</c:v>
                </c:pt>
                <c:pt idx="76">
                  <c:v>320.44</c:v>
                </c:pt>
                <c:pt idx="77">
                  <c:v>318.69</c:v>
                </c:pt>
                <c:pt idx="78">
                  <c:v>316.7</c:v>
                </c:pt>
                <c:pt idx="79">
                  <c:v>316.87</c:v>
                </c:pt>
                <c:pt idx="80">
                  <c:v>317.68</c:v>
                </c:pt>
                <c:pt idx="81">
                  <c:v>318.70999999999998</c:v>
                </c:pt>
                <c:pt idx="82">
                  <c:v>319.44</c:v>
                </c:pt>
                <c:pt idx="83">
                  <c:v>320.44</c:v>
                </c:pt>
                <c:pt idx="84">
                  <c:v>320.89</c:v>
                </c:pt>
                <c:pt idx="85">
                  <c:v>322.14</c:v>
                </c:pt>
                <c:pt idx="86">
                  <c:v>322.17</c:v>
                </c:pt>
                <c:pt idx="87">
                  <c:v>321.87</c:v>
                </c:pt>
                <c:pt idx="88">
                  <c:v>321.20999999999998</c:v>
                </c:pt>
                <c:pt idx="89">
                  <c:v>318.87</c:v>
                </c:pt>
                <c:pt idx="90">
                  <c:v>317.81</c:v>
                </c:pt>
                <c:pt idx="91">
                  <c:v>317.3</c:v>
                </c:pt>
                <c:pt idx="92">
                  <c:v>318.87</c:v>
                </c:pt>
                <c:pt idx="93">
                  <c:v>319.42</c:v>
                </c:pt>
                <c:pt idx="94">
                  <c:v>320.62</c:v>
                </c:pt>
                <c:pt idx="95">
                  <c:v>321.60000000000002</c:v>
                </c:pt>
                <c:pt idx="96">
                  <c:v>322.39</c:v>
                </c:pt>
                <c:pt idx="97">
                  <c:v>323.7</c:v>
                </c:pt>
                <c:pt idx="98">
                  <c:v>324.08</c:v>
                </c:pt>
                <c:pt idx="99">
                  <c:v>323.75</c:v>
                </c:pt>
                <c:pt idx="100">
                  <c:v>322.38</c:v>
                </c:pt>
                <c:pt idx="101">
                  <c:v>320.36</c:v>
                </c:pt>
                <c:pt idx="102">
                  <c:v>318.64</c:v>
                </c:pt>
                <c:pt idx="103">
                  <c:v>318.10000000000002</c:v>
                </c:pt>
                <c:pt idx="104">
                  <c:v>319.77999999999997</c:v>
                </c:pt>
                <c:pt idx="105">
                  <c:v>321.02999999999997</c:v>
                </c:pt>
                <c:pt idx="106">
                  <c:v>322.33</c:v>
                </c:pt>
                <c:pt idx="107">
                  <c:v>322.5</c:v>
                </c:pt>
                <c:pt idx="108">
                  <c:v>323.04000000000002</c:v>
                </c:pt>
                <c:pt idx="109">
                  <c:v>324.42</c:v>
                </c:pt>
                <c:pt idx="110">
                  <c:v>325</c:v>
                </c:pt>
                <c:pt idx="111">
                  <c:v>324.08999999999997</c:v>
                </c:pt>
                <c:pt idx="112">
                  <c:v>322.54000000000002</c:v>
                </c:pt>
                <c:pt idx="113">
                  <c:v>320.92</c:v>
                </c:pt>
                <c:pt idx="114">
                  <c:v>319.25</c:v>
                </c:pt>
                <c:pt idx="115">
                  <c:v>319.39</c:v>
                </c:pt>
                <c:pt idx="116">
                  <c:v>320.73</c:v>
                </c:pt>
                <c:pt idx="117">
                  <c:v>321.95999999999998</c:v>
                </c:pt>
                <c:pt idx="118">
                  <c:v>322.57</c:v>
                </c:pt>
                <c:pt idx="119">
                  <c:v>323.14999999999998</c:v>
                </c:pt>
                <c:pt idx="120">
                  <c:v>323.89</c:v>
                </c:pt>
                <c:pt idx="121">
                  <c:v>325.02</c:v>
                </c:pt>
                <c:pt idx="122">
                  <c:v>325.57</c:v>
                </c:pt>
                <c:pt idx="123">
                  <c:v>325.36</c:v>
                </c:pt>
                <c:pt idx="124">
                  <c:v>324.14</c:v>
                </c:pt>
                <c:pt idx="125">
                  <c:v>322.11</c:v>
                </c:pt>
                <c:pt idx="126">
                  <c:v>320.33</c:v>
                </c:pt>
                <c:pt idx="127">
                  <c:v>320.25</c:v>
                </c:pt>
                <c:pt idx="128">
                  <c:v>321.32</c:v>
                </c:pt>
                <c:pt idx="129">
                  <c:v>322.89</c:v>
                </c:pt>
                <c:pt idx="130">
                  <c:v>324</c:v>
                </c:pt>
                <c:pt idx="131">
                  <c:v>324.41000000000003</c:v>
                </c:pt>
                <c:pt idx="132">
                  <c:v>325.63</c:v>
                </c:pt>
                <c:pt idx="133">
                  <c:v>326.66000000000003</c:v>
                </c:pt>
                <c:pt idx="134">
                  <c:v>327.38</c:v>
                </c:pt>
                <c:pt idx="135">
                  <c:v>326.70999999999998</c:v>
                </c:pt>
                <c:pt idx="136">
                  <c:v>325.88</c:v>
                </c:pt>
                <c:pt idx="137">
                  <c:v>323.66000000000003</c:v>
                </c:pt>
                <c:pt idx="138">
                  <c:v>322.38</c:v>
                </c:pt>
                <c:pt idx="139">
                  <c:v>321.77999999999997</c:v>
                </c:pt>
                <c:pt idx="140">
                  <c:v>322.85000000000002</c:v>
                </c:pt>
                <c:pt idx="141">
                  <c:v>324.12</c:v>
                </c:pt>
                <c:pt idx="142">
                  <c:v>325.06</c:v>
                </c:pt>
                <c:pt idx="143">
                  <c:v>325.98</c:v>
                </c:pt>
                <c:pt idx="144">
                  <c:v>326.93</c:v>
                </c:pt>
                <c:pt idx="145">
                  <c:v>328.13</c:v>
                </c:pt>
                <c:pt idx="146">
                  <c:v>328.08</c:v>
                </c:pt>
                <c:pt idx="147">
                  <c:v>327.67</c:v>
                </c:pt>
                <c:pt idx="148">
                  <c:v>326.33999999999997</c:v>
                </c:pt>
                <c:pt idx="149">
                  <c:v>324.69</c:v>
                </c:pt>
                <c:pt idx="150">
                  <c:v>323.10000000000002</c:v>
                </c:pt>
                <c:pt idx="151">
                  <c:v>323.06</c:v>
                </c:pt>
                <c:pt idx="152">
                  <c:v>324.01</c:v>
                </c:pt>
                <c:pt idx="153">
                  <c:v>325.13</c:v>
                </c:pt>
                <c:pt idx="154">
                  <c:v>326.17</c:v>
                </c:pt>
                <c:pt idx="155">
                  <c:v>326.68</c:v>
                </c:pt>
                <c:pt idx="156">
                  <c:v>327.17</c:v>
                </c:pt>
                <c:pt idx="157">
                  <c:v>327.79</c:v>
                </c:pt>
                <c:pt idx="158">
                  <c:v>328.93</c:v>
                </c:pt>
                <c:pt idx="159">
                  <c:v>328.57</c:v>
                </c:pt>
                <c:pt idx="160">
                  <c:v>327.36</c:v>
                </c:pt>
                <c:pt idx="161">
                  <c:v>325.43</c:v>
                </c:pt>
                <c:pt idx="162">
                  <c:v>323.36</c:v>
                </c:pt>
                <c:pt idx="163">
                  <c:v>323.56</c:v>
                </c:pt>
                <c:pt idx="164">
                  <c:v>324.8</c:v>
                </c:pt>
                <c:pt idx="165">
                  <c:v>326.01</c:v>
                </c:pt>
                <c:pt idx="166">
                  <c:v>326.77</c:v>
                </c:pt>
                <c:pt idx="167">
                  <c:v>327.63</c:v>
                </c:pt>
                <c:pt idx="168">
                  <c:v>327.75</c:v>
                </c:pt>
                <c:pt idx="169">
                  <c:v>329.72</c:v>
                </c:pt>
                <c:pt idx="170">
                  <c:v>330.07</c:v>
                </c:pt>
                <c:pt idx="171">
                  <c:v>329.09</c:v>
                </c:pt>
                <c:pt idx="172">
                  <c:v>328.04</c:v>
                </c:pt>
                <c:pt idx="173">
                  <c:v>326.32</c:v>
                </c:pt>
                <c:pt idx="174">
                  <c:v>324.83999999999997</c:v>
                </c:pt>
                <c:pt idx="175">
                  <c:v>325.2</c:v>
                </c:pt>
                <c:pt idx="176">
                  <c:v>326.5</c:v>
                </c:pt>
                <c:pt idx="177">
                  <c:v>327.55</c:v>
                </c:pt>
                <c:pt idx="178">
                  <c:v>328.55</c:v>
                </c:pt>
                <c:pt idx="179">
                  <c:v>329.56</c:v>
                </c:pt>
                <c:pt idx="180">
                  <c:v>330.3</c:v>
                </c:pt>
                <c:pt idx="181">
                  <c:v>331.5</c:v>
                </c:pt>
                <c:pt idx="182">
                  <c:v>332.48</c:v>
                </c:pt>
                <c:pt idx="183">
                  <c:v>332.07</c:v>
                </c:pt>
                <c:pt idx="184">
                  <c:v>330.87</c:v>
                </c:pt>
                <c:pt idx="185">
                  <c:v>329.31</c:v>
                </c:pt>
                <c:pt idx="186">
                  <c:v>327.51</c:v>
                </c:pt>
                <c:pt idx="187">
                  <c:v>327.18</c:v>
                </c:pt>
                <c:pt idx="188">
                  <c:v>328.16</c:v>
                </c:pt>
                <c:pt idx="189">
                  <c:v>328.64</c:v>
                </c:pt>
                <c:pt idx="190">
                  <c:v>329.35</c:v>
                </c:pt>
                <c:pt idx="191">
                  <c:v>330.71</c:v>
                </c:pt>
                <c:pt idx="192">
                  <c:v>331.48</c:v>
                </c:pt>
                <c:pt idx="193">
                  <c:v>332.65</c:v>
                </c:pt>
                <c:pt idx="194">
                  <c:v>333.09</c:v>
                </c:pt>
                <c:pt idx="195">
                  <c:v>332.25</c:v>
                </c:pt>
                <c:pt idx="196">
                  <c:v>331.18</c:v>
                </c:pt>
                <c:pt idx="197">
                  <c:v>329.39</c:v>
                </c:pt>
                <c:pt idx="198">
                  <c:v>327.43</c:v>
                </c:pt>
                <c:pt idx="199">
                  <c:v>327.37</c:v>
                </c:pt>
                <c:pt idx="200">
                  <c:v>328.46</c:v>
                </c:pt>
                <c:pt idx="201">
                  <c:v>329.57</c:v>
                </c:pt>
                <c:pt idx="202">
                  <c:v>330.4</c:v>
                </c:pt>
                <c:pt idx="203">
                  <c:v>331.4</c:v>
                </c:pt>
                <c:pt idx="204">
                  <c:v>332.04</c:v>
                </c:pt>
                <c:pt idx="205">
                  <c:v>333.31</c:v>
                </c:pt>
                <c:pt idx="206">
                  <c:v>333.97</c:v>
                </c:pt>
                <c:pt idx="207">
                  <c:v>333.6</c:v>
                </c:pt>
                <c:pt idx="208">
                  <c:v>331.9</c:v>
                </c:pt>
                <c:pt idx="209">
                  <c:v>330.06</c:v>
                </c:pt>
                <c:pt idx="210">
                  <c:v>328.56</c:v>
                </c:pt>
                <c:pt idx="211">
                  <c:v>328.34</c:v>
                </c:pt>
                <c:pt idx="212">
                  <c:v>329.49</c:v>
                </c:pt>
                <c:pt idx="213">
                  <c:v>330.76</c:v>
                </c:pt>
                <c:pt idx="214">
                  <c:v>331.75</c:v>
                </c:pt>
                <c:pt idx="215">
                  <c:v>332.57</c:v>
                </c:pt>
                <c:pt idx="216">
                  <c:v>333.5</c:v>
                </c:pt>
                <c:pt idx="217">
                  <c:v>334.58</c:v>
                </c:pt>
                <c:pt idx="218">
                  <c:v>334.88</c:v>
                </c:pt>
                <c:pt idx="219">
                  <c:v>334.33</c:v>
                </c:pt>
                <c:pt idx="220">
                  <c:v>333.05</c:v>
                </c:pt>
                <c:pt idx="221">
                  <c:v>330.94</c:v>
                </c:pt>
                <c:pt idx="222">
                  <c:v>329.3</c:v>
                </c:pt>
                <c:pt idx="223">
                  <c:v>328.94</c:v>
                </c:pt>
                <c:pt idx="224">
                  <c:v>330.31</c:v>
                </c:pt>
                <c:pt idx="225">
                  <c:v>331.68</c:v>
                </c:pt>
                <c:pt idx="226">
                  <c:v>332.93</c:v>
                </c:pt>
                <c:pt idx="227">
                  <c:v>333.42</c:v>
                </c:pt>
                <c:pt idx="228">
                  <c:v>334.7</c:v>
                </c:pt>
                <c:pt idx="229">
                  <c:v>336.07</c:v>
                </c:pt>
                <c:pt idx="230">
                  <c:v>336.75</c:v>
                </c:pt>
                <c:pt idx="231">
                  <c:v>336.27</c:v>
                </c:pt>
                <c:pt idx="232">
                  <c:v>334.92</c:v>
                </c:pt>
                <c:pt idx="233">
                  <c:v>332.75</c:v>
                </c:pt>
                <c:pt idx="234">
                  <c:v>331.59</c:v>
                </c:pt>
                <c:pt idx="235">
                  <c:v>331.16</c:v>
                </c:pt>
                <c:pt idx="236">
                  <c:v>332.4</c:v>
                </c:pt>
                <c:pt idx="237">
                  <c:v>333.85</c:v>
                </c:pt>
                <c:pt idx="238">
                  <c:v>334.97</c:v>
                </c:pt>
                <c:pt idx="239">
                  <c:v>335.39</c:v>
                </c:pt>
                <c:pt idx="240">
                  <c:v>336.64</c:v>
                </c:pt>
                <c:pt idx="241">
                  <c:v>337.76</c:v>
                </c:pt>
                <c:pt idx="242">
                  <c:v>338.01</c:v>
                </c:pt>
                <c:pt idx="243">
                  <c:v>337.9</c:v>
                </c:pt>
                <c:pt idx="244">
                  <c:v>336.54</c:v>
                </c:pt>
                <c:pt idx="245">
                  <c:v>334.68</c:v>
                </c:pt>
                <c:pt idx="246">
                  <c:v>332.76</c:v>
                </c:pt>
                <c:pt idx="247">
                  <c:v>332.55</c:v>
                </c:pt>
                <c:pt idx="248">
                  <c:v>333.92</c:v>
                </c:pt>
                <c:pt idx="249">
                  <c:v>334.95</c:v>
                </c:pt>
                <c:pt idx="250">
                  <c:v>336.23</c:v>
                </c:pt>
                <c:pt idx="251">
                  <c:v>336.76</c:v>
                </c:pt>
                <c:pt idx="252">
                  <c:v>337.96</c:v>
                </c:pt>
                <c:pt idx="253">
                  <c:v>338.88</c:v>
                </c:pt>
                <c:pt idx="254">
                  <c:v>339.47</c:v>
                </c:pt>
                <c:pt idx="255">
                  <c:v>339.29</c:v>
                </c:pt>
                <c:pt idx="256">
                  <c:v>337.73</c:v>
                </c:pt>
                <c:pt idx="257">
                  <c:v>336.09</c:v>
                </c:pt>
                <c:pt idx="258">
                  <c:v>333.92</c:v>
                </c:pt>
                <c:pt idx="259">
                  <c:v>333.86</c:v>
                </c:pt>
                <c:pt idx="260">
                  <c:v>335.29</c:v>
                </c:pt>
                <c:pt idx="261">
                  <c:v>336.73</c:v>
                </c:pt>
                <c:pt idx="262">
                  <c:v>338.01</c:v>
                </c:pt>
                <c:pt idx="263">
                  <c:v>338.36</c:v>
                </c:pt>
                <c:pt idx="264">
                  <c:v>340.07</c:v>
                </c:pt>
                <c:pt idx="265">
                  <c:v>340.76</c:v>
                </c:pt>
                <c:pt idx="266">
                  <c:v>341.47</c:v>
                </c:pt>
                <c:pt idx="267">
                  <c:v>341.17</c:v>
                </c:pt>
                <c:pt idx="268">
                  <c:v>339.56</c:v>
                </c:pt>
                <c:pt idx="269">
                  <c:v>337.6</c:v>
                </c:pt>
                <c:pt idx="270">
                  <c:v>335.88</c:v>
                </c:pt>
                <c:pt idx="271">
                  <c:v>336.02</c:v>
                </c:pt>
                <c:pt idx="272">
                  <c:v>337.1</c:v>
                </c:pt>
                <c:pt idx="273">
                  <c:v>338.21</c:v>
                </c:pt>
                <c:pt idx="274">
                  <c:v>339.24</c:v>
                </c:pt>
                <c:pt idx="275">
                  <c:v>340.48</c:v>
                </c:pt>
                <c:pt idx="276">
                  <c:v>341.38</c:v>
                </c:pt>
                <c:pt idx="277">
                  <c:v>342.5</c:v>
                </c:pt>
                <c:pt idx="278">
                  <c:v>342.91</c:v>
                </c:pt>
                <c:pt idx="279">
                  <c:v>342.25</c:v>
                </c:pt>
                <c:pt idx="280">
                  <c:v>340.49</c:v>
                </c:pt>
                <c:pt idx="281">
                  <c:v>338.43</c:v>
                </c:pt>
                <c:pt idx="282">
                  <c:v>336.69</c:v>
                </c:pt>
                <c:pt idx="283">
                  <c:v>336.86</c:v>
                </c:pt>
                <c:pt idx="284">
                  <c:v>338.36</c:v>
                </c:pt>
                <c:pt idx="285">
                  <c:v>339.61</c:v>
                </c:pt>
                <c:pt idx="286">
                  <c:v>340.75</c:v>
                </c:pt>
                <c:pt idx="287">
                  <c:v>341.61</c:v>
                </c:pt>
                <c:pt idx="288">
                  <c:v>342.7</c:v>
                </c:pt>
                <c:pt idx="289">
                  <c:v>343.57</c:v>
                </c:pt>
                <c:pt idx="290">
                  <c:v>344.14</c:v>
                </c:pt>
                <c:pt idx="291">
                  <c:v>343.35</c:v>
                </c:pt>
                <c:pt idx="292">
                  <c:v>342.06</c:v>
                </c:pt>
                <c:pt idx="293">
                  <c:v>339.81</c:v>
                </c:pt>
                <c:pt idx="294">
                  <c:v>337.98</c:v>
                </c:pt>
                <c:pt idx="295">
                  <c:v>337.86</c:v>
                </c:pt>
                <c:pt idx="296">
                  <c:v>339.26</c:v>
                </c:pt>
                <c:pt idx="297">
                  <c:v>340.49</c:v>
                </c:pt>
                <c:pt idx="298">
                  <c:v>341.38</c:v>
                </c:pt>
                <c:pt idx="299">
                  <c:v>342.52</c:v>
                </c:pt>
                <c:pt idx="300">
                  <c:v>343.1</c:v>
                </c:pt>
                <c:pt idx="301">
                  <c:v>344.94</c:v>
                </c:pt>
                <c:pt idx="302">
                  <c:v>345.76</c:v>
                </c:pt>
                <c:pt idx="303">
                  <c:v>345.32</c:v>
                </c:pt>
                <c:pt idx="304">
                  <c:v>343.98</c:v>
                </c:pt>
                <c:pt idx="305">
                  <c:v>342.38</c:v>
                </c:pt>
                <c:pt idx="306">
                  <c:v>339.87</c:v>
                </c:pt>
                <c:pt idx="307">
                  <c:v>339.99</c:v>
                </c:pt>
                <c:pt idx="308">
                  <c:v>341.15</c:v>
                </c:pt>
                <c:pt idx="309">
                  <c:v>342.99</c:v>
                </c:pt>
                <c:pt idx="310">
                  <c:v>343.7</c:v>
                </c:pt>
                <c:pt idx="311">
                  <c:v>344.5</c:v>
                </c:pt>
                <c:pt idx="312">
                  <c:v>345.28</c:v>
                </c:pt>
                <c:pt idx="313">
                  <c:v>347.05</c:v>
                </c:pt>
                <c:pt idx="314">
                  <c:v>347.43</c:v>
                </c:pt>
                <c:pt idx="315">
                  <c:v>346.8</c:v>
                </c:pt>
                <c:pt idx="316">
                  <c:v>345.39</c:v>
                </c:pt>
                <c:pt idx="317">
                  <c:v>343.28</c:v>
                </c:pt>
                <c:pt idx="318">
                  <c:v>341.07</c:v>
                </c:pt>
                <c:pt idx="319">
                  <c:v>341.35</c:v>
                </c:pt>
                <c:pt idx="320">
                  <c:v>342.98</c:v>
                </c:pt>
                <c:pt idx="321">
                  <c:v>344.22</c:v>
                </c:pt>
                <c:pt idx="322">
                  <c:v>344.97</c:v>
                </c:pt>
                <c:pt idx="323">
                  <c:v>345.99</c:v>
                </c:pt>
                <c:pt idx="324">
                  <c:v>347.42</c:v>
                </c:pt>
                <c:pt idx="325">
                  <c:v>348.35</c:v>
                </c:pt>
                <c:pt idx="326">
                  <c:v>348.93</c:v>
                </c:pt>
                <c:pt idx="327">
                  <c:v>348.25</c:v>
                </c:pt>
                <c:pt idx="328">
                  <c:v>346.56</c:v>
                </c:pt>
                <c:pt idx="329">
                  <c:v>344.67</c:v>
                </c:pt>
                <c:pt idx="330">
                  <c:v>343.09</c:v>
                </c:pt>
                <c:pt idx="331">
                  <c:v>342.8</c:v>
                </c:pt>
                <c:pt idx="332">
                  <c:v>344.24</c:v>
                </c:pt>
                <c:pt idx="333">
                  <c:v>345.56</c:v>
                </c:pt>
                <c:pt idx="334">
                  <c:v>346.3</c:v>
                </c:pt>
                <c:pt idx="335">
                  <c:v>346.95</c:v>
                </c:pt>
                <c:pt idx="336">
                  <c:v>347.85</c:v>
                </c:pt>
                <c:pt idx="337">
                  <c:v>349.55</c:v>
                </c:pt>
                <c:pt idx="338">
                  <c:v>350.22</c:v>
                </c:pt>
                <c:pt idx="339">
                  <c:v>349.55</c:v>
                </c:pt>
                <c:pt idx="340">
                  <c:v>347.94</c:v>
                </c:pt>
                <c:pt idx="341">
                  <c:v>345.9</c:v>
                </c:pt>
                <c:pt idx="342">
                  <c:v>344.85</c:v>
                </c:pt>
                <c:pt idx="343">
                  <c:v>344.17</c:v>
                </c:pt>
                <c:pt idx="344">
                  <c:v>345.66</c:v>
                </c:pt>
                <c:pt idx="345">
                  <c:v>346.9</c:v>
                </c:pt>
                <c:pt idx="346">
                  <c:v>348.02</c:v>
                </c:pt>
                <c:pt idx="347">
                  <c:v>348.48</c:v>
                </c:pt>
                <c:pt idx="348">
                  <c:v>349.42</c:v>
                </c:pt>
                <c:pt idx="349">
                  <c:v>350.98</c:v>
                </c:pt>
                <c:pt idx="350">
                  <c:v>351.85</c:v>
                </c:pt>
                <c:pt idx="351">
                  <c:v>351.26</c:v>
                </c:pt>
                <c:pt idx="352">
                  <c:v>349.51</c:v>
                </c:pt>
                <c:pt idx="353">
                  <c:v>348.1</c:v>
                </c:pt>
                <c:pt idx="354">
                  <c:v>346.45</c:v>
                </c:pt>
                <c:pt idx="355">
                  <c:v>346.36</c:v>
                </c:pt>
                <c:pt idx="356">
                  <c:v>347.81</c:v>
                </c:pt>
                <c:pt idx="357">
                  <c:v>348.96</c:v>
                </c:pt>
                <c:pt idx="358">
                  <c:v>350.43</c:v>
                </c:pt>
                <c:pt idx="359">
                  <c:v>351.73</c:v>
                </c:pt>
                <c:pt idx="360">
                  <c:v>352.22</c:v>
                </c:pt>
                <c:pt idx="361">
                  <c:v>353.59</c:v>
                </c:pt>
                <c:pt idx="362">
                  <c:v>354.22</c:v>
                </c:pt>
                <c:pt idx="363">
                  <c:v>353.8</c:v>
                </c:pt>
                <c:pt idx="364">
                  <c:v>352.38</c:v>
                </c:pt>
                <c:pt idx="365">
                  <c:v>350.43</c:v>
                </c:pt>
                <c:pt idx="366">
                  <c:v>348.73</c:v>
                </c:pt>
                <c:pt idx="367">
                  <c:v>348.88</c:v>
                </c:pt>
                <c:pt idx="368">
                  <c:v>350.07</c:v>
                </c:pt>
                <c:pt idx="369">
                  <c:v>351.34</c:v>
                </c:pt>
                <c:pt idx="370">
                  <c:v>352.76</c:v>
                </c:pt>
                <c:pt idx="371">
                  <c:v>353.07</c:v>
                </c:pt>
                <c:pt idx="372">
                  <c:v>353.68</c:v>
                </c:pt>
                <c:pt idx="373">
                  <c:v>355.42</c:v>
                </c:pt>
                <c:pt idx="374">
                  <c:v>355.67</c:v>
                </c:pt>
                <c:pt idx="375">
                  <c:v>355.12</c:v>
                </c:pt>
                <c:pt idx="376">
                  <c:v>353.9</c:v>
                </c:pt>
                <c:pt idx="377">
                  <c:v>351.67</c:v>
                </c:pt>
                <c:pt idx="378">
                  <c:v>349.81</c:v>
                </c:pt>
                <c:pt idx="379">
                  <c:v>349.99</c:v>
                </c:pt>
                <c:pt idx="380">
                  <c:v>351.3</c:v>
                </c:pt>
                <c:pt idx="381">
                  <c:v>352.52</c:v>
                </c:pt>
                <c:pt idx="382">
                  <c:v>353.66</c:v>
                </c:pt>
                <c:pt idx="383">
                  <c:v>354.7</c:v>
                </c:pt>
                <c:pt idx="384">
                  <c:v>355.38</c:v>
                </c:pt>
                <c:pt idx="385">
                  <c:v>356.2</c:v>
                </c:pt>
                <c:pt idx="386">
                  <c:v>357.16</c:v>
                </c:pt>
                <c:pt idx="387">
                  <c:v>356.23</c:v>
                </c:pt>
                <c:pt idx="388">
                  <c:v>354.81</c:v>
                </c:pt>
                <c:pt idx="389">
                  <c:v>352.91</c:v>
                </c:pt>
                <c:pt idx="390">
                  <c:v>350.96</c:v>
                </c:pt>
                <c:pt idx="391">
                  <c:v>351.18</c:v>
                </c:pt>
                <c:pt idx="392">
                  <c:v>352.83</c:v>
                </c:pt>
                <c:pt idx="393">
                  <c:v>354.21</c:v>
                </c:pt>
                <c:pt idx="394">
                  <c:v>354.72</c:v>
                </c:pt>
                <c:pt idx="395">
                  <c:v>355.75</c:v>
                </c:pt>
                <c:pt idx="396">
                  <c:v>357.16</c:v>
                </c:pt>
                <c:pt idx="397">
                  <c:v>358.6</c:v>
                </c:pt>
                <c:pt idx="398">
                  <c:v>359.34</c:v>
                </c:pt>
                <c:pt idx="399">
                  <c:v>358.24</c:v>
                </c:pt>
                <c:pt idx="400">
                  <c:v>356.17</c:v>
                </c:pt>
                <c:pt idx="401">
                  <c:v>354.01</c:v>
                </c:pt>
                <c:pt idx="402">
                  <c:v>352.15</c:v>
                </c:pt>
                <c:pt idx="403">
                  <c:v>352.21</c:v>
                </c:pt>
                <c:pt idx="404">
                  <c:v>353.75</c:v>
                </c:pt>
                <c:pt idx="405">
                  <c:v>354.99</c:v>
                </c:pt>
                <c:pt idx="406">
                  <c:v>355.99</c:v>
                </c:pt>
                <c:pt idx="407">
                  <c:v>356.72</c:v>
                </c:pt>
                <c:pt idx="408">
                  <c:v>357.81</c:v>
                </c:pt>
                <c:pt idx="409">
                  <c:v>359.15</c:v>
                </c:pt>
                <c:pt idx="410">
                  <c:v>359.66</c:v>
                </c:pt>
                <c:pt idx="411">
                  <c:v>359.25</c:v>
                </c:pt>
                <c:pt idx="412">
                  <c:v>357.02</c:v>
                </c:pt>
                <c:pt idx="413">
                  <c:v>355</c:v>
                </c:pt>
                <c:pt idx="414">
                  <c:v>353.01</c:v>
                </c:pt>
                <c:pt idx="415">
                  <c:v>353.31</c:v>
                </c:pt>
                <c:pt idx="416">
                  <c:v>354.16</c:v>
                </c:pt>
                <c:pt idx="417">
                  <c:v>355.4</c:v>
                </c:pt>
                <c:pt idx="418">
                  <c:v>356.7</c:v>
                </c:pt>
                <c:pt idx="419">
                  <c:v>357.17</c:v>
                </c:pt>
                <c:pt idx="420">
                  <c:v>358.38</c:v>
                </c:pt>
                <c:pt idx="421">
                  <c:v>359.46</c:v>
                </c:pt>
                <c:pt idx="422">
                  <c:v>360.28</c:v>
                </c:pt>
                <c:pt idx="423">
                  <c:v>359.6</c:v>
                </c:pt>
                <c:pt idx="424">
                  <c:v>357.57</c:v>
                </c:pt>
                <c:pt idx="425">
                  <c:v>355.52</c:v>
                </c:pt>
                <c:pt idx="426">
                  <c:v>353.69</c:v>
                </c:pt>
                <c:pt idx="427">
                  <c:v>353.99</c:v>
                </c:pt>
                <c:pt idx="428">
                  <c:v>355.34</c:v>
                </c:pt>
                <c:pt idx="429">
                  <c:v>356.8</c:v>
                </c:pt>
                <c:pt idx="430">
                  <c:v>358.37</c:v>
                </c:pt>
                <c:pt idx="431">
                  <c:v>358.91</c:v>
                </c:pt>
                <c:pt idx="432">
                  <c:v>359.97</c:v>
                </c:pt>
                <c:pt idx="433">
                  <c:v>361.26</c:v>
                </c:pt>
                <c:pt idx="434">
                  <c:v>361.69</c:v>
                </c:pt>
                <c:pt idx="435">
                  <c:v>360.94</c:v>
                </c:pt>
                <c:pt idx="436">
                  <c:v>359.55</c:v>
                </c:pt>
                <c:pt idx="437">
                  <c:v>357.48</c:v>
                </c:pt>
                <c:pt idx="438">
                  <c:v>355.84</c:v>
                </c:pt>
                <c:pt idx="439">
                  <c:v>356</c:v>
                </c:pt>
                <c:pt idx="440">
                  <c:v>357.58</c:v>
                </c:pt>
                <c:pt idx="441">
                  <c:v>359.04</c:v>
                </c:pt>
                <c:pt idx="442">
                  <c:v>359.97</c:v>
                </c:pt>
                <c:pt idx="443">
                  <c:v>361</c:v>
                </c:pt>
                <c:pt idx="444">
                  <c:v>361.63</c:v>
                </c:pt>
                <c:pt idx="445">
                  <c:v>363.45</c:v>
                </c:pt>
                <c:pt idx="446">
                  <c:v>363.8</c:v>
                </c:pt>
                <c:pt idx="447">
                  <c:v>363.26</c:v>
                </c:pt>
                <c:pt idx="448">
                  <c:v>361.89</c:v>
                </c:pt>
                <c:pt idx="449">
                  <c:v>359.45</c:v>
                </c:pt>
                <c:pt idx="450">
                  <c:v>358.05</c:v>
                </c:pt>
                <c:pt idx="451">
                  <c:v>357.75</c:v>
                </c:pt>
                <c:pt idx="452">
                  <c:v>359.56</c:v>
                </c:pt>
                <c:pt idx="453">
                  <c:v>360.7</c:v>
                </c:pt>
                <c:pt idx="454">
                  <c:v>362.05</c:v>
                </c:pt>
                <c:pt idx="455">
                  <c:v>363.24</c:v>
                </c:pt>
                <c:pt idx="456">
                  <c:v>364.02</c:v>
                </c:pt>
                <c:pt idx="457">
                  <c:v>364.71</c:v>
                </c:pt>
                <c:pt idx="458">
                  <c:v>365.42</c:v>
                </c:pt>
                <c:pt idx="459">
                  <c:v>364.97</c:v>
                </c:pt>
                <c:pt idx="460">
                  <c:v>363.65</c:v>
                </c:pt>
                <c:pt idx="461">
                  <c:v>361.48</c:v>
                </c:pt>
                <c:pt idx="462">
                  <c:v>359.45</c:v>
                </c:pt>
                <c:pt idx="463">
                  <c:v>359.61</c:v>
                </c:pt>
                <c:pt idx="464">
                  <c:v>360.76</c:v>
                </c:pt>
                <c:pt idx="465">
                  <c:v>362.33</c:v>
                </c:pt>
                <c:pt idx="466">
                  <c:v>363.19</c:v>
                </c:pt>
                <c:pt idx="467">
                  <c:v>363.99</c:v>
                </c:pt>
                <c:pt idx="468">
                  <c:v>364.56</c:v>
                </c:pt>
                <c:pt idx="469">
                  <c:v>366.36</c:v>
                </c:pt>
                <c:pt idx="470">
                  <c:v>366.8</c:v>
                </c:pt>
                <c:pt idx="471">
                  <c:v>365.63</c:v>
                </c:pt>
                <c:pt idx="472">
                  <c:v>364.47</c:v>
                </c:pt>
                <c:pt idx="473">
                  <c:v>362.5</c:v>
                </c:pt>
                <c:pt idx="474">
                  <c:v>360.19</c:v>
                </c:pt>
                <c:pt idx="475">
                  <c:v>360.78</c:v>
                </c:pt>
                <c:pt idx="476">
                  <c:v>362.43</c:v>
                </c:pt>
                <c:pt idx="477">
                  <c:v>364.28</c:v>
                </c:pt>
                <c:pt idx="478">
                  <c:v>365.33</c:v>
                </c:pt>
                <c:pt idx="479">
                  <c:v>366.15</c:v>
                </c:pt>
                <c:pt idx="480">
                  <c:v>367.31</c:v>
                </c:pt>
                <c:pt idx="481">
                  <c:v>368.61</c:v>
                </c:pt>
                <c:pt idx="482">
                  <c:v>369.3</c:v>
                </c:pt>
                <c:pt idx="483">
                  <c:v>368.88</c:v>
                </c:pt>
                <c:pt idx="484">
                  <c:v>367.64</c:v>
                </c:pt>
                <c:pt idx="485">
                  <c:v>365.78</c:v>
                </c:pt>
                <c:pt idx="486">
                  <c:v>363.9</c:v>
                </c:pt>
                <c:pt idx="487">
                  <c:v>364.23</c:v>
                </c:pt>
                <c:pt idx="488">
                  <c:v>365.46</c:v>
                </c:pt>
                <c:pt idx="489">
                  <c:v>366.97</c:v>
                </c:pt>
                <c:pt idx="490">
                  <c:v>368.15</c:v>
                </c:pt>
                <c:pt idx="491">
                  <c:v>368.87</c:v>
                </c:pt>
                <c:pt idx="492">
                  <c:v>369.59</c:v>
                </c:pt>
                <c:pt idx="493">
                  <c:v>371.14</c:v>
                </c:pt>
                <c:pt idx="494">
                  <c:v>371</c:v>
                </c:pt>
                <c:pt idx="495">
                  <c:v>370.35</c:v>
                </c:pt>
                <c:pt idx="496">
                  <c:v>369.27</c:v>
                </c:pt>
                <c:pt idx="497">
                  <c:v>366.93</c:v>
                </c:pt>
                <c:pt idx="498">
                  <c:v>364.64</c:v>
                </c:pt>
                <c:pt idx="499">
                  <c:v>365.13</c:v>
                </c:pt>
                <c:pt idx="500">
                  <c:v>366.68</c:v>
                </c:pt>
                <c:pt idx="501">
                  <c:v>368</c:v>
                </c:pt>
                <c:pt idx="502">
                  <c:v>369.14</c:v>
                </c:pt>
                <c:pt idx="503">
                  <c:v>369.46</c:v>
                </c:pt>
                <c:pt idx="504">
                  <c:v>370.51</c:v>
                </c:pt>
                <c:pt idx="505">
                  <c:v>371.66</c:v>
                </c:pt>
                <c:pt idx="506">
                  <c:v>371.83</c:v>
                </c:pt>
                <c:pt idx="507">
                  <c:v>371.69</c:v>
                </c:pt>
                <c:pt idx="508">
                  <c:v>370.12</c:v>
                </c:pt>
                <c:pt idx="509">
                  <c:v>368.12</c:v>
                </c:pt>
                <c:pt idx="510">
                  <c:v>366.62</c:v>
                </c:pt>
                <c:pt idx="511">
                  <c:v>366.73</c:v>
                </c:pt>
                <c:pt idx="512">
                  <c:v>368.29</c:v>
                </c:pt>
                <c:pt idx="513">
                  <c:v>369.52</c:v>
                </c:pt>
                <c:pt idx="514">
                  <c:v>370.28</c:v>
                </c:pt>
                <c:pt idx="515">
                  <c:v>371.5</c:v>
                </c:pt>
                <c:pt idx="516">
                  <c:v>372.12</c:v>
                </c:pt>
                <c:pt idx="517">
                  <c:v>372.86</c:v>
                </c:pt>
                <c:pt idx="518">
                  <c:v>374.02</c:v>
                </c:pt>
                <c:pt idx="519">
                  <c:v>373.31</c:v>
                </c:pt>
                <c:pt idx="520">
                  <c:v>371.62</c:v>
                </c:pt>
                <c:pt idx="521">
                  <c:v>369.55</c:v>
                </c:pt>
                <c:pt idx="522">
                  <c:v>367.96</c:v>
                </c:pt>
                <c:pt idx="523">
                  <c:v>368.09</c:v>
                </c:pt>
                <c:pt idx="524">
                  <c:v>369.68</c:v>
                </c:pt>
                <c:pt idx="525">
                  <c:v>371.24</c:v>
                </c:pt>
                <c:pt idx="526">
                  <c:v>372.44</c:v>
                </c:pt>
                <c:pt idx="527">
                  <c:v>373.08</c:v>
                </c:pt>
                <c:pt idx="528">
                  <c:v>373.52</c:v>
                </c:pt>
                <c:pt idx="529">
                  <c:v>374.85</c:v>
                </c:pt>
                <c:pt idx="530">
                  <c:v>375.55</c:v>
                </c:pt>
                <c:pt idx="531">
                  <c:v>375.4</c:v>
                </c:pt>
                <c:pt idx="532">
                  <c:v>374.02</c:v>
                </c:pt>
                <c:pt idx="533">
                  <c:v>371.48</c:v>
                </c:pt>
                <c:pt idx="534">
                  <c:v>370.7</c:v>
                </c:pt>
                <c:pt idx="535">
                  <c:v>370.25</c:v>
                </c:pt>
                <c:pt idx="536">
                  <c:v>372.08</c:v>
                </c:pt>
                <c:pt idx="537">
                  <c:v>373.78</c:v>
                </c:pt>
                <c:pt idx="538">
                  <c:v>374.68</c:v>
                </c:pt>
                <c:pt idx="539">
                  <c:v>375.62</c:v>
                </c:pt>
                <c:pt idx="540">
                  <c:v>376.11</c:v>
                </c:pt>
                <c:pt idx="541">
                  <c:v>377.65</c:v>
                </c:pt>
                <c:pt idx="542">
                  <c:v>378.35</c:v>
                </c:pt>
                <c:pt idx="543">
                  <c:v>378.13</c:v>
                </c:pt>
                <c:pt idx="544">
                  <c:v>376.6</c:v>
                </c:pt>
                <c:pt idx="545">
                  <c:v>374.48</c:v>
                </c:pt>
                <c:pt idx="546">
                  <c:v>372.98</c:v>
                </c:pt>
                <c:pt idx="547">
                  <c:v>373</c:v>
                </c:pt>
                <c:pt idx="548">
                  <c:v>374.35</c:v>
                </c:pt>
                <c:pt idx="549">
                  <c:v>375.69</c:v>
                </c:pt>
                <c:pt idx="550">
                  <c:v>376.79</c:v>
                </c:pt>
                <c:pt idx="551">
                  <c:v>377.37</c:v>
                </c:pt>
                <c:pt idx="552">
                  <c:v>378.39</c:v>
                </c:pt>
                <c:pt idx="553">
                  <c:v>380.5</c:v>
                </c:pt>
                <c:pt idx="554">
                  <c:v>380.62</c:v>
                </c:pt>
                <c:pt idx="555">
                  <c:v>379.55</c:v>
                </c:pt>
                <c:pt idx="556">
                  <c:v>377.76</c:v>
                </c:pt>
                <c:pt idx="557">
                  <c:v>375.83</c:v>
                </c:pt>
                <c:pt idx="558">
                  <c:v>374.05</c:v>
                </c:pt>
                <c:pt idx="559">
                  <c:v>374.22</c:v>
                </c:pt>
                <c:pt idx="560">
                  <c:v>375.84</c:v>
                </c:pt>
                <c:pt idx="561">
                  <c:v>377.44</c:v>
                </c:pt>
                <c:pt idx="562">
                  <c:v>378.34</c:v>
                </c:pt>
                <c:pt idx="563">
                  <c:v>379.61</c:v>
                </c:pt>
                <c:pt idx="564">
                  <c:v>380.08</c:v>
                </c:pt>
                <c:pt idx="565">
                  <c:v>382.05</c:v>
                </c:pt>
                <c:pt idx="566">
                  <c:v>382.24</c:v>
                </c:pt>
                <c:pt idx="567">
                  <c:v>382.08</c:v>
                </c:pt>
                <c:pt idx="568">
                  <c:v>380.66</c:v>
                </c:pt>
                <c:pt idx="569">
                  <c:v>378.67</c:v>
                </c:pt>
                <c:pt idx="570">
                  <c:v>376.42</c:v>
                </c:pt>
                <c:pt idx="571">
                  <c:v>376.8</c:v>
                </c:pt>
                <c:pt idx="572">
                  <c:v>378.31</c:v>
                </c:pt>
                <c:pt idx="573">
                  <c:v>379.96</c:v>
                </c:pt>
                <c:pt idx="574">
                  <c:v>381.37</c:v>
                </c:pt>
                <c:pt idx="575">
                  <c:v>382.02</c:v>
                </c:pt>
                <c:pt idx="576">
                  <c:v>382.56</c:v>
                </c:pt>
                <c:pt idx="577">
                  <c:v>384.36</c:v>
                </c:pt>
                <c:pt idx="578">
                  <c:v>384.92</c:v>
                </c:pt>
                <c:pt idx="579">
                  <c:v>384.03</c:v>
                </c:pt>
                <c:pt idx="580">
                  <c:v>382.28</c:v>
                </c:pt>
                <c:pt idx="581">
                  <c:v>380.48</c:v>
                </c:pt>
                <c:pt idx="582">
                  <c:v>378.81</c:v>
                </c:pt>
                <c:pt idx="583">
                  <c:v>379.06</c:v>
                </c:pt>
                <c:pt idx="584">
                  <c:v>380.14</c:v>
                </c:pt>
                <c:pt idx="585">
                  <c:v>381.66</c:v>
                </c:pt>
                <c:pt idx="586">
                  <c:v>382.58</c:v>
                </c:pt>
                <c:pt idx="587">
                  <c:v>383.71</c:v>
                </c:pt>
                <c:pt idx="588">
                  <c:v>384.34</c:v>
                </c:pt>
                <c:pt idx="589">
                  <c:v>386.23</c:v>
                </c:pt>
                <c:pt idx="590">
                  <c:v>386.41</c:v>
                </c:pt>
                <c:pt idx="591">
                  <c:v>385.87</c:v>
                </c:pt>
                <c:pt idx="592">
                  <c:v>384.44</c:v>
                </c:pt>
                <c:pt idx="593">
                  <c:v>381.84</c:v>
                </c:pt>
                <c:pt idx="594">
                  <c:v>380.86</c:v>
                </c:pt>
                <c:pt idx="595">
                  <c:v>380.86</c:v>
                </c:pt>
                <c:pt idx="596">
                  <c:v>382.36</c:v>
                </c:pt>
                <c:pt idx="597">
                  <c:v>383.61</c:v>
                </c:pt>
                <c:pt idx="598">
                  <c:v>385.07</c:v>
                </c:pt>
                <c:pt idx="599">
                  <c:v>385.84</c:v>
                </c:pt>
                <c:pt idx="600">
                  <c:v>385.83</c:v>
                </c:pt>
                <c:pt idx="601">
                  <c:v>386.77</c:v>
                </c:pt>
                <c:pt idx="602">
                  <c:v>388.51</c:v>
                </c:pt>
                <c:pt idx="603">
                  <c:v>388.05</c:v>
                </c:pt>
                <c:pt idx="604">
                  <c:v>386.25</c:v>
                </c:pt>
                <c:pt idx="605">
                  <c:v>384.08</c:v>
                </c:pt>
                <c:pt idx="606">
                  <c:v>383.09</c:v>
                </c:pt>
                <c:pt idx="607">
                  <c:v>382.78</c:v>
                </c:pt>
                <c:pt idx="608">
                  <c:v>384.01</c:v>
                </c:pt>
                <c:pt idx="609">
                  <c:v>385.11</c:v>
                </c:pt>
                <c:pt idx="610">
                  <c:v>386.65</c:v>
                </c:pt>
                <c:pt idx="611">
                  <c:v>387.12</c:v>
                </c:pt>
                <c:pt idx="612">
                  <c:v>388.52</c:v>
                </c:pt>
                <c:pt idx="613">
                  <c:v>389.57</c:v>
                </c:pt>
                <c:pt idx="614">
                  <c:v>390.17</c:v>
                </c:pt>
                <c:pt idx="615">
                  <c:v>389.62</c:v>
                </c:pt>
                <c:pt idx="616">
                  <c:v>388.07</c:v>
                </c:pt>
                <c:pt idx="617">
                  <c:v>386.08</c:v>
                </c:pt>
                <c:pt idx="618">
                  <c:v>384.65</c:v>
                </c:pt>
                <c:pt idx="619">
                  <c:v>384.33</c:v>
                </c:pt>
                <c:pt idx="620">
                  <c:v>386.05</c:v>
                </c:pt>
                <c:pt idx="621">
                  <c:v>387.49</c:v>
                </c:pt>
                <c:pt idx="622">
                  <c:v>388.55</c:v>
                </c:pt>
                <c:pt idx="623">
                  <c:v>390.08</c:v>
                </c:pt>
                <c:pt idx="624">
                  <c:v>391.01</c:v>
                </c:pt>
                <c:pt idx="625">
                  <c:v>392.38</c:v>
                </c:pt>
                <c:pt idx="626">
                  <c:v>393.22</c:v>
                </c:pt>
                <c:pt idx="627">
                  <c:v>392.24</c:v>
                </c:pt>
                <c:pt idx="628">
                  <c:v>390.33</c:v>
                </c:pt>
                <c:pt idx="629">
                  <c:v>388.52</c:v>
                </c:pt>
                <c:pt idx="630">
                  <c:v>386.84</c:v>
                </c:pt>
                <c:pt idx="631">
                  <c:v>387.16</c:v>
                </c:pt>
                <c:pt idx="632">
                  <c:v>388.67</c:v>
                </c:pt>
                <c:pt idx="633">
                  <c:v>389.81</c:v>
                </c:pt>
                <c:pt idx="634">
                  <c:v>391.3</c:v>
                </c:pt>
                <c:pt idx="635">
                  <c:v>391.92</c:v>
                </c:pt>
                <c:pt idx="636">
                  <c:v>392.45</c:v>
                </c:pt>
                <c:pt idx="637">
                  <c:v>393.37</c:v>
                </c:pt>
                <c:pt idx="638">
                  <c:v>394.28</c:v>
                </c:pt>
                <c:pt idx="639">
                  <c:v>393.69</c:v>
                </c:pt>
                <c:pt idx="640">
                  <c:v>392.59</c:v>
                </c:pt>
                <c:pt idx="641">
                  <c:v>390.21</c:v>
                </c:pt>
                <c:pt idx="642">
                  <c:v>389</c:v>
                </c:pt>
                <c:pt idx="643">
                  <c:v>388.93</c:v>
                </c:pt>
                <c:pt idx="644">
                  <c:v>390.24</c:v>
                </c:pt>
                <c:pt idx="645">
                  <c:v>391.8</c:v>
                </c:pt>
                <c:pt idx="646">
                  <c:v>393.07</c:v>
                </c:pt>
                <c:pt idx="647">
                  <c:v>393.35</c:v>
                </c:pt>
                <c:pt idx="648">
                  <c:v>394.36</c:v>
                </c:pt>
                <c:pt idx="649">
                  <c:v>396.43</c:v>
                </c:pt>
                <c:pt idx="650">
                  <c:v>396.87</c:v>
                </c:pt>
                <c:pt idx="651">
                  <c:v>395.88</c:v>
                </c:pt>
                <c:pt idx="652">
                  <c:v>394.52</c:v>
                </c:pt>
                <c:pt idx="653">
                  <c:v>392.54</c:v>
                </c:pt>
                <c:pt idx="654">
                  <c:v>391.13</c:v>
                </c:pt>
                <c:pt idx="655">
                  <c:v>391.01</c:v>
                </c:pt>
                <c:pt idx="656">
                  <c:v>392.95</c:v>
                </c:pt>
                <c:pt idx="657">
                  <c:v>394.33</c:v>
                </c:pt>
                <c:pt idx="658">
                  <c:v>395.61</c:v>
                </c:pt>
                <c:pt idx="659">
                  <c:v>396.85</c:v>
                </c:pt>
                <c:pt idx="660">
                  <c:v>397.26</c:v>
                </c:pt>
                <c:pt idx="661">
                  <c:v>398.35</c:v>
                </c:pt>
                <c:pt idx="662">
                  <c:v>399.98</c:v>
                </c:pt>
                <c:pt idx="663">
                  <c:v>398.87</c:v>
                </c:pt>
                <c:pt idx="664">
                  <c:v>397.37</c:v>
                </c:pt>
                <c:pt idx="665">
                  <c:v>395.41</c:v>
                </c:pt>
                <c:pt idx="666">
                  <c:v>393.39</c:v>
                </c:pt>
                <c:pt idx="667">
                  <c:v>393.7</c:v>
                </c:pt>
                <c:pt idx="668">
                  <c:v>395.19</c:v>
                </c:pt>
                <c:pt idx="669">
                  <c:v>396.82</c:v>
                </c:pt>
                <c:pt idx="670">
                  <c:v>397.93</c:v>
                </c:pt>
                <c:pt idx="671">
                  <c:v>398.1</c:v>
                </c:pt>
                <c:pt idx="672">
                  <c:v>399.47</c:v>
                </c:pt>
                <c:pt idx="673">
                  <c:v>401.33</c:v>
                </c:pt>
                <c:pt idx="674">
                  <c:v>401.88</c:v>
                </c:pt>
                <c:pt idx="675">
                  <c:v>401.31</c:v>
                </c:pt>
                <c:pt idx="676">
                  <c:v>399.07</c:v>
                </c:pt>
                <c:pt idx="677">
                  <c:v>397.21</c:v>
                </c:pt>
                <c:pt idx="678">
                  <c:v>395.4</c:v>
                </c:pt>
                <c:pt idx="679">
                  <c:v>395.65</c:v>
                </c:pt>
                <c:pt idx="680">
                  <c:v>397.23</c:v>
                </c:pt>
                <c:pt idx="681">
                  <c:v>398.79</c:v>
                </c:pt>
                <c:pt idx="682">
                  <c:v>399.85</c:v>
                </c:pt>
                <c:pt idx="683">
                  <c:v>400.31</c:v>
                </c:pt>
                <c:pt idx="684">
                  <c:v>401.51</c:v>
                </c:pt>
                <c:pt idx="685">
                  <c:v>403.45</c:v>
                </c:pt>
                <c:pt idx="686">
                  <c:v>404.1</c:v>
                </c:pt>
                <c:pt idx="687">
                  <c:v>402.88</c:v>
                </c:pt>
                <c:pt idx="688">
                  <c:v>401.61</c:v>
                </c:pt>
                <c:pt idx="689">
                  <c:v>399</c:v>
                </c:pt>
                <c:pt idx="690">
                  <c:v>397.5</c:v>
                </c:pt>
                <c:pt idx="691">
                  <c:v>398.28</c:v>
                </c:pt>
                <c:pt idx="692">
                  <c:v>400.24</c:v>
                </c:pt>
                <c:pt idx="693">
                  <c:v>401.89</c:v>
                </c:pt>
                <c:pt idx="694">
                  <c:v>402.65</c:v>
                </c:pt>
                <c:pt idx="695">
                  <c:v>404.16</c:v>
                </c:pt>
                <c:pt idx="696">
                  <c:v>404.85</c:v>
                </c:pt>
                <c:pt idx="697">
                  <c:v>407.57</c:v>
                </c:pt>
                <c:pt idx="698">
                  <c:v>407.66</c:v>
                </c:pt>
                <c:pt idx="699">
                  <c:v>407</c:v>
                </c:pt>
                <c:pt idx="700">
                  <c:v>404.5</c:v>
                </c:pt>
                <c:pt idx="701">
                  <c:v>402.24</c:v>
                </c:pt>
                <c:pt idx="702">
                  <c:v>401.01</c:v>
                </c:pt>
                <c:pt idx="703">
                  <c:v>401.5</c:v>
                </c:pt>
                <c:pt idx="704">
                  <c:v>403.64</c:v>
                </c:pt>
                <c:pt idx="705">
                  <c:v>404.55</c:v>
                </c:pt>
                <c:pt idx="706">
                  <c:v>406.07</c:v>
                </c:pt>
                <c:pt idx="707">
                  <c:v>406.64</c:v>
                </c:pt>
                <c:pt idx="708">
                  <c:v>407.05</c:v>
                </c:pt>
                <c:pt idx="709">
                  <c:v>408.95</c:v>
                </c:pt>
                <c:pt idx="710">
                  <c:v>409.91</c:v>
                </c:pt>
                <c:pt idx="711">
                  <c:v>409.12</c:v>
                </c:pt>
                <c:pt idx="712">
                  <c:v>407.2</c:v>
                </c:pt>
                <c:pt idx="713">
                  <c:v>405.24</c:v>
                </c:pt>
                <c:pt idx="714">
                  <c:v>403.27</c:v>
                </c:pt>
                <c:pt idx="715">
                  <c:v>403.64</c:v>
                </c:pt>
                <c:pt idx="716">
                  <c:v>405.17</c:v>
                </c:pt>
                <c:pt idx="717">
                  <c:v>406.75</c:v>
                </c:pt>
                <c:pt idx="718">
                  <c:v>408.05</c:v>
                </c:pt>
                <c:pt idx="719">
                  <c:v>408.34</c:v>
                </c:pt>
                <c:pt idx="720">
                  <c:v>409.25</c:v>
                </c:pt>
                <c:pt idx="721">
                  <c:v>410.3</c:v>
                </c:pt>
                <c:pt idx="722">
                  <c:v>411.3</c:v>
                </c:pt>
                <c:pt idx="723">
                  <c:v>410.88</c:v>
                </c:pt>
                <c:pt idx="724">
                  <c:v>408.9</c:v>
                </c:pt>
                <c:pt idx="725">
                  <c:v>407.1</c:v>
                </c:pt>
                <c:pt idx="726">
                  <c:v>405.59</c:v>
                </c:pt>
                <c:pt idx="727">
                  <c:v>405.99</c:v>
                </c:pt>
                <c:pt idx="728">
                  <c:v>408.12</c:v>
                </c:pt>
                <c:pt idx="729">
                  <c:v>409.23</c:v>
                </c:pt>
                <c:pt idx="730">
                  <c:v>410.92</c:v>
                </c:pt>
                <c:pt idx="731">
                  <c:v>411.66</c:v>
                </c:pt>
                <c:pt idx="732">
                  <c:v>412</c:v>
                </c:pt>
                <c:pt idx="733">
                  <c:v>413.52</c:v>
                </c:pt>
                <c:pt idx="734">
                  <c:v>414.83</c:v>
                </c:pt>
                <c:pt idx="735">
                  <c:v>413.96</c:v>
                </c:pt>
                <c:pt idx="736">
                  <c:v>411.85</c:v>
                </c:pt>
                <c:pt idx="737">
                  <c:v>410.08</c:v>
                </c:pt>
                <c:pt idx="738">
                  <c:v>408.55</c:v>
                </c:pt>
                <c:pt idx="739">
                  <c:v>408.43</c:v>
                </c:pt>
                <c:pt idx="740">
                  <c:v>410.29</c:v>
                </c:pt>
                <c:pt idx="741">
                  <c:v>411.85</c:v>
                </c:pt>
                <c:pt idx="742">
                  <c:v>413.37</c:v>
                </c:pt>
                <c:pt idx="743">
                  <c:v>414.09</c:v>
                </c:pt>
                <c:pt idx="744">
                  <c:v>414.51</c:v>
                </c:pt>
                <c:pt idx="745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0-4B6E-A39D-ADFE7A474F1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予測(CO2)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Sheet1!$A$2:$A$947</c:f>
              <c:numCache>
                <c:formatCode>m/d/yyyy</c:formatCode>
                <c:ptCount val="946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21337</c:v>
                </c:pt>
                <c:pt idx="4">
                  <c:v>21367</c:v>
                </c:pt>
                <c:pt idx="5">
                  <c:v>21398</c:v>
                </c:pt>
                <c:pt idx="6">
                  <c:v>21429</c:v>
                </c:pt>
                <c:pt idx="7">
                  <c:v>21459</c:v>
                </c:pt>
                <c:pt idx="8">
                  <c:v>21490</c:v>
                </c:pt>
                <c:pt idx="9">
                  <c:v>21520</c:v>
                </c:pt>
                <c:pt idx="10">
                  <c:v>21551</c:v>
                </c:pt>
                <c:pt idx="11">
                  <c:v>21582</c:v>
                </c:pt>
                <c:pt idx="12">
                  <c:v>21610</c:v>
                </c:pt>
                <c:pt idx="13">
                  <c:v>21641</c:v>
                </c:pt>
                <c:pt idx="14">
                  <c:v>21671</c:v>
                </c:pt>
                <c:pt idx="15">
                  <c:v>21702</c:v>
                </c:pt>
                <c:pt idx="16">
                  <c:v>21732</c:v>
                </c:pt>
                <c:pt idx="17">
                  <c:v>21763</c:v>
                </c:pt>
                <c:pt idx="18">
                  <c:v>21794</c:v>
                </c:pt>
                <c:pt idx="19">
                  <c:v>21824</c:v>
                </c:pt>
                <c:pt idx="20">
                  <c:v>21855</c:v>
                </c:pt>
                <c:pt idx="21">
                  <c:v>21885</c:v>
                </c:pt>
                <c:pt idx="22">
                  <c:v>21916</c:v>
                </c:pt>
                <c:pt idx="23">
                  <c:v>21947</c:v>
                </c:pt>
                <c:pt idx="24">
                  <c:v>21976</c:v>
                </c:pt>
                <c:pt idx="25">
                  <c:v>22007</c:v>
                </c:pt>
                <c:pt idx="26">
                  <c:v>22037</c:v>
                </c:pt>
                <c:pt idx="27">
                  <c:v>22068</c:v>
                </c:pt>
                <c:pt idx="28">
                  <c:v>22098</c:v>
                </c:pt>
                <c:pt idx="29">
                  <c:v>22129</c:v>
                </c:pt>
                <c:pt idx="30">
                  <c:v>22160</c:v>
                </c:pt>
                <c:pt idx="31">
                  <c:v>22190</c:v>
                </c:pt>
                <c:pt idx="32">
                  <c:v>22221</c:v>
                </c:pt>
                <c:pt idx="33">
                  <c:v>22251</c:v>
                </c:pt>
                <c:pt idx="34">
                  <c:v>22282</c:v>
                </c:pt>
                <c:pt idx="35">
                  <c:v>22313</c:v>
                </c:pt>
                <c:pt idx="36">
                  <c:v>22341</c:v>
                </c:pt>
                <c:pt idx="37">
                  <c:v>22372</c:v>
                </c:pt>
                <c:pt idx="38">
                  <c:v>22402</c:v>
                </c:pt>
                <c:pt idx="39">
                  <c:v>22433</c:v>
                </c:pt>
                <c:pt idx="40">
                  <c:v>22463</c:v>
                </c:pt>
                <c:pt idx="41">
                  <c:v>22494</c:v>
                </c:pt>
                <c:pt idx="42">
                  <c:v>22525</c:v>
                </c:pt>
                <c:pt idx="43">
                  <c:v>22555</c:v>
                </c:pt>
                <c:pt idx="44">
                  <c:v>22586</c:v>
                </c:pt>
                <c:pt idx="45">
                  <c:v>22616</c:v>
                </c:pt>
                <c:pt idx="46">
                  <c:v>22647</c:v>
                </c:pt>
                <c:pt idx="47">
                  <c:v>22678</c:v>
                </c:pt>
                <c:pt idx="48">
                  <c:v>22706</c:v>
                </c:pt>
                <c:pt idx="49">
                  <c:v>22737</c:v>
                </c:pt>
                <c:pt idx="50">
                  <c:v>22767</c:v>
                </c:pt>
                <c:pt idx="51">
                  <c:v>22798</c:v>
                </c:pt>
                <c:pt idx="52">
                  <c:v>22828</c:v>
                </c:pt>
                <c:pt idx="53">
                  <c:v>22859</c:v>
                </c:pt>
                <c:pt idx="54">
                  <c:v>22890</c:v>
                </c:pt>
                <c:pt idx="55">
                  <c:v>22920</c:v>
                </c:pt>
                <c:pt idx="56">
                  <c:v>22951</c:v>
                </c:pt>
                <c:pt idx="57">
                  <c:v>22981</c:v>
                </c:pt>
                <c:pt idx="58">
                  <c:v>23012</c:v>
                </c:pt>
                <c:pt idx="59">
                  <c:v>23043</c:v>
                </c:pt>
                <c:pt idx="60">
                  <c:v>23071</c:v>
                </c:pt>
                <c:pt idx="61">
                  <c:v>23102</c:v>
                </c:pt>
                <c:pt idx="62">
                  <c:v>23132</c:v>
                </c:pt>
                <c:pt idx="63">
                  <c:v>23163</c:v>
                </c:pt>
                <c:pt idx="64">
                  <c:v>23193</c:v>
                </c:pt>
                <c:pt idx="65">
                  <c:v>23224</c:v>
                </c:pt>
                <c:pt idx="66">
                  <c:v>23255</c:v>
                </c:pt>
                <c:pt idx="67">
                  <c:v>23285</c:v>
                </c:pt>
                <c:pt idx="68">
                  <c:v>23316</c:v>
                </c:pt>
                <c:pt idx="69">
                  <c:v>23346</c:v>
                </c:pt>
                <c:pt idx="70">
                  <c:v>23377</c:v>
                </c:pt>
                <c:pt idx="71">
                  <c:v>23408</c:v>
                </c:pt>
                <c:pt idx="72">
                  <c:v>23437</c:v>
                </c:pt>
                <c:pt idx="73">
                  <c:v>23468</c:v>
                </c:pt>
                <c:pt idx="74">
                  <c:v>23498</c:v>
                </c:pt>
                <c:pt idx="75">
                  <c:v>23529</c:v>
                </c:pt>
                <c:pt idx="76">
                  <c:v>23559</c:v>
                </c:pt>
                <c:pt idx="77">
                  <c:v>23590</c:v>
                </c:pt>
                <c:pt idx="78">
                  <c:v>23621</c:v>
                </c:pt>
                <c:pt idx="79">
                  <c:v>23651</c:v>
                </c:pt>
                <c:pt idx="80">
                  <c:v>23682</c:v>
                </c:pt>
                <c:pt idx="81">
                  <c:v>23712</c:v>
                </c:pt>
                <c:pt idx="82">
                  <c:v>23743</c:v>
                </c:pt>
                <c:pt idx="83">
                  <c:v>23774</c:v>
                </c:pt>
                <c:pt idx="84">
                  <c:v>23802</c:v>
                </c:pt>
                <c:pt idx="85">
                  <c:v>23833</c:v>
                </c:pt>
                <c:pt idx="86">
                  <c:v>23863</c:v>
                </c:pt>
                <c:pt idx="87">
                  <c:v>23894</c:v>
                </c:pt>
                <c:pt idx="88">
                  <c:v>23924</c:v>
                </c:pt>
                <c:pt idx="89">
                  <c:v>23955</c:v>
                </c:pt>
                <c:pt idx="90">
                  <c:v>23986</c:v>
                </c:pt>
                <c:pt idx="91">
                  <c:v>24016</c:v>
                </c:pt>
                <c:pt idx="92">
                  <c:v>24047</c:v>
                </c:pt>
                <c:pt idx="93">
                  <c:v>24077</c:v>
                </c:pt>
                <c:pt idx="94">
                  <c:v>24108</c:v>
                </c:pt>
                <c:pt idx="95">
                  <c:v>24139</c:v>
                </c:pt>
                <c:pt idx="96">
                  <c:v>24167</c:v>
                </c:pt>
                <c:pt idx="97">
                  <c:v>24198</c:v>
                </c:pt>
                <c:pt idx="98">
                  <c:v>24228</c:v>
                </c:pt>
                <c:pt idx="99">
                  <c:v>24259</c:v>
                </c:pt>
                <c:pt idx="100">
                  <c:v>24289</c:v>
                </c:pt>
                <c:pt idx="101">
                  <c:v>24320</c:v>
                </c:pt>
                <c:pt idx="102">
                  <c:v>24351</c:v>
                </c:pt>
                <c:pt idx="103">
                  <c:v>24381</c:v>
                </c:pt>
                <c:pt idx="104">
                  <c:v>24412</c:v>
                </c:pt>
                <c:pt idx="105">
                  <c:v>24442</c:v>
                </c:pt>
                <c:pt idx="106">
                  <c:v>24473</c:v>
                </c:pt>
                <c:pt idx="107">
                  <c:v>24504</c:v>
                </c:pt>
                <c:pt idx="108">
                  <c:v>24532</c:v>
                </c:pt>
                <c:pt idx="109">
                  <c:v>24563</c:v>
                </c:pt>
                <c:pt idx="110">
                  <c:v>24593</c:v>
                </c:pt>
                <c:pt idx="111">
                  <c:v>24624</c:v>
                </c:pt>
                <c:pt idx="112">
                  <c:v>24654</c:v>
                </c:pt>
                <c:pt idx="113">
                  <c:v>24685</c:v>
                </c:pt>
                <c:pt idx="114">
                  <c:v>24716</c:v>
                </c:pt>
                <c:pt idx="115">
                  <c:v>24746</c:v>
                </c:pt>
                <c:pt idx="116">
                  <c:v>24777</c:v>
                </c:pt>
                <c:pt idx="117">
                  <c:v>24807</c:v>
                </c:pt>
                <c:pt idx="118">
                  <c:v>24838</c:v>
                </c:pt>
                <c:pt idx="119">
                  <c:v>24869</c:v>
                </c:pt>
                <c:pt idx="120">
                  <c:v>24898</c:v>
                </c:pt>
                <c:pt idx="121">
                  <c:v>24929</c:v>
                </c:pt>
                <c:pt idx="122">
                  <c:v>24959</c:v>
                </c:pt>
                <c:pt idx="123">
                  <c:v>24990</c:v>
                </c:pt>
                <c:pt idx="124">
                  <c:v>25020</c:v>
                </c:pt>
                <c:pt idx="125">
                  <c:v>25051</c:v>
                </c:pt>
                <c:pt idx="126">
                  <c:v>25082</c:v>
                </c:pt>
                <c:pt idx="127">
                  <c:v>25112</c:v>
                </c:pt>
                <c:pt idx="128">
                  <c:v>25143</c:v>
                </c:pt>
                <c:pt idx="129">
                  <c:v>25173</c:v>
                </c:pt>
                <c:pt idx="130">
                  <c:v>25204</c:v>
                </c:pt>
                <c:pt idx="131">
                  <c:v>25235</c:v>
                </c:pt>
                <c:pt idx="132">
                  <c:v>25263</c:v>
                </c:pt>
                <c:pt idx="133">
                  <c:v>25294</c:v>
                </c:pt>
                <c:pt idx="134">
                  <c:v>25324</c:v>
                </c:pt>
                <c:pt idx="135">
                  <c:v>25355</c:v>
                </c:pt>
                <c:pt idx="136">
                  <c:v>25385</c:v>
                </c:pt>
                <c:pt idx="137">
                  <c:v>25416</c:v>
                </c:pt>
                <c:pt idx="138">
                  <c:v>25447</c:v>
                </c:pt>
                <c:pt idx="139">
                  <c:v>25477</c:v>
                </c:pt>
                <c:pt idx="140">
                  <c:v>25508</c:v>
                </c:pt>
                <c:pt idx="141">
                  <c:v>25538</c:v>
                </c:pt>
                <c:pt idx="142">
                  <c:v>25569</c:v>
                </c:pt>
                <c:pt idx="143">
                  <c:v>25600</c:v>
                </c:pt>
                <c:pt idx="144">
                  <c:v>25628</c:v>
                </c:pt>
                <c:pt idx="145">
                  <c:v>25659</c:v>
                </c:pt>
                <c:pt idx="146">
                  <c:v>25689</c:v>
                </c:pt>
                <c:pt idx="147">
                  <c:v>25720</c:v>
                </c:pt>
                <c:pt idx="148">
                  <c:v>25750</c:v>
                </c:pt>
                <c:pt idx="149">
                  <c:v>25781</c:v>
                </c:pt>
                <c:pt idx="150">
                  <c:v>25812</c:v>
                </c:pt>
                <c:pt idx="151">
                  <c:v>25842</c:v>
                </c:pt>
                <c:pt idx="152">
                  <c:v>25873</c:v>
                </c:pt>
                <c:pt idx="153">
                  <c:v>25903</c:v>
                </c:pt>
                <c:pt idx="154">
                  <c:v>25934</c:v>
                </c:pt>
                <c:pt idx="155">
                  <c:v>25965</c:v>
                </c:pt>
                <c:pt idx="156">
                  <c:v>25993</c:v>
                </c:pt>
                <c:pt idx="157">
                  <c:v>26024</c:v>
                </c:pt>
                <c:pt idx="158">
                  <c:v>26054</c:v>
                </c:pt>
                <c:pt idx="159">
                  <c:v>26085</c:v>
                </c:pt>
                <c:pt idx="160">
                  <c:v>26115</c:v>
                </c:pt>
                <c:pt idx="161">
                  <c:v>26146</c:v>
                </c:pt>
                <c:pt idx="162">
                  <c:v>26177</c:v>
                </c:pt>
                <c:pt idx="163">
                  <c:v>26207</c:v>
                </c:pt>
                <c:pt idx="164">
                  <c:v>26238</c:v>
                </c:pt>
                <c:pt idx="165">
                  <c:v>26268</c:v>
                </c:pt>
                <c:pt idx="166">
                  <c:v>26299</c:v>
                </c:pt>
                <c:pt idx="167">
                  <c:v>26330</c:v>
                </c:pt>
                <c:pt idx="168">
                  <c:v>26359</c:v>
                </c:pt>
                <c:pt idx="169">
                  <c:v>26390</c:v>
                </c:pt>
                <c:pt idx="170">
                  <c:v>26420</c:v>
                </c:pt>
                <c:pt idx="171">
                  <c:v>26451</c:v>
                </c:pt>
                <c:pt idx="172">
                  <c:v>26481</c:v>
                </c:pt>
                <c:pt idx="173">
                  <c:v>26512</c:v>
                </c:pt>
                <c:pt idx="174">
                  <c:v>26543</c:v>
                </c:pt>
                <c:pt idx="175">
                  <c:v>26573</c:v>
                </c:pt>
                <c:pt idx="176">
                  <c:v>26604</c:v>
                </c:pt>
                <c:pt idx="177">
                  <c:v>26634</c:v>
                </c:pt>
                <c:pt idx="178">
                  <c:v>26665</c:v>
                </c:pt>
                <c:pt idx="179">
                  <c:v>26696</c:v>
                </c:pt>
                <c:pt idx="180">
                  <c:v>26724</c:v>
                </c:pt>
                <c:pt idx="181">
                  <c:v>26755</c:v>
                </c:pt>
                <c:pt idx="182">
                  <c:v>26785</c:v>
                </c:pt>
                <c:pt idx="183">
                  <c:v>26816</c:v>
                </c:pt>
                <c:pt idx="184">
                  <c:v>26846</c:v>
                </c:pt>
                <c:pt idx="185">
                  <c:v>26877</c:v>
                </c:pt>
                <c:pt idx="186">
                  <c:v>26908</c:v>
                </c:pt>
                <c:pt idx="187">
                  <c:v>26938</c:v>
                </c:pt>
                <c:pt idx="188">
                  <c:v>26969</c:v>
                </c:pt>
                <c:pt idx="189">
                  <c:v>26999</c:v>
                </c:pt>
                <c:pt idx="190">
                  <c:v>27030</c:v>
                </c:pt>
                <c:pt idx="191">
                  <c:v>27061</c:v>
                </c:pt>
                <c:pt idx="192">
                  <c:v>27089</c:v>
                </c:pt>
                <c:pt idx="193">
                  <c:v>27120</c:v>
                </c:pt>
                <c:pt idx="194">
                  <c:v>27150</c:v>
                </c:pt>
                <c:pt idx="195">
                  <c:v>27181</c:v>
                </c:pt>
                <c:pt idx="196">
                  <c:v>27211</c:v>
                </c:pt>
                <c:pt idx="197">
                  <c:v>27242</c:v>
                </c:pt>
                <c:pt idx="198">
                  <c:v>27273</c:v>
                </c:pt>
                <c:pt idx="199">
                  <c:v>27303</c:v>
                </c:pt>
                <c:pt idx="200">
                  <c:v>27334</c:v>
                </c:pt>
                <c:pt idx="201">
                  <c:v>27364</c:v>
                </c:pt>
                <c:pt idx="202">
                  <c:v>27395</c:v>
                </c:pt>
                <c:pt idx="203">
                  <c:v>27426</c:v>
                </c:pt>
                <c:pt idx="204">
                  <c:v>27454</c:v>
                </c:pt>
                <c:pt idx="205">
                  <c:v>27485</c:v>
                </c:pt>
                <c:pt idx="206">
                  <c:v>27515</c:v>
                </c:pt>
                <c:pt idx="207">
                  <c:v>27546</c:v>
                </c:pt>
                <c:pt idx="208">
                  <c:v>27576</c:v>
                </c:pt>
                <c:pt idx="209">
                  <c:v>27607</c:v>
                </c:pt>
                <c:pt idx="210">
                  <c:v>27638</c:v>
                </c:pt>
                <c:pt idx="211">
                  <c:v>27668</c:v>
                </c:pt>
                <c:pt idx="212">
                  <c:v>27699</c:v>
                </c:pt>
                <c:pt idx="213">
                  <c:v>27729</c:v>
                </c:pt>
                <c:pt idx="214">
                  <c:v>27760</c:v>
                </c:pt>
                <c:pt idx="215">
                  <c:v>27791</c:v>
                </c:pt>
                <c:pt idx="216">
                  <c:v>27820</c:v>
                </c:pt>
                <c:pt idx="217">
                  <c:v>27851</c:v>
                </c:pt>
                <c:pt idx="218">
                  <c:v>27881</c:v>
                </c:pt>
                <c:pt idx="219">
                  <c:v>27912</c:v>
                </c:pt>
                <c:pt idx="220">
                  <c:v>27942</c:v>
                </c:pt>
                <c:pt idx="221">
                  <c:v>27973</c:v>
                </c:pt>
                <c:pt idx="222">
                  <c:v>28004</c:v>
                </c:pt>
                <c:pt idx="223">
                  <c:v>28034</c:v>
                </c:pt>
                <c:pt idx="224">
                  <c:v>28065</c:v>
                </c:pt>
                <c:pt idx="225">
                  <c:v>28095</c:v>
                </c:pt>
                <c:pt idx="226">
                  <c:v>28126</c:v>
                </c:pt>
                <c:pt idx="227">
                  <c:v>28157</c:v>
                </c:pt>
                <c:pt idx="228">
                  <c:v>28185</c:v>
                </c:pt>
                <c:pt idx="229">
                  <c:v>28216</c:v>
                </c:pt>
                <c:pt idx="230">
                  <c:v>28246</c:v>
                </c:pt>
                <c:pt idx="231">
                  <c:v>28277</c:v>
                </c:pt>
                <c:pt idx="232">
                  <c:v>28307</c:v>
                </c:pt>
                <c:pt idx="233">
                  <c:v>28338</c:v>
                </c:pt>
                <c:pt idx="234">
                  <c:v>28369</c:v>
                </c:pt>
                <c:pt idx="235">
                  <c:v>28399</c:v>
                </c:pt>
                <c:pt idx="236">
                  <c:v>28430</c:v>
                </c:pt>
                <c:pt idx="237">
                  <c:v>28460</c:v>
                </c:pt>
                <c:pt idx="238">
                  <c:v>28491</c:v>
                </c:pt>
                <c:pt idx="239">
                  <c:v>28522</c:v>
                </c:pt>
                <c:pt idx="240">
                  <c:v>28550</c:v>
                </c:pt>
                <c:pt idx="241">
                  <c:v>28581</c:v>
                </c:pt>
                <c:pt idx="242">
                  <c:v>28611</c:v>
                </c:pt>
                <c:pt idx="243">
                  <c:v>28642</c:v>
                </c:pt>
                <c:pt idx="244">
                  <c:v>28672</c:v>
                </c:pt>
                <c:pt idx="245">
                  <c:v>28703</c:v>
                </c:pt>
                <c:pt idx="246">
                  <c:v>28734</c:v>
                </c:pt>
                <c:pt idx="247">
                  <c:v>28764</c:v>
                </c:pt>
                <c:pt idx="248">
                  <c:v>28795</c:v>
                </c:pt>
                <c:pt idx="249">
                  <c:v>28825</c:v>
                </c:pt>
                <c:pt idx="250">
                  <c:v>28856</c:v>
                </c:pt>
                <c:pt idx="251">
                  <c:v>28887</c:v>
                </c:pt>
                <c:pt idx="252">
                  <c:v>28915</c:v>
                </c:pt>
                <c:pt idx="253">
                  <c:v>28946</c:v>
                </c:pt>
                <c:pt idx="254">
                  <c:v>28976</c:v>
                </c:pt>
                <c:pt idx="255">
                  <c:v>29007</c:v>
                </c:pt>
                <c:pt idx="256">
                  <c:v>29037</c:v>
                </c:pt>
                <c:pt idx="257">
                  <c:v>29068</c:v>
                </c:pt>
                <c:pt idx="258">
                  <c:v>29099</c:v>
                </c:pt>
                <c:pt idx="259">
                  <c:v>29129</c:v>
                </c:pt>
                <c:pt idx="260">
                  <c:v>29160</c:v>
                </c:pt>
                <c:pt idx="261">
                  <c:v>29190</c:v>
                </c:pt>
                <c:pt idx="262">
                  <c:v>29221</c:v>
                </c:pt>
                <c:pt idx="263">
                  <c:v>29252</c:v>
                </c:pt>
                <c:pt idx="264">
                  <c:v>29281</c:v>
                </c:pt>
                <c:pt idx="265">
                  <c:v>29312</c:v>
                </c:pt>
                <c:pt idx="266">
                  <c:v>29342</c:v>
                </c:pt>
                <c:pt idx="267">
                  <c:v>29373</c:v>
                </c:pt>
                <c:pt idx="268">
                  <c:v>29403</c:v>
                </c:pt>
                <c:pt idx="269">
                  <c:v>29434</c:v>
                </c:pt>
                <c:pt idx="270">
                  <c:v>29465</c:v>
                </c:pt>
                <c:pt idx="271">
                  <c:v>29495</c:v>
                </c:pt>
                <c:pt idx="272">
                  <c:v>29526</c:v>
                </c:pt>
                <c:pt idx="273">
                  <c:v>29556</c:v>
                </c:pt>
                <c:pt idx="274">
                  <c:v>29587</c:v>
                </c:pt>
                <c:pt idx="275">
                  <c:v>29618</c:v>
                </c:pt>
                <c:pt idx="276">
                  <c:v>29646</c:v>
                </c:pt>
                <c:pt idx="277">
                  <c:v>29677</c:v>
                </c:pt>
                <c:pt idx="278">
                  <c:v>29707</c:v>
                </c:pt>
                <c:pt idx="279">
                  <c:v>29738</c:v>
                </c:pt>
                <c:pt idx="280">
                  <c:v>29768</c:v>
                </c:pt>
                <c:pt idx="281">
                  <c:v>29799</c:v>
                </c:pt>
                <c:pt idx="282">
                  <c:v>29830</c:v>
                </c:pt>
                <c:pt idx="283">
                  <c:v>29860</c:v>
                </c:pt>
                <c:pt idx="284">
                  <c:v>29891</c:v>
                </c:pt>
                <c:pt idx="285">
                  <c:v>29921</c:v>
                </c:pt>
                <c:pt idx="286">
                  <c:v>29952</c:v>
                </c:pt>
                <c:pt idx="287">
                  <c:v>29983</c:v>
                </c:pt>
                <c:pt idx="288">
                  <c:v>30011</c:v>
                </c:pt>
                <c:pt idx="289">
                  <c:v>30042</c:v>
                </c:pt>
                <c:pt idx="290">
                  <c:v>30072</c:v>
                </c:pt>
                <c:pt idx="291">
                  <c:v>30103</c:v>
                </c:pt>
                <c:pt idx="292">
                  <c:v>30133</c:v>
                </c:pt>
                <c:pt idx="293">
                  <c:v>30164</c:v>
                </c:pt>
                <c:pt idx="294">
                  <c:v>30195</c:v>
                </c:pt>
                <c:pt idx="295">
                  <c:v>30225</c:v>
                </c:pt>
                <c:pt idx="296">
                  <c:v>30256</c:v>
                </c:pt>
                <c:pt idx="297">
                  <c:v>30286</c:v>
                </c:pt>
                <c:pt idx="298">
                  <c:v>30317</c:v>
                </c:pt>
                <c:pt idx="299">
                  <c:v>30348</c:v>
                </c:pt>
                <c:pt idx="300">
                  <c:v>30376</c:v>
                </c:pt>
                <c:pt idx="301">
                  <c:v>30407</c:v>
                </c:pt>
                <c:pt idx="302">
                  <c:v>30437</c:v>
                </c:pt>
                <c:pt idx="303">
                  <c:v>30468</c:v>
                </c:pt>
                <c:pt idx="304">
                  <c:v>30498</c:v>
                </c:pt>
                <c:pt idx="305">
                  <c:v>30529</c:v>
                </c:pt>
                <c:pt idx="306">
                  <c:v>30560</c:v>
                </c:pt>
                <c:pt idx="307">
                  <c:v>30590</c:v>
                </c:pt>
                <c:pt idx="308">
                  <c:v>30621</c:v>
                </c:pt>
                <c:pt idx="309">
                  <c:v>30651</c:v>
                </c:pt>
                <c:pt idx="310">
                  <c:v>30682</c:v>
                </c:pt>
                <c:pt idx="311">
                  <c:v>30713</c:v>
                </c:pt>
                <c:pt idx="312">
                  <c:v>30742</c:v>
                </c:pt>
                <c:pt idx="313">
                  <c:v>30773</c:v>
                </c:pt>
                <c:pt idx="314">
                  <c:v>30803</c:v>
                </c:pt>
                <c:pt idx="315">
                  <c:v>30834</c:v>
                </c:pt>
                <c:pt idx="316">
                  <c:v>30864</c:v>
                </c:pt>
                <c:pt idx="317">
                  <c:v>30895</c:v>
                </c:pt>
                <c:pt idx="318">
                  <c:v>30926</c:v>
                </c:pt>
                <c:pt idx="319">
                  <c:v>30956</c:v>
                </c:pt>
                <c:pt idx="320">
                  <c:v>30987</c:v>
                </c:pt>
                <c:pt idx="321">
                  <c:v>31017</c:v>
                </c:pt>
                <c:pt idx="322">
                  <c:v>31048</c:v>
                </c:pt>
                <c:pt idx="323">
                  <c:v>31079</c:v>
                </c:pt>
                <c:pt idx="324">
                  <c:v>31107</c:v>
                </c:pt>
                <c:pt idx="325">
                  <c:v>31138</c:v>
                </c:pt>
                <c:pt idx="326">
                  <c:v>31168</c:v>
                </c:pt>
                <c:pt idx="327">
                  <c:v>31199</c:v>
                </c:pt>
                <c:pt idx="328">
                  <c:v>31229</c:v>
                </c:pt>
                <c:pt idx="329">
                  <c:v>31260</c:v>
                </c:pt>
                <c:pt idx="330">
                  <c:v>31291</c:v>
                </c:pt>
                <c:pt idx="331">
                  <c:v>31321</c:v>
                </c:pt>
                <c:pt idx="332">
                  <c:v>31352</c:v>
                </c:pt>
                <c:pt idx="333">
                  <c:v>31382</c:v>
                </c:pt>
                <c:pt idx="334">
                  <c:v>31413</c:v>
                </c:pt>
                <c:pt idx="335">
                  <c:v>31444</c:v>
                </c:pt>
                <c:pt idx="336">
                  <c:v>31472</c:v>
                </c:pt>
                <c:pt idx="337">
                  <c:v>31503</c:v>
                </c:pt>
                <c:pt idx="338">
                  <c:v>31533</c:v>
                </c:pt>
                <c:pt idx="339">
                  <c:v>31564</c:v>
                </c:pt>
                <c:pt idx="340">
                  <c:v>31594</c:v>
                </c:pt>
                <c:pt idx="341">
                  <c:v>31625</c:v>
                </c:pt>
                <c:pt idx="342">
                  <c:v>31656</c:v>
                </c:pt>
                <c:pt idx="343">
                  <c:v>31686</c:v>
                </c:pt>
                <c:pt idx="344">
                  <c:v>31717</c:v>
                </c:pt>
                <c:pt idx="345">
                  <c:v>31747</c:v>
                </c:pt>
                <c:pt idx="346">
                  <c:v>31778</c:v>
                </c:pt>
                <c:pt idx="347">
                  <c:v>31809</c:v>
                </c:pt>
                <c:pt idx="348">
                  <c:v>31837</c:v>
                </c:pt>
                <c:pt idx="349">
                  <c:v>31868</c:v>
                </c:pt>
                <c:pt idx="350">
                  <c:v>31898</c:v>
                </c:pt>
                <c:pt idx="351">
                  <c:v>31929</c:v>
                </c:pt>
                <c:pt idx="352">
                  <c:v>31959</c:v>
                </c:pt>
                <c:pt idx="353">
                  <c:v>31990</c:v>
                </c:pt>
                <c:pt idx="354">
                  <c:v>32021</c:v>
                </c:pt>
                <c:pt idx="355">
                  <c:v>32051</c:v>
                </c:pt>
                <c:pt idx="356">
                  <c:v>32082</c:v>
                </c:pt>
                <c:pt idx="357">
                  <c:v>32112</c:v>
                </c:pt>
                <c:pt idx="358">
                  <c:v>32143</c:v>
                </c:pt>
                <c:pt idx="359">
                  <c:v>32174</c:v>
                </c:pt>
                <c:pt idx="360">
                  <c:v>32203</c:v>
                </c:pt>
                <c:pt idx="361">
                  <c:v>32234</c:v>
                </c:pt>
                <c:pt idx="362">
                  <c:v>32264</c:v>
                </c:pt>
                <c:pt idx="363">
                  <c:v>32295</c:v>
                </c:pt>
                <c:pt idx="364">
                  <c:v>32325</c:v>
                </c:pt>
                <c:pt idx="365">
                  <c:v>32356</c:v>
                </c:pt>
                <c:pt idx="366">
                  <c:v>32387</c:v>
                </c:pt>
                <c:pt idx="367">
                  <c:v>32417</c:v>
                </c:pt>
                <c:pt idx="368">
                  <c:v>32448</c:v>
                </c:pt>
                <c:pt idx="369">
                  <c:v>32478</c:v>
                </c:pt>
                <c:pt idx="370">
                  <c:v>32509</c:v>
                </c:pt>
                <c:pt idx="371">
                  <c:v>32540</c:v>
                </c:pt>
                <c:pt idx="372">
                  <c:v>32568</c:v>
                </c:pt>
                <c:pt idx="373">
                  <c:v>32599</c:v>
                </c:pt>
                <c:pt idx="374">
                  <c:v>32629</c:v>
                </c:pt>
                <c:pt idx="375">
                  <c:v>32660</c:v>
                </c:pt>
                <c:pt idx="376">
                  <c:v>32690</c:v>
                </c:pt>
                <c:pt idx="377">
                  <c:v>32721</c:v>
                </c:pt>
                <c:pt idx="378">
                  <c:v>32752</c:v>
                </c:pt>
                <c:pt idx="379">
                  <c:v>32782</c:v>
                </c:pt>
                <c:pt idx="380">
                  <c:v>32813</c:v>
                </c:pt>
                <c:pt idx="381">
                  <c:v>32843</c:v>
                </c:pt>
                <c:pt idx="382">
                  <c:v>32874</c:v>
                </c:pt>
                <c:pt idx="383">
                  <c:v>32905</c:v>
                </c:pt>
                <c:pt idx="384">
                  <c:v>32933</c:v>
                </c:pt>
                <c:pt idx="385">
                  <c:v>32964</c:v>
                </c:pt>
                <c:pt idx="386">
                  <c:v>32994</c:v>
                </c:pt>
                <c:pt idx="387">
                  <c:v>33025</c:v>
                </c:pt>
                <c:pt idx="388">
                  <c:v>33055</c:v>
                </c:pt>
                <c:pt idx="389">
                  <c:v>33086</c:v>
                </c:pt>
                <c:pt idx="390">
                  <c:v>33117</c:v>
                </c:pt>
                <c:pt idx="391">
                  <c:v>33147</c:v>
                </c:pt>
                <c:pt idx="392">
                  <c:v>33178</c:v>
                </c:pt>
                <c:pt idx="393">
                  <c:v>33208</c:v>
                </c:pt>
                <c:pt idx="394">
                  <c:v>33239</c:v>
                </c:pt>
                <c:pt idx="395">
                  <c:v>33270</c:v>
                </c:pt>
                <c:pt idx="396">
                  <c:v>33298</c:v>
                </c:pt>
                <c:pt idx="397">
                  <c:v>33329</c:v>
                </c:pt>
                <c:pt idx="398">
                  <c:v>33359</c:v>
                </c:pt>
                <c:pt idx="399">
                  <c:v>33390</c:v>
                </c:pt>
                <c:pt idx="400">
                  <c:v>33420</c:v>
                </c:pt>
                <c:pt idx="401">
                  <c:v>33451</c:v>
                </c:pt>
                <c:pt idx="402">
                  <c:v>33482</c:v>
                </c:pt>
                <c:pt idx="403">
                  <c:v>33512</c:v>
                </c:pt>
                <c:pt idx="404">
                  <c:v>33543</c:v>
                </c:pt>
                <c:pt idx="405">
                  <c:v>33573</c:v>
                </c:pt>
                <c:pt idx="406">
                  <c:v>33604</c:v>
                </c:pt>
                <c:pt idx="407">
                  <c:v>33635</c:v>
                </c:pt>
                <c:pt idx="408">
                  <c:v>33664</c:v>
                </c:pt>
                <c:pt idx="409">
                  <c:v>33695</c:v>
                </c:pt>
                <c:pt idx="410">
                  <c:v>33725</c:v>
                </c:pt>
                <c:pt idx="411">
                  <c:v>33756</c:v>
                </c:pt>
                <c:pt idx="412">
                  <c:v>33786</c:v>
                </c:pt>
                <c:pt idx="413">
                  <c:v>33817</c:v>
                </c:pt>
                <c:pt idx="414">
                  <c:v>33848</c:v>
                </c:pt>
                <c:pt idx="415">
                  <c:v>33878</c:v>
                </c:pt>
                <c:pt idx="416">
                  <c:v>33909</c:v>
                </c:pt>
                <c:pt idx="417">
                  <c:v>33939</c:v>
                </c:pt>
                <c:pt idx="418">
                  <c:v>33970</c:v>
                </c:pt>
                <c:pt idx="419">
                  <c:v>34001</c:v>
                </c:pt>
                <c:pt idx="420">
                  <c:v>34029</c:v>
                </c:pt>
                <c:pt idx="421">
                  <c:v>34060</c:v>
                </c:pt>
                <c:pt idx="422">
                  <c:v>34090</c:v>
                </c:pt>
                <c:pt idx="423">
                  <c:v>34121</c:v>
                </c:pt>
                <c:pt idx="424">
                  <c:v>34151</c:v>
                </c:pt>
                <c:pt idx="425">
                  <c:v>34182</c:v>
                </c:pt>
                <c:pt idx="426">
                  <c:v>34213</c:v>
                </c:pt>
                <c:pt idx="427">
                  <c:v>34243</c:v>
                </c:pt>
                <c:pt idx="428">
                  <c:v>34274</c:v>
                </c:pt>
                <c:pt idx="429">
                  <c:v>34304</c:v>
                </c:pt>
                <c:pt idx="430">
                  <c:v>34335</c:v>
                </c:pt>
                <c:pt idx="431">
                  <c:v>34366</c:v>
                </c:pt>
                <c:pt idx="432">
                  <c:v>34394</c:v>
                </c:pt>
                <c:pt idx="433">
                  <c:v>34425</c:v>
                </c:pt>
                <c:pt idx="434">
                  <c:v>34455</c:v>
                </c:pt>
                <c:pt idx="435">
                  <c:v>34486</c:v>
                </c:pt>
                <c:pt idx="436">
                  <c:v>34516</c:v>
                </c:pt>
                <c:pt idx="437">
                  <c:v>34547</c:v>
                </c:pt>
                <c:pt idx="438">
                  <c:v>34578</c:v>
                </c:pt>
                <c:pt idx="439">
                  <c:v>34608</c:v>
                </c:pt>
                <c:pt idx="440">
                  <c:v>34639</c:v>
                </c:pt>
                <c:pt idx="441">
                  <c:v>34669</c:v>
                </c:pt>
                <c:pt idx="442">
                  <c:v>34700</c:v>
                </c:pt>
                <c:pt idx="443">
                  <c:v>34731</c:v>
                </c:pt>
                <c:pt idx="444">
                  <c:v>34759</c:v>
                </c:pt>
                <c:pt idx="445">
                  <c:v>34790</c:v>
                </c:pt>
                <c:pt idx="446">
                  <c:v>34820</c:v>
                </c:pt>
                <c:pt idx="447">
                  <c:v>34851</c:v>
                </c:pt>
                <c:pt idx="448">
                  <c:v>34881</c:v>
                </c:pt>
                <c:pt idx="449">
                  <c:v>34912</c:v>
                </c:pt>
                <c:pt idx="450">
                  <c:v>34943</c:v>
                </c:pt>
                <c:pt idx="451">
                  <c:v>34973</c:v>
                </c:pt>
                <c:pt idx="452">
                  <c:v>35004</c:v>
                </c:pt>
                <c:pt idx="453">
                  <c:v>35034</c:v>
                </c:pt>
                <c:pt idx="454">
                  <c:v>35065</c:v>
                </c:pt>
                <c:pt idx="455">
                  <c:v>35096</c:v>
                </c:pt>
                <c:pt idx="456">
                  <c:v>35125</c:v>
                </c:pt>
                <c:pt idx="457">
                  <c:v>35156</c:v>
                </c:pt>
                <c:pt idx="458">
                  <c:v>35186</c:v>
                </c:pt>
                <c:pt idx="459">
                  <c:v>35217</c:v>
                </c:pt>
                <c:pt idx="460">
                  <c:v>35247</c:v>
                </c:pt>
                <c:pt idx="461">
                  <c:v>35278</c:v>
                </c:pt>
                <c:pt idx="462">
                  <c:v>35309</c:v>
                </c:pt>
                <c:pt idx="463">
                  <c:v>35339</c:v>
                </c:pt>
                <c:pt idx="464">
                  <c:v>35370</c:v>
                </c:pt>
                <c:pt idx="465">
                  <c:v>35400</c:v>
                </c:pt>
                <c:pt idx="466">
                  <c:v>35431</c:v>
                </c:pt>
                <c:pt idx="467">
                  <c:v>35462</c:v>
                </c:pt>
                <c:pt idx="468">
                  <c:v>35490</c:v>
                </c:pt>
                <c:pt idx="469">
                  <c:v>35521</c:v>
                </c:pt>
                <c:pt idx="470">
                  <c:v>35551</c:v>
                </c:pt>
                <c:pt idx="471">
                  <c:v>35582</c:v>
                </c:pt>
                <c:pt idx="472">
                  <c:v>35612</c:v>
                </c:pt>
                <c:pt idx="473">
                  <c:v>35643</c:v>
                </c:pt>
                <c:pt idx="474">
                  <c:v>35674</c:v>
                </c:pt>
                <c:pt idx="475">
                  <c:v>35704</c:v>
                </c:pt>
                <c:pt idx="476">
                  <c:v>35735</c:v>
                </c:pt>
                <c:pt idx="477">
                  <c:v>35765</c:v>
                </c:pt>
                <c:pt idx="478">
                  <c:v>35796</c:v>
                </c:pt>
                <c:pt idx="479">
                  <c:v>35827</c:v>
                </c:pt>
                <c:pt idx="480">
                  <c:v>35855</c:v>
                </c:pt>
                <c:pt idx="481">
                  <c:v>35886</c:v>
                </c:pt>
                <c:pt idx="482">
                  <c:v>35916</c:v>
                </c:pt>
                <c:pt idx="483">
                  <c:v>35947</c:v>
                </c:pt>
                <c:pt idx="484">
                  <c:v>35977</c:v>
                </c:pt>
                <c:pt idx="485">
                  <c:v>36008</c:v>
                </c:pt>
                <c:pt idx="486">
                  <c:v>36039</c:v>
                </c:pt>
                <c:pt idx="487">
                  <c:v>36069</c:v>
                </c:pt>
                <c:pt idx="488">
                  <c:v>36100</c:v>
                </c:pt>
                <c:pt idx="489">
                  <c:v>36130</c:v>
                </c:pt>
                <c:pt idx="490">
                  <c:v>36161</c:v>
                </c:pt>
                <c:pt idx="491">
                  <c:v>36192</c:v>
                </c:pt>
                <c:pt idx="492">
                  <c:v>36220</c:v>
                </c:pt>
                <c:pt idx="493">
                  <c:v>36251</c:v>
                </c:pt>
                <c:pt idx="494">
                  <c:v>36281</c:v>
                </c:pt>
                <c:pt idx="495">
                  <c:v>36312</c:v>
                </c:pt>
                <c:pt idx="496">
                  <c:v>36342</c:v>
                </c:pt>
                <c:pt idx="497">
                  <c:v>36373</c:v>
                </c:pt>
                <c:pt idx="498">
                  <c:v>36404</c:v>
                </c:pt>
                <c:pt idx="499">
                  <c:v>36434</c:v>
                </c:pt>
                <c:pt idx="500">
                  <c:v>36465</c:v>
                </c:pt>
                <c:pt idx="501">
                  <c:v>36495</c:v>
                </c:pt>
                <c:pt idx="502">
                  <c:v>36526</c:v>
                </c:pt>
                <c:pt idx="503">
                  <c:v>36557</c:v>
                </c:pt>
                <c:pt idx="504">
                  <c:v>36586</c:v>
                </c:pt>
                <c:pt idx="505">
                  <c:v>36617</c:v>
                </c:pt>
                <c:pt idx="506">
                  <c:v>36647</c:v>
                </c:pt>
                <c:pt idx="507">
                  <c:v>36678</c:v>
                </c:pt>
                <c:pt idx="508">
                  <c:v>36708</c:v>
                </c:pt>
                <c:pt idx="509">
                  <c:v>36739</c:v>
                </c:pt>
                <c:pt idx="510">
                  <c:v>36770</c:v>
                </c:pt>
                <c:pt idx="511">
                  <c:v>36800</c:v>
                </c:pt>
                <c:pt idx="512">
                  <c:v>36831</c:v>
                </c:pt>
                <c:pt idx="513">
                  <c:v>36861</c:v>
                </c:pt>
                <c:pt idx="514">
                  <c:v>36892</c:v>
                </c:pt>
                <c:pt idx="515">
                  <c:v>36923</c:v>
                </c:pt>
                <c:pt idx="516">
                  <c:v>36951</c:v>
                </c:pt>
                <c:pt idx="517">
                  <c:v>36982</c:v>
                </c:pt>
                <c:pt idx="518">
                  <c:v>37012</c:v>
                </c:pt>
                <c:pt idx="519">
                  <c:v>37043</c:v>
                </c:pt>
                <c:pt idx="520">
                  <c:v>37073</c:v>
                </c:pt>
                <c:pt idx="521">
                  <c:v>37104</c:v>
                </c:pt>
                <c:pt idx="522">
                  <c:v>37135</c:v>
                </c:pt>
                <c:pt idx="523">
                  <c:v>37165</c:v>
                </c:pt>
                <c:pt idx="524">
                  <c:v>37196</c:v>
                </c:pt>
                <c:pt idx="525">
                  <c:v>37226</c:v>
                </c:pt>
                <c:pt idx="526">
                  <c:v>37257</c:v>
                </c:pt>
                <c:pt idx="527">
                  <c:v>37288</c:v>
                </c:pt>
                <c:pt idx="528">
                  <c:v>37316</c:v>
                </c:pt>
                <c:pt idx="529">
                  <c:v>37347</c:v>
                </c:pt>
                <c:pt idx="530">
                  <c:v>37377</c:v>
                </c:pt>
                <c:pt idx="531">
                  <c:v>37408</c:v>
                </c:pt>
                <c:pt idx="532">
                  <c:v>37438</c:v>
                </c:pt>
                <c:pt idx="533">
                  <c:v>37469</c:v>
                </c:pt>
                <c:pt idx="534">
                  <c:v>37500</c:v>
                </c:pt>
                <c:pt idx="535">
                  <c:v>37530</c:v>
                </c:pt>
                <c:pt idx="536">
                  <c:v>37561</c:v>
                </c:pt>
                <c:pt idx="537">
                  <c:v>37591</c:v>
                </c:pt>
                <c:pt idx="538">
                  <c:v>37622</c:v>
                </c:pt>
                <c:pt idx="539">
                  <c:v>37653</c:v>
                </c:pt>
                <c:pt idx="540">
                  <c:v>37681</c:v>
                </c:pt>
                <c:pt idx="541">
                  <c:v>37712</c:v>
                </c:pt>
                <c:pt idx="542">
                  <c:v>37742</c:v>
                </c:pt>
                <c:pt idx="543">
                  <c:v>37773</c:v>
                </c:pt>
                <c:pt idx="544">
                  <c:v>37803</c:v>
                </c:pt>
                <c:pt idx="545">
                  <c:v>37834</c:v>
                </c:pt>
                <c:pt idx="546">
                  <c:v>37865</c:v>
                </c:pt>
                <c:pt idx="547">
                  <c:v>37895</c:v>
                </c:pt>
                <c:pt idx="548">
                  <c:v>37926</c:v>
                </c:pt>
                <c:pt idx="549">
                  <c:v>37956</c:v>
                </c:pt>
                <c:pt idx="550">
                  <c:v>37987</c:v>
                </c:pt>
                <c:pt idx="551">
                  <c:v>38018</c:v>
                </c:pt>
                <c:pt idx="552">
                  <c:v>38047</c:v>
                </c:pt>
                <c:pt idx="553">
                  <c:v>38078</c:v>
                </c:pt>
                <c:pt idx="554">
                  <c:v>38108</c:v>
                </c:pt>
                <c:pt idx="555">
                  <c:v>38139</c:v>
                </c:pt>
                <c:pt idx="556">
                  <c:v>38169</c:v>
                </c:pt>
                <c:pt idx="557">
                  <c:v>38200</c:v>
                </c:pt>
                <c:pt idx="558">
                  <c:v>38231</c:v>
                </c:pt>
                <c:pt idx="559">
                  <c:v>38261</c:v>
                </c:pt>
                <c:pt idx="560">
                  <c:v>38292</c:v>
                </c:pt>
                <c:pt idx="561">
                  <c:v>38322</c:v>
                </c:pt>
                <c:pt idx="562">
                  <c:v>38353</c:v>
                </c:pt>
                <c:pt idx="563">
                  <c:v>38384</c:v>
                </c:pt>
                <c:pt idx="564">
                  <c:v>38412</c:v>
                </c:pt>
                <c:pt idx="565">
                  <c:v>38443</c:v>
                </c:pt>
                <c:pt idx="566">
                  <c:v>38473</c:v>
                </c:pt>
                <c:pt idx="567">
                  <c:v>38504</c:v>
                </c:pt>
                <c:pt idx="568">
                  <c:v>38534</c:v>
                </c:pt>
                <c:pt idx="569">
                  <c:v>38565</c:v>
                </c:pt>
                <c:pt idx="570">
                  <c:v>38596</c:v>
                </c:pt>
                <c:pt idx="571">
                  <c:v>38626</c:v>
                </c:pt>
                <c:pt idx="572">
                  <c:v>38657</c:v>
                </c:pt>
                <c:pt idx="573">
                  <c:v>38687</c:v>
                </c:pt>
                <c:pt idx="574">
                  <c:v>38718</c:v>
                </c:pt>
                <c:pt idx="575">
                  <c:v>38749</c:v>
                </c:pt>
                <c:pt idx="576">
                  <c:v>38777</c:v>
                </c:pt>
                <c:pt idx="577">
                  <c:v>38808</c:v>
                </c:pt>
                <c:pt idx="578">
                  <c:v>38838</c:v>
                </c:pt>
                <c:pt idx="579">
                  <c:v>38869</c:v>
                </c:pt>
                <c:pt idx="580">
                  <c:v>38899</c:v>
                </c:pt>
                <c:pt idx="581">
                  <c:v>38930</c:v>
                </c:pt>
                <c:pt idx="582">
                  <c:v>38961</c:v>
                </c:pt>
                <c:pt idx="583">
                  <c:v>38991</c:v>
                </c:pt>
                <c:pt idx="584">
                  <c:v>39022</c:v>
                </c:pt>
                <c:pt idx="585">
                  <c:v>39052</c:v>
                </c:pt>
                <c:pt idx="586">
                  <c:v>39083</c:v>
                </c:pt>
                <c:pt idx="587">
                  <c:v>39114</c:v>
                </c:pt>
                <c:pt idx="588">
                  <c:v>39142</c:v>
                </c:pt>
                <c:pt idx="589">
                  <c:v>39173</c:v>
                </c:pt>
                <c:pt idx="590">
                  <c:v>39203</c:v>
                </c:pt>
                <c:pt idx="591">
                  <c:v>39234</c:v>
                </c:pt>
                <c:pt idx="592">
                  <c:v>39264</c:v>
                </c:pt>
                <c:pt idx="593">
                  <c:v>39295</c:v>
                </c:pt>
                <c:pt idx="594">
                  <c:v>39326</c:v>
                </c:pt>
                <c:pt idx="595">
                  <c:v>39356</c:v>
                </c:pt>
                <c:pt idx="596">
                  <c:v>39387</c:v>
                </c:pt>
                <c:pt idx="597">
                  <c:v>39417</c:v>
                </c:pt>
                <c:pt idx="598">
                  <c:v>39448</c:v>
                </c:pt>
                <c:pt idx="599">
                  <c:v>39479</c:v>
                </c:pt>
                <c:pt idx="600">
                  <c:v>39508</c:v>
                </c:pt>
                <c:pt idx="601">
                  <c:v>39539</c:v>
                </c:pt>
                <c:pt idx="602">
                  <c:v>39569</c:v>
                </c:pt>
                <c:pt idx="603">
                  <c:v>39600</c:v>
                </c:pt>
                <c:pt idx="604">
                  <c:v>39630</c:v>
                </c:pt>
                <c:pt idx="605">
                  <c:v>39661</c:v>
                </c:pt>
                <c:pt idx="606">
                  <c:v>39692</c:v>
                </c:pt>
                <c:pt idx="607">
                  <c:v>39722</c:v>
                </c:pt>
                <c:pt idx="608">
                  <c:v>39753</c:v>
                </c:pt>
                <c:pt idx="609">
                  <c:v>39783</c:v>
                </c:pt>
                <c:pt idx="610">
                  <c:v>39814</c:v>
                </c:pt>
                <c:pt idx="611">
                  <c:v>39845</c:v>
                </c:pt>
                <c:pt idx="612">
                  <c:v>39873</c:v>
                </c:pt>
                <c:pt idx="613">
                  <c:v>39904</c:v>
                </c:pt>
                <c:pt idx="614">
                  <c:v>39934</c:v>
                </c:pt>
                <c:pt idx="615">
                  <c:v>39965</c:v>
                </c:pt>
                <c:pt idx="616">
                  <c:v>39995</c:v>
                </c:pt>
                <c:pt idx="617">
                  <c:v>40026</c:v>
                </c:pt>
                <c:pt idx="618">
                  <c:v>40057</c:v>
                </c:pt>
                <c:pt idx="619">
                  <c:v>40087</c:v>
                </c:pt>
                <c:pt idx="620">
                  <c:v>40118</c:v>
                </c:pt>
                <c:pt idx="621">
                  <c:v>40148</c:v>
                </c:pt>
                <c:pt idx="622">
                  <c:v>40179</c:v>
                </c:pt>
                <c:pt idx="623">
                  <c:v>40210</c:v>
                </c:pt>
                <c:pt idx="624">
                  <c:v>40238</c:v>
                </c:pt>
                <c:pt idx="625">
                  <c:v>40269</c:v>
                </c:pt>
                <c:pt idx="626">
                  <c:v>40299</c:v>
                </c:pt>
                <c:pt idx="627">
                  <c:v>40330</c:v>
                </c:pt>
                <c:pt idx="628">
                  <c:v>40360</c:v>
                </c:pt>
                <c:pt idx="629">
                  <c:v>40391</c:v>
                </c:pt>
                <c:pt idx="630">
                  <c:v>40422</c:v>
                </c:pt>
                <c:pt idx="631">
                  <c:v>40452</c:v>
                </c:pt>
                <c:pt idx="632">
                  <c:v>40483</c:v>
                </c:pt>
                <c:pt idx="633">
                  <c:v>40513</c:v>
                </c:pt>
                <c:pt idx="634">
                  <c:v>40544</c:v>
                </c:pt>
                <c:pt idx="635">
                  <c:v>40575</c:v>
                </c:pt>
                <c:pt idx="636">
                  <c:v>40603</c:v>
                </c:pt>
                <c:pt idx="637">
                  <c:v>40634</c:v>
                </c:pt>
                <c:pt idx="638">
                  <c:v>40664</c:v>
                </c:pt>
                <c:pt idx="639">
                  <c:v>40695</c:v>
                </c:pt>
                <c:pt idx="640">
                  <c:v>40725</c:v>
                </c:pt>
                <c:pt idx="641">
                  <c:v>40756</c:v>
                </c:pt>
                <c:pt idx="642">
                  <c:v>40787</c:v>
                </c:pt>
                <c:pt idx="643">
                  <c:v>40817</c:v>
                </c:pt>
                <c:pt idx="644">
                  <c:v>40848</c:v>
                </c:pt>
                <c:pt idx="645">
                  <c:v>40878</c:v>
                </c:pt>
                <c:pt idx="646">
                  <c:v>40909</c:v>
                </c:pt>
                <c:pt idx="647">
                  <c:v>40940</c:v>
                </c:pt>
                <c:pt idx="648">
                  <c:v>40969</c:v>
                </c:pt>
                <c:pt idx="649">
                  <c:v>41000</c:v>
                </c:pt>
                <c:pt idx="650">
                  <c:v>41030</c:v>
                </c:pt>
                <c:pt idx="651">
                  <c:v>41061</c:v>
                </c:pt>
                <c:pt idx="652">
                  <c:v>41091</c:v>
                </c:pt>
                <c:pt idx="653">
                  <c:v>41122</c:v>
                </c:pt>
                <c:pt idx="654">
                  <c:v>41153</c:v>
                </c:pt>
                <c:pt idx="655">
                  <c:v>41183</c:v>
                </c:pt>
                <c:pt idx="656">
                  <c:v>41214</c:v>
                </c:pt>
                <c:pt idx="657">
                  <c:v>41244</c:v>
                </c:pt>
                <c:pt idx="658">
                  <c:v>41275</c:v>
                </c:pt>
                <c:pt idx="659">
                  <c:v>41306</c:v>
                </c:pt>
                <c:pt idx="660">
                  <c:v>41334</c:v>
                </c:pt>
                <c:pt idx="661">
                  <c:v>41365</c:v>
                </c:pt>
                <c:pt idx="662">
                  <c:v>41395</c:v>
                </c:pt>
                <c:pt idx="663">
                  <c:v>41426</c:v>
                </c:pt>
                <c:pt idx="664">
                  <c:v>41456</c:v>
                </c:pt>
                <c:pt idx="665">
                  <c:v>41487</c:v>
                </c:pt>
                <c:pt idx="666">
                  <c:v>41518</c:v>
                </c:pt>
                <c:pt idx="667">
                  <c:v>41548</c:v>
                </c:pt>
                <c:pt idx="668">
                  <c:v>41579</c:v>
                </c:pt>
                <c:pt idx="669">
                  <c:v>41609</c:v>
                </c:pt>
                <c:pt idx="670">
                  <c:v>41640</c:v>
                </c:pt>
                <c:pt idx="671">
                  <c:v>41671</c:v>
                </c:pt>
                <c:pt idx="672">
                  <c:v>41699</c:v>
                </c:pt>
                <c:pt idx="673">
                  <c:v>41730</c:v>
                </c:pt>
                <c:pt idx="674">
                  <c:v>41760</c:v>
                </c:pt>
                <c:pt idx="675">
                  <c:v>41791</c:v>
                </c:pt>
                <c:pt idx="676">
                  <c:v>41821</c:v>
                </c:pt>
                <c:pt idx="677">
                  <c:v>41852</c:v>
                </c:pt>
                <c:pt idx="678">
                  <c:v>41883</c:v>
                </c:pt>
                <c:pt idx="679">
                  <c:v>41913</c:v>
                </c:pt>
                <c:pt idx="680">
                  <c:v>41944</c:v>
                </c:pt>
                <c:pt idx="681">
                  <c:v>41974</c:v>
                </c:pt>
                <c:pt idx="682">
                  <c:v>42005</c:v>
                </c:pt>
                <c:pt idx="683">
                  <c:v>42036</c:v>
                </c:pt>
                <c:pt idx="684">
                  <c:v>42064</c:v>
                </c:pt>
                <c:pt idx="685">
                  <c:v>42095</c:v>
                </c:pt>
                <c:pt idx="686">
                  <c:v>42125</c:v>
                </c:pt>
                <c:pt idx="687">
                  <c:v>42156</c:v>
                </c:pt>
                <c:pt idx="688">
                  <c:v>42186</c:v>
                </c:pt>
                <c:pt idx="689">
                  <c:v>42217</c:v>
                </c:pt>
                <c:pt idx="690">
                  <c:v>42248</c:v>
                </c:pt>
                <c:pt idx="691">
                  <c:v>42278</c:v>
                </c:pt>
                <c:pt idx="692">
                  <c:v>42309</c:v>
                </c:pt>
                <c:pt idx="693">
                  <c:v>42339</c:v>
                </c:pt>
                <c:pt idx="694">
                  <c:v>42370</c:v>
                </c:pt>
                <c:pt idx="695">
                  <c:v>42401</c:v>
                </c:pt>
                <c:pt idx="696">
                  <c:v>42430</c:v>
                </c:pt>
                <c:pt idx="697">
                  <c:v>42461</c:v>
                </c:pt>
                <c:pt idx="698">
                  <c:v>42491</c:v>
                </c:pt>
                <c:pt idx="699">
                  <c:v>42522</c:v>
                </c:pt>
                <c:pt idx="700">
                  <c:v>42552</c:v>
                </c:pt>
                <c:pt idx="701">
                  <c:v>42583</c:v>
                </c:pt>
                <c:pt idx="702">
                  <c:v>42614</c:v>
                </c:pt>
                <c:pt idx="703">
                  <c:v>42644</c:v>
                </c:pt>
                <c:pt idx="704">
                  <c:v>42675</c:v>
                </c:pt>
                <c:pt idx="705">
                  <c:v>42705</c:v>
                </c:pt>
                <c:pt idx="706">
                  <c:v>42736</c:v>
                </c:pt>
                <c:pt idx="707">
                  <c:v>42767</c:v>
                </c:pt>
                <c:pt idx="708">
                  <c:v>42795</c:v>
                </c:pt>
                <c:pt idx="709">
                  <c:v>42826</c:v>
                </c:pt>
                <c:pt idx="710">
                  <c:v>42856</c:v>
                </c:pt>
                <c:pt idx="711">
                  <c:v>42887</c:v>
                </c:pt>
                <c:pt idx="712">
                  <c:v>42917</c:v>
                </c:pt>
                <c:pt idx="713">
                  <c:v>42948</c:v>
                </c:pt>
                <c:pt idx="714">
                  <c:v>42979</c:v>
                </c:pt>
                <c:pt idx="715">
                  <c:v>43009</c:v>
                </c:pt>
                <c:pt idx="716">
                  <c:v>43040</c:v>
                </c:pt>
                <c:pt idx="717">
                  <c:v>43070</c:v>
                </c:pt>
                <c:pt idx="718">
                  <c:v>43101</c:v>
                </c:pt>
                <c:pt idx="719">
                  <c:v>43132</c:v>
                </c:pt>
                <c:pt idx="720">
                  <c:v>43160</c:v>
                </c:pt>
                <c:pt idx="721">
                  <c:v>43191</c:v>
                </c:pt>
                <c:pt idx="722">
                  <c:v>43221</c:v>
                </c:pt>
                <c:pt idx="723">
                  <c:v>43252</c:v>
                </c:pt>
                <c:pt idx="724">
                  <c:v>43282</c:v>
                </c:pt>
                <c:pt idx="725">
                  <c:v>43313</c:v>
                </c:pt>
                <c:pt idx="726">
                  <c:v>43344</c:v>
                </c:pt>
                <c:pt idx="727">
                  <c:v>43374</c:v>
                </c:pt>
                <c:pt idx="728">
                  <c:v>43405</c:v>
                </c:pt>
                <c:pt idx="729">
                  <c:v>43435</c:v>
                </c:pt>
                <c:pt idx="730">
                  <c:v>43466</c:v>
                </c:pt>
                <c:pt idx="731">
                  <c:v>43497</c:v>
                </c:pt>
                <c:pt idx="732">
                  <c:v>43525</c:v>
                </c:pt>
                <c:pt idx="733">
                  <c:v>43556</c:v>
                </c:pt>
                <c:pt idx="734">
                  <c:v>43586</c:v>
                </c:pt>
                <c:pt idx="735">
                  <c:v>43617</c:v>
                </c:pt>
                <c:pt idx="736">
                  <c:v>43647</c:v>
                </c:pt>
                <c:pt idx="737">
                  <c:v>43678</c:v>
                </c:pt>
                <c:pt idx="738">
                  <c:v>43709</c:v>
                </c:pt>
                <c:pt idx="739">
                  <c:v>43739</c:v>
                </c:pt>
                <c:pt idx="740">
                  <c:v>43770</c:v>
                </c:pt>
                <c:pt idx="741">
                  <c:v>43800</c:v>
                </c:pt>
                <c:pt idx="742">
                  <c:v>43831</c:v>
                </c:pt>
                <c:pt idx="743">
                  <c:v>43862</c:v>
                </c:pt>
                <c:pt idx="744">
                  <c:v>43891</c:v>
                </c:pt>
                <c:pt idx="745">
                  <c:v>43922</c:v>
                </c:pt>
                <c:pt idx="746">
                  <c:v>43952</c:v>
                </c:pt>
                <c:pt idx="747">
                  <c:v>43983</c:v>
                </c:pt>
                <c:pt idx="748">
                  <c:v>44013</c:v>
                </c:pt>
                <c:pt idx="749">
                  <c:v>44044</c:v>
                </c:pt>
                <c:pt idx="750">
                  <c:v>44075</c:v>
                </c:pt>
                <c:pt idx="751">
                  <c:v>44105</c:v>
                </c:pt>
                <c:pt idx="752">
                  <c:v>44136</c:v>
                </c:pt>
                <c:pt idx="753">
                  <c:v>44166</c:v>
                </c:pt>
                <c:pt idx="754">
                  <c:v>44197</c:v>
                </c:pt>
                <c:pt idx="755">
                  <c:v>44228</c:v>
                </c:pt>
                <c:pt idx="756">
                  <c:v>44256</c:v>
                </c:pt>
                <c:pt idx="757">
                  <c:v>44287</c:v>
                </c:pt>
                <c:pt idx="758">
                  <c:v>44317</c:v>
                </c:pt>
                <c:pt idx="759">
                  <c:v>44348</c:v>
                </c:pt>
                <c:pt idx="760">
                  <c:v>44378</c:v>
                </c:pt>
                <c:pt idx="761">
                  <c:v>44409</c:v>
                </c:pt>
                <c:pt idx="762">
                  <c:v>44440</c:v>
                </c:pt>
                <c:pt idx="763">
                  <c:v>44470</c:v>
                </c:pt>
                <c:pt idx="764">
                  <c:v>44501</c:v>
                </c:pt>
                <c:pt idx="765">
                  <c:v>44531</c:v>
                </c:pt>
                <c:pt idx="766">
                  <c:v>44562</c:v>
                </c:pt>
                <c:pt idx="767">
                  <c:v>44593</c:v>
                </c:pt>
                <c:pt idx="768">
                  <c:v>44621</c:v>
                </c:pt>
                <c:pt idx="769">
                  <c:v>44652</c:v>
                </c:pt>
                <c:pt idx="770">
                  <c:v>44682</c:v>
                </c:pt>
                <c:pt idx="771">
                  <c:v>44713</c:v>
                </c:pt>
                <c:pt idx="772">
                  <c:v>44743</c:v>
                </c:pt>
                <c:pt idx="773">
                  <c:v>44774</c:v>
                </c:pt>
                <c:pt idx="774">
                  <c:v>44805</c:v>
                </c:pt>
                <c:pt idx="775">
                  <c:v>44835</c:v>
                </c:pt>
                <c:pt idx="776">
                  <c:v>44866</c:v>
                </c:pt>
                <c:pt idx="777">
                  <c:v>44896</c:v>
                </c:pt>
                <c:pt idx="778">
                  <c:v>44927</c:v>
                </c:pt>
                <c:pt idx="779">
                  <c:v>44958</c:v>
                </c:pt>
                <c:pt idx="780">
                  <c:v>44986</c:v>
                </c:pt>
                <c:pt idx="781">
                  <c:v>45017</c:v>
                </c:pt>
                <c:pt idx="782">
                  <c:v>45047</c:v>
                </c:pt>
                <c:pt idx="783">
                  <c:v>45078</c:v>
                </c:pt>
                <c:pt idx="784">
                  <c:v>45108</c:v>
                </c:pt>
                <c:pt idx="785">
                  <c:v>45139</c:v>
                </c:pt>
                <c:pt idx="786">
                  <c:v>45170</c:v>
                </c:pt>
                <c:pt idx="787">
                  <c:v>45200</c:v>
                </c:pt>
                <c:pt idx="788">
                  <c:v>45231</c:v>
                </c:pt>
                <c:pt idx="789">
                  <c:v>45261</c:v>
                </c:pt>
                <c:pt idx="790">
                  <c:v>45292</c:v>
                </c:pt>
                <c:pt idx="791">
                  <c:v>45323</c:v>
                </c:pt>
                <c:pt idx="792">
                  <c:v>45352</c:v>
                </c:pt>
                <c:pt idx="793">
                  <c:v>45383</c:v>
                </c:pt>
                <c:pt idx="794">
                  <c:v>45413</c:v>
                </c:pt>
                <c:pt idx="795">
                  <c:v>45444</c:v>
                </c:pt>
                <c:pt idx="796">
                  <c:v>45474</c:v>
                </c:pt>
                <c:pt idx="797">
                  <c:v>45505</c:v>
                </c:pt>
                <c:pt idx="798">
                  <c:v>45536</c:v>
                </c:pt>
                <c:pt idx="799">
                  <c:v>45566</c:v>
                </c:pt>
                <c:pt idx="800">
                  <c:v>45597</c:v>
                </c:pt>
                <c:pt idx="801">
                  <c:v>45627</c:v>
                </c:pt>
                <c:pt idx="802">
                  <c:v>45658</c:v>
                </c:pt>
                <c:pt idx="803">
                  <c:v>45689</c:v>
                </c:pt>
                <c:pt idx="804">
                  <c:v>45717</c:v>
                </c:pt>
                <c:pt idx="805">
                  <c:v>45748</c:v>
                </c:pt>
                <c:pt idx="806">
                  <c:v>45778</c:v>
                </c:pt>
                <c:pt idx="807">
                  <c:v>45809</c:v>
                </c:pt>
                <c:pt idx="808">
                  <c:v>45839</c:v>
                </c:pt>
                <c:pt idx="809">
                  <c:v>45870</c:v>
                </c:pt>
                <c:pt idx="810">
                  <c:v>45901</c:v>
                </c:pt>
                <c:pt idx="811">
                  <c:v>45931</c:v>
                </c:pt>
                <c:pt idx="812">
                  <c:v>45962</c:v>
                </c:pt>
                <c:pt idx="813">
                  <c:v>45992</c:v>
                </c:pt>
                <c:pt idx="814">
                  <c:v>46023</c:v>
                </c:pt>
                <c:pt idx="815">
                  <c:v>46054</c:v>
                </c:pt>
                <c:pt idx="816">
                  <c:v>46082</c:v>
                </c:pt>
                <c:pt idx="817">
                  <c:v>46113</c:v>
                </c:pt>
                <c:pt idx="818">
                  <c:v>46143</c:v>
                </c:pt>
                <c:pt idx="819">
                  <c:v>46174</c:v>
                </c:pt>
                <c:pt idx="820">
                  <c:v>46204</c:v>
                </c:pt>
                <c:pt idx="821">
                  <c:v>46235</c:v>
                </c:pt>
                <c:pt idx="822">
                  <c:v>46266</c:v>
                </c:pt>
                <c:pt idx="823">
                  <c:v>46296</c:v>
                </c:pt>
                <c:pt idx="824">
                  <c:v>46327</c:v>
                </c:pt>
                <c:pt idx="825">
                  <c:v>46357</c:v>
                </c:pt>
                <c:pt idx="826">
                  <c:v>46388</c:v>
                </c:pt>
                <c:pt idx="827">
                  <c:v>46419</c:v>
                </c:pt>
                <c:pt idx="828">
                  <c:v>46447</c:v>
                </c:pt>
                <c:pt idx="829">
                  <c:v>46478</c:v>
                </c:pt>
                <c:pt idx="830">
                  <c:v>46508</c:v>
                </c:pt>
                <c:pt idx="831">
                  <c:v>46539</c:v>
                </c:pt>
                <c:pt idx="832">
                  <c:v>46569</c:v>
                </c:pt>
                <c:pt idx="833">
                  <c:v>46600</c:v>
                </c:pt>
                <c:pt idx="834">
                  <c:v>46631</c:v>
                </c:pt>
                <c:pt idx="835">
                  <c:v>46661</c:v>
                </c:pt>
                <c:pt idx="836">
                  <c:v>46692</c:v>
                </c:pt>
                <c:pt idx="837">
                  <c:v>46722</c:v>
                </c:pt>
                <c:pt idx="838">
                  <c:v>46753</c:v>
                </c:pt>
                <c:pt idx="839">
                  <c:v>46784</c:v>
                </c:pt>
                <c:pt idx="840">
                  <c:v>46813</c:v>
                </c:pt>
                <c:pt idx="841">
                  <c:v>46844</c:v>
                </c:pt>
                <c:pt idx="842">
                  <c:v>46874</c:v>
                </c:pt>
                <c:pt idx="843">
                  <c:v>46905</c:v>
                </c:pt>
                <c:pt idx="844">
                  <c:v>46935</c:v>
                </c:pt>
                <c:pt idx="845">
                  <c:v>46966</c:v>
                </c:pt>
                <c:pt idx="846">
                  <c:v>46997</c:v>
                </c:pt>
                <c:pt idx="847">
                  <c:v>47027</c:v>
                </c:pt>
                <c:pt idx="848">
                  <c:v>47058</c:v>
                </c:pt>
                <c:pt idx="849">
                  <c:v>47088</c:v>
                </c:pt>
                <c:pt idx="850">
                  <c:v>47119</c:v>
                </c:pt>
                <c:pt idx="851">
                  <c:v>47150</c:v>
                </c:pt>
                <c:pt idx="852">
                  <c:v>47178</c:v>
                </c:pt>
                <c:pt idx="853">
                  <c:v>47209</c:v>
                </c:pt>
                <c:pt idx="854">
                  <c:v>47239</c:v>
                </c:pt>
                <c:pt idx="855">
                  <c:v>47270</c:v>
                </c:pt>
                <c:pt idx="856">
                  <c:v>47300</c:v>
                </c:pt>
                <c:pt idx="857">
                  <c:v>47331</c:v>
                </c:pt>
                <c:pt idx="858">
                  <c:v>47362</c:v>
                </c:pt>
                <c:pt idx="859">
                  <c:v>47392</c:v>
                </c:pt>
                <c:pt idx="860">
                  <c:v>47423</c:v>
                </c:pt>
                <c:pt idx="861">
                  <c:v>47453</c:v>
                </c:pt>
                <c:pt idx="862">
                  <c:v>47484</c:v>
                </c:pt>
                <c:pt idx="863">
                  <c:v>47515</c:v>
                </c:pt>
                <c:pt idx="864">
                  <c:v>47543</c:v>
                </c:pt>
                <c:pt idx="865">
                  <c:v>47574</c:v>
                </c:pt>
                <c:pt idx="866">
                  <c:v>47604</c:v>
                </c:pt>
                <c:pt idx="867">
                  <c:v>47635</c:v>
                </c:pt>
                <c:pt idx="868">
                  <c:v>47665</c:v>
                </c:pt>
                <c:pt idx="869">
                  <c:v>47696</c:v>
                </c:pt>
                <c:pt idx="870">
                  <c:v>47727</c:v>
                </c:pt>
                <c:pt idx="871">
                  <c:v>47757</c:v>
                </c:pt>
                <c:pt idx="872">
                  <c:v>47788</c:v>
                </c:pt>
                <c:pt idx="873">
                  <c:v>47818</c:v>
                </c:pt>
                <c:pt idx="874">
                  <c:v>47849</c:v>
                </c:pt>
                <c:pt idx="875">
                  <c:v>47880</c:v>
                </c:pt>
                <c:pt idx="876">
                  <c:v>47908</c:v>
                </c:pt>
                <c:pt idx="877">
                  <c:v>47939</c:v>
                </c:pt>
                <c:pt idx="878">
                  <c:v>47969</c:v>
                </c:pt>
                <c:pt idx="879">
                  <c:v>48000</c:v>
                </c:pt>
                <c:pt idx="880">
                  <c:v>48030</c:v>
                </c:pt>
                <c:pt idx="881">
                  <c:v>48061</c:v>
                </c:pt>
                <c:pt idx="882">
                  <c:v>48092</c:v>
                </c:pt>
                <c:pt idx="883">
                  <c:v>48122</c:v>
                </c:pt>
                <c:pt idx="884">
                  <c:v>48153</c:v>
                </c:pt>
                <c:pt idx="885">
                  <c:v>48183</c:v>
                </c:pt>
                <c:pt idx="886">
                  <c:v>48214</c:v>
                </c:pt>
                <c:pt idx="887">
                  <c:v>48245</c:v>
                </c:pt>
                <c:pt idx="888">
                  <c:v>48274</c:v>
                </c:pt>
                <c:pt idx="889">
                  <c:v>48305</c:v>
                </c:pt>
                <c:pt idx="890">
                  <c:v>48335</c:v>
                </c:pt>
                <c:pt idx="891">
                  <c:v>48366</c:v>
                </c:pt>
                <c:pt idx="892">
                  <c:v>48396</c:v>
                </c:pt>
                <c:pt idx="893">
                  <c:v>48427</c:v>
                </c:pt>
                <c:pt idx="894">
                  <c:v>48458</c:v>
                </c:pt>
                <c:pt idx="895">
                  <c:v>48488</c:v>
                </c:pt>
                <c:pt idx="896">
                  <c:v>48519</c:v>
                </c:pt>
                <c:pt idx="897">
                  <c:v>48549</c:v>
                </c:pt>
                <c:pt idx="898">
                  <c:v>48580</c:v>
                </c:pt>
                <c:pt idx="899">
                  <c:v>48611</c:v>
                </c:pt>
                <c:pt idx="900">
                  <c:v>48639</c:v>
                </c:pt>
                <c:pt idx="901">
                  <c:v>48670</c:v>
                </c:pt>
                <c:pt idx="902">
                  <c:v>48700</c:v>
                </c:pt>
                <c:pt idx="903">
                  <c:v>48731</c:v>
                </c:pt>
                <c:pt idx="904">
                  <c:v>48761</c:v>
                </c:pt>
                <c:pt idx="905">
                  <c:v>48792</c:v>
                </c:pt>
                <c:pt idx="906">
                  <c:v>48823</c:v>
                </c:pt>
                <c:pt idx="907">
                  <c:v>48853</c:v>
                </c:pt>
                <c:pt idx="908">
                  <c:v>48884</c:v>
                </c:pt>
                <c:pt idx="909">
                  <c:v>48914</c:v>
                </c:pt>
                <c:pt idx="910">
                  <c:v>48945</c:v>
                </c:pt>
                <c:pt idx="911">
                  <c:v>48976</c:v>
                </c:pt>
                <c:pt idx="912">
                  <c:v>49004</c:v>
                </c:pt>
                <c:pt idx="913">
                  <c:v>49035</c:v>
                </c:pt>
                <c:pt idx="914">
                  <c:v>49065</c:v>
                </c:pt>
                <c:pt idx="915">
                  <c:v>49096</c:v>
                </c:pt>
                <c:pt idx="916">
                  <c:v>49126</c:v>
                </c:pt>
                <c:pt idx="917">
                  <c:v>49157</c:v>
                </c:pt>
                <c:pt idx="918">
                  <c:v>49188</c:v>
                </c:pt>
                <c:pt idx="919">
                  <c:v>49218</c:v>
                </c:pt>
                <c:pt idx="920">
                  <c:v>49249</c:v>
                </c:pt>
                <c:pt idx="921">
                  <c:v>49279</c:v>
                </c:pt>
                <c:pt idx="922">
                  <c:v>49310</c:v>
                </c:pt>
                <c:pt idx="923">
                  <c:v>49341</c:v>
                </c:pt>
                <c:pt idx="924">
                  <c:v>49369</c:v>
                </c:pt>
                <c:pt idx="925">
                  <c:v>49400</c:v>
                </c:pt>
                <c:pt idx="926">
                  <c:v>49430</c:v>
                </c:pt>
                <c:pt idx="927">
                  <c:v>49461</c:v>
                </c:pt>
                <c:pt idx="928">
                  <c:v>49491</c:v>
                </c:pt>
                <c:pt idx="929">
                  <c:v>49522</c:v>
                </c:pt>
                <c:pt idx="930">
                  <c:v>49553</c:v>
                </c:pt>
                <c:pt idx="931">
                  <c:v>49583</c:v>
                </c:pt>
                <c:pt idx="932">
                  <c:v>49614</c:v>
                </c:pt>
                <c:pt idx="933">
                  <c:v>49644</c:v>
                </c:pt>
                <c:pt idx="934">
                  <c:v>49675</c:v>
                </c:pt>
                <c:pt idx="935">
                  <c:v>49706</c:v>
                </c:pt>
                <c:pt idx="936">
                  <c:v>49735</c:v>
                </c:pt>
                <c:pt idx="937">
                  <c:v>49766</c:v>
                </c:pt>
                <c:pt idx="938">
                  <c:v>49796</c:v>
                </c:pt>
                <c:pt idx="939">
                  <c:v>49827</c:v>
                </c:pt>
                <c:pt idx="940">
                  <c:v>49857</c:v>
                </c:pt>
                <c:pt idx="941">
                  <c:v>49888</c:v>
                </c:pt>
                <c:pt idx="942">
                  <c:v>49919</c:v>
                </c:pt>
                <c:pt idx="943">
                  <c:v>49949</c:v>
                </c:pt>
                <c:pt idx="944">
                  <c:v>49980</c:v>
                </c:pt>
                <c:pt idx="945">
                  <c:v>50010</c:v>
                </c:pt>
              </c:numCache>
            </c:numRef>
          </c:cat>
          <c:val>
            <c:numRef>
              <c:f>Sheet1!$C$2:$C$947</c:f>
              <c:numCache>
                <c:formatCode>General</c:formatCode>
                <c:ptCount val="946"/>
                <c:pt idx="745">
                  <c:v>416.18</c:v>
                </c:pt>
                <c:pt idx="746">
                  <c:v>417.11032671212882</c:v>
                </c:pt>
                <c:pt idx="747">
                  <c:v>416.73157778725454</c:v>
                </c:pt>
                <c:pt idx="748">
                  <c:v>415.40118764135411</c:v>
                </c:pt>
                <c:pt idx="749">
                  <c:v>413.72510795279442</c:v>
                </c:pt>
                <c:pt idx="750">
                  <c:v>412.3138759251774</c:v>
                </c:pt>
                <c:pt idx="751">
                  <c:v>412.14191175935866</c:v>
                </c:pt>
                <c:pt idx="752">
                  <c:v>413.09678718504614</c:v>
                </c:pt>
                <c:pt idx="753">
                  <c:v>414.21962864491803</c:v>
                </c:pt>
                <c:pt idx="754">
                  <c:v>415.09856158249903</c:v>
                </c:pt>
                <c:pt idx="755">
                  <c:v>415.90419379572876</c:v>
                </c:pt>
                <c:pt idx="756">
                  <c:v>416.53263660752253</c:v>
                </c:pt>
                <c:pt idx="757">
                  <c:v>417.75341513686556</c:v>
                </c:pt>
                <c:pt idx="758">
                  <c:v>418.68374184899443</c:v>
                </c:pt>
                <c:pt idx="759">
                  <c:v>418.30499292412009</c:v>
                </c:pt>
                <c:pt idx="760">
                  <c:v>416.97460277821972</c:v>
                </c:pt>
                <c:pt idx="761">
                  <c:v>415.29852308966002</c:v>
                </c:pt>
                <c:pt idx="762">
                  <c:v>413.88729106204295</c:v>
                </c:pt>
                <c:pt idx="763">
                  <c:v>413.71532689622427</c:v>
                </c:pt>
                <c:pt idx="764">
                  <c:v>414.67020232191175</c:v>
                </c:pt>
                <c:pt idx="765">
                  <c:v>415.79304378178364</c:v>
                </c:pt>
                <c:pt idx="766">
                  <c:v>416.67197671936458</c:v>
                </c:pt>
                <c:pt idx="767">
                  <c:v>417.47760893259436</c:v>
                </c:pt>
                <c:pt idx="768">
                  <c:v>418.10605174438814</c:v>
                </c:pt>
                <c:pt idx="769">
                  <c:v>419.3268302737311</c:v>
                </c:pt>
                <c:pt idx="770">
                  <c:v>420.25715698586004</c:v>
                </c:pt>
                <c:pt idx="771">
                  <c:v>419.87840806098569</c:v>
                </c:pt>
                <c:pt idx="772">
                  <c:v>418.54801791508527</c:v>
                </c:pt>
                <c:pt idx="773">
                  <c:v>416.87193822652563</c:v>
                </c:pt>
                <c:pt idx="774">
                  <c:v>415.46070619890855</c:v>
                </c:pt>
                <c:pt idx="775">
                  <c:v>415.28874203308982</c:v>
                </c:pt>
                <c:pt idx="776">
                  <c:v>416.24361745877735</c:v>
                </c:pt>
                <c:pt idx="777">
                  <c:v>417.36645891864924</c:v>
                </c:pt>
                <c:pt idx="778">
                  <c:v>418.24539185623019</c:v>
                </c:pt>
                <c:pt idx="779">
                  <c:v>419.05102406945997</c:v>
                </c:pt>
                <c:pt idx="780">
                  <c:v>419.67946688125375</c:v>
                </c:pt>
                <c:pt idx="781">
                  <c:v>420.90024541059671</c:v>
                </c:pt>
                <c:pt idx="782">
                  <c:v>421.83057212272558</c:v>
                </c:pt>
                <c:pt idx="783">
                  <c:v>421.4518231978513</c:v>
                </c:pt>
                <c:pt idx="784">
                  <c:v>420.12143305195087</c:v>
                </c:pt>
                <c:pt idx="785">
                  <c:v>418.44535336339118</c:v>
                </c:pt>
                <c:pt idx="786">
                  <c:v>417.03412133577416</c:v>
                </c:pt>
                <c:pt idx="787">
                  <c:v>416.86215716995542</c:v>
                </c:pt>
                <c:pt idx="788">
                  <c:v>417.8170325956429</c:v>
                </c:pt>
                <c:pt idx="789">
                  <c:v>418.93987405551485</c:v>
                </c:pt>
                <c:pt idx="790">
                  <c:v>419.81880699309579</c:v>
                </c:pt>
                <c:pt idx="791">
                  <c:v>420.62443920632552</c:v>
                </c:pt>
                <c:pt idx="792">
                  <c:v>421.25288201811935</c:v>
                </c:pt>
                <c:pt idx="793">
                  <c:v>422.47366054746232</c:v>
                </c:pt>
                <c:pt idx="794">
                  <c:v>423.40398725959119</c:v>
                </c:pt>
                <c:pt idx="795">
                  <c:v>423.02523833471685</c:v>
                </c:pt>
                <c:pt idx="796">
                  <c:v>421.69484818881648</c:v>
                </c:pt>
                <c:pt idx="797">
                  <c:v>420.01876850025678</c:v>
                </c:pt>
                <c:pt idx="798">
                  <c:v>418.60753647263971</c:v>
                </c:pt>
                <c:pt idx="799">
                  <c:v>418.43557230682103</c:v>
                </c:pt>
                <c:pt idx="800">
                  <c:v>419.39044773250851</c:v>
                </c:pt>
                <c:pt idx="801">
                  <c:v>420.5132891923804</c:v>
                </c:pt>
                <c:pt idx="802">
                  <c:v>421.3922221299614</c:v>
                </c:pt>
                <c:pt idx="803">
                  <c:v>422.19785434319112</c:v>
                </c:pt>
                <c:pt idx="804">
                  <c:v>422.8262971549849</c:v>
                </c:pt>
                <c:pt idx="805">
                  <c:v>424.04707568432792</c:v>
                </c:pt>
                <c:pt idx="806">
                  <c:v>424.9774023964568</c:v>
                </c:pt>
                <c:pt idx="807">
                  <c:v>424.59865347158245</c:v>
                </c:pt>
                <c:pt idx="808">
                  <c:v>423.26826332568208</c:v>
                </c:pt>
                <c:pt idx="809">
                  <c:v>421.59218363712239</c:v>
                </c:pt>
                <c:pt idx="810">
                  <c:v>420.18095160950531</c:v>
                </c:pt>
                <c:pt idx="811">
                  <c:v>420.00898744368658</c:v>
                </c:pt>
                <c:pt idx="812">
                  <c:v>420.96386286937411</c:v>
                </c:pt>
                <c:pt idx="813">
                  <c:v>422.086704329246</c:v>
                </c:pt>
                <c:pt idx="814">
                  <c:v>422.96563726682695</c:v>
                </c:pt>
                <c:pt idx="815">
                  <c:v>423.77126948005673</c:v>
                </c:pt>
                <c:pt idx="816">
                  <c:v>424.39971229185051</c:v>
                </c:pt>
                <c:pt idx="817">
                  <c:v>425.62049082119347</c:v>
                </c:pt>
                <c:pt idx="818">
                  <c:v>426.5508175333224</c:v>
                </c:pt>
                <c:pt idx="819">
                  <c:v>426.17206860844806</c:v>
                </c:pt>
                <c:pt idx="820">
                  <c:v>424.84167846254763</c:v>
                </c:pt>
                <c:pt idx="821">
                  <c:v>423.16559877398799</c:v>
                </c:pt>
                <c:pt idx="822">
                  <c:v>421.75436674637092</c:v>
                </c:pt>
                <c:pt idx="823">
                  <c:v>421.58240258055218</c:v>
                </c:pt>
                <c:pt idx="824">
                  <c:v>422.53727800623966</c:v>
                </c:pt>
                <c:pt idx="825">
                  <c:v>423.66011946611161</c:v>
                </c:pt>
                <c:pt idx="826">
                  <c:v>424.53905240369255</c:v>
                </c:pt>
                <c:pt idx="827">
                  <c:v>425.34468461692228</c:v>
                </c:pt>
                <c:pt idx="828">
                  <c:v>425.97312742871611</c:v>
                </c:pt>
                <c:pt idx="829">
                  <c:v>427.19390595805908</c:v>
                </c:pt>
                <c:pt idx="830">
                  <c:v>428.12423267018795</c:v>
                </c:pt>
                <c:pt idx="831">
                  <c:v>427.74548374531366</c:v>
                </c:pt>
                <c:pt idx="832">
                  <c:v>426.41509359941324</c:v>
                </c:pt>
                <c:pt idx="833">
                  <c:v>424.73901391085354</c:v>
                </c:pt>
                <c:pt idx="834">
                  <c:v>423.32778188323653</c:v>
                </c:pt>
                <c:pt idx="835">
                  <c:v>423.15581771741779</c:v>
                </c:pt>
                <c:pt idx="836">
                  <c:v>424.11069314310527</c:v>
                </c:pt>
                <c:pt idx="837">
                  <c:v>425.23353460297716</c:v>
                </c:pt>
                <c:pt idx="838">
                  <c:v>426.11246754055816</c:v>
                </c:pt>
                <c:pt idx="839">
                  <c:v>426.91809975378789</c:v>
                </c:pt>
                <c:pt idx="840">
                  <c:v>427.54654256558166</c:v>
                </c:pt>
                <c:pt idx="841">
                  <c:v>428.76732109492468</c:v>
                </c:pt>
                <c:pt idx="842">
                  <c:v>429.69764780705356</c:v>
                </c:pt>
                <c:pt idx="843">
                  <c:v>429.31889888217921</c:v>
                </c:pt>
                <c:pt idx="844">
                  <c:v>427.98850873627885</c:v>
                </c:pt>
                <c:pt idx="845">
                  <c:v>426.31242904771915</c:v>
                </c:pt>
                <c:pt idx="846">
                  <c:v>424.90119702010207</c:v>
                </c:pt>
                <c:pt idx="847">
                  <c:v>424.7292328542834</c:v>
                </c:pt>
                <c:pt idx="848">
                  <c:v>425.68410827997087</c:v>
                </c:pt>
                <c:pt idx="849">
                  <c:v>426.80694973984276</c:v>
                </c:pt>
                <c:pt idx="850">
                  <c:v>427.68588267742371</c:v>
                </c:pt>
                <c:pt idx="851">
                  <c:v>428.49151489065349</c:v>
                </c:pt>
                <c:pt idx="852">
                  <c:v>429.11995770244727</c:v>
                </c:pt>
                <c:pt idx="853">
                  <c:v>430.34073623179023</c:v>
                </c:pt>
                <c:pt idx="854">
                  <c:v>431.27106294391916</c:v>
                </c:pt>
                <c:pt idx="855">
                  <c:v>430.89231401904482</c:v>
                </c:pt>
                <c:pt idx="856">
                  <c:v>429.56192387314439</c:v>
                </c:pt>
                <c:pt idx="857">
                  <c:v>427.88584418458476</c:v>
                </c:pt>
                <c:pt idx="858">
                  <c:v>426.47461215696768</c:v>
                </c:pt>
                <c:pt idx="859">
                  <c:v>426.30264799114894</c:v>
                </c:pt>
                <c:pt idx="860">
                  <c:v>427.25752341683648</c:v>
                </c:pt>
                <c:pt idx="861">
                  <c:v>428.38036487670837</c:v>
                </c:pt>
                <c:pt idx="862">
                  <c:v>429.25929781428931</c:v>
                </c:pt>
                <c:pt idx="863">
                  <c:v>430.0649300275191</c:v>
                </c:pt>
                <c:pt idx="864">
                  <c:v>430.69337283931287</c:v>
                </c:pt>
                <c:pt idx="865">
                  <c:v>431.91415136865584</c:v>
                </c:pt>
                <c:pt idx="866">
                  <c:v>432.84447808078471</c:v>
                </c:pt>
                <c:pt idx="867">
                  <c:v>432.46572915591042</c:v>
                </c:pt>
                <c:pt idx="868">
                  <c:v>431.13533901001</c:v>
                </c:pt>
                <c:pt idx="869">
                  <c:v>429.4592593214503</c:v>
                </c:pt>
                <c:pt idx="870">
                  <c:v>428.04802729383329</c:v>
                </c:pt>
                <c:pt idx="871">
                  <c:v>427.87606312801455</c:v>
                </c:pt>
                <c:pt idx="872">
                  <c:v>428.83093855370203</c:v>
                </c:pt>
                <c:pt idx="873">
                  <c:v>429.95378001357398</c:v>
                </c:pt>
                <c:pt idx="874">
                  <c:v>430.83271295115492</c:v>
                </c:pt>
                <c:pt idx="875">
                  <c:v>431.63834516438465</c:v>
                </c:pt>
                <c:pt idx="876">
                  <c:v>432.26678797617848</c:v>
                </c:pt>
                <c:pt idx="877">
                  <c:v>433.48756650552144</c:v>
                </c:pt>
                <c:pt idx="878">
                  <c:v>434.41789321765032</c:v>
                </c:pt>
                <c:pt idx="879">
                  <c:v>434.03914429277597</c:v>
                </c:pt>
                <c:pt idx="880">
                  <c:v>432.70875414687561</c:v>
                </c:pt>
                <c:pt idx="881">
                  <c:v>431.03267445831591</c:v>
                </c:pt>
                <c:pt idx="882">
                  <c:v>429.62144243069883</c:v>
                </c:pt>
                <c:pt idx="883">
                  <c:v>429.44947826488016</c:v>
                </c:pt>
                <c:pt idx="884">
                  <c:v>430.40435369056763</c:v>
                </c:pt>
                <c:pt idx="885">
                  <c:v>431.52719515043952</c:v>
                </c:pt>
                <c:pt idx="886">
                  <c:v>432.40612808802052</c:v>
                </c:pt>
                <c:pt idx="887">
                  <c:v>433.21176030125025</c:v>
                </c:pt>
                <c:pt idx="888">
                  <c:v>433.84020311304403</c:v>
                </c:pt>
                <c:pt idx="889">
                  <c:v>435.06098164238705</c:v>
                </c:pt>
                <c:pt idx="890">
                  <c:v>435.99130835451592</c:v>
                </c:pt>
                <c:pt idx="891">
                  <c:v>435.61255942964158</c:v>
                </c:pt>
                <c:pt idx="892">
                  <c:v>434.28216928374121</c:v>
                </c:pt>
                <c:pt idx="893">
                  <c:v>432.60608959518152</c:v>
                </c:pt>
                <c:pt idx="894">
                  <c:v>431.19485756756444</c:v>
                </c:pt>
                <c:pt idx="895">
                  <c:v>431.0228934017457</c:v>
                </c:pt>
                <c:pt idx="896">
                  <c:v>431.97776882743324</c:v>
                </c:pt>
                <c:pt idx="897">
                  <c:v>433.10061028730513</c:v>
                </c:pt>
                <c:pt idx="898">
                  <c:v>433.97954322488607</c:v>
                </c:pt>
                <c:pt idx="899">
                  <c:v>434.78517543811586</c:v>
                </c:pt>
                <c:pt idx="900">
                  <c:v>435.41361824990963</c:v>
                </c:pt>
                <c:pt idx="901">
                  <c:v>436.6343967792526</c:v>
                </c:pt>
                <c:pt idx="902">
                  <c:v>437.56472349138153</c:v>
                </c:pt>
                <c:pt idx="903">
                  <c:v>437.18597456650718</c:v>
                </c:pt>
                <c:pt idx="904">
                  <c:v>435.85558442060676</c:v>
                </c:pt>
                <c:pt idx="905">
                  <c:v>434.17950473204706</c:v>
                </c:pt>
                <c:pt idx="906">
                  <c:v>432.76827270443005</c:v>
                </c:pt>
                <c:pt idx="907">
                  <c:v>432.59630853861131</c:v>
                </c:pt>
                <c:pt idx="908">
                  <c:v>433.55118396429879</c:v>
                </c:pt>
                <c:pt idx="909">
                  <c:v>434.67402542417074</c:v>
                </c:pt>
                <c:pt idx="910">
                  <c:v>435.55295836175168</c:v>
                </c:pt>
                <c:pt idx="911">
                  <c:v>436.35859057498141</c:v>
                </c:pt>
                <c:pt idx="912">
                  <c:v>436.98703338677524</c:v>
                </c:pt>
                <c:pt idx="913">
                  <c:v>438.2078119161182</c:v>
                </c:pt>
                <c:pt idx="914">
                  <c:v>439.13813862824708</c:v>
                </c:pt>
                <c:pt idx="915">
                  <c:v>438.75938970337279</c:v>
                </c:pt>
                <c:pt idx="916">
                  <c:v>437.42899955747237</c:v>
                </c:pt>
                <c:pt idx="917">
                  <c:v>435.75291986891267</c:v>
                </c:pt>
                <c:pt idx="918">
                  <c:v>434.34168784129565</c:v>
                </c:pt>
                <c:pt idx="919">
                  <c:v>434.16972367547692</c:v>
                </c:pt>
                <c:pt idx="920">
                  <c:v>435.12459910116439</c:v>
                </c:pt>
                <c:pt idx="921">
                  <c:v>436.24744056103634</c:v>
                </c:pt>
                <c:pt idx="922">
                  <c:v>437.12637349861728</c:v>
                </c:pt>
                <c:pt idx="923">
                  <c:v>437.93200571184701</c:v>
                </c:pt>
                <c:pt idx="924">
                  <c:v>438.56044852364079</c:v>
                </c:pt>
                <c:pt idx="925">
                  <c:v>439.78122705298381</c:v>
                </c:pt>
                <c:pt idx="926">
                  <c:v>440.71155376511268</c:v>
                </c:pt>
                <c:pt idx="927">
                  <c:v>440.33280484023834</c:v>
                </c:pt>
                <c:pt idx="928">
                  <c:v>439.00241469433797</c:v>
                </c:pt>
                <c:pt idx="929">
                  <c:v>437.32633500577828</c:v>
                </c:pt>
                <c:pt idx="930">
                  <c:v>435.9151029781612</c:v>
                </c:pt>
                <c:pt idx="931">
                  <c:v>435.74313881234252</c:v>
                </c:pt>
                <c:pt idx="932">
                  <c:v>436.69801423803</c:v>
                </c:pt>
                <c:pt idx="933">
                  <c:v>437.82085569790189</c:v>
                </c:pt>
                <c:pt idx="934">
                  <c:v>438.69978863548283</c:v>
                </c:pt>
                <c:pt idx="935">
                  <c:v>439.50542084871262</c:v>
                </c:pt>
                <c:pt idx="936">
                  <c:v>440.13386366050639</c:v>
                </c:pt>
                <c:pt idx="937">
                  <c:v>441.35464218984936</c:v>
                </c:pt>
                <c:pt idx="938">
                  <c:v>442.28496890197829</c:v>
                </c:pt>
                <c:pt idx="939">
                  <c:v>441.90621997710394</c:v>
                </c:pt>
                <c:pt idx="940">
                  <c:v>440.57582983120352</c:v>
                </c:pt>
                <c:pt idx="941">
                  <c:v>438.89975014264388</c:v>
                </c:pt>
                <c:pt idx="942">
                  <c:v>437.48851811502681</c:v>
                </c:pt>
                <c:pt idx="943">
                  <c:v>437.31655394920807</c:v>
                </c:pt>
                <c:pt idx="944">
                  <c:v>438.2714293748956</c:v>
                </c:pt>
                <c:pt idx="945">
                  <c:v>439.3942708347675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0-4B6E-A39D-ADFE7A474F1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信頼下限(CO2)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Sheet1!$A$2:$A$947</c:f>
              <c:numCache>
                <c:formatCode>m/d/yyyy</c:formatCode>
                <c:ptCount val="946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21337</c:v>
                </c:pt>
                <c:pt idx="4">
                  <c:v>21367</c:v>
                </c:pt>
                <c:pt idx="5">
                  <c:v>21398</c:v>
                </c:pt>
                <c:pt idx="6">
                  <c:v>21429</c:v>
                </c:pt>
                <c:pt idx="7">
                  <c:v>21459</c:v>
                </c:pt>
                <c:pt idx="8">
                  <c:v>21490</c:v>
                </c:pt>
                <c:pt idx="9">
                  <c:v>21520</c:v>
                </c:pt>
                <c:pt idx="10">
                  <c:v>21551</c:v>
                </c:pt>
                <c:pt idx="11">
                  <c:v>21582</c:v>
                </c:pt>
                <c:pt idx="12">
                  <c:v>21610</c:v>
                </c:pt>
                <c:pt idx="13">
                  <c:v>21641</c:v>
                </c:pt>
                <c:pt idx="14">
                  <c:v>21671</c:v>
                </c:pt>
                <c:pt idx="15">
                  <c:v>21702</c:v>
                </c:pt>
                <c:pt idx="16">
                  <c:v>21732</c:v>
                </c:pt>
                <c:pt idx="17">
                  <c:v>21763</c:v>
                </c:pt>
                <c:pt idx="18">
                  <c:v>21794</c:v>
                </c:pt>
                <c:pt idx="19">
                  <c:v>21824</c:v>
                </c:pt>
                <c:pt idx="20">
                  <c:v>21855</c:v>
                </c:pt>
                <c:pt idx="21">
                  <c:v>21885</c:v>
                </c:pt>
                <c:pt idx="22">
                  <c:v>21916</c:v>
                </c:pt>
                <c:pt idx="23">
                  <c:v>21947</c:v>
                </c:pt>
                <c:pt idx="24">
                  <c:v>21976</c:v>
                </c:pt>
                <c:pt idx="25">
                  <c:v>22007</c:v>
                </c:pt>
                <c:pt idx="26">
                  <c:v>22037</c:v>
                </c:pt>
                <c:pt idx="27">
                  <c:v>22068</c:v>
                </c:pt>
                <c:pt idx="28">
                  <c:v>22098</c:v>
                </c:pt>
                <c:pt idx="29">
                  <c:v>22129</c:v>
                </c:pt>
                <c:pt idx="30">
                  <c:v>22160</c:v>
                </c:pt>
                <c:pt idx="31">
                  <c:v>22190</c:v>
                </c:pt>
                <c:pt idx="32">
                  <c:v>22221</c:v>
                </c:pt>
                <c:pt idx="33">
                  <c:v>22251</c:v>
                </c:pt>
                <c:pt idx="34">
                  <c:v>22282</c:v>
                </c:pt>
                <c:pt idx="35">
                  <c:v>22313</c:v>
                </c:pt>
                <c:pt idx="36">
                  <c:v>22341</c:v>
                </c:pt>
                <c:pt idx="37">
                  <c:v>22372</c:v>
                </c:pt>
                <c:pt idx="38">
                  <c:v>22402</c:v>
                </c:pt>
                <c:pt idx="39">
                  <c:v>22433</c:v>
                </c:pt>
                <c:pt idx="40">
                  <c:v>22463</c:v>
                </c:pt>
                <c:pt idx="41">
                  <c:v>22494</c:v>
                </c:pt>
                <c:pt idx="42">
                  <c:v>22525</c:v>
                </c:pt>
                <c:pt idx="43">
                  <c:v>22555</c:v>
                </c:pt>
                <c:pt idx="44">
                  <c:v>22586</c:v>
                </c:pt>
                <c:pt idx="45">
                  <c:v>22616</c:v>
                </c:pt>
                <c:pt idx="46">
                  <c:v>22647</c:v>
                </c:pt>
                <c:pt idx="47">
                  <c:v>22678</c:v>
                </c:pt>
                <c:pt idx="48">
                  <c:v>22706</c:v>
                </c:pt>
                <c:pt idx="49">
                  <c:v>22737</c:v>
                </c:pt>
                <c:pt idx="50">
                  <c:v>22767</c:v>
                </c:pt>
                <c:pt idx="51">
                  <c:v>22798</c:v>
                </c:pt>
                <c:pt idx="52">
                  <c:v>22828</c:v>
                </c:pt>
                <c:pt idx="53">
                  <c:v>22859</c:v>
                </c:pt>
                <c:pt idx="54">
                  <c:v>22890</c:v>
                </c:pt>
                <c:pt idx="55">
                  <c:v>22920</c:v>
                </c:pt>
                <c:pt idx="56">
                  <c:v>22951</c:v>
                </c:pt>
                <c:pt idx="57">
                  <c:v>22981</c:v>
                </c:pt>
                <c:pt idx="58">
                  <c:v>23012</c:v>
                </c:pt>
                <c:pt idx="59">
                  <c:v>23043</c:v>
                </c:pt>
                <c:pt idx="60">
                  <c:v>23071</c:v>
                </c:pt>
                <c:pt idx="61">
                  <c:v>23102</c:v>
                </c:pt>
                <c:pt idx="62">
                  <c:v>23132</c:v>
                </c:pt>
                <c:pt idx="63">
                  <c:v>23163</c:v>
                </c:pt>
                <c:pt idx="64">
                  <c:v>23193</c:v>
                </c:pt>
                <c:pt idx="65">
                  <c:v>23224</c:v>
                </c:pt>
                <c:pt idx="66">
                  <c:v>23255</c:v>
                </c:pt>
                <c:pt idx="67">
                  <c:v>23285</c:v>
                </c:pt>
                <c:pt idx="68">
                  <c:v>23316</c:v>
                </c:pt>
                <c:pt idx="69">
                  <c:v>23346</c:v>
                </c:pt>
                <c:pt idx="70">
                  <c:v>23377</c:v>
                </c:pt>
                <c:pt idx="71">
                  <c:v>23408</c:v>
                </c:pt>
                <c:pt idx="72">
                  <c:v>23437</c:v>
                </c:pt>
                <c:pt idx="73">
                  <c:v>23468</c:v>
                </c:pt>
                <c:pt idx="74">
                  <c:v>23498</c:v>
                </c:pt>
                <c:pt idx="75">
                  <c:v>23529</c:v>
                </c:pt>
                <c:pt idx="76">
                  <c:v>23559</c:v>
                </c:pt>
                <c:pt idx="77">
                  <c:v>23590</c:v>
                </c:pt>
                <c:pt idx="78">
                  <c:v>23621</c:v>
                </c:pt>
                <c:pt idx="79">
                  <c:v>23651</c:v>
                </c:pt>
                <c:pt idx="80">
                  <c:v>23682</c:v>
                </c:pt>
                <c:pt idx="81">
                  <c:v>23712</c:v>
                </c:pt>
                <c:pt idx="82">
                  <c:v>23743</c:v>
                </c:pt>
                <c:pt idx="83">
                  <c:v>23774</c:v>
                </c:pt>
                <c:pt idx="84">
                  <c:v>23802</c:v>
                </c:pt>
                <c:pt idx="85">
                  <c:v>23833</c:v>
                </c:pt>
                <c:pt idx="86">
                  <c:v>23863</c:v>
                </c:pt>
                <c:pt idx="87">
                  <c:v>23894</c:v>
                </c:pt>
                <c:pt idx="88">
                  <c:v>23924</c:v>
                </c:pt>
                <c:pt idx="89">
                  <c:v>23955</c:v>
                </c:pt>
                <c:pt idx="90">
                  <c:v>23986</c:v>
                </c:pt>
                <c:pt idx="91">
                  <c:v>24016</c:v>
                </c:pt>
                <c:pt idx="92">
                  <c:v>24047</c:v>
                </c:pt>
                <c:pt idx="93">
                  <c:v>24077</c:v>
                </c:pt>
                <c:pt idx="94">
                  <c:v>24108</c:v>
                </c:pt>
                <c:pt idx="95">
                  <c:v>24139</c:v>
                </c:pt>
                <c:pt idx="96">
                  <c:v>24167</c:v>
                </c:pt>
                <c:pt idx="97">
                  <c:v>24198</c:v>
                </c:pt>
                <c:pt idx="98">
                  <c:v>24228</c:v>
                </c:pt>
                <c:pt idx="99">
                  <c:v>24259</c:v>
                </c:pt>
                <c:pt idx="100">
                  <c:v>24289</c:v>
                </c:pt>
                <c:pt idx="101">
                  <c:v>24320</c:v>
                </c:pt>
                <c:pt idx="102">
                  <c:v>24351</c:v>
                </c:pt>
                <c:pt idx="103">
                  <c:v>24381</c:v>
                </c:pt>
                <c:pt idx="104">
                  <c:v>24412</c:v>
                </c:pt>
                <c:pt idx="105">
                  <c:v>24442</c:v>
                </c:pt>
                <c:pt idx="106">
                  <c:v>24473</c:v>
                </c:pt>
                <c:pt idx="107">
                  <c:v>24504</c:v>
                </c:pt>
                <c:pt idx="108">
                  <c:v>24532</c:v>
                </c:pt>
                <c:pt idx="109">
                  <c:v>24563</c:v>
                </c:pt>
                <c:pt idx="110">
                  <c:v>24593</c:v>
                </c:pt>
                <c:pt idx="111">
                  <c:v>24624</c:v>
                </c:pt>
                <c:pt idx="112">
                  <c:v>24654</c:v>
                </c:pt>
                <c:pt idx="113">
                  <c:v>24685</c:v>
                </c:pt>
                <c:pt idx="114">
                  <c:v>24716</c:v>
                </c:pt>
                <c:pt idx="115">
                  <c:v>24746</c:v>
                </c:pt>
                <c:pt idx="116">
                  <c:v>24777</c:v>
                </c:pt>
                <c:pt idx="117">
                  <c:v>24807</c:v>
                </c:pt>
                <c:pt idx="118">
                  <c:v>24838</c:v>
                </c:pt>
                <c:pt idx="119">
                  <c:v>24869</c:v>
                </c:pt>
                <c:pt idx="120">
                  <c:v>24898</c:v>
                </c:pt>
                <c:pt idx="121">
                  <c:v>24929</c:v>
                </c:pt>
                <c:pt idx="122">
                  <c:v>24959</c:v>
                </c:pt>
                <c:pt idx="123">
                  <c:v>24990</c:v>
                </c:pt>
                <c:pt idx="124">
                  <c:v>25020</c:v>
                </c:pt>
                <c:pt idx="125">
                  <c:v>25051</c:v>
                </c:pt>
                <c:pt idx="126">
                  <c:v>25082</c:v>
                </c:pt>
                <c:pt idx="127">
                  <c:v>25112</c:v>
                </c:pt>
                <c:pt idx="128">
                  <c:v>25143</c:v>
                </c:pt>
                <c:pt idx="129">
                  <c:v>25173</c:v>
                </c:pt>
                <c:pt idx="130">
                  <c:v>25204</c:v>
                </c:pt>
                <c:pt idx="131">
                  <c:v>25235</c:v>
                </c:pt>
                <c:pt idx="132">
                  <c:v>25263</c:v>
                </c:pt>
                <c:pt idx="133">
                  <c:v>25294</c:v>
                </c:pt>
                <c:pt idx="134">
                  <c:v>25324</c:v>
                </c:pt>
                <c:pt idx="135">
                  <c:v>25355</c:v>
                </c:pt>
                <c:pt idx="136">
                  <c:v>25385</c:v>
                </c:pt>
                <c:pt idx="137">
                  <c:v>25416</c:v>
                </c:pt>
                <c:pt idx="138">
                  <c:v>25447</c:v>
                </c:pt>
                <c:pt idx="139">
                  <c:v>25477</c:v>
                </c:pt>
                <c:pt idx="140">
                  <c:v>25508</c:v>
                </c:pt>
                <c:pt idx="141">
                  <c:v>25538</c:v>
                </c:pt>
                <c:pt idx="142">
                  <c:v>25569</c:v>
                </c:pt>
                <c:pt idx="143">
                  <c:v>25600</c:v>
                </c:pt>
                <c:pt idx="144">
                  <c:v>25628</c:v>
                </c:pt>
                <c:pt idx="145">
                  <c:v>25659</c:v>
                </c:pt>
                <c:pt idx="146">
                  <c:v>25689</c:v>
                </c:pt>
                <c:pt idx="147">
                  <c:v>25720</c:v>
                </c:pt>
                <c:pt idx="148">
                  <c:v>25750</c:v>
                </c:pt>
                <c:pt idx="149">
                  <c:v>25781</c:v>
                </c:pt>
                <c:pt idx="150">
                  <c:v>25812</c:v>
                </c:pt>
                <c:pt idx="151">
                  <c:v>25842</c:v>
                </c:pt>
                <c:pt idx="152">
                  <c:v>25873</c:v>
                </c:pt>
                <c:pt idx="153">
                  <c:v>25903</c:v>
                </c:pt>
                <c:pt idx="154">
                  <c:v>25934</c:v>
                </c:pt>
                <c:pt idx="155">
                  <c:v>25965</c:v>
                </c:pt>
                <c:pt idx="156">
                  <c:v>25993</c:v>
                </c:pt>
                <c:pt idx="157">
                  <c:v>26024</c:v>
                </c:pt>
                <c:pt idx="158">
                  <c:v>26054</c:v>
                </c:pt>
                <c:pt idx="159">
                  <c:v>26085</c:v>
                </c:pt>
                <c:pt idx="160">
                  <c:v>26115</c:v>
                </c:pt>
                <c:pt idx="161">
                  <c:v>26146</c:v>
                </c:pt>
                <c:pt idx="162">
                  <c:v>26177</c:v>
                </c:pt>
                <c:pt idx="163">
                  <c:v>26207</c:v>
                </c:pt>
                <c:pt idx="164">
                  <c:v>26238</c:v>
                </c:pt>
                <c:pt idx="165">
                  <c:v>26268</c:v>
                </c:pt>
                <c:pt idx="166">
                  <c:v>26299</c:v>
                </c:pt>
                <c:pt idx="167">
                  <c:v>26330</c:v>
                </c:pt>
                <c:pt idx="168">
                  <c:v>26359</c:v>
                </c:pt>
                <c:pt idx="169">
                  <c:v>26390</c:v>
                </c:pt>
                <c:pt idx="170">
                  <c:v>26420</c:v>
                </c:pt>
                <c:pt idx="171">
                  <c:v>26451</c:v>
                </c:pt>
                <c:pt idx="172">
                  <c:v>26481</c:v>
                </c:pt>
                <c:pt idx="173">
                  <c:v>26512</c:v>
                </c:pt>
                <c:pt idx="174">
                  <c:v>26543</c:v>
                </c:pt>
                <c:pt idx="175">
                  <c:v>26573</c:v>
                </c:pt>
                <c:pt idx="176">
                  <c:v>26604</c:v>
                </c:pt>
                <c:pt idx="177">
                  <c:v>26634</c:v>
                </c:pt>
                <c:pt idx="178">
                  <c:v>26665</c:v>
                </c:pt>
                <c:pt idx="179">
                  <c:v>26696</c:v>
                </c:pt>
                <c:pt idx="180">
                  <c:v>26724</c:v>
                </c:pt>
                <c:pt idx="181">
                  <c:v>26755</c:v>
                </c:pt>
                <c:pt idx="182">
                  <c:v>26785</c:v>
                </c:pt>
                <c:pt idx="183">
                  <c:v>26816</c:v>
                </c:pt>
                <c:pt idx="184">
                  <c:v>26846</c:v>
                </c:pt>
                <c:pt idx="185">
                  <c:v>26877</c:v>
                </c:pt>
                <c:pt idx="186">
                  <c:v>26908</c:v>
                </c:pt>
                <c:pt idx="187">
                  <c:v>26938</c:v>
                </c:pt>
                <c:pt idx="188">
                  <c:v>26969</c:v>
                </c:pt>
                <c:pt idx="189">
                  <c:v>26999</c:v>
                </c:pt>
                <c:pt idx="190">
                  <c:v>27030</c:v>
                </c:pt>
                <c:pt idx="191">
                  <c:v>27061</c:v>
                </c:pt>
                <c:pt idx="192">
                  <c:v>27089</c:v>
                </c:pt>
                <c:pt idx="193">
                  <c:v>27120</c:v>
                </c:pt>
                <c:pt idx="194">
                  <c:v>27150</c:v>
                </c:pt>
                <c:pt idx="195">
                  <c:v>27181</c:v>
                </c:pt>
                <c:pt idx="196">
                  <c:v>27211</c:v>
                </c:pt>
                <c:pt idx="197">
                  <c:v>27242</c:v>
                </c:pt>
                <c:pt idx="198">
                  <c:v>27273</c:v>
                </c:pt>
                <c:pt idx="199">
                  <c:v>27303</c:v>
                </c:pt>
                <c:pt idx="200">
                  <c:v>27334</c:v>
                </c:pt>
                <c:pt idx="201">
                  <c:v>27364</c:v>
                </c:pt>
                <c:pt idx="202">
                  <c:v>27395</c:v>
                </c:pt>
                <c:pt idx="203">
                  <c:v>27426</c:v>
                </c:pt>
                <c:pt idx="204">
                  <c:v>27454</c:v>
                </c:pt>
                <c:pt idx="205">
                  <c:v>27485</c:v>
                </c:pt>
                <c:pt idx="206">
                  <c:v>27515</c:v>
                </c:pt>
                <c:pt idx="207">
                  <c:v>27546</c:v>
                </c:pt>
                <c:pt idx="208">
                  <c:v>27576</c:v>
                </c:pt>
                <c:pt idx="209">
                  <c:v>27607</c:v>
                </c:pt>
                <c:pt idx="210">
                  <c:v>27638</c:v>
                </c:pt>
                <c:pt idx="211">
                  <c:v>27668</c:v>
                </c:pt>
                <c:pt idx="212">
                  <c:v>27699</c:v>
                </c:pt>
                <c:pt idx="213">
                  <c:v>27729</c:v>
                </c:pt>
                <c:pt idx="214">
                  <c:v>27760</c:v>
                </c:pt>
                <c:pt idx="215">
                  <c:v>27791</c:v>
                </c:pt>
                <c:pt idx="216">
                  <c:v>27820</c:v>
                </c:pt>
                <c:pt idx="217">
                  <c:v>27851</c:v>
                </c:pt>
                <c:pt idx="218">
                  <c:v>27881</c:v>
                </c:pt>
                <c:pt idx="219">
                  <c:v>27912</c:v>
                </c:pt>
                <c:pt idx="220">
                  <c:v>27942</c:v>
                </c:pt>
                <c:pt idx="221">
                  <c:v>27973</c:v>
                </c:pt>
                <c:pt idx="222">
                  <c:v>28004</c:v>
                </c:pt>
                <c:pt idx="223">
                  <c:v>28034</c:v>
                </c:pt>
                <c:pt idx="224">
                  <c:v>28065</c:v>
                </c:pt>
                <c:pt idx="225">
                  <c:v>28095</c:v>
                </c:pt>
                <c:pt idx="226">
                  <c:v>28126</c:v>
                </c:pt>
                <c:pt idx="227">
                  <c:v>28157</c:v>
                </c:pt>
                <c:pt idx="228">
                  <c:v>28185</c:v>
                </c:pt>
                <c:pt idx="229">
                  <c:v>28216</c:v>
                </c:pt>
                <c:pt idx="230">
                  <c:v>28246</c:v>
                </c:pt>
                <c:pt idx="231">
                  <c:v>28277</c:v>
                </c:pt>
                <c:pt idx="232">
                  <c:v>28307</c:v>
                </c:pt>
                <c:pt idx="233">
                  <c:v>28338</c:v>
                </c:pt>
                <c:pt idx="234">
                  <c:v>28369</c:v>
                </c:pt>
                <c:pt idx="235">
                  <c:v>28399</c:v>
                </c:pt>
                <c:pt idx="236">
                  <c:v>28430</c:v>
                </c:pt>
                <c:pt idx="237">
                  <c:v>28460</c:v>
                </c:pt>
                <c:pt idx="238">
                  <c:v>28491</c:v>
                </c:pt>
                <c:pt idx="239">
                  <c:v>28522</c:v>
                </c:pt>
                <c:pt idx="240">
                  <c:v>28550</c:v>
                </c:pt>
                <c:pt idx="241">
                  <c:v>28581</c:v>
                </c:pt>
                <c:pt idx="242">
                  <c:v>28611</c:v>
                </c:pt>
                <c:pt idx="243">
                  <c:v>28642</c:v>
                </c:pt>
                <c:pt idx="244">
                  <c:v>28672</c:v>
                </c:pt>
                <c:pt idx="245">
                  <c:v>28703</c:v>
                </c:pt>
                <c:pt idx="246">
                  <c:v>28734</c:v>
                </c:pt>
                <c:pt idx="247">
                  <c:v>28764</c:v>
                </c:pt>
                <c:pt idx="248">
                  <c:v>28795</c:v>
                </c:pt>
                <c:pt idx="249">
                  <c:v>28825</c:v>
                </c:pt>
                <c:pt idx="250">
                  <c:v>28856</c:v>
                </c:pt>
                <c:pt idx="251">
                  <c:v>28887</c:v>
                </c:pt>
                <c:pt idx="252">
                  <c:v>28915</c:v>
                </c:pt>
                <c:pt idx="253">
                  <c:v>28946</c:v>
                </c:pt>
                <c:pt idx="254">
                  <c:v>28976</c:v>
                </c:pt>
                <c:pt idx="255">
                  <c:v>29007</c:v>
                </c:pt>
                <c:pt idx="256">
                  <c:v>29037</c:v>
                </c:pt>
                <c:pt idx="257">
                  <c:v>29068</c:v>
                </c:pt>
                <c:pt idx="258">
                  <c:v>29099</c:v>
                </c:pt>
                <c:pt idx="259">
                  <c:v>29129</c:v>
                </c:pt>
                <c:pt idx="260">
                  <c:v>29160</c:v>
                </c:pt>
                <c:pt idx="261">
                  <c:v>29190</c:v>
                </c:pt>
                <c:pt idx="262">
                  <c:v>29221</c:v>
                </c:pt>
                <c:pt idx="263">
                  <c:v>29252</c:v>
                </c:pt>
                <c:pt idx="264">
                  <c:v>29281</c:v>
                </c:pt>
                <c:pt idx="265">
                  <c:v>29312</c:v>
                </c:pt>
                <c:pt idx="266">
                  <c:v>29342</c:v>
                </c:pt>
                <c:pt idx="267">
                  <c:v>29373</c:v>
                </c:pt>
                <c:pt idx="268">
                  <c:v>29403</c:v>
                </c:pt>
                <c:pt idx="269">
                  <c:v>29434</c:v>
                </c:pt>
                <c:pt idx="270">
                  <c:v>29465</c:v>
                </c:pt>
                <c:pt idx="271">
                  <c:v>29495</c:v>
                </c:pt>
                <c:pt idx="272">
                  <c:v>29526</c:v>
                </c:pt>
                <c:pt idx="273">
                  <c:v>29556</c:v>
                </c:pt>
                <c:pt idx="274">
                  <c:v>29587</c:v>
                </c:pt>
                <c:pt idx="275">
                  <c:v>29618</c:v>
                </c:pt>
                <c:pt idx="276">
                  <c:v>29646</c:v>
                </c:pt>
                <c:pt idx="277">
                  <c:v>29677</c:v>
                </c:pt>
                <c:pt idx="278">
                  <c:v>29707</c:v>
                </c:pt>
                <c:pt idx="279">
                  <c:v>29738</c:v>
                </c:pt>
                <c:pt idx="280">
                  <c:v>29768</c:v>
                </c:pt>
                <c:pt idx="281">
                  <c:v>29799</c:v>
                </c:pt>
                <c:pt idx="282">
                  <c:v>29830</c:v>
                </c:pt>
                <c:pt idx="283">
                  <c:v>29860</c:v>
                </c:pt>
                <c:pt idx="284">
                  <c:v>29891</c:v>
                </c:pt>
                <c:pt idx="285">
                  <c:v>29921</c:v>
                </c:pt>
                <c:pt idx="286">
                  <c:v>29952</c:v>
                </c:pt>
                <c:pt idx="287">
                  <c:v>29983</c:v>
                </c:pt>
                <c:pt idx="288">
                  <c:v>30011</c:v>
                </c:pt>
                <c:pt idx="289">
                  <c:v>30042</c:v>
                </c:pt>
                <c:pt idx="290">
                  <c:v>30072</c:v>
                </c:pt>
                <c:pt idx="291">
                  <c:v>30103</c:v>
                </c:pt>
                <c:pt idx="292">
                  <c:v>30133</c:v>
                </c:pt>
                <c:pt idx="293">
                  <c:v>30164</c:v>
                </c:pt>
                <c:pt idx="294">
                  <c:v>30195</c:v>
                </c:pt>
                <c:pt idx="295">
                  <c:v>30225</c:v>
                </c:pt>
                <c:pt idx="296">
                  <c:v>30256</c:v>
                </c:pt>
                <c:pt idx="297">
                  <c:v>30286</c:v>
                </c:pt>
                <c:pt idx="298">
                  <c:v>30317</c:v>
                </c:pt>
                <c:pt idx="299">
                  <c:v>30348</c:v>
                </c:pt>
                <c:pt idx="300">
                  <c:v>30376</c:v>
                </c:pt>
                <c:pt idx="301">
                  <c:v>30407</c:v>
                </c:pt>
                <c:pt idx="302">
                  <c:v>30437</c:v>
                </c:pt>
                <c:pt idx="303">
                  <c:v>30468</c:v>
                </c:pt>
                <c:pt idx="304">
                  <c:v>30498</c:v>
                </c:pt>
                <c:pt idx="305">
                  <c:v>30529</c:v>
                </c:pt>
                <c:pt idx="306">
                  <c:v>30560</c:v>
                </c:pt>
                <c:pt idx="307">
                  <c:v>30590</c:v>
                </c:pt>
                <c:pt idx="308">
                  <c:v>30621</c:v>
                </c:pt>
                <c:pt idx="309">
                  <c:v>30651</c:v>
                </c:pt>
                <c:pt idx="310">
                  <c:v>30682</c:v>
                </c:pt>
                <c:pt idx="311">
                  <c:v>30713</c:v>
                </c:pt>
                <c:pt idx="312">
                  <c:v>30742</c:v>
                </c:pt>
                <c:pt idx="313">
                  <c:v>30773</c:v>
                </c:pt>
                <c:pt idx="314">
                  <c:v>30803</c:v>
                </c:pt>
                <c:pt idx="315">
                  <c:v>30834</c:v>
                </c:pt>
                <c:pt idx="316">
                  <c:v>30864</c:v>
                </c:pt>
                <c:pt idx="317">
                  <c:v>30895</c:v>
                </c:pt>
                <c:pt idx="318">
                  <c:v>30926</c:v>
                </c:pt>
                <c:pt idx="319">
                  <c:v>30956</c:v>
                </c:pt>
                <c:pt idx="320">
                  <c:v>30987</c:v>
                </c:pt>
                <c:pt idx="321">
                  <c:v>31017</c:v>
                </c:pt>
                <c:pt idx="322">
                  <c:v>31048</c:v>
                </c:pt>
                <c:pt idx="323">
                  <c:v>31079</c:v>
                </c:pt>
                <c:pt idx="324">
                  <c:v>31107</c:v>
                </c:pt>
                <c:pt idx="325">
                  <c:v>31138</c:v>
                </c:pt>
                <c:pt idx="326">
                  <c:v>31168</c:v>
                </c:pt>
                <c:pt idx="327">
                  <c:v>31199</c:v>
                </c:pt>
                <c:pt idx="328">
                  <c:v>31229</c:v>
                </c:pt>
                <c:pt idx="329">
                  <c:v>31260</c:v>
                </c:pt>
                <c:pt idx="330">
                  <c:v>31291</c:v>
                </c:pt>
                <c:pt idx="331">
                  <c:v>31321</c:v>
                </c:pt>
                <c:pt idx="332">
                  <c:v>31352</c:v>
                </c:pt>
                <c:pt idx="333">
                  <c:v>31382</c:v>
                </c:pt>
                <c:pt idx="334">
                  <c:v>31413</c:v>
                </c:pt>
                <c:pt idx="335">
                  <c:v>31444</c:v>
                </c:pt>
                <c:pt idx="336">
                  <c:v>31472</c:v>
                </c:pt>
                <c:pt idx="337">
                  <c:v>31503</c:v>
                </c:pt>
                <c:pt idx="338">
                  <c:v>31533</c:v>
                </c:pt>
                <c:pt idx="339">
                  <c:v>31564</c:v>
                </c:pt>
                <c:pt idx="340">
                  <c:v>31594</c:v>
                </c:pt>
                <c:pt idx="341">
                  <c:v>31625</c:v>
                </c:pt>
                <c:pt idx="342">
                  <c:v>31656</c:v>
                </c:pt>
                <c:pt idx="343">
                  <c:v>31686</c:v>
                </c:pt>
                <c:pt idx="344">
                  <c:v>31717</c:v>
                </c:pt>
                <c:pt idx="345">
                  <c:v>31747</c:v>
                </c:pt>
                <c:pt idx="346">
                  <c:v>31778</c:v>
                </c:pt>
                <c:pt idx="347">
                  <c:v>31809</c:v>
                </c:pt>
                <c:pt idx="348">
                  <c:v>31837</c:v>
                </c:pt>
                <c:pt idx="349">
                  <c:v>31868</c:v>
                </c:pt>
                <c:pt idx="350">
                  <c:v>31898</c:v>
                </c:pt>
                <c:pt idx="351">
                  <c:v>31929</c:v>
                </c:pt>
                <c:pt idx="352">
                  <c:v>31959</c:v>
                </c:pt>
                <c:pt idx="353">
                  <c:v>31990</c:v>
                </c:pt>
                <c:pt idx="354">
                  <c:v>32021</c:v>
                </c:pt>
                <c:pt idx="355">
                  <c:v>32051</c:v>
                </c:pt>
                <c:pt idx="356">
                  <c:v>32082</c:v>
                </c:pt>
                <c:pt idx="357">
                  <c:v>32112</c:v>
                </c:pt>
                <c:pt idx="358">
                  <c:v>32143</c:v>
                </c:pt>
                <c:pt idx="359">
                  <c:v>32174</c:v>
                </c:pt>
                <c:pt idx="360">
                  <c:v>32203</c:v>
                </c:pt>
                <c:pt idx="361">
                  <c:v>32234</c:v>
                </c:pt>
                <c:pt idx="362">
                  <c:v>32264</c:v>
                </c:pt>
                <c:pt idx="363">
                  <c:v>32295</c:v>
                </c:pt>
                <c:pt idx="364">
                  <c:v>32325</c:v>
                </c:pt>
                <c:pt idx="365">
                  <c:v>32356</c:v>
                </c:pt>
                <c:pt idx="366">
                  <c:v>32387</c:v>
                </c:pt>
                <c:pt idx="367">
                  <c:v>32417</c:v>
                </c:pt>
                <c:pt idx="368">
                  <c:v>32448</c:v>
                </c:pt>
                <c:pt idx="369">
                  <c:v>32478</c:v>
                </c:pt>
                <c:pt idx="370">
                  <c:v>32509</c:v>
                </c:pt>
                <c:pt idx="371">
                  <c:v>32540</c:v>
                </c:pt>
                <c:pt idx="372">
                  <c:v>32568</c:v>
                </c:pt>
                <c:pt idx="373">
                  <c:v>32599</c:v>
                </c:pt>
                <c:pt idx="374">
                  <c:v>32629</c:v>
                </c:pt>
                <c:pt idx="375">
                  <c:v>32660</c:v>
                </c:pt>
                <c:pt idx="376">
                  <c:v>32690</c:v>
                </c:pt>
                <c:pt idx="377">
                  <c:v>32721</c:v>
                </c:pt>
                <c:pt idx="378">
                  <c:v>32752</c:v>
                </c:pt>
                <c:pt idx="379">
                  <c:v>32782</c:v>
                </c:pt>
                <c:pt idx="380">
                  <c:v>32813</c:v>
                </c:pt>
                <c:pt idx="381">
                  <c:v>32843</c:v>
                </c:pt>
                <c:pt idx="382">
                  <c:v>32874</c:v>
                </c:pt>
                <c:pt idx="383">
                  <c:v>32905</c:v>
                </c:pt>
                <c:pt idx="384">
                  <c:v>32933</c:v>
                </c:pt>
                <c:pt idx="385">
                  <c:v>32964</c:v>
                </c:pt>
                <c:pt idx="386">
                  <c:v>32994</c:v>
                </c:pt>
                <c:pt idx="387">
                  <c:v>33025</c:v>
                </c:pt>
                <c:pt idx="388">
                  <c:v>33055</c:v>
                </c:pt>
                <c:pt idx="389">
                  <c:v>33086</c:v>
                </c:pt>
                <c:pt idx="390">
                  <c:v>33117</c:v>
                </c:pt>
                <c:pt idx="391">
                  <c:v>33147</c:v>
                </c:pt>
                <c:pt idx="392">
                  <c:v>33178</c:v>
                </c:pt>
                <c:pt idx="393">
                  <c:v>33208</c:v>
                </c:pt>
                <c:pt idx="394">
                  <c:v>33239</c:v>
                </c:pt>
                <c:pt idx="395">
                  <c:v>33270</c:v>
                </c:pt>
                <c:pt idx="396">
                  <c:v>33298</c:v>
                </c:pt>
                <c:pt idx="397">
                  <c:v>33329</c:v>
                </c:pt>
                <c:pt idx="398">
                  <c:v>33359</c:v>
                </c:pt>
                <c:pt idx="399">
                  <c:v>33390</c:v>
                </c:pt>
                <c:pt idx="400">
                  <c:v>33420</c:v>
                </c:pt>
                <c:pt idx="401">
                  <c:v>33451</c:v>
                </c:pt>
                <c:pt idx="402">
                  <c:v>33482</c:v>
                </c:pt>
                <c:pt idx="403">
                  <c:v>33512</c:v>
                </c:pt>
                <c:pt idx="404">
                  <c:v>33543</c:v>
                </c:pt>
                <c:pt idx="405">
                  <c:v>33573</c:v>
                </c:pt>
                <c:pt idx="406">
                  <c:v>33604</c:v>
                </c:pt>
                <c:pt idx="407">
                  <c:v>33635</c:v>
                </c:pt>
                <c:pt idx="408">
                  <c:v>33664</c:v>
                </c:pt>
                <c:pt idx="409">
                  <c:v>33695</c:v>
                </c:pt>
                <c:pt idx="410">
                  <c:v>33725</c:v>
                </c:pt>
                <c:pt idx="411">
                  <c:v>33756</c:v>
                </c:pt>
                <c:pt idx="412">
                  <c:v>33786</c:v>
                </c:pt>
                <c:pt idx="413">
                  <c:v>33817</c:v>
                </c:pt>
                <c:pt idx="414">
                  <c:v>33848</c:v>
                </c:pt>
                <c:pt idx="415">
                  <c:v>33878</c:v>
                </c:pt>
                <c:pt idx="416">
                  <c:v>33909</c:v>
                </c:pt>
                <c:pt idx="417">
                  <c:v>33939</c:v>
                </c:pt>
                <c:pt idx="418">
                  <c:v>33970</c:v>
                </c:pt>
                <c:pt idx="419">
                  <c:v>34001</c:v>
                </c:pt>
                <c:pt idx="420">
                  <c:v>34029</c:v>
                </c:pt>
                <c:pt idx="421">
                  <c:v>34060</c:v>
                </c:pt>
                <c:pt idx="422">
                  <c:v>34090</c:v>
                </c:pt>
                <c:pt idx="423">
                  <c:v>34121</c:v>
                </c:pt>
                <c:pt idx="424">
                  <c:v>34151</c:v>
                </c:pt>
                <c:pt idx="425">
                  <c:v>34182</c:v>
                </c:pt>
                <c:pt idx="426">
                  <c:v>34213</c:v>
                </c:pt>
                <c:pt idx="427">
                  <c:v>34243</c:v>
                </c:pt>
                <c:pt idx="428">
                  <c:v>34274</c:v>
                </c:pt>
                <c:pt idx="429">
                  <c:v>34304</c:v>
                </c:pt>
                <c:pt idx="430">
                  <c:v>34335</c:v>
                </c:pt>
                <c:pt idx="431">
                  <c:v>34366</c:v>
                </c:pt>
                <c:pt idx="432">
                  <c:v>34394</c:v>
                </c:pt>
                <c:pt idx="433">
                  <c:v>34425</c:v>
                </c:pt>
                <c:pt idx="434">
                  <c:v>34455</c:v>
                </c:pt>
                <c:pt idx="435">
                  <c:v>34486</c:v>
                </c:pt>
                <c:pt idx="436">
                  <c:v>34516</c:v>
                </c:pt>
                <c:pt idx="437">
                  <c:v>34547</c:v>
                </c:pt>
                <c:pt idx="438">
                  <c:v>34578</c:v>
                </c:pt>
                <c:pt idx="439">
                  <c:v>34608</c:v>
                </c:pt>
                <c:pt idx="440">
                  <c:v>34639</c:v>
                </c:pt>
                <c:pt idx="441">
                  <c:v>34669</c:v>
                </c:pt>
                <c:pt idx="442">
                  <c:v>34700</c:v>
                </c:pt>
                <c:pt idx="443">
                  <c:v>34731</c:v>
                </c:pt>
                <c:pt idx="444">
                  <c:v>34759</c:v>
                </c:pt>
                <c:pt idx="445">
                  <c:v>34790</c:v>
                </c:pt>
                <c:pt idx="446">
                  <c:v>34820</c:v>
                </c:pt>
                <c:pt idx="447">
                  <c:v>34851</c:v>
                </c:pt>
                <c:pt idx="448">
                  <c:v>34881</c:v>
                </c:pt>
                <c:pt idx="449">
                  <c:v>34912</c:v>
                </c:pt>
                <c:pt idx="450">
                  <c:v>34943</c:v>
                </c:pt>
                <c:pt idx="451">
                  <c:v>34973</c:v>
                </c:pt>
                <c:pt idx="452">
                  <c:v>35004</c:v>
                </c:pt>
                <c:pt idx="453">
                  <c:v>35034</c:v>
                </c:pt>
                <c:pt idx="454">
                  <c:v>35065</c:v>
                </c:pt>
                <c:pt idx="455">
                  <c:v>35096</c:v>
                </c:pt>
                <c:pt idx="456">
                  <c:v>35125</c:v>
                </c:pt>
                <c:pt idx="457">
                  <c:v>35156</c:v>
                </c:pt>
                <c:pt idx="458">
                  <c:v>35186</c:v>
                </c:pt>
                <c:pt idx="459">
                  <c:v>35217</c:v>
                </c:pt>
                <c:pt idx="460">
                  <c:v>35247</c:v>
                </c:pt>
                <c:pt idx="461">
                  <c:v>35278</c:v>
                </c:pt>
                <c:pt idx="462">
                  <c:v>35309</c:v>
                </c:pt>
                <c:pt idx="463">
                  <c:v>35339</c:v>
                </c:pt>
                <c:pt idx="464">
                  <c:v>35370</c:v>
                </c:pt>
                <c:pt idx="465">
                  <c:v>35400</c:v>
                </c:pt>
                <c:pt idx="466">
                  <c:v>35431</c:v>
                </c:pt>
                <c:pt idx="467">
                  <c:v>35462</c:v>
                </c:pt>
                <c:pt idx="468">
                  <c:v>35490</c:v>
                </c:pt>
                <c:pt idx="469">
                  <c:v>35521</c:v>
                </c:pt>
                <c:pt idx="470">
                  <c:v>35551</c:v>
                </c:pt>
                <c:pt idx="471">
                  <c:v>35582</c:v>
                </c:pt>
                <c:pt idx="472">
                  <c:v>35612</c:v>
                </c:pt>
                <c:pt idx="473">
                  <c:v>35643</c:v>
                </c:pt>
                <c:pt idx="474">
                  <c:v>35674</c:v>
                </c:pt>
                <c:pt idx="475">
                  <c:v>35704</c:v>
                </c:pt>
                <c:pt idx="476">
                  <c:v>35735</c:v>
                </c:pt>
                <c:pt idx="477">
                  <c:v>35765</c:v>
                </c:pt>
                <c:pt idx="478">
                  <c:v>35796</c:v>
                </c:pt>
                <c:pt idx="479">
                  <c:v>35827</c:v>
                </c:pt>
                <c:pt idx="480">
                  <c:v>35855</c:v>
                </c:pt>
                <c:pt idx="481">
                  <c:v>35886</c:v>
                </c:pt>
                <c:pt idx="482">
                  <c:v>35916</c:v>
                </c:pt>
                <c:pt idx="483">
                  <c:v>35947</c:v>
                </c:pt>
                <c:pt idx="484">
                  <c:v>35977</c:v>
                </c:pt>
                <c:pt idx="485">
                  <c:v>36008</c:v>
                </c:pt>
                <c:pt idx="486">
                  <c:v>36039</c:v>
                </c:pt>
                <c:pt idx="487">
                  <c:v>36069</c:v>
                </c:pt>
                <c:pt idx="488">
                  <c:v>36100</c:v>
                </c:pt>
                <c:pt idx="489">
                  <c:v>36130</c:v>
                </c:pt>
                <c:pt idx="490">
                  <c:v>36161</c:v>
                </c:pt>
                <c:pt idx="491">
                  <c:v>36192</c:v>
                </c:pt>
                <c:pt idx="492">
                  <c:v>36220</c:v>
                </c:pt>
                <c:pt idx="493">
                  <c:v>36251</c:v>
                </c:pt>
                <c:pt idx="494">
                  <c:v>36281</c:v>
                </c:pt>
                <c:pt idx="495">
                  <c:v>36312</c:v>
                </c:pt>
                <c:pt idx="496">
                  <c:v>36342</c:v>
                </c:pt>
                <c:pt idx="497">
                  <c:v>36373</c:v>
                </c:pt>
                <c:pt idx="498">
                  <c:v>36404</c:v>
                </c:pt>
                <c:pt idx="499">
                  <c:v>36434</c:v>
                </c:pt>
                <c:pt idx="500">
                  <c:v>36465</c:v>
                </c:pt>
                <c:pt idx="501">
                  <c:v>36495</c:v>
                </c:pt>
                <c:pt idx="502">
                  <c:v>36526</c:v>
                </c:pt>
                <c:pt idx="503">
                  <c:v>36557</c:v>
                </c:pt>
                <c:pt idx="504">
                  <c:v>36586</c:v>
                </c:pt>
                <c:pt idx="505">
                  <c:v>36617</c:v>
                </c:pt>
                <c:pt idx="506">
                  <c:v>36647</c:v>
                </c:pt>
                <c:pt idx="507">
                  <c:v>36678</c:v>
                </c:pt>
                <c:pt idx="508">
                  <c:v>36708</c:v>
                </c:pt>
                <c:pt idx="509">
                  <c:v>36739</c:v>
                </c:pt>
                <c:pt idx="510">
                  <c:v>36770</c:v>
                </c:pt>
                <c:pt idx="511">
                  <c:v>36800</c:v>
                </c:pt>
                <c:pt idx="512">
                  <c:v>36831</c:v>
                </c:pt>
                <c:pt idx="513">
                  <c:v>36861</c:v>
                </c:pt>
                <c:pt idx="514">
                  <c:v>36892</c:v>
                </c:pt>
                <c:pt idx="515">
                  <c:v>36923</c:v>
                </c:pt>
                <c:pt idx="516">
                  <c:v>36951</c:v>
                </c:pt>
                <c:pt idx="517">
                  <c:v>36982</c:v>
                </c:pt>
                <c:pt idx="518">
                  <c:v>37012</c:v>
                </c:pt>
                <c:pt idx="519">
                  <c:v>37043</c:v>
                </c:pt>
                <c:pt idx="520">
                  <c:v>37073</c:v>
                </c:pt>
                <c:pt idx="521">
                  <c:v>37104</c:v>
                </c:pt>
                <c:pt idx="522">
                  <c:v>37135</c:v>
                </c:pt>
                <c:pt idx="523">
                  <c:v>37165</c:v>
                </c:pt>
                <c:pt idx="524">
                  <c:v>37196</c:v>
                </c:pt>
                <c:pt idx="525">
                  <c:v>37226</c:v>
                </c:pt>
                <c:pt idx="526">
                  <c:v>37257</c:v>
                </c:pt>
                <c:pt idx="527">
                  <c:v>37288</c:v>
                </c:pt>
                <c:pt idx="528">
                  <c:v>37316</c:v>
                </c:pt>
                <c:pt idx="529">
                  <c:v>37347</c:v>
                </c:pt>
                <c:pt idx="530">
                  <c:v>37377</c:v>
                </c:pt>
                <c:pt idx="531">
                  <c:v>37408</c:v>
                </c:pt>
                <c:pt idx="532">
                  <c:v>37438</c:v>
                </c:pt>
                <c:pt idx="533">
                  <c:v>37469</c:v>
                </c:pt>
                <c:pt idx="534">
                  <c:v>37500</c:v>
                </c:pt>
                <c:pt idx="535">
                  <c:v>37530</c:v>
                </c:pt>
                <c:pt idx="536">
                  <c:v>37561</c:v>
                </c:pt>
                <c:pt idx="537">
                  <c:v>37591</c:v>
                </c:pt>
                <c:pt idx="538">
                  <c:v>37622</c:v>
                </c:pt>
                <c:pt idx="539">
                  <c:v>37653</c:v>
                </c:pt>
                <c:pt idx="540">
                  <c:v>37681</c:v>
                </c:pt>
                <c:pt idx="541">
                  <c:v>37712</c:v>
                </c:pt>
                <c:pt idx="542">
                  <c:v>37742</c:v>
                </c:pt>
                <c:pt idx="543">
                  <c:v>37773</c:v>
                </c:pt>
                <c:pt idx="544">
                  <c:v>37803</c:v>
                </c:pt>
                <c:pt idx="545">
                  <c:v>37834</c:v>
                </c:pt>
                <c:pt idx="546">
                  <c:v>37865</c:v>
                </c:pt>
                <c:pt idx="547">
                  <c:v>37895</c:v>
                </c:pt>
                <c:pt idx="548">
                  <c:v>37926</c:v>
                </c:pt>
                <c:pt idx="549">
                  <c:v>37956</c:v>
                </c:pt>
                <c:pt idx="550">
                  <c:v>37987</c:v>
                </c:pt>
                <c:pt idx="551">
                  <c:v>38018</c:v>
                </c:pt>
                <c:pt idx="552">
                  <c:v>38047</c:v>
                </c:pt>
                <c:pt idx="553">
                  <c:v>38078</c:v>
                </c:pt>
                <c:pt idx="554">
                  <c:v>38108</c:v>
                </c:pt>
                <c:pt idx="555">
                  <c:v>38139</c:v>
                </c:pt>
                <c:pt idx="556">
                  <c:v>38169</c:v>
                </c:pt>
                <c:pt idx="557">
                  <c:v>38200</c:v>
                </c:pt>
                <c:pt idx="558">
                  <c:v>38231</c:v>
                </c:pt>
                <c:pt idx="559">
                  <c:v>38261</c:v>
                </c:pt>
                <c:pt idx="560">
                  <c:v>38292</c:v>
                </c:pt>
                <c:pt idx="561">
                  <c:v>38322</c:v>
                </c:pt>
                <c:pt idx="562">
                  <c:v>38353</c:v>
                </c:pt>
                <c:pt idx="563">
                  <c:v>38384</c:v>
                </c:pt>
                <c:pt idx="564">
                  <c:v>38412</c:v>
                </c:pt>
                <c:pt idx="565">
                  <c:v>38443</c:v>
                </c:pt>
                <c:pt idx="566">
                  <c:v>38473</c:v>
                </c:pt>
                <c:pt idx="567">
                  <c:v>38504</c:v>
                </c:pt>
                <c:pt idx="568">
                  <c:v>38534</c:v>
                </c:pt>
                <c:pt idx="569">
                  <c:v>38565</c:v>
                </c:pt>
                <c:pt idx="570">
                  <c:v>38596</c:v>
                </c:pt>
                <c:pt idx="571">
                  <c:v>38626</c:v>
                </c:pt>
                <c:pt idx="572">
                  <c:v>38657</c:v>
                </c:pt>
                <c:pt idx="573">
                  <c:v>38687</c:v>
                </c:pt>
                <c:pt idx="574">
                  <c:v>38718</c:v>
                </c:pt>
                <c:pt idx="575">
                  <c:v>38749</c:v>
                </c:pt>
                <c:pt idx="576">
                  <c:v>38777</c:v>
                </c:pt>
                <c:pt idx="577">
                  <c:v>38808</c:v>
                </c:pt>
                <c:pt idx="578">
                  <c:v>38838</c:v>
                </c:pt>
                <c:pt idx="579">
                  <c:v>38869</c:v>
                </c:pt>
                <c:pt idx="580">
                  <c:v>38899</c:v>
                </c:pt>
                <c:pt idx="581">
                  <c:v>38930</c:v>
                </c:pt>
                <c:pt idx="582">
                  <c:v>38961</c:v>
                </c:pt>
                <c:pt idx="583">
                  <c:v>38991</c:v>
                </c:pt>
                <c:pt idx="584">
                  <c:v>39022</c:v>
                </c:pt>
                <c:pt idx="585">
                  <c:v>39052</c:v>
                </c:pt>
                <c:pt idx="586">
                  <c:v>39083</c:v>
                </c:pt>
                <c:pt idx="587">
                  <c:v>39114</c:v>
                </c:pt>
                <c:pt idx="588">
                  <c:v>39142</c:v>
                </c:pt>
                <c:pt idx="589">
                  <c:v>39173</c:v>
                </c:pt>
                <c:pt idx="590">
                  <c:v>39203</c:v>
                </c:pt>
                <c:pt idx="591">
                  <c:v>39234</c:v>
                </c:pt>
                <c:pt idx="592">
                  <c:v>39264</c:v>
                </c:pt>
                <c:pt idx="593">
                  <c:v>39295</c:v>
                </c:pt>
                <c:pt idx="594">
                  <c:v>39326</c:v>
                </c:pt>
                <c:pt idx="595">
                  <c:v>39356</c:v>
                </c:pt>
                <c:pt idx="596">
                  <c:v>39387</c:v>
                </c:pt>
                <c:pt idx="597">
                  <c:v>39417</c:v>
                </c:pt>
                <c:pt idx="598">
                  <c:v>39448</c:v>
                </c:pt>
                <c:pt idx="599">
                  <c:v>39479</c:v>
                </c:pt>
                <c:pt idx="600">
                  <c:v>39508</c:v>
                </c:pt>
                <c:pt idx="601">
                  <c:v>39539</c:v>
                </c:pt>
                <c:pt idx="602">
                  <c:v>39569</c:v>
                </c:pt>
                <c:pt idx="603">
                  <c:v>39600</c:v>
                </c:pt>
                <c:pt idx="604">
                  <c:v>39630</c:v>
                </c:pt>
                <c:pt idx="605">
                  <c:v>39661</c:v>
                </c:pt>
                <c:pt idx="606">
                  <c:v>39692</c:v>
                </c:pt>
                <c:pt idx="607">
                  <c:v>39722</c:v>
                </c:pt>
                <c:pt idx="608">
                  <c:v>39753</c:v>
                </c:pt>
                <c:pt idx="609">
                  <c:v>39783</c:v>
                </c:pt>
                <c:pt idx="610">
                  <c:v>39814</c:v>
                </c:pt>
                <c:pt idx="611">
                  <c:v>39845</c:v>
                </c:pt>
                <c:pt idx="612">
                  <c:v>39873</c:v>
                </c:pt>
                <c:pt idx="613">
                  <c:v>39904</c:v>
                </c:pt>
                <c:pt idx="614">
                  <c:v>39934</c:v>
                </c:pt>
                <c:pt idx="615">
                  <c:v>39965</c:v>
                </c:pt>
                <c:pt idx="616">
                  <c:v>39995</c:v>
                </c:pt>
                <c:pt idx="617">
                  <c:v>40026</c:v>
                </c:pt>
                <c:pt idx="618">
                  <c:v>40057</c:v>
                </c:pt>
                <c:pt idx="619">
                  <c:v>40087</c:v>
                </c:pt>
                <c:pt idx="620">
                  <c:v>40118</c:v>
                </c:pt>
                <c:pt idx="621">
                  <c:v>40148</c:v>
                </c:pt>
                <c:pt idx="622">
                  <c:v>40179</c:v>
                </c:pt>
                <c:pt idx="623">
                  <c:v>40210</c:v>
                </c:pt>
                <c:pt idx="624">
                  <c:v>40238</c:v>
                </c:pt>
                <c:pt idx="625">
                  <c:v>40269</c:v>
                </c:pt>
                <c:pt idx="626">
                  <c:v>40299</c:v>
                </c:pt>
                <c:pt idx="627">
                  <c:v>40330</c:v>
                </c:pt>
                <c:pt idx="628">
                  <c:v>40360</c:v>
                </c:pt>
                <c:pt idx="629">
                  <c:v>40391</c:v>
                </c:pt>
                <c:pt idx="630">
                  <c:v>40422</c:v>
                </c:pt>
                <c:pt idx="631">
                  <c:v>40452</c:v>
                </c:pt>
                <c:pt idx="632">
                  <c:v>40483</c:v>
                </c:pt>
                <c:pt idx="633">
                  <c:v>40513</c:v>
                </c:pt>
                <c:pt idx="634">
                  <c:v>40544</c:v>
                </c:pt>
                <c:pt idx="635">
                  <c:v>40575</c:v>
                </c:pt>
                <c:pt idx="636">
                  <c:v>40603</c:v>
                </c:pt>
                <c:pt idx="637">
                  <c:v>40634</c:v>
                </c:pt>
                <c:pt idx="638">
                  <c:v>40664</c:v>
                </c:pt>
                <c:pt idx="639">
                  <c:v>40695</c:v>
                </c:pt>
                <c:pt idx="640">
                  <c:v>40725</c:v>
                </c:pt>
                <c:pt idx="641">
                  <c:v>40756</c:v>
                </c:pt>
                <c:pt idx="642">
                  <c:v>40787</c:v>
                </c:pt>
                <c:pt idx="643">
                  <c:v>40817</c:v>
                </c:pt>
                <c:pt idx="644">
                  <c:v>40848</c:v>
                </c:pt>
                <c:pt idx="645">
                  <c:v>40878</c:v>
                </c:pt>
                <c:pt idx="646">
                  <c:v>40909</c:v>
                </c:pt>
                <c:pt idx="647">
                  <c:v>40940</c:v>
                </c:pt>
                <c:pt idx="648">
                  <c:v>40969</c:v>
                </c:pt>
                <c:pt idx="649">
                  <c:v>41000</c:v>
                </c:pt>
                <c:pt idx="650">
                  <c:v>41030</c:v>
                </c:pt>
                <c:pt idx="651">
                  <c:v>41061</c:v>
                </c:pt>
                <c:pt idx="652">
                  <c:v>41091</c:v>
                </c:pt>
                <c:pt idx="653">
                  <c:v>41122</c:v>
                </c:pt>
                <c:pt idx="654">
                  <c:v>41153</c:v>
                </c:pt>
                <c:pt idx="655">
                  <c:v>41183</c:v>
                </c:pt>
                <c:pt idx="656">
                  <c:v>41214</c:v>
                </c:pt>
                <c:pt idx="657">
                  <c:v>41244</c:v>
                </c:pt>
                <c:pt idx="658">
                  <c:v>41275</c:v>
                </c:pt>
                <c:pt idx="659">
                  <c:v>41306</c:v>
                </c:pt>
                <c:pt idx="660">
                  <c:v>41334</c:v>
                </c:pt>
                <c:pt idx="661">
                  <c:v>41365</c:v>
                </c:pt>
                <c:pt idx="662">
                  <c:v>41395</c:v>
                </c:pt>
                <c:pt idx="663">
                  <c:v>41426</c:v>
                </c:pt>
                <c:pt idx="664">
                  <c:v>41456</c:v>
                </c:pt>
                <c:pt idx="665">
                  <c:v>41487</c:v>
                </c:pt>
                <c:pt idx="666">
                  <c:v>41518</c:v>
                </c:pt>
                <c:pt idx="667">
                  <c:v>41548</c:v>
                </c:pt>
                <c:pt idx="668">
                  <c:v>41579</c:v>
                </c:pt>
                <c:pt idx="669">
                  <c:v>41609</c:v>
                </c:pt>
                <c:pt idx="670">
                  <c:v>41640</c:v>
                </c:pt>
                <c:pt idx="671">
                  <c:v>41671</c:v>
                </c:pt>
                <c:pt idx="672">
                  <c:v>41699</c:v>
                </c:pt>
                <c:pt idx="673">
                  <c:v>41730</c:v>
                </c:pt>
                <c:pt idx="674">
                  <c:v>41760</c:v>
                </c:pt>
                <c:pt idx="675">
                  <c:v>41791</c:v>
                </c:pt>
                <c:pt idx="676">
                  <c:v>41821</c:v>
                </c:pt>
                <c:pt idx="677">
                  <c:v>41852</c:v>
                </c:pt>
                <c:pt idx="678">
                  <c:v>41883</c:v>
                </c:pt>
                <c:pt idx="679">
                  <c:v>41913</c:v>
                </c:pt>
                <c:pt idx="680">
                  <c:v>41944</c:v>
                </c:pt>
                <c:pt idx="681">
                  <c:v>41974</c:v>
                </c:pt>
                <c:pt idx="682">
                  <c:v>42005</c:v>
                </c:pt>
                <c:pt idx="683">
                  <c:v>42036</c:v>
                </c:pt>
                <c:pt idx="684">
                  <c:v>42064</c:v>
                </c:pt>
                <c:pt idx="685">
                  <c:v>42095</c:v>
                </c:pt>
                <c:pt idx="686">
                  <c:v>42125</c:v>
                </c:pt>
                <c:pt idx="687">
                  <c:v>42156</c:v>
                </c:pt>
                <c:pt idx="688">
                  <c:v>42186</c:v>
                </c:pt>
                <c:pt idx="689">
                  <c:v>42217</c:v>
                </c:pt>
                <c:pt idx="690">
                  <c:v>42248</c:v>
                </c:pt>
                <c:pt idx="691">
                  <c:v>42278</c:v>
                </c:pt>
                <c:pt idx="692">
                  <c:v>42309</c:v>
                </c:pt>
                <c:pt idx="693">
                  <c:v>42339</c:v>
                </c:pt>
                <c:pt idx="694">
                  <c:v>42370</c:v>
                </c:pt>
                <c:pt idx="695">
                  <c:v>42401</c:v>
                </c:pt>
                <c:pt idx="696">
                  <c:v>42430</c:v>
                </c:pt>
                <c:pt idx="697">
                  <c:v>42461</c:v>
                </c:pt>
                <c:pt idx="698">
                  <c:v>42491</c:v>
                </c:pt>
                <c:pt idx="699">
                  <c:v>42522</c:v>
                </c:pt>
                <c:pt idx="700">
                  <c:v>42552</c:v>
                </c:pt>
                <c:pt idx="701">
                  <c:v>42583</c:v>
                </c:pt>
                <c:pt idx="702">
                  <c:v>42614</c:v>
                </c:pt>
                <c:pt idx="703">
                  <c:v>42644</c:v>
                </c:pt>
                <c:pt idx="704">
                  <c:v>42675</c:v>
                </c:pt>
                <c:pt idx="705">
                  <c:v>42705</c:v>
                </c:pt>
                <c:pt idx="706">
                  <c:v>42736</c:v>
                </c:pt>
                <c:pt idx="707">
                  <c:v>42767</c:v>
                </c:pt>
                <c:pt idx="708">
                  <c:v>42795</c:v>
                </c:pt>
                <c:pt idx="709">
                  <c:v>42826</c:v>
                </c:pt>
                <c:pt idx="710">
                  <c:v>42856</c:v>
                </c:pt>
                <c:pt idx="711">
                  <c:v>42887</c:v>
                </c:pt>
                <c:pt idx="712">
                  <c:v>42917</c:v>
                </c:pt>
                <c:pt idx="713">
                  <c:v>42948</c:v>
                </c:pt>
                <c:pt idx="714">
                  <c:v>42979</c:v>
                </c:pt>
                <c:pt idx="715">
                  <c:v>43009</c:v>
                </c:pt>
                <c:pt idx="716">
                  <c:v>43040</c:v>
                </c:pt>
                <c:pt idx="717">
                  <c:v>43070</c:v>
                </c:pt>
                <c:pt idx="718">
                  <c:v>43101</c:v>
                </c:pt>
                <c:pt idx="719">
                  <c:v>43132</c:v>
                </c:pt>
                <c:pt idx="720">
                  <c:v>43160</c:v>
                </c:pt>
                <c:pt idx="721">
                  <c:v>43191</c:v>
                </c:pt>
                <c:pt idx="722">
                  <c:v>43221</c:v>
                </c:pt>
                <c:pt idx="723">
                  <c:v>43252</c:v>
                </c:pt>
                <c:pt idx="724">
                  <c:v>43282</c:v>
                </c:pt>
                <c:pt idx="725">
                  <c:v>43313</c:v>
                </c:pt>
                <c:pt idx="726">
                  <c:v>43344</c:v>
                </c:pt>
                <c:pt idx="727">
                  <c:v>43374</c:v>
                </c:pt>
                <c:pt idx="728">
                  <c:v>43405</c:v>
                </c:pt>
                <c:pt idx="729">
                  <c:v>43435</c:v>
                </c:pt>
                <c:pt idx="730">
                  <c:v>43466</c:v>
                </c:pt>
                <c:pt idx="731">
                  <c:v>43497</c:v>
                </c:pt>
                <c:pt idx="732">
                  <c:v>43525</c:v>
                </c:pt>
                <c:pt idx="733">
                  <c:v>43556</c:v>
                </c:pt>
                <c:pt idx="734">
                  <c:v>43586</c:v>
                </c:pt>
                <c:pt idx="735">
                  <c:v>43617</c:v>
                </c:pt>
                <c:pt idx="736">
                  <c:v>43647</c:v>
                </c:pt>
                <c:pt idx="737">
                  <c:v>43678</c:v>
                </c:pt>
                <c:pt idx="738">
                  <c:v>43709</c:v>
                </c:pt>
                <c:pt idx="739">
                  <c:v>43739</c:v>
                </c:pt>
                <c:pt idx="740">
                  <c:v>43770</c:v>
                </c:pt>
                <c:pt idx="741">
                  <c:v>43800</c:v>
                </c:pt>
                <c:pt idx="742">
                  <c:v>43831</c:v>
                </c:pt>
                <c:pt idx="743">
                  <c:v>43862</c:v>
                </c:pt>
                <c:pt idx="744">
                  <c:v>43891</c:v>
                </c:pt>
                <c:pt idx="745">
                  <c:v>43922</c:v>
                </c:pt>
                <c:pt idx="746">
                  <c:v>43952</c:v>
                </c:pt>
                <c:pt idx="747">
                  <c:v>43983</c:v>
                </c:pt>
                <c:pt idx="748">
                  <c:v>44013</c:v>
                </c:pt>
                <c:pt idx="749">
                  <c:v>44044</c:v>
                </c:pt>
                <c:pt idx="750">
                  <c:v>44075</c:v>
                </c:pt>
                <c:pt idx="751">
                  <c:v>44105</c:v>
                </c:pt>
                <c:pt idx="752">
                  <c:v>44136</c:v>
                </c:pt>
                <c:pt idx="753">
                  <c:v>44166</c:v>
                </c:pt>
                <c:pt idx="754">
                  <c:v>44197</c:v>
                </c:pt>
                <c:pt idx="755">
                  <c:v>44228</c:v>
                </c:pt>
                <c:pt idx="756">
                  <c:v>44256</c:v>
                </c:pt>
                <c:pt idx="757">
                  <c:v>44287</c:v>
                </c:pt>
                <c:pt idx="758">
                  <c:v>44317</c:v>
                </c:pt>
                <c:pt idx="759">
                  <c:v>44348</c:v>
                </c:pt>
                <c:pt idx="760">
                  <c:v>44378</c:v>
                </c:pt>
                <c:pt idx="761">
                  <c:v>44409</c:v>
                </c:pt>
                <c:pt idx="762">
                  <c:v>44440</c:v>
                </c:pt>
                <c:pt idx="763">
                  <c:v>44470</c:v>
                </c:pt>
                <c:pt idx="764">
                  <c:v>44501</c:v>
                </c:pt>
                <c:pt idx="765">
                  <c:v>44531</c:v>
                </c:pt>
                <c:pt idx="766">
                  <c:v>44562</c:v>
                </c:pt>
                <c:pt idx="767">
                  <c:v>44593</c:v>
                </c:pt>
                <c:pt idx="768">
                  <c:v>44621</c:v>
                </c:pt>
                <c:pt idx="769">
                  <c:v>44652</c:v>
                </c:pt>
                <c:pt idx="770">
                  <c:v>44682</c:v>
                </c:pt>
                <c:pt idx="771">
                  <c:v>44713</c:v>
                </c:pt>
                <c:pt idx="772">
                  <c:v>44743</c:v>
                </c:pt>
                <c:pt idx="773">
                  <c:v>44774</c:v>
                </c:pt>
                <c:pt idx="774">
                  <c:v>44805</c:v>
                </c:pt>
                <c:pt idx="775">
                  <c:v>44835</c:v>
                </c:pt>
                <c:pt idx="776">
                  <c:v>44866</c:v>
                </c:pt>
                <c:pt idx="777">
                  <c:v>44896</c:v>
                </c:pt>
                <c:pt idx="778">
                  <c:v>44927</c:v>
                </c:pt>
                <c:pt idx="779">
                  <c:v>44958</c:v>
                </c:pt>
                <c:pt idx="780">
                  <c:v>44986</c:v>
                </c:pt>
                <c:pt idx="781">
                  <c:v>45017</c:v>
                </c:pt>
                <c:pt idx="782">
                  <c:v>45047</c:v>
                </c:pt>
                <c:pt idx="783">
                  <c:v>45078</c:v>
                </c:pt>
                <c:pt idx="784">
                  <c:v>45108</c:v>
                </c:pt>
                <c:pt idx="785">
                  <c:v>45139</c:v>
                </c:pt>
                <c:pt idx="786">
                  <c:v>45170</c:v>
                </c:pt>
                <c:pt idx="787">
                  <c:v>45200</c:v>
                </c:pt>
                <c:pt idx="788">
                  <c:v>45231</c:v>
                </c:pt>
                <c:pt idx="789">
                  <c:v>45261</c:v>
                </c:pt>
                <c:pt idx="790">
                  <c:v>45292</c:v>
                </c:pt>
                <c:pt idx="791">
                  <c:v>45323</c:v>
                </c:pt>
                <c:pt idx="792">
                  <c:v>45352</c:v>
                </c:pt>
                <c:pt idx="793">
                  <c:v>45383</c:v>
                </c:pt>
                <c:pt idx="794">
                  <c:v>45413</c:v>
                </c:pt>
                <c:pt idx="795">
                  <c:v>45444</c:v>
                </c:pt>
                <c:pt idx="796">
                  <c:v>45474</c:v>
                </c:pt>
                <c:pt idx="797">
                  <c:v>45505</c:v>
                </c:pt>
                <c:pt idx="798">
                  <c:v>45536</c:v>
                </c:pt>
                <c:pt idx="799">
                  <c:v>45566</c:v>
                </c:pt>
                <c:pt idx="800">
                  <c:v>45597</c:v>
                </c:pt>
                <c:pt idx="801">
                  <c:v>45627</c:v>
                </c:pt>
                <c:pt idx="802">
                  <c:v>45658</c:v>
                </c:pt>
                <c:pt idx="803">
                  <c:v>45689</c:v>
                </c:pt>
                <c:pt idx="804">
                  <c:v>45717</c:v>
                </c:pt>
                <c:pt idx="805">
                  <c:v>45748</c:v>
                </c:pt>
                <c:pt idx="806">
                  <c:v>45778</c:v>
                </c:pt>
                <c:pt idx="807">
                  <c:v>45809</c:v>
                </c:pt>
                <c:pt idx="808">
                  <c:v>45839</c:v>
                </c:pt>
                <c:pt idx="809">
                  <c:v>45870</c:v>
                </c:pt>
                <c:pt idx="810">
                  <c:v>45901</c:v>
                </c:pt>
                <c:pt idx="811">
                  <c:v>45931</c:v>
                </c:pt>
                <c:pt idx="812">
                  <c:v>45962</c:v>
                </c:pt>
                <c:pt idx="813">
                  <c:v>45992</c:v>
                </c:pt>
                <c:pt idx="814">
                  <c:v>46023</c:v>
                </c:pt>
                <c:pt idx="815">
                  <c:v>46054</c:v>
                </c:pt>
                <c:pt idx="816">
                  <c:v>46082</c:v>
                </c:pt>
                <c:pt idx="817">
                  <c:v>46113</c:v>
                </c:pt>
                <c:pt idx="818">
                  <c:v>46143</c:v>
                </c:pt>
                <c:pt idx="819">
                  <c:v>46174</c:v>
                </c:pt>
                <c:pt idx="820">
                  <c:v>46204</c:v>
                </c:pt>
                <c:pt idx="821">
                  <c:v>46235</c:v>
                </c:pt>
                <c:pt idx="822">
                  <c:v>46266</c:v>
                </c:pt>
                <c:pt idx="823">
                  <c:v>46296</c:v>
                </c:pt>
                <c:pt idx="824">
                  <c:v>46327</c:v>
                </c:pt>
                <c:pt idx="825">
                  <c:v>46357</c:v>
                </c:pt>
                <c:pt idx="826">
                  <c:v>46388</c:v>
                </c:pt>
                <c:pt idx="827">
                  <c:v>46419</c:v>
                </c:pt>
                <c:pt idx="828">
                  <c:v>46447</c:v>
                </c:pt>
                <c:pt idx="829">
                  <c:v>46478</c:v>
                </c:pt>
                <c:pt idx="830">
                  <c:v>46508</c:v>
                </c:pt>
                <c:pt idx="831">
                  <c:v>46539</c:v>
                </c:pt>
                <c:pt idx="832">
                  <c:v>46569</c:v>
                </c:pt>
                <c:pt idx="833">
                  <c:v>46600</c:v>
                </c:pt>
                <c:pt idx="834">
                  <c:v>46631</c:v>
                </c:pt>
                <c:pt idx="835">
                  <c:v>46661</c:v>
                </c:pt>
                <c:pt idx="836">
                  <c:v>46692</c:v>
                </c:pt>
                <c:pt idx="837">
                  <c:v>46722</c:v>
                </c:pt>
                <c:pt idx="838">
                  <c:v>46753</c:v>
                </c:pt>
                <c:pt idx="839">
                  <c:v>46784</c:v>
                </c:pt>
                <c:pt idx="840">
                  <c:v>46813</c:v>
                </c:pt>
                <c:pt idx="841">
                  <c:v>46844</c:v>
                </c:pt>
                <c:pt idx="842">
                  <c:v>46874</c:v>
                </c:pt>
                <c:pt idx="843">
                  <c:v>46905</c:v>
                </c:pt>
                <c:pt idx="844">
                  <c:v>46935</c:v>
                </c:pt>
                <c:pt idx="845">
                  <c:v>46966</c:v>
                </c:pt>
                <c:pt idx="846">
                  <c:v>46997</c:v>
                </c:pt>
                <c:pt idx="847">
                  <c:v>47027</c:v>
                </c:pt>
                <c:pt idx="848">
                  <c:v>47058</c:v>
                </c:pt>
                <c:pt idx="849">
                  <c:v>47088</c:v>
                </c:pt>
                <c:pt idx="850">
                  <c:v>47119</c:v>
                </c:pt>
                <c:pt idx="851">
                  <c:v>47150</c:v>
                </c:pt>
                <c:pt idx="852">
                  <c:v>47178</c:v>
                </c:pt>
                <c:pt idx="853">
                  <c:v>47209</c:v>
                </c:pt>
                <c:pt idx="854">
                  <c:v>47239</c:v>
                </c:pt>
                <c:pt idx="855">
                  <c:v>47270</c:v>
                </c:pt>
                <c:pt idx="856">
                  <c:v>47300</c:v>
                </c:pt>
                <c:pt idx="857">
                  <c:v>47331</c:v>
                </c:pt>
                <c:pt idx="858">
                  <c:v>47362</c:v>
                </c:pt>
                <c:pt idx="859">
                  <c:v>47392</c:v>
                </c:pt>
                <c:pt idx="860">
                  <c:v>47423</c:v>
                </c:pt>
                <c:pt idx="861">
                  <c:v>47453</c:v>
                </c:pt>
                <c:pt idx="862">
                  <c:v>47484</c:v>
                </c:pt>
                <c:pt idx="863">
                  <c:v>47515</c:v>
                </c:pt>
                <c:pt idx="864">
                  <c:v>47543</c:v>
                </c:pt>
                <c:pt idx="865">
                  <c:v>47574</c:v>
                </c:pt>
                <c:pt idx="866">
                  <c:v>47604</c:v>
                </c:pt>
                <c:pt idx="867">
                  <c:v>47635</c:v>
                </c:pt>
                <c:pt idx="868">
                  <c:v>47665</c:v>
                </c:pt>
                <c:pt idx="869">
                  <c:v>47696</c:v>
                </c:pt>
                <c:pt idx="870">
                  <c:v>47727</c:v>
                </c:pt>
                <c:pt idx="871">
                  <c:v>47757</c:v>
                </c:pt>
                <c:pt idx="872">
                  <c:v>47788</c:v>
                </c:pt>
                <c:pt idx="873">
                  <c:v>47818</c:v>
                </c:pt>
                <c:pt idx="874">
                  <c:v>47849</c:v>
                </c:pt>
                <c:pt idx="875">
                  <c:v>47880</c:v>
                </c:pt>
                <c:pt idx="876">
                  <c:v>47908</c:v>
                </c:pt>
                <c:pt idx="877">
                  <c:v>47939</c:v>
                </c:pt>
                <c:pt idx="878">
                  <c:v>47969</c:v>
                </c:pt>
                <c:pt idx="879">
                  <c:v>48000</c:v>
                </c:pt>
                <c:pt idx="880">
                  <c:v>48030</c:v>
                </c:pt>
                <c:pt idx="881">
                  <c:v>48061</c:v>
                </c:pt>
                <c:pt idx="882">
                  <c:v>48092</c:v>
                </c:pt>
                <c:pt idx="883">
                  <c:v>48122</c:v>
                </c:pt>
                <c:pt idx="884">
                  <c:v>48153</c:v>
                </c:pt>
                <c:pt idx="885">
                  <c:v>48183</c:v>
                </c:pt>
                <c:pt idx="886">
                  <c:v>48214</c:v>
                </c:pt>
                <c:pt idx="887">
                  <c:v>48245</c:v>
                </c:pt>
                <c:pt idx="888">
                  <c:v>48274</c:v>
                </c:pt>
                <c:pt idx="889">
                  <c:v>48305</c:v>
                </c:pt>
                <c:pt idx="890">
                  <c:v>48335</c:v>
                </c:pt>
                <c:pt idx="891">
                  <c:v>48366</c:v>
                </c:pt>
                <c:pt idx="892">
                  <c:v>48396</c:v>
                </c:pt>
                <c:pt idx="893">
                  <c:v>48427</c:v>
                </c:pt>
                <c:pt idx="894">
                  <c:v>48458</c:v>
                </c:pt>
                <c:pt idx="895">
                  <c:v>48488</c:v>
                </c:pt>
                <c:pt idx="896">
                  <c:v>48519</c:v>
                </c:pt>
                <c:pt idx="897">
                  <c:v>48549</c:v>
                </c:pt>
                <c:pt idx="898">
                  <c:v>48580</c:v>
                </c:pt>
                <c:pt idx="899">
                  <c:v>48611</c:v>
                </c:pt>
                <c:pt idx="900">
                  <c:v>48639</c:v>
                </c:pt>
                <c:pt idx="901">
                  <c:v>48670</c:v>
                </c:pt>
                <c:pt idx="902">
                  <c:v>48700</c:v>
                </c:pt>
                <c:pt idx="903">
                  <c:v>48731</c:v>
                </c:pt>
                <c:pt idx="904">
                  <c:v>48761</c:v>
                </c:pt>
                <c:pt idx="905">
                  <c:v>48792</c:v>
                </c:pt>
                <c:pt idx="906">
                  <c:v>48823</c:v>
                </c:pt>
                <c:pt idx="907">
                  <c:v>48853</c:v>
                </c:pt>
                <c:pt idx="908">
                  <c:v>48884</c:v>
                </c:pt>
                <c:pt idx="909">
                  <c:v>48914</c:v>
                </c:pt>
                <c:pt idx="910">
                  <c:v>48945</c:v>
                </c:pt>
                <c:pt idx="911">
                  <c:v>48976</c:v>
                </c:pt>
                <c:pt idx="912">
                  <c:v>49004</c:v>
                </c:pt>
                <c:pt idx="913">
                  <c:v>49035</c:v>
                </c:pt>
                <c:pt idx="914">
                  <c:v>49065</c:v>
                </c:pt>
                <c:pt idx="915">
                  <c:v>49096</c:v>
                </c:pt>
                <c:pt idx="916">
                  <c:v>49126</c:v>
                </c:pt>
                <c:pt idx="917">
                  <c:v>49157</c:v>
                </c:pt>
                <c:pt idx="918">
                  <c:v>49188</c:v>
                </c:pt>
                <c:pt idx="919">
                  <c:v>49218</c:v>
                </c:pt>
                <c:pt idx="920">
                  <c:v>49249</c:v>
                </c:pt>
                <c:pt idx="921">
                  <c:v>49279</c:v>
                </c:pt>
                <c:pt idx="922">
                  <c:v>49310</c:v>
                </c:pt>
                <c:pt idx="923">
                  <c:v>49341</c:v>
                </c:pt>
                <c:pt idx="924">
                  <c:v>49369</c:v>
                </c:pt>
                <c:pt idx="925">
                  <c:v>49400</c:v>
                </c:pt>
                <c:pt idx="926">
                  <c:v>49430</c:v>
                </c:pt>
                <c:pt idx="927">
                  <c:v>49461</c:v>
                </c:pt>
                <c:pt idx="928">
                  <c:v>49491</c:v>
                </c:pt>
                <c:pt idx="929">
                  <c:v>49522</c:v>
                </c:pt>
                <c:pt idx="930">
                  <c:v>49553</c:v>
                </c:pt>
                <c:pt idx="931">
                  <c:v>49583</c:v>
                </c:pt>
                <c:pt idx="932">
                  <c:v>49614</c:v>
                </c:pt>
                <c:pt idx="933">
                  <c:v>49644</c:v>
                </c:pt>
                <c:pt idx="934">
                  <c:v>49675</c:v>
                </c:pt>
                <c:pt idx="935">
                  <c:v>49706</c:v>
                </c:pt>
                <c:pt idx="936">
                  <c:v>49735</c:v>
                </c:pt>
                <c:pt idx="937">
                  <c:v>49766</c:v>
                </c:pt>
                <c:pt idx="938">
                  <c:v>49796</c:v>
                </c:pt>
                <c:pt idx="939">
                  <c:v>49827</c:v>
                </c:pt>
                <c:pt idx="940">
                  <c:v>49857</c:v>
                </c:pt>
                <c:pt idx="941">
                  <c:v>49888</c:v>
                </c:pt>
                <c:pt idx="942">
                  <c:v>49919</c:v>
                </c:pt>
                <c:pt idx="943">
                  <c:v>49949</c:v>
                </c:pt>
                <c:pt idx="944">
                  <c:v>49980</c:v>
                </c:pt>
                <c:pt idx="945">
                  <c:v>50010</c:v>
                </c:pt>
              </c:numCache>
            </c:numRef>
          </c:cat>
          <c:val>
            <c:numRef>
              <c:f>Sheet1!$D$2:$D$947</c:f>
              <c:numCache>
                <c:formatCode>General</c:formatCode>
                <c:ptCount val="946"/>
                <c:pt idx="745" formatCode="0.00">
                  <c:v>416.18</c:v>
                </c:pt>
                <c:pt idx="746" formatCode="0.00">
                  <c:v>416.1827592283048</c:v>
                </c:pt>
                <c:pt idx="747" formatCode="0.00">
                  <c:v>415.4204549968178</c:v>
                </c:pt>
                <c:pt idx="748" formatCode="0.00">
                  <c:v>413.79512898468857</c:v>
                </c:pt>
                <c:pt idx="749" formatCode="0.00">
                  <c:v>411.86997252136263</c:v>
                </c:pt>
                <c:pt idx="750" formatCode="0.00">
                  <c:v>410.23894125794686</c:v>
                </c:pt>
                <c:pt idx="751" formatCode="0.00">
                  <c:v>409.86794928333182</c:v>
                </c:pt>
                <c:pt idx="752" formatCode="0.00">
                  <c:v>410.63951560928876</c:v>
                </c:pt>
                <c:pt idx="753" formatCode="0.00">
                  <c:v>411.5914752327331</c:v>
                </c:pt>
                <c:pt idx="754" formatCode="0.00">
                  <c:v>412.30966801228107</c:v>
                </c:pt>
                <c:pt idx="755" formatCode="0.00">
                  <c:v>412.96303819259248</c:v>
                </c:pt>
                <c:pt idx="756" formatCode="0.00">
                  <c:v>413.44644171958817</c:v>
                </c:pt>
                <c:pt idx="757" formatCode="0.00">
                  <c:v>414.5284287988909</c:v>
                </c:pt>
                <c:pt idx="758" formatCode="0.00">
                  <c:v>415.32517804657232</c:v>
                </c:pt>
                <c:pt idx="759" formatCode="0.00">
                  <c:v>414.81796485572767</c:v>
                </c:pt>
                <c:pt idx="760" formatCode="0.00">
                  <c:v>413.3634368672956</c:v>
                </c:pt>
                <c:pt idx="761" formatCode="0.00">
                  <c:v>411.56711370511186</c:v>
                </c:pt>
                <c:pt idx="762" formatCode="0.00">
                  <c:v>410.03916726632889</c:v>
                </c:pt>
                <c:pt idx="763" formatCode="0.00">
                  <c:v>409.75370561029558</c:v>
                </c:pt>
                <c:pt idx="764" formatCode="0.00">
                  <c:v>410.59803126536167</c:v>
                </c:pt>
                <c:pt idx="765" formatCode="0.00">
                  <c:v>411.61303658442779</c:v>
                </c:pt>
                <c:pt idx="766" formatCode="0.00">
                  <c:v>412.38664194804113</c:v>
                </c:pt>
                <c:pt idx="767" formatCode="0.00">
                  <c:v>413.08927432460604</c:v>
                </c:pt>
                <c:pt idx="768" formatCode="0.00">
                  <c:v>413.61688461909949</c:v>
                </c:pt>
                <c:pt idx="769" formatCode="0.00">
                  <c:v>414.73885486355397</c:v>
                </c:pt>
                <c:pt idx="770" formatCode="0.00">
                  <c:v>415.57208148067105</c:v>
                </c:pt>
                <c:pt idx="771" formatCode="0.00">
                  <c:v>415.09820444458461</c:v>
                </c:pt>
                <c:pt idx="772" formatCode="0.00">
                  <c:v>413.674362003966</c:v>
                </c:pt>
                <c:pt idx="773" formatCode="0.00">
                  <c:v>411.90641104532062</c:v>
                </c:pt>
                <c:pt idx="774" formatCode="0.00">
                  <c:v>410.40480241452821</c:v>
                </c:pt>
                <c:pt idx="775" formatCode="0.00">
                  <c:v>410.14387737698587</c:v>
                </c:pt>
                <c:pt idx="776" formatCode="0.00">
                  <c:v>411.01113528812482</c:v>
                </c:pt>
                <c:pt idx="777" formatCode="0.00">
                  <c:v>412.0476360406638</c:v>
                </c:pt>
                <c:pt idx="778" formatCode="0.00">
                  <c:v>412.84144371862328</c:v>
                </c:pt>
                <c:pt idx="779" formatCode="0.00">
                  <c:v>413.56310940297226</c:v>
                </c:pt>
                <c:pt idx="780" formatCode="0.00">
                  <c:v>414.10869186638723</c:v>
                </c:pt>
                <c:pt idx="781" formatCode="0.00">
                  <c:v>415.24766742939744</c:v>
                </c:pt>
                <c:pt idx="782" formatCode="0.00">
                  <c:v>416.09704790646555</c:v>
                </c:pt>
                <c:pt idx="783" formatCode="0.00">
                  <c:v>415.63847974994269</c:v>
                </c:pt>
                <c:pt idx="784" formatCode="0.00">
                  <c:v>414.22920036830715</c:v>
                </c:pt>
                <c:pt idx="785" formatCode="0.00">
                  <c:v>412.475124429441</c:v>
                </c:pt>
                <c:pt idx="786" formatCode="0.00">
                  <c:v>410.98675444258549</c:v>
                </c:pt>
                <c:pt idx="787" formatCode="0.00">
                  <c:v>410.73847803318336</c:v>
                </c:pt>
                <c:pt idx="788" formatCode="0.00">
                  <c:v>411.61783629834372</c:v>
                </c:pt>
                <c:pt idx="789" formatCode="0.00">
                  <c:v>412.66592683318908</c:v>
                </c:pt>
                <c:pt idx="790" formatCode="0.00">
                  <c:v>413.47084787703778</c:v>
                </c:pt>
                <c:pt idx="791" formatCode="0.00">
                  <c:v>414.20318153939962</c:v>
                </c:pt>
                <c:pt idx="792" formatCode="0.00">
                  <c:v>414.75901485540152</c:v>
                </c:pt>
                <c:pt idx="793" formatCode="0.00">
                  <c:v>415.90784995273629</c:v>
                </c:pt>
                <c:pt idx="794" formatCode="0.00">
                  <c:v>416.76674184899036</c:v>
                </c:pt>
                <c:pt idx="795" formatCode="0.00">
                  <c:v>416.31731879768705</c:v>
                </c:pt>
                <c:pt idx="796" formatCode="0.00">
                  <c:v>414.91685845076722</c:v>
                </c:pt>
                <c:pt idx="797" formatCode="0.00">
                  <c:v>413.17129382101848</c:v>
                </c:pt>
                <c:pt idx="798" formatCode="0.00">
                  <c:v>411.69114434833421</c:v>
                </c:pt>
                <c:pt idx="799" formatCode="0.00">
                  <c:v>411.45081331220285</c:v>
                </c:pt>
                <c:pt idx="800" formatCode="0.00">
                  <c:v>412.33785630872637</c:v>
                </c:pt>
                <c:pt idx="801" formatCode="0.00">
                  <c:v>413.39338438461527</c:v>
                </c:pt>
                <c:pt idx="802" formatCode="0.00">
                  <c:v>414.2055082789613</c:v>
                </c:pt>
                <c:pt idx="803" formatCode="0.00">
                  <c:v>414.94482173433528</c:v>
                </c:pt>
                <c:pt idx="804" formatCode="0.00">
                  <c:v>415.50742262816658</c:v>
                </c:pt>
                <c:pt idx="805" formatCode="0.00">
                  <c:v>416.66282320764014</c:v>
                </c:pt>
                <c:pt idx="806" formatCode="0.00">
                  <c:v>417.52810135046116</c:v>
                </c:pt>
                <c:pt idx="807" formatCode="0.00">
                  <c:v>417.08486697552911</c:v>
                </c:pt>
                <c:pt idx="808" formatCode="0.00">
                  <c:v>415.69041982697217</c:v>
                </c:pt>
                <c:pt idx="809" formatCode="0.00">
                  <c:v>413.95070069579253</c:v>
                </c:pt>
                <c:pt idx="810" formatCode="0.00">
                  <c:v>412.47623632702278</c:v>
                </c:pt>
                <c:pt idx="811" formatCode="0.00">
                  <c:v>412.24143686862368</c:v>
                </c:pt>
                <c:pt idx="812" formatCode="0.00">
                  <c:v>413.13386438153799</c:v>
                </c:pt>
                <c:pt idx="813" formatCode="0.00">
                  <c:v>414.19463600370858</c:v>
                </c:pt>
                <c:pt idx="814" formatCode="0.00">
                  <c:v>415.01186821918486</c:v>
                </c:pt>
                <c:pt idx="815" formatCode="0.00">
                  <c:v>415.7561601941448</c:v>
                </c:pt>
                <c:pt idx="816" formatCode="0.00">
                  <c:v>416.32361493103554</c:v>
                </c:pt>
                <c:pt idx="817" formatCode="0.00">
                  <c:v>417.48374952428935</c:v>
                </c:pt>
                <c:pt idx="818" formatCode="0.00">
                  <c:v>418.35365633467092</c:v>
                </c:pt>
                <c:pt idx="819" formatCode="0.00">
                  <c:v>417.91492960631115</c:v>
                </c:pt>
                <c:pt idx="820" formatCode="0.00">
                  <c:v>416.52488334171159</c:v>
                </c:pt>
                <c:pt idx="821" formatCode="0.00">
                  <c:v>414.78946224325398</c:v>
                </c:pt>
                <c:pt idx="822" formatCode="0.00">
                  <c:v>413.31919677061006</c:v>
                </c:pt>
                <c:pt idx="823" formatCode="0.00">
                  <c:v>413.08850060218174</c:v>
                </c:pt>
                <c:pt idx="824" formatCode="0.00">
                  <c:v>413.98493915673043</c:v>
                </c:pt>
                <c:pt idx="825" formatCode="0.00">
                  <c:v>415.04963276809519</c:v>
                </c:pt>
                <c:pt idx="826" formatCode="0.00">
                  <c:v>415.87070096419683</c:v>
                </c:pt>
                <c:pt idx="827" formatCode="0.00">
                  <c:v>416.61874581222867</c:v>
                </c:pt>
                <c:pt idx="828" formatCode="0.00">
                  <c:v>417.18987308129851</c:v>
                </c:pt>
                <c:pt idx="829" formatCode="0.00">
                  <c:v>418.35360250603389</c:v>
                </c:pt>
                <c:pt idx="830" formatCode="0.00">
                  <c:v>419.22703664856374</c:v>
                </c:pt>
                <c:pt idx="831" formatCode="0.00">
                  <c:v>418.79175664591406</c:v>
                </c:pt>
                <c:pt idx="832" formatCode="0.00">
                  <c:v>417.40508664378802</c:v>
                </c:pt>
                <c:pt idx="833" formatCode="0.00">
                  <c:v>415.67297354707603</c:v>
                </c:pt>
                <c:pt idx="834" formatCode="0.00">
                  <c:v>414.2059499234287</c:v>
                </c:pt>
                <c:pt idx="835" formatCode="0.00">
                  <c:v>413.97843146984371</c:v>
                </c:pt>
                <c:pt idx="836" formatCode="0.00">
                  <c:v>414.8779855391042</c:v>
                </c:pt>
                <c:pt idx="837" formatCode="0.00">
                  <c:v>415.94573431899261</c:v>
                </c:pt>
                <c:pt idx="838" formatCode="0.00">
                  <c:v>416.76979911550205</c:v>
                </c:pt>
                <c:pt idx="839" formatCode="0.00">
                  <c:v>417.52078370196699</c:v>
                </c:pt>
                <c:pt idx="840" formatCode="0.00">
                  <c:v>418.09479548539809</c:v>
                </c:pt>
                <c:pt idx="841" formatCode="0.00">
                  <c:v>419.26135577355171</c:v>
                </c:pt>
                <c:pt idx="842" formatCode="0.00">
                  <c:v>420.13757481864485</c:v>
                </c:pt>
                <c:pt idx="843" formatCode="0.00">
                  <c:v>419.70502274420772</c:v>
                </c:pt>
                <c:pt idx="844" formatCode="0.00">
                  <c:v>418.32103138463521</c:v>
                </c:pt>
                <c:pt idx="845" formatCode="0.00">
                  <c:v>416.59154898934383</c:v>
                </c:pt>
                <c:pt idx="846" formatCode="0.00">
                  <c:v>415.12710942015963</c:v>
                </c:pt>
                <c:pt idx="847" formatCode="0.00">
                  <c:v>414.90212962029847</c:v>
                </c:pt>
                <c:pt idx="848" formatCode="0.00">
                  <c:v>415.80417814306077</c:v>
                </c:pt>
                <c:pt idx="849" formatCode="0.00">
                  <c:v>416.87437833317296</c:v>
                </c:pt>
                <c:pt idx="850" formatCode="0.00">
                  <c:v>417.70085261200722</c:v>
                </c:pt>
                <c:pt idx="851" formatCode="0.00">
                  <c:v>418.45420582860822</c:v>
                </c:pt>
                <c:pt idx="852" formatCode="0.00">
                  <c:v>419.03054642781916</c:v>
                </c:pt>
                <c:pt idx="853" formatCode="0.00">
                  <c:v>420.19939671904518</c:v>
                </c:pt>
                <c:pt idx="854" formatCode="0.00">
                  <c:v>421.07787302690042</c:v>
                </c:pt>
                <c:pt idx="855" formatCode="0.00">
                  <c:v>420.64753611730083</c:v>
                </c:pt>
                <c:pt idx="856" formatCode="0.00">
                  <c:v>419.26572391526707</c:v>
                </c:pt>
                <c:pt idx="857" formatCode="0.00">
                  <c:v>417.53838554225274</c:v>
                </c:pt>
                <c:pt idx="858" formatCode="0.00">
                  <c:v>416.07605570314405</c:v>
                </c:pt>
                <c:pt idx="859" formatCode="0.00">
                  <c:v>415.85315215646318</c:v>
                </c:pt>
                <c:pt idx="860" formatCode="0.00">
                  <c:v>416.75724424422356</c:v>
                </c:pt>
                <c:pt idx="861" formatCode="0.00">
                  <c:v>417.82945607437296</c:v>
                </c:pt>
                <c:pt idx="862" formatCode="0.00">
                  <c:v>418.65791080706009</c:v>
                </c:pt>
                <c:pt idx="863" formatCode="0.00">
                  <c:v>419.41321400665549</c:v>
                </c:pt>
                <c:pt idx="864" formatCode="0.00">
                  <c:v>419.9914748108236</c:v>
                </c:pt>
                <c:pt idx="865" formatCode="0.00">
                  <c:v>421.16221620018541</c:v>
                </c:pt>
                <c:pt idx="866" formatCode="0.00">
                  <c:v>422.04255945733706</c:v>
                </c:pt>
                <c:pt idx="867" formatCode="0.00">
                  <c:v>421.61405730185123</c:v>
                </c:pt>
                <c:pt idx="868" formatCode="0.00">
                  <c:v>420.2340526408326</c:v>
                </c:pt>
                <c:pt idx="869" formatCode="0.00">
                  <c:v>418.50849518864908</c:v>
                </c:pt>
                <c:pt idx="870" formatCode="0.00">
                  <c:v>417.04792022538879</c:v>
                </c:pt>
                <c:pt idx="871" formatCode="0.00">
                  <c:v>416.82674606773588</c:v>
                </c:pt>
                <c:pt idx="872" formatCode="0.00">
                  <c:v>417.73254259946719</c:v>
                </c:pt>
                <c:pt idx="873" formatCode="0.00">
                  <c:v>418.80643445450744</c:v>
                </c:pt>
                <c:pt idx="874" formatCode="0.00">
                  <c:v>419.63654530378028</c:v>
                </c:pt>
                <c:pt idx="875" formatCode="0.00">
                  <c:v>420.39348120778766</c:v>
                </c:pt>
                <c:pt idx="876" formatCode="0.00">
                  <c:v>420.97335178621529</c:v>
                </c:pt>
                <c:pt idx="877" formatCode="0.00">
                  <c:v>422.1456804881048</c:v>
                </c:pt>
                <c:pt idx="878" formatCode="0.00">
                  <c:v>423.02759274701015</c:v>
                </c:pt>
                <c:pt idx="879" formatCode="0.00">
                  <c:v>422.60063428531168</c:v>
                </c:pt>
                <c:pt idx="880" formatCode="0.00">
                  <c:v>421.22215218574502</c:v>
                </c:pt>
                <c:pt idx="881" formatCode="0.00">
                  <c:v>419.49809658134137</c:v>
                </c:pt>
                <c:pt idx="882" formatCode="0.00">
                  <c:v>418.03900315948954</c:v>
                </c:pt>
                <c:pt idx="883" formatCode="0.00">
                  <c:v>417.81929063320405</c:v>
                </c:pt>
                <c:pt idx="884" formatCode="0.00">
                  <c:v>418.72652927199653</c:v>
                </c:pt>
                <c:pt idx="885" formatCode="0.00">
                  <c:v>419.80184408529158</c:v>
                </c:pt>
                <c:pt idx="886" formatCode="0.00">
                  <c:v>420.63335910962269</c:v>
                </c:pt>
                <c:pt idx="887" formatCode="0.00">
                  <c:v>421.39168076154243</c:v>
                </c:pt>
                <c:pt idx="888" formatCode="0.00">
                  <c:v>421.97291900754601</c:v>
                </c:pt>
                <c:pt idx="889" formatCode="0.00">
                  <c:v>423.14659763454802</c:v>
                </c:pt>
                <c:pt idx="890" formatCode="0.00">
                  <c:v>424.02984561978735</c:v>
                </c:pt>
                <c:pt idx="891" formatCode="0.00">
                  <c:v>423.6042025386115</c:v>
                </c:pt>
                <c:pt idx="892" formatCode="0.00">
                  <c:v>422.22701904068134</c:v>
                </c:pt>
                <c:pt idx="893" formatCode="0.00">
                  <c:v>420.50424556395012</c:v>
                </c:pt>
                <c:pt idx="894" formatCode="0.00">
                  <c:v>419.04641809314512</c:v>
                </c:pt>
                <c:pt idx="895" formatCode="0.00">
                  <c:v>418.82795563127547</c:v>
                </c:pt>
                <c:pt idx="896" formatCode="0.00">
                  <c:v>419.73642873073413</c:v>
                </c:pt>
                <c:pt idx="897" formatCode="0.00">
                  <c:v>420.8129626769354</c:v>
                </c:pt>
                <c:pt idx="898" formatCode="0.00">
                  <c:v>421.64568177572426</c:v>
                </c:pt>
                <c:pt idx="899" formatCode="0.00">
                  <c:v>422.40519270649207</c:v>
                </c:pt>
                <c:pt idx="900" formatCode="0.00">
                  <c:v>422.98760569229751</c:v>
                </c:pt>
                <c:pt idx="901" formatCode="0.00">
                  <c:v>424.16244477053408</c:v>
                </c:pt>
                <c:pt idx="902" formatCode="0.00">
                  <c:v>425.04684199113012</c:v>
                </c:pt>
                <c:pt idx="903" formatCode="0.00">
                  <c:v>424.62233148016901</c:v>
                </c:pt>
                <c:pt idx="904" formatCode="0.00">
                  <c:v>423.24626698115145</c:v>
                </c:pt>
                <c:pt idx="905" formatCode="0.00">
                  <c:v>421.52459915992705</c:v>
                </c:pt>
                <c:pt idx="906" formatCode="0.00">
                  <c:v>420.06786422388802</c:v>
                </c:pt>
                <c:pt idx="907" formatCode="0.00">
                  <c:v>419.8504813936292</c:v>
                </c:pt>
                <c:pt idx="908" formatCode="0.00">
                  <c:v>420.76002143419805</c:v>
                </c:pt>
                <c:pt idx="909" formatCode="0.00">
                  <c:v>421.83760983887356</c:v>
                </c:pt>
                <c:pt idx="910" formatCode="0.00">
                  <c:v>422.67137111671292</c:v>
                </c:pt>
                <c:pt idx="911" formatCode="0.00">
                  <c:v>423.43191214579969</c:v>
                </c:pt>
                <c:pt idx="912" formatCode="0.00">
                  <c:v>424.01534334349248</c:v>
                </c:pt>
                <c:pt idx="913" formatCode="0.00">
                  <c:v>425.19118893721549</c:v>
                </c:pt>
                <c:pt idx="914" formatCode="0.00">
                  <c:v>426.07658367526318</c:v>
                </c:pt>
                <c:pt idx="915" formatCode="0.00">
                  <c:v>425.65305681408842</c:v>
                </c:pt>
                <c:pt idx="916" formatCode="0.00">
                  <c:v>424.27796481452106</c:v>
                </c:pt>
                <c:pt idx="917" formatCode="0.00">
                  <c:v>422.55725851650953</c:v>
                </c:pt>
                <c:pt idx="918" formatCode="0.00">
                  <c:v>421.10147429783342</c:v>
                </c:pt>
                <c:pt idx="919" formatCode="0.00">
                  <c:v>420.88503154586402</c:v>
                </c:pt>
                <c:pt idx="920" formatCode="0.00">
                  <c:v>421.79550118891149</c:v>
                </c:pt>
                <c:pt idx="921" formatCode="0.00">
                  <c:v>422.87400888009819</c:v>
                </c:pt>
                <c:pt idx="922" formatCode="0.00">
                  <c:v>423.70867928499592</c:v>
                </c:pt>
                <c:pt idx="923" formatCode="0.00">
                  <c:v>424.47011943496244</c:v>
                </c:pt>
                <c:pt idx="924" formatCode="0.00">
                  <c:v>425.05443989747533</c:v>
                </c:pt>
                <c:pt idx="925" formatCode="0.00">
                  <c:v>426.23116504700545</c:v>
                </c:pt>
                <c:pt idx="926" formatCode="0.00">
                  <c:v>427.11743202669226</c:v>
                </c:pt>
                <c:pt idx="927" formatCode="0.00">
                  <c:v>426.69476571021204</c:v>
                </c:pt>
                <c:pt idx="928" formatCode="0.00">
                  <c:v>425.32052497014143</c:v>
                </c:pt>
                <c:pt idx="929" formatCode="0.00">
                  <c:v>423.60066078195263</c:v>
                </c:pt>
                <c:pt idx="930" formatCode="0.00">
                  <c:v>422.14570965625171</c:v>
                </c:pt>
                <c:pt idx="931" formatCode="0.00">
                  <c:v>421.9300911106078</c:v>
                </c:pt>
                <c:pt idx="932" formatCode="0.00">
                  <c:v>422.84137620096584</c:v>
                </c:pt>
                <c:pt idx="933" formatCode="0.00">
                  <c:v>423.92069070558432</c:v>
                </c:pt>
                <c:pt idx="934" formatCode="0.00">
                  <c:v>424.75615941273469</c:v>
                </c:pt>
                <c:pt idx="935" formatCode="0.00">
                  <c:v>425.51838947409806</c:v>
                </c:pt>
                <c:pt idx="936" formatCode="0.00">
                  <c:v>426.10349157515736</c:v>
                </c:pt>
                <c:pt idx="937" formatCode="0.00">
                  <c:v>427.28099020612797</c:v>
                </c:pt>
                <c:pt idx="938" formatCode="0.00">
                  <c:v>428.16802465472313</c:v>
                </c:pt>
                <c:pt idx="939" formatCode="0.00">
                  <c:v>427.7461158248982</c:v>
                </c:pt>
                <c:pt idx="940" formatCode="0.00">
                  <c:v>426.37262474884682</c:v>
                </c:pt>
                <c:pt idx="941" formatCode="0.00">
                  <c:v>424.65350250927105</c:v>
                </c:pt>
                <c:pt idx="942" formatCode="0.00">
                  <c:v>423.19928572200558</c:v>
                </c:pt>
                <c:pt idx="943" formatCode="0.00">
                  <c:v>422.98439400789402</c:v>
                </c:pt>
                <c:pt idx="944" formatCode="0.00">
                  <c:v>423.89639852424824</c:v>
                </c:pt>
                <c:pt idx="945" formatCode="0.00">
                  <c:v>424.97642514883029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60-4B6E-A39D-ADFE7A474F1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信頼上限(CO2)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Sheet1!$A$2:$A$947</c:f>
              <c:numCache>
                <c:formatCode>m/d/yyyy</c:formatCode>
                <c:ptCount val="946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21337</c:v>
                </c:pt>
                <c:pt idx="4">
                  <c:v>21367</c:v>
                </c:pt>
                <c:pt idx="5">
                  <c:v>21398</c:v>
                </c:pt>
                <c:pt idx="6">
                  <c:v>21429</c:v>
                </c:pt>
                <c:pt idx="7">
                  <c:v>21459</c:v>
                </c:pt>
                <c:pt idx="8">
                  <c:v>21490</c:v>
                </c:pt>
                <c:pt idx="9">
                  <c:v>21520</c:v>
                </c:pt>
                <c:pt idx="10">
                  <c:v>21551</c:v>
                </c:pt>
                <c:pt idx="11">
                  <c:v>21582</c:v>
                </c:pt>
                <c:pt idx="12">
                  <c:v>21610</c:v>
                </c:pt>
                <c:pt idx="13">
                  <c:v>21641</c:v>
                </c:pt>
                <c:pt idx="14">
                  <c:v>21671</c:v>
                </c:pt>
                <c:pt idx="15">
                  <c:v>21702</c:v>
                </c:pt>
                <c:pt idx="16">
                  <c:v>21732</c:v>
                </c:pt>
                <c:pt idx="17">
                  <c:v>21763</c:v>
                </c:pt>
                <c:pt idx="18">
                  <c:v>21794</c:v>
                </c:pt>
                <c:pt idx="19">
                  <c:v>21824</c:v>
                </c:pt>
                <c:pt idx="20">
                  <c:v>21855</c:v>
                </c:pt>
                <c:pt idx="21">
                  <c:v>21885</c:v>
                </c:pt>
                <c:pt idx="22">
                  <c:v>21916</c:v>
                </c:pt>
                <c:pt idx="23">
                  <c:v>21947</c:v>
                </c:pt>
                <c:pt idx="24">
                  <c:v>21976</c:v>
                </c:pt>
                <c:pt idx="25">
                  <c:v>22007</c:v>
                </c:pt>
                <c:pt idx="26">
                  <c:v>22037</c:v>
                </c:pt>
                <c:pt idx="27">
                  <c:v>22068</c:v>
                </c:pt>
                <c:pt idx="28">
                  <c:v>22098</c:v>
                </c:pt>
                <c:pt idx="29">
                  <c:v>22129</c:v>
                </c:pt>
                <c:pt idx="30">
                  <c:v>22160</c:v>
                </c:pt>
                <c:pt idx="31">
                  <c:v>22190</c:v>
                </c:pt>
                <c:pt idx="32">
                  <c:v>22221</c:v>
                </c:pt>
                <c:pt idx="33">
                  <c:v>22251</c:v>
                </c:pt>
                <c:pt idx="34">
                  <c:v>22282</c:v>
                </c:pt>
                <c:pt idx="35">
                  <c:v>22313</c:v>
                </c:pt>
                <c:pt idx="36">
                  <c:v>22341</c:v>
                </c:pt>
                <c:pt idx="37">
                  <c:v>22372</c:v>
                </c:pt>
                <c:pt idx="38">
                  <c:v>22402</c:v>
                </c:pt>
                <c:pt idx="39">
                  <c:v>22433</c:v>
                </c:pt>
                <c:pt idx="40">
                  <c:v>22463</c:v>
                </c:pt>
                <c:pt idx="41">
                  <c:v>22494</c:v>
                </c:pt>
                <c:pt idx="42">
                  <c:v>22525</c:v>
                </c:pt>
                <c:pt idx="43">
                  <c:v>22555</c:v>
                </c:pt>
                <c:pt idx="44">
                  <c:v>22586</c:v>
                </c:pt>
                <c:pt idx="45">
                  <c:v>22616</c:v>
                </c:pt>
                <c:pt idx="46">
                  <c:v>22647</c:v>
                </c:pt>
                <c:pt idx="47">
                  <c:v>22678</c:v>
                </c:pt>
                <c:pt idx="48">
                  <c:v>22706</c:v>
                </c:pt>
                <c:pt idx="49">
                  <c:v>22737</c:v>
                </c:pt>
                <c:pt idx="50">
                  <c:v>22767</c:v>
                </c:pt>
                <c:pt idx="51">
                  <c:v>22798</c:v>
                </c:pt>
                <c:pt idx="52">
                  <c:v>22828</c:v>
                </c:pt>
                <c:pt idx="53">
                  <c:v>22859</c:v>
                </c:pt>
                <c:pt idx="54">
                  <c:v>22890</c:v>
                </c:pt>
                <c:pt idx="55">
                  <c:v>22920</c:v>
                </c:pt>
                <c:pt idx="56">
                  <c:v>22951</c:v>
                </c:pt>
                <c:pt idx="57">
                  <c:v>22981</c:v>
                </c:pt>
                <c:pt idx="58">
                  <c:v>23012</c:v>
                </c:pt>
                <c:pt idx="59">
                  <c:v>23043</c:v>
                </c:pt>
                <c:pt idx="60">
                  <c:v>23071</c:v>
                </c:pt>
                <c:pt idx="61">
                  <c:v>23102</c:v>
                </c:pt>
                <c:pt idx="62">
                  <c:v>23132</c:v>
                </c:pt>
                <c:pt idx="63">
                  <c:v>23163</c:v>
                </c:pt>
                <c:pt idx="64">
                  <c:v>23193</c:v>
                </c:pt>
                <c:pt idx="65">
                  <c:v>23224</c:v>
                </c:pt>
                <c:pt idx="66">
                  <c:v>23255</c:v>
                </c:pt>
                <c:pt idx="67">
                  <c:v>23285</c:v>
                </c:pt>
                <c:pt idx="68">
                  <c:v>23316</c:v>
                </c:pt>
                <c:pt idx="69">
                  <c:v>23346</c:v>
                </c:pt>
                <c:pt idx="70">
                  <c:v>23377</c:v>
                </c:pt>
                <c:pt idx="71">
                  <c:v>23408</c:v>
                </c:pt>
                <c:pt idx="72">
                  <c:v>23437</c:v>
                </c:pt>
                <c:pt idx="73">
                  <c:v>23468</c:v>
                </c:pt>
                <c:pt idx="74">
                  <c:v>23498</c:v>
                </c:pt>
                <c:pt idx="75">
                  <c:v>23529</c:v>
                </c:pt>
                <c:pt idx="76">
                  <c:v>23559</c:v>
                </c:pt>
                <c:pt idx="77">
                  <c:v>23590</c:v>
                </c:pt>
                <c:pt idx="78">
                  <c:v>23621</c:v>
                </c:pt>
                <c:pt idx="79">
                  <c:v>23651</c:v>
                </c:pt>
                <c:pt idx="80">
                  <c:v>23682</c:v>
                </c:pt>
                <c:pt idx="81">
                  <c:v>23712</c:v>
                </c:pt>
                <c:pt idx="82">
                  <c:v>23743</c:v>
                </c:pt>
                <c:pt idx="83">
                  <c:v>23774</c:v>
                </c:pt>
                <c:pt idx="84">
                  <c:v>23802</c:v>
                </c:pt>
                <c:pt idx="85">
                  <c:v>23833</c:v>
                </c:pt>
                <c:pt idx="86">
                  <c:v>23863</c:v>
                </c:pt>
                <c:pt idx="87">
                  <c:v>23894</c:v>
                </c:pt>
                <c:pt idx="88">
                  <c:v>23924</c:v>
                </c:pt>
                <c:pt idx="89">
                  <c:v>23955</c:v>
                </c:pt>
                <c:pt idx="90">
                  <c:v>23986</c:v>
                </c:pt>
                <c:pt idx="91">
                  <c:v>24016</c:v>
                </c:pt>
                <c:pt idx="92">
                  <c:v>24047</c:v>
                </c:pt>
                <c:pt idx="93">
                  <c:v>24077</c:v>
                </c:pt>
                <c:pt idx="94">
                  <c:v>24108</c:v>
                </c:pt>
                <c:pt idx="95">
                  <c:v>24139</c:v>
                </c:pt>
                <c:pt idx="96">
                  <c:v>24167</c:v>
                </c:pt>
                <c:pt idx="97">
                  <c:v>24198</c:v>
                </c:pt>
                <c:pt idx="98">
                  <c:v>24228</c:v>
                </c:pt>
                <c:pt idx="99">
                  <c:v>24259</c:v>
                </c:pt>
                <c:pt idx="100">
                  <c:v>24289</c:v>
                </c:pt>
                <c:pt idx="101">
                  <c:v>24320</c:v>
                </c:pt>
                <c:pt idx="102">
                  <c:v>24351</c:v>
                </c:pt>
                <c:pt idx="103">
                  <c:v>24381</c:v>
                </c:pt>
                <c:pt idx="104">
                  <c:v>24412</c:v>
                </c:pt>
                <c:pt idx="105">
                  <c:v>24442</c:v>
                </c:pt>
                <c:pt idx="106">
                  <c:v>24473</c:v>
                </c:pt>
                <c:pt idx="107">
                  <c:v>24504</c:v>
                </c:pt>
                <c:pt idx="108">
                  <c:v>24532</c:v>
                </c:pt>
                <c:pt idx="109">
                  <c:v>24563</c:v>
                </c:pt>
                <c:pt idx="110">
                  <c:v>24593</c:v>
                </c:pt>
                <c:pt idx="111">
                  <c:v>24624</c:v>
                </c:pt>
                <c:pt idx="112">
                  <c:v>24654</c:v>
                </c:pt>
                <c:pt idx="113">
                  <c:v>24685</c:v>
                </c:pt>
                <c:pt idx="114">
                  <c:v>24716</c:v>
                </c:pt>
                <c:pt idx="115">
                  <c:v>24746</c:v>
                </c:pt>
                <c:pt idx="116">
                  <c:v>24777</c:v>
                </c:pt>
                <c:pt idx="117">
                  <c:v>24807</c:v>
                </c:pt>
                <c:pt idx="118">
                  <c:v>24838</c:v>
                </c:pt>
                <c:pt idx="119">
                  <c:v>24869</c:v>
                </c:pt>
                <c:pt idx="120">
                  <c:v>24898</c:v>
                </c:pt>
                <c:pt idx="121">
                  <c:v>24929</c:v>
                </c:pt>
                <c:pt idx="122">
                  <c:v>24959</c:v>
                </c:pt>
                <c:pt idx="123">
                  <c:v>24990</c:v>
                </c:pt>
                <c:pt idx="124">
                  <c:v>25020</c:v>
                </c:pt>
                <c:pt idx="125">
                  <c:v>25051</c:v>
                </c:pt>
                <c:pt idx="126">
                  <c:v>25082</c:v>
                </c:pt>
                <c:pt idx="127">
                  <c:v>25112</c:v>
                </c:pt>
                <c:pt idx="128">
                  <c:v>25143</c:v>
                </c:pt>
                <c:pt idx="129">
                  <c:v>25173</c:v>
                </c:pt>
                <c:pt idx="130">
                  <c:v>25204</c:v>
                </c:pt>
                <c:pt idx="131">
                  <c:v>25235</c:v>
                </c:pt>
                <c:pt idx="132">
                  <c:v>25263</c:v>
                </c:pt>
                <c:pt idx="133">
                  <c:v>25294</c:v>
                </c:pt>
                <c:pt idx="134">
                  <c:v>25324</c:v>
                </c:pt>
                <c:pt idx="135">
                  <c:v>25355</c:v>
                </c:pt>
                <c:pt idx="136">
                  <c:v>25385</c:v>
                </c:pt>
                <c:pt idx="137">
                  <c:v>25416</c:v>
                </c:pt>
                <c:pt idx="138">
                  <c:v>25447</c:v>
                </c:pt>
                <c:pt idx="139">
                  <c:v>25477</c:v>
                </c:pt>
                <c:pt idx="140">
                  <c:v>25508</c:v>
                </c:pt>
                <c:pt idx="141">
                  <c:v>25538</c:v>
                </c:pt>
                <c:pt idx="142">
                  <c:v>25569</c:v>
                </c:pt>
                <c:pt idx="143">
                  <c:v>25600</c:v>
                </c:pt>
                <c:pt idx="144">
                  <c:v>25628</c:v>
                </c:pt>
                <c:pt idx="145">
                  <c:v>25659</c:v>
                </c:pt>
                <c:pt idx="146">
                  <c:v>25689</c:v>
                </c:pt>
                <c:pt idx="147">
                  <c:v>25720</c:v>
                </c:pt>
                <c:pt idx="148">
                  <c:v>25750</c:v>
                </c:pt>
                <c:pt idx="149">
                  <c:v>25781</c:v>
                </c:pt>
                <c:pt idx="150">
                  <c:v>25812</c:v>
                </c:pt>
                <c:pt idx="151">
                  <c:v>25842</c:v>
                </c:pt>
                <c:pt idx="152">
                  <c:v>25873</c:v>
                </c:pt>
                <c:pt idx="153">
                  <c:v>25903</c:v>
                </c:pt>
                <c:pt idx="154">
                  <c:v>25934</c:v>
                </c:pt>
                <c:pt idx="155">
                  <c:v>25965</c:v>
                </c:pt>
                <c:pt idx="156">
                  <c:v>25993</c:v>
                </c:pt>
                <c:pt idx="157">
                  <c:v>26024</c:v>
                </c:pt>
                <c:pt idx="158">
                  <c:v>26054</c:v>
                </c:pt>
                <c:pt idx="159">
                  <c:v>26085</c:v>
                </c:pt>
                <c:pt idx="160">
                  <c:v>26115</c:v>
                </c:pt>
                <c:pt idx="161">
                  <c:v>26146</c:v>
                </c:pt>
                <c:pt idx="162">
                  <c:v>26177</c:v>
                </c:pt>
                <c:pt idx="163">
                  <c:v>26207</c:v>
                </c:pt>
                <c:pt idx="164">
                  <c:v>26238</c:v>
                </c:pt>
                <c:pt idx="165">
                  <c:v>26268</c:v>
                </c:pt>
                <c:pt idx="166">
                  <c:v>26299</c:v>
                </c:pt>
                <c:pt idx="167">
                  <c:v>26330</c:v>
                </c:pt>
                <c:pt idx="168">
                  <c:v>26359</c:v>
                </c:pt>
                <c:pt idx="169">
                  <c:v>26390</c:v>
                </c:pt>
                <c:pt idx="170">
                  <c:v>26420</c:v>
                </c:pt>
                <c:pt idx="171">
                  <c:v>26451</c:v>
                </c:pt>
                <c:pt idx="172">
                  <c:v>26481</c:v>
                </c:pt>
                <c:pt idx="173">
                  <c:v>26512</c:v>
                </c:pt>
                <c:pt idx="174">
                  <c:v>26543</c:v>
                </c:pt>
                <c:pt idx="175">
                  <c:v>26573</c:v>
                </c:pt>
                <c:pt idx="176">
                  <c:v>26604</c:v>
                </c:pt>
                <c:pt idx="177">
                  <c:v>26634</c:v>
                </c:pt>
                <c:pt idx="178">
                  <c:v>26665</c:v>
                </c:pt>
                <c:pt idx="179">
                  <c:v>26696</c:v>
                </c:pt>
                <c:pt idx="180">
                  <c:v>26724</c:v>
                </c:pt>
                <c:pt idx="181">
                  <c:v>26755</c:v>
                </c:pt>
                <c:pt idx="182">
                  <c:v>26785</c:v>
                </c:pt>
                <c:pt idx="183">
                  <c:v>26816</c:v>
                </c:pt>
                <c:pt idx="184">
                  <c:v>26846</c:v>
                </c:pt>
                <c:pt idx="185">
                  <c:v>26877</c:v>
                </c:pt>
                <c:pt idx="186">
                  <c:v>26908</c:v>
                </c:pt>
                <c:pt idx="187">
                  <c:v>26938</c:v>
                </c:pt>
                <c:pt idx="188">
                  <c:v>26969</c:v>
                </c:pt>
                <c:pt idx="189">
                  <c:v>26999</c:v>
                </c:pt>
                <c:pt idx="190">
                  <c:v>27030</c:v>
                </c:pt>
                <c:pt idx="191">
                  <c:v>27061</c:v>
                </c:pt>
                <c:pt idx="192">
                  <c:v>27089</c:v>
                </c:pt>
                <c:pt idx="193">
                  <c:v>27120</c:v>
                </c:pt>
                <c:pt idx="194">
                  <c:v>27150</c:v>
                </c:pt>
                <c:pt idx="195">
                  <c:v>27181</c:v>
                </c:pt>
                <c:pt idx="196">
                  <c:v>27211</c:v>
                </c:pt>
                <c:pt idx="197">
                  <c:v>27242</c:v>
                </c:pt>
                <c:pt idx="198">
                  <c:v>27273</c:v>
                </c:pt>
                <c:pt idx="199">
                  <c:v>27303</c:v>
                </c:pt>
                <c:pt idx="200">
                  <c:v>27334</c:v>
                </c:pt>
                <c:pt idx="201">
                  <c:v>27364</c:v>
                </c:pt>
                <c:pt idx="202">
                  <c:v>27395</c:v>
                </c:pt>
                <c:pt idx="203">
                  <c:v>27426</c:v>
                </c:pt>
                <c:pt idx="204">
                  <c:v>27454</c:v>
                </c:pt>
                <c:pt idx="205">
                  <c:v>27485</c:v>
                </c:pt>
                <c:pt idx="206">
                  <c:v>27515</c:v>
                </c:pt>
                <c:pt idx="207">
                  <c:v>27546</c:v>
                </c:pt>
                <c:pt idx="208">
                  <c:v>27576</c:v>
                </c:pt>
                <c:pt idx="209">
                  <c:v>27607</c:v>
                </c:pt>
                <c:pt idx="210">
                  <c:v>27638</c:v>
                </c:pt>
                <c:pt idx="211">
                  <c:v>27668</c:v>
                </c:pt>
                <c:pt idx="212">
                  <c:v>27699</c:v>
                </c:pt>
                <c:pt idx="213">
                  <c:v>27729</c:v>
                </c:pt>
                <c:pt idx="214">
                  <c:v>27760</c:v>
                </c:pt>
                <c:pt idx="215">
                  <c:v>27791</c:v>
                </c:pt>
                <c:pt idx="216">
                  <c:v>27820</c:v>
                </c:pt>
                <c:pt idx="217">
                  <c:v>27851</c:v>
                </c:pt>
                <c:pt idx="218">
                  <c:v>27881</c:v>
                </c:pt>
                <c:pt idx="219">
                  <c:v>27912</c:v>
                </c:pt>
                <c:pt idx="220">
                  <c:v>27942</c:v>
                </c:pt>
                <c:pt idx="221">
                  <c:v>27973</c:v>
                </c:pt>
                <c:pt idx="222">
                  <c:v>28004</c:v>
                </c:pt>
                <c:pt idx="223">
                  <c:v>28034</c:v>
                </c:pt>
                <c:pt idx="224">
                  <c:v>28065</c:v>
                </c:pt>
                <c:pt idx="225">
                  <c:v>28095</c:v>
                </c:pt>
                <c:pt idx="226">
                  <c:v>28126</c:v>
                </c:pt>
                <c:pt idx="227">
                  <c:v>28157</c:v>
                </c:pt>
                <c:pt idx="228">
                  <c:v>28185</c:v>
                </c:pt>
                <c:pt idx="229">
                  <c:v>28216</c:v>
                </c:pt>
                <c:pt idx="230">
                  <c:v>28246</c:v>
                </c:pt>
                <c:pt idx="231">
                  <c:v>28277</c:v>
                </c:pt>
                <c:pt idx="232">
                  <c:v>28307</c:v>
                </c:pt>
                <c:pt idx="233">
                  <c:v>28338</c:v>
                </c:pt>
                <c:pt idx="234">
                  <c:v>28369</c:v>
                </c:pt>
                <c:pt idx="235">
                  <c:v>28399</c:v>
                </c:pt>
                <c:pt idx="236">
                  <c:v>28430</c:v>
                </c:pt>
                <c:pt idx="237">
                  <c:v>28460</c:v>
                </c:pt>
                <c:pt idx="238">
                  <c:v>28491</c:v>
                </c:pt>
                <c:pt idx="239">
                  <c:v>28522</c:v>
                </c:pt>
                <c:pt idx="240">
                  <c:v>28550</c:v>
                </c:pt>
                <c:pt idx="241">
                  <c:v>28581</c:v>
                </c:pt>
                <c:pt idx="242">
                  <c:v>28611</c:v>
                </c:pt>
                <c:pt idx="243">
                  <c:v>28642</c:v>
                </c:pt>
                <c:pt idx="244">
                  <c:v>28672</c:v>
                </c:pt>
                <c:pt idx="245">
                  <c:v>28703</c:v>
                </c:pt>
                <c:pt idx="246">
                  <c:v>28734</c:v>
                </c:pt>
                <c:pt idx="247">
                  <c:v>28764</c:v>
                </c:pt>
                <c:pt idx="248">
                  <c:v>28795</c:v>
                </c:pt>
                <c:pt idx="249">
                  <c:v>28825</c:v>
                </c:pt>
                <c:pt idx="250">
                  <c:v>28856</c:v>
                </c:pt>
                <c:pt idx="251">
                  <c:v>28887</c:v>
                </c:pt>
                <c:pt idx="252">
                  <c:v>28915</c:v>
                </c:pt>
                <c:pt idx="253">
                  <c:v>28946</c:v>
                </c:pt>
                <c:pt idx="254">
                  <c:v>28976</c:v>
                </c:pt>
                <c:pt idx="255">
                  <c:v>29007</c:v>
                </c:pt>
                <c:pt idx="256">
                  <c:v>29037</c:v>
                </c:pt>
                <c:pt idx="257">
                  <c:v>29068</c:v>
                </c:pt>
                <c:pt idx="258">
                  <c:v>29099</c:v>
                </c:pt>
                <c:pt idx="259">
                  <c:v>29129</c:v>
                </c:pt>
                <c:pt idx="260">
                  <c:v>29160</c:v>
                </c:pt>
                <c:pt idx="261">
                  <c:v>29190</c:v>
                </c:pt>
                <c:pt idx="262">
                  <c:v>29221</c:v>
                </c:pt>
                <c:pt idx="263">
                  <c:v>29252</c:v>
                </c:pt>
                <c:pt idx="264">
                  <c:v>29281</c:v>
                </c:pt>
                <c:pt idx="265">
                  <c:v>29312</c:v>
                </c:pt>
                <c:pt idx="266">
                  <c:v>29342</c:v>
                </c:pt>
                <c:pt idx="267">
                  <c:v>29373</c:v>
                </c:pt>
                <c:pt idx="268">
                  <c:v>29403</c:v>
                </c:pt>
                <c:pt idx="269">
                  <c:v>29434</c:v>
                </c:pt>
                <c:pt idx="270">
                  <c:v>29465</c:v>
                </c:pt>
                <c:pt idx="271">
                  <c:v>29495</c:v>
                </c:pt>
                <c:pt idx="272">
                  <c:v>29526</c:v>
                </c:pt>
                <c:pt idx="273">
                  <c:v>29556</c:v>
                </c:pt>
                <c:pt idx="274">
                  <c:v>29587</c:v>
                </c:pt>
                <c:pt idx="275">
                  <c:v>29618</c:v>
                </c:pt>
                <c:pt idx="276">
                  <c:v>29646</c:v>
                </c:pt>
                <c:pt idx="277">
                  <c:v>29677</c:v>
                </c:pt>
                <c:pt idx="278">
                  <c:v>29707</c:v>
                </c:pt>
                <c:pt idx="279">
                  <c:v>29738</c:v>
                </c:pt>
                <c:pt idx="280">
                  <c:v>29768</c:v>
                </c:pt>
                <c:pt idx="281">
                  <c:v>29799</c:v>
                </c:pt>
                <c:pt idx="282">
                  <c:v>29830</c:v>
                </c:pt>
                <c:pt idx="283">
                  <c:v>29860</c:v>
                </c:pt>
                <c:pt idx="284">
                  <c:v>29891</c:v>
                </c:pt>
                <c:pt idx="285">
                  <c:v>29921</c:v>
                </c:pt>
                <c:pt idx="286">
                  <c:v>29952</c:v>
                </c:pt>
                <c:pt idx="287">
                  <c:v>29983</c:v>
                </c:pt>
                <c:pt idx="288">
                  <c:v>30011</c:v>
                </c:pt>
                <c:pt idx="289">
                  <c:v>30042</c:v>
                </c:pt>
                <c:pt idx="290">
                  <c:v>30072</c:v>
                </c:pt>
                <c:pt idx="291">
                  <c:v>30103</c:v>
                </c:pt>
                <c:pt idx="292">
                  <c:v>30133</c:v>
                </c:pt>
                <c:pt idx="293">
                  <c:v>30164</c:v>
                </c:pt>
                <c:pt idx="294">
                  <c:v>30195</c:v>
                </c:pt>
                <c:pt idx="295">
                  <c:v>30225</c:v>
                </c:pt>
                <c:pt idx="296">
                  <c:v>30256</c:v>
                </c:pt>
                <c:pt idx="297">
                  <c:v>30286</c:v>
                </c:pt>
                <c:pt idx="298">
                  <c:v>30317</c:v>
                </c:pt>
                <c:pt idx="299">
                  <c:v>30348</c:v>
                </c:pt>
                <c:pt idx="300">
                  <c:v>30376</c:v>
                </c:pt>
                <c:pt idx="301">
                  <c:v>30407</c:v>
                </c:pt>
                <c:pt idx="302">
                  <c:v>30437</c:v>
                </c:pt>
                <c:pt idx="303">
                  <c:v>30468</c:v>
                </c:pt>
                <c:pt idx="304">
                  <c:v>30498</c:v>
                </c:pt>
                <c:pt idx="305">
                  <c:v>30529</c:v>
                </c:pt>
                <c:pt idx="306">
                  <c:v>30560</c:v>
                </c:pt>
                <c:pt idx="307">
                  <c:v>30590</c:v>
                </c:pt>
                <c:pt idx="308">
                  <c:v>30621</c:v>
                </c:pt>
                <c:pt idx="309">
                  <c:v>30651</c:v>
                </c:pt>
                <c:pt idx="310">
                  <c:v>30682</c:v>
                </c:pt>
                <c:pt idx="311">
                  <c:v>30713</c:v>
                </c:pt>
                <c:pt idx="312">
                  <c:v>30742</c:v>
                </c:pt>
                <c:pt idx="313">
                  <c:v>30773</c:v>
                </c:pt>
                <c:pt idx="314">
                  <c:v>30803</c:v>
                </c:pt>
                <c:pt idx="315">
                  <c:v>30834</c:v>
                </c:pt>
                <c:pt idx="316">
                  <c:v>30864</c:v>
                </c:pt>
                <c:pt idx="317">
                  <c:v>30895</c:v>
                </c:pt>
                <c:pt idx="318">
                  <c:v>30926</c:v>
                </c:pt>
                <c:pt idx="319">
                  <c:v>30956</c:v>
                </c:pt>
                <c:pt idx="320">
                  <c:v>30987</c:v>
                </c:pt>
                <c:pt idx="321">
                  <c:v>31017</c:v>
                </c:pt>
                <c:pt idx="322">
                  <c:v>31048</c:v>
                </c:pt>
                <c:pt idx="323">
                  <c:v>31079</c:v>
                </c:pt>
                <c:pt idx="324">
                  <c:v>31107</c:v>
                </c:pt>
                <c:pt idx="325">
                  <c:v>31138</c:v>
                </c:pt>
                <c:pt idx="326">
                  <c:v>31168</c:v>
                </c:pt>
                <c:pt idx="327">
                  <c:v>31199</c:v>
                </c:pt>
                <c:pt idx="328">
                  <c:v>31229</c:v>
                </c:pt>
                <c:pt idx="329">
                  <c:v>31260</c:v>
                </c:pt>
                <c:pt idx="330">
                  <c:v>31291</c:v>
                </c:pt>
                <c:pt idx="331">
                  <c:v>31321</c:v>
                </c:pt>
                <c:pt idx="332">
                  <c:v>31352</c:v>
                </c:pt>
                <c:pt idx="333">
                  <c:v>31382</c:v>
                </c:pt>
                <c:pt idx="334">
                  <c:v>31413</c:v>
                </c:pt>
                <c:pt idx="335">
                  <c:v>31444</c:v>
                </c:pt>
                <c:pt idx="336">
                  <c:v>31472</c:v>
                </c:pt>
                <c:pt idx="337">
                  <c:v>31503</c:v>
                </c:pt>
                <c:pt idx="338">
                  <c:v>31533</c:v>
                </c:pt>
                <c:pt idx="339">
                  <c:v>31564</c:v>
                </c:pt>
                <c:pt idx="340">
                  <c:v>31594</c:v>
                </c:pt>
                <c:pt idx="341">
                  <c:v>31625</c:v>
                </c:pt>
                <c:pt idx="342">
                  <c:v>31656</c:v>
                </c:pt>
                <c:pt idx="343">
                  <c:v>31686</c:v>
                </c:pt>
                <c:pt idx="344">
                  <c:v>31717</c:v>
                </c:pt>
                <c:pt idx="345">
                  <c:v>31747</c:v>
                </c:pt>
                <c:pt idx="346">
                  <c:v>31778</c:v>
                </c:pt>
                <c:pt idx="347">
                  <c:v>31809</c:v>
                </c:pt>
                <c:pt idx="348">
                  <c:v>31837</c:v>
                </c:pt>
                <c:pt idx="349">
                  <c:v>31868</c:v>
                </c:pt>
                <c:pt idx="350">
                  <c:v>31898</c:v>
                </c:pt>
                <c:pt idx="351">
                  <c:v>31929</c:v>
                </c:pt>
                <c:pt idx="352">
                  <c:v>31959</c:v>
                </c:pt>
                <c:pt idx="353">
                  <c:v>31990</c:v>
                </c:pt>
                <c:pt idx="354">
                  <c:v>32021</c:v>
                </c:pt>
                <c:pt idx="355">
                  <c:v>32051</c:v>
                </c:pt>
                <c:pt idx="356">
                  <c:v>32082</c:v>
                </c:pt>
                <c:pt idx="357">
                  <c:v>32112</c:v>
                </c:pt>
                <c:pt idx="358">
                  <c:v>32143</c:v>
                </c:pt>
                <c:pt idx="359">
                  <c:v>32174</c:v>
                </c:pt>
                <c:pt idx="360">
                  <c:v>32203</c:v>
                </c:pt>
                <c:pt idx="361">
                  <c:v>32234</c:v>
                </c:pt>
                <c:pt idx="362">
                  <c:v>32264</c:v>
                </c:pt>
                <c:pt idx="363">
                  <c:v>32295</c:v>
                </c:pt>
                <c:pt idx="364">
                  <c:v>32325</c:v>
                </c:pt>
                <c:pt idx="365">
                  <c:v>32356</c:v>
                </c:pt>
                <c:pt idx="366">
                  <c:v>32387</c:v>
                </c:pt>
                <c:pt idx="367">
                  <c:v>32417</c:v>
                </c:pt>
                <c:pt idx="368">
                  <c:v>32448</c:v>
                </c:pt>
                <c:pt idx="369">
                  <c:v>32478</c:v>
                </c:pt>
                <c:pt idx="370">
                  <c:v>32509</c:v>
                </c:pt>
                <c:pt idx="371">
                  <c:v>32540</c:v>
                </c:pt>
                <c:pt idx="372">
                  <c:v>32568</c:v>
                </c:pt>
                <c:pt idx="373">
                  <c:v>32599</c:v>
                </c:pt>
                <c:pt idx="374">
                  <c:v>32629</c:v>
                </c:pt>
                <c:pt idx="375">
                  <c:v>32660</c:v>
                </c:pt>
                <c:pt idx="376">
                  <c:v>32690</c:v>
                </c:pt>
                <c:pt idx="377">
                  <c:v>32721</c:v>
                </c:pt>
                <c:pt idx="378">
                  <c:v>32752</c:v>
                </c:pt>
                <c:pt idx="379">
                  <c:v>32782</c:v>
                </c:pt>
                <c:pt idx="380">
                  <c:v>32813</c:v>
                </c:pt>
                <c:pt idx="381">
                  <c:v>32843</c:v>
                </c:pt>
                <c:pt idx="382">
                  <c:v>32874</c:v>
                </c:pt>
                <c:pt idx="383">
                  <c:v>32905</c:v>
                </c:pt>
                <c:pt idx="384">
                  <c:v>32933</c:v>
                </c:pt>
                <c:pt idx="385">
                  <c:v>32964</c:v>
                </c:pt>
                <c:pt idx="386">
                  <c:v>32994</c:v>
                </c:pt>
                <c:pt idx="387">
                  <c:v>33025</c:v>
                </c:pt>
                <c:pt idx="388">
                  <c:v>33055</c:v>
                </c:pt>
                <c:pt idx="389">
                  <c:v>33086</c:v>
                </c:pt>
                <c:pt idx="390">
                  <c:v>33117</c:v>
                </c:pt>
                <c:pt idx="391">
                  <c:v>33147</c:v>
                </c:pt>
                <c:pt idx="392">
                  <c:v>33178</c:v>
                </c:pt>
                <c:pt idx="393">
                  <c:v>33208</c:v>
                </c:pt>
                <c:pt idx="394">
                  <c:v>33239</c:v>
                </c:pt>
                <c:pt idx="395">
                  <c:v>33270</c:v>
                </c:pt>
                <c:pt idx="396">
                  <c:v>33298</c:v>
                </c:pt>
                <c:pt idx="397">
                  <c:v>33329</c:v>
                </c:pt>
                <c:pt idx="398">
                  <c:v>33359</c:v>
                </c:pt>
                <c:pt idx="399">
                  <c:v>33390</c:v>
                </c:pt>
                <c:pt idx="400">
                  <c:v>33420</c:v>
                </c:pt>
                <c:pt idx="401">
                  <c:v>33451</c:v>
                </c:pt>
                <c:pt idx="402">
                  <c:v>33482</c:v>
                </c:pt>
                <c:pt idx="403">
                  <c:v>33512</c:v>
                </c:pt>
                <c:pt idx="404">
                  <c:v>33543</c:v>
                </c:pt>
                <c:pt idx="405">
                  <c:v>33573</c:v>
                </c:pt>
                <c:pt idx="406">
                  <c:v>33604</c:v>
                </c:pt>
                <c:pt idx="407">
                  <c:v>33635</c:v>
                </c:pt>
                <c:pt idx="408">
                  <c:v>33664</c:v>
                </c:pt>
                <c:pt idx="409">
                  <c:v>33695</c:v>
                </c:pt>
                <c:pt idx="410">
                  <c:v>33725</c:v>
                </c:pt>
                <c:pt idx="411">
                  <c:v>33756</c:v>
                </c:pt>
                <c:pt idx="412">
                  <c:v>33786</c:v>
                </c:pt>
                <c:pt idx="413">
                  <c:v>33817</c:v>
                </c:pt>
                <c:pt idx="414">
                  <c:v>33848</c:v>
                </c:pt>
                <c:pt idx="415">
                  <c:v>33878</c:v>
                </c:pt>
                <c:pt idx="416">
                  <c:v>33909</c:v>
                </c:pt>
                <c:pt idx="417">
                  <c:v>33939</c:v>
                </c:pt>
                <c:pt idx="418">
                  <c:v>33970</c:v>
                </c:pt>
                <c:pt idx="419">
                  <c:v>34001</c:v>
                </c:pt>
                <c:pt idx="420">
                  <c:v>34029</c:v>
                </c:pt>
                <c:pt idx="421">
                  <c:v>34060</c:v>
                </c:pt>
                <c:pt idx="422">
                  <c:v>34090</c:v>
                </c:pt>
                <c:pt idx="423">
                  <c:v>34121</c:v>
                </c:pt>
                <c:pt idx="424">
                  <c:v>34151</c:v>
                </c:pt>
                <c:pt idx="425">
                  <c:v>34182</c:v>
                </c:pt>
                <c:pt idx="426">
                  <c:v>34213</c:v>
                </c:pt>
                <c:pt idx="427">
                  <c:v>34243</c:v>
                </c:pt>
                <c:pt idx="428">
                  <c:v>34274</c:v>
                </c:pt>
                <c:pt idx="429">
                  <c:v>34304</c:v>
                </c:pt>
                <c:pt idx="430">
                  <c:v>34335</c:v>
                </c:pt>
                <c:pt idx="431">
                  <c:v>34366</c:v>
                </c:pt>
                <c:pt idx="432">
                  <c:v>34394</c:v>
                </c:pt>
                <c:pt idx="433">
                  <c:v>34425</c:v>
                </c:pt>
                <c:pt idx="434">
                  <c:v>34455</c:v>
                </c:pt>
                <c:pt idx="435">
                  <c:v>34486</c:v>
                </c:pt>
                <c:pt idx="436">
                  <c:v>34516</c:v>
                </c:pt>
                <c:pt idx="437">
                  <c:v>34547</c:v>
                </c:pt>
                <c:pt idx="438">
                  <c:v>34578</c:v>
                </c:pt>
                <c:pt idx="439">
                  <c:v>34608</c:v>
                </c:pt>
                <c:pt idx="440">
                  <c:v>34639</c:v>
                </c:pt>
                <c:pt idx="441">
                  <c:v>34669</c:v>
                </c:pt>
                <c:pt idx="442">
                  <c:v>34700</c:v>
                </c:pt>
                <c:pt idx="443">
                  <c:v>34731</c:v>
                </c:pt>
                <c:pt idx="444">
                  <c:v>34759</c:v>
                </c:pt>
                <c:pt idx="445">
                  <c:v>34790</c:v>
                </c:pt>
                <c:pt idx="446">
                  <c:v>34820</c:v>
                </c:pt>
                <c:pt idx="447">
                  <c:v>34851</c:v>
                </c:pt>
                <c:pt idx="448">
                  <c:v>34881</c:v>
                </c:pt>
                <c:pt idx="449">
                  <c:v>34912</c:v>
                </c:pt>
                <c:pt idx="450">
                  <c:v>34943</c:v>
                </c:pt>
                <c:pt idx="451">
                  <c:v>34973</c:v>
                </c:pt>
                <c:pt idx="452">
                  <c:v>35004</c:v>
                </c:pt>
                <c:pt idx="453">
                  <c:v>35034</c:v>
                </c:pt>
                <c:pt idx="454">
                  <c:v>35065</c:v>
                </c:pt>
                <c:pt idx="455">
                  <c:v>35096</c:v>
                </c:pt>
                <c:pt idx="456">
                  <c:v>35125</c:v>
                </c:pt>
                <c:pt idx="457">
                  <c:v>35156</c:v>
                </c:pt>
                <c:pt idx="458">
                  <c:v>35186</c:v>
                </c:pt>
                <c:pt idx="459">
                  <c:v>35217</c:v>
                </c:pt>
                <c:pt idx="460">
                  <c:v>35247</c:v>
                </c:pt>
                <c:pt idx="461">
                  <c:v>35278</c:v>
                </c:pt>
                <c:pt idx="462">
                  <c:v>35309</c:v>
                </c:pt>
                <c:pt idx="463">
                  <c:v>35339</c:v>
                </c:pt>
                <c:pt idx="464">
                  <c:v>35370</c:v>
                </c:pt>
                <c:pt idx="465">
                  <c:v>35400</c:v>
                </c:pt>
                <c:pt idx="466">
                  <c:v>35431</c:v>
                </c:pt>
                <c:pt idx="467">
                  <c:v>35462</c:v>
                </c:pt>
                <c:pt idx="468">
                  <c:v>35490</c:v>
                </c:pt>
                <c:pt idx="469">
                  <c:v>35521</c:v>
                </c:pt>
                <c:pt idx="470">
                  <c:v>35551</c:v>
                </c:pt>
                <c:pt idx="471">
                  <c:v>35582</c:v>
                </c:pt>
                <c:pt idx="472">
                  <c:v>35612</c:v>
                </c:pt>
                <c:pt idx="473">
                  <c:v>35643</c:v>
                </c:pt>
                <c:pt idx="474">
                  <c:v>35674</c:v>
                </c:pt>
                <c:pt idx="475">
                  <c:v>35704</c:v>
                </c:pt>
                <c:pt idx="476">
                  <c:v>35735</c:v>
                </c:pt>
                <c:pt idx="477">
                  <c:v>35765</c:v>
                </c:pt>
                <c:pt idx="478">
                  <c:v>35796</c:v>
                </c:pt>
                <c:pt idx="479">
                  <c:v>35827</c:v>
                </c:pt>
                <c:pt idx="480">
                  <c:v>35855</c:v>
                </c:pt>
                <c:pt idx="481">
                  <c:v>35886</c:v>
                </c:pt>
                <c:pt idx="482">
                  <c:v>35916</c:v>
                </c:pt>
                <c:pt idx="483">
                  <c:v>35947</c:v>
                </c:pt>
                <c:pt idx="484">
                  <c:v>35977</c:v>
                </c:pt>
                <c:pt idx="485">
                  <c:v>36008</c:v>
                </c:pt>
                <c:pt idx="486">
                  <c:v>36039</c:v>
                </c:pt>
                <c:pt idx="487">
                  <c:v>36069</c:v>
                </c:pt>
                <c:pt idx="488">
                  <c:v>36100</c:v>
                </c:pt>
                <c:pt idx="489">
                  <c:v>36130</c:v>
                </c:pt>
                <c:pt idx="490">
                  <c:v>36161</c:v>
                </c:pt>
                <c:pt idx="491">
                  <c:v>36192</c:v>
                </c:pt>
                <c:pt idx="492">
                  <c:v>36220</c:v>
                </c:pt>
                <c:pt idx="493">
                  <c:v>36251</c:v>
                </c:pt>
                <c:pt idx="494">
                  <c:v>36281</c:v>
                </c:pt>
                <c:pt idx="495">
                  <c:v>36312</c:v>
                </c:pt>
                <c:pt idx="496">
                  <c:v>36342</c:v>
                </c:pt>
                <c:pt idx="497">
                  <c:v>36373</c:v>
                </c:pt>
                <c:pt idx="498">
                  <c:v>36404</c:v>
                </c:pt>
                <c:pt idx="499">
                  <c:v>36434</c:v>
                </c:pt>
                <c:pt idx="500">
                  <c:v>36465</c:v>
                </c:pt>
                <c:pt idx="501">
                  <c:v>36495</c:v>
                </c:pt>
                <c:pt idx="502">
                  <c:v>36526</c:v>
                </c:pt>
                <c:pt idx="503">
                  <c:v>36557</c:v>
                </c:pt>
                <c:pt idx="504">
                  <c:v>36586</c:v>
                </c:pt>
                <c:pt idx="505">
                  <c:v>36617</c:v>
                </c:pt>
                <c:pt idx="506">
                  <c:v>36647</c:v>
                </c:pt>
                <c:pt idx="507">
                  <c:v>36678</c:v>
                </c:pt>
                <c:pt idx="508">
                  <c:v>36708</c:v>
                </c:pt>
                <c:pt idx="509">
                  <c:v>36739</c:v>
                </c:pt>
                <c:pt idx="510">
                  <c:v>36770</c:v>
                </c:pt>
                <c:pt idx="511">
                  <c:v>36800</c:v>
                </c:pt>
                <c:pt idx="512">
                  <c:v>36831</c:v>
                </c:pt>
                <c:pt idx="513">
                  <c:v>36861</c:v>
                </c:pt>
                <c:pt idx="514">
                  <c:v>36892</c:v>
                </c:pt>
                <c:pt idx="515">
                  <c:v>36923</c:v>
                </c:pt>
                <c:pt idx="516">
                  <c:v>36951</c:v>
                </c:pt>
                <c:pt idx="517">
                  <c:v>36982</c:v>
                </c:pt>
                <c:pt idx="518">
                  <c:v>37012</c:v>
                </c:pt>
                <c:pt idx="519">
                  <c:v>37043</c:v>
                </c:pt>
                <c:pt idx="520">
                  <c:v>37073</c:v>
                </c:pt>
                <c:pt idx="521">
                  <c:v>37104</c:v>
                </c:pt>
                <c:pt idx="522">
                  <c:v>37135</c:v>
                </c:pt>
                <c:pt idx="523">
                  <c:v>37165</c:v>
                </c:pt>
                <c:pt idx="524">
                  <c:v>37196</c:v>
                </c:pt>
                <c:pt idx="525">
                  <c:v>37226</c:v>
                </c:pt>
                <c:pt idx="526">
                  <c:v>37257</c:v>
                </c:pt>
                <c:pt idx="527">
                  <c:v>37288</c:v>
                </c:pt>
                <c:pt idx="528">
                  <c:v>37316</c:v>
                </c:pt>
                <c:pt idx="529">
                  <c:v>37347</c:v>
                </c:pt>
                <c:pt idx="530">
                  <c:v>37377</c:v>
                </c:pt>
                <c:pt idx="531">
                  <c:v>37408</c:v>
                </c:pt>
                <c:pt idx="532">
                  <c:v>37438</c:v>
                </c:pt>
                <c:pt idx="533">
                  <c:v>37469</c:v>
                </c:pt>
                <c:pt idx="534">
                  <c:v>37500</c:v>
                </c:pt>
                <c:pt idx="535">
                  <c:v>37530</c:v>
                </c:pt>
                <c:pt idx="536">
                  <c:v>37561</c:v>
                </c:pt>
                <c:pt idx="537">
                  <c:v>37591</c:v>
                </c:pt>
                <c:pt idx="538">
                  <c:v>37622</c:v>
                </c:pt>
                <c:pt idx="539">
                  <c:v>37653</c:v>
                </c:pt>
                <c:pt idx="540">
                  <c:v>37681</c:v>
                </c:pt>
                <c:pt idx="541">
                  <c:v>37712</c:v>
                </c:pt>
                <c:pt idx="542">
                  <c:v>37742</c:v>
                </c:pt>
                <c:pt idx="543">
                  <c:v>37773</c:v>
                </c:pt>
                <c:pt idx="544">
                  <c:v>37803</c:v>
                </c:pt>
                <c:pt idx="545">
                  <c:v>37834</c:v>
                </c:pt>
                <c:pt idx="546">
                  <c:v>37865</c:v>
                </c:pt>
                <c:pt idx="547">
                  <c:v>37895</c:v>
                </c:pt>
                <c:pt idx="548">
                  <c:v>37926</c:v>
                </c:pt>
                <c:pt idx="549">
                  <c:v>37956</c:v>
                </c:pt>
                <c:pt idx="550">
                  <c:v>37987</c:v>
                </c:pt>
                <c:pt idx="551">
                  <c:v>38018</c:v>
                </c:pt>
                <c:pt idx="552">
                  <c:v>38047</c:v>
                </c:pt>
                <c:pt idx="553">
                  <c:v>38078</c:v>
                </c:pt>
                <c:pt idx="554">
                  <c:v>38108</c:v>
                </c:pt>
                <c:pt idx="555">
                  <c:v>38139</c:v>
                </c:pt>
                <c:pt idx="556">
                  <c:v>38169</c:v>
                </c:pt>
                <c:pt idx="557">
                  <c:v>38200</c:v>
                </c:pt>
                <c:pt idx="558">
                  <c:v>38231</c:v>
                </c:pt>
                <c:pt idx="559">
                  <c:v>38261</c:v>
                </c:pt>
                <c:pt idx="560">
                  <c:v>38292</c:v>
                </c:pt>
                <c:pt idx="561">
                  <c:v>38322</c:v>
                </c:pt>
                <c:pt idx="562">
                  <c:v>38353</c:v>
                </c:pt>
                <c:pt idx="563">
                  <c:v>38384</c:v>
                </c:pt>
                <c:pt idx="564">
                  <c:v>38412</c:v>
                </c:pt>
                <c:pt idx="565">
                  <c:v>38443</c:v>
                </c:pt>
                <c:pt idx="566">
                  <c:v>38473</c:v>
                </c:pt>
                <c:pt idx="567">
                  <c:v>38504</c:v>
                </c:pt>
                <c:pt idx="568">
                  <c:v>38534</c:v>
                </c:pt>
                <c:pt idx="569">
                  <c:v>38565</c:v>
                </c:pt>
                <c:pt idx="570">
                  <c:v>38596</c:v>
                </c:pt>
                <c:pt idx="571">
                  <c:v>38626</c:v>
                </c:pt>
                <c:pt idx="572">
                  <c:v>38657</c:v>
                </c:pt>
                <c:pt idx="573">
                  <c:v>38687</c:v>
                </c:pt>
                <c:pt idx="574">
                  <c:v>38718</c:v>
                </c:pt>
                <c:pt idx="575">
                  <c:v>38749</c:v>
                </c:pt>
                <c:pt idx="576">
                  <c:v>38777</c:v>
                </c:pt>
                <c:pt idx="577">
                  <c:v>38808</c:v>
                </c:pt>
                <c:pt idx="578">
                  <c:v>38838</c:v>
                </c:pt>
                <c:pt idx="579">
                  <c:v>38869</c:v>
                </c:pt>
                <c:pt idx="580">
                  <c:v>38899</c:v>
                </c:pt>
                <c:pt idx="581">
                  <c:v>38930</c:v>
                </c:pt>
                <c:pt idx="582">
                  <c:v>38961</c:v>
                </c:pt>
                <c:pt idx="583">
                  <c:v>38991</c:v>
                </c:pt>
                <c:pt idx="584">
                  <c:v>39022</c:v>
                </c:pt>
                <c:pt idx="585">
                  <c:v>39052</c:v>
                </c:pt>
                <c:pt idx="586">
                  <c:v>39083</c:v>
                </c:pt>
                <c:pt idx="587">
                  <c:v>39114</c:v>
                </c:pt>
                <c:pt idx="588">
                  <c:v>39142</c:v>
                </c:pt>
                <c:pt idx="589">
                  <c:v>39173</c:v>
                </c:pt>
                <c:pt idx="590">
                  <c:v>39203</c:v>
                </c:pt>
                <c:pt idx="591">
                  <c:v>39234</c:v>
                </c:pt>
                <c:pt idx="592">
                  <c:v>39264</c:v>
                </c:pt>
                <c:pt idx="593">
                  <c:v>39295</c:v>
                </c:pt>
                <c:pt idx="594">
                  <c:v>39326</c:v>
                </c:pt>
                <c:pt idx="595">
                  <c:v>39356</c:v>
                </c:pt>
                <c:pt idx="596">
                  <c:v>39387</c:v>
                </c:pt>
                <c:pt idx="597">
                  <c:v>39417</c:v>
                </c:pt>
                <c:pt idx="598">
                  <c:v>39448</c:v>
                </c:pt>
                <c:pt idx="599">
                  <c:v>39479</c:v>
                </c:pt>
                <c:pt idx="600">
                  <c:v>39508</c:v>
                </c:pt>
                <c:pt idx="601">
                  <c:v>39539</c:v>
                </c:pt>
                <c:pt idx="602">
                  <c:v>39569</c:v>
                </c:pt>
                <c:pt idx="603">
                  <c:v>39600</c:v>
                </c:pt>
                <c:pt idx="604">
                  <c:v>39630</c:v>
                </c:pt>
                <c:pt idx="605">
                  <c:v>39661</c:v>
                </c:pt>
                <c:pt idx="606">
                  <c:v>39692</c:v>
                </c:pt>
                <c:pt idx="607">
                  <c:v>39722</c:v>
                </c:pt>
                <c:pt idx="608">
                  <c:v>39753</c:v>
                </c:pt>
                <c:pt idx="609">
                  <c:v>39783</c:v>
                </c:pt>
                <c:pt idx="610">
                  <c:v>39814</c:v>
                </c:pt>
                <c:pt idx="611">
                  <c:v>39845</c:v>
                </c:pt>
                <c:pt idx="612">
                  <c:v>39873</c:v>
                </c:pt>
                <c:pt idx="613">
                  <c:v>39904</c:v>
                </c:pt>
                <c:pt idx="614">
                  <c:v>39934</c:v>
                </c:pt>
                <c:pt idx="615">
                  <c:v>39965</c:v>
                </c:pt>
                <c:pt idx="616">
                  <c:v>39995</c:v>
                </c:pt>
                <c:pt idx="617">
                  <c:v>40026</c:v>
                </c:pt>
                <c:pt idx="618">
                  <c:v>40057</c:v>
                </c:pt>
                <c:pt idx="619">
                  <c:v>40087</c:v>
                </c:pt>
                <c:pt idx="620">
                  <c:v>40118</c:v>
                </c:pt>
                <c:pt idx="621">
                  <c:v>40148</c:v>
                </c:pt>
                <c:pt idx="622">
                  <c:v>40179</c:v>
                </c:pt>
                <c:pt idx="623">
                  <c:v>40210</c:v>
                </c:pt>
                <c:pt idx="624">
                  <c:v>40238</c:v>
                </c:pt>
                <c:pt idx="625">
                  <c:v>40269</c:v>
                </c:pt>
                <c:pt idx="626">
                  <c:v>40299</c:v>
                </c:pt>
                <c:pt idx="627">
                  <c:v>40330</c:v>
                </c:pt>
                <c:pt idx="628">
                  <c:v>40360</c:v>
                </c:pt>
                <c:pt idx="629">
                  <c:v>40391</c:v>
                </c:pt>
                <c:pt idx="630">
                  <c:v>40422</c:v>
                </c:pt>
                <c:pt idx="631">
                  <c:v>40452</c:v>
                </c:pt>
                <c:pt idx="632">
                  <c:v>40483</c:v>
                </c:pt>
                <c:pt idx="633">
                  <c:v>40513</c:v>
                </c:pt>
                <c:pt idx="634">
                  <c:v>40544</c:v>
                </c:pt>
                <c:pt idx="635">
                  <c:v>40575</c:v>
                </c:pt>
                <c:pt idx="636">
                  <c:v>40603</c:v>
                </c:pt>
                <c:pt idx="637">
                  <c:v>40634</c:v>
                </c:pt>
                <c:pt idx="638">
                  <c:v>40664</c:v>
                </c:pt>
                <c:pt idx="639">
                  <c:v>40695</c:v>
                </c:pt>
                <c:pt idx="640">
                  <c:v>40725</c:v>
                </c:pt>
                <c:pt idx="641">
                  <c:v>40756</c:v>
                </c:pt>
                <c:pt idx="642">
                  <c:v>40787</c:v>
                </c:pt>
                <c:pt idx="643">
                  <c:v>40817</c:v>
                </c:pt>
                <c:pt idx="644">
                  <c:v>40848</c:v>
                </c:pt>
                <c:pt idx="645">
                  <c:v>40878</c:v>
                </c:pt>
                <c:pt idx="646">
                  <c:v>40909</c:v>
                </c:pt>
                <c:pt idx="647">
                  <c:v>40940</c:v>
                </c:pt>
                <c:pt idx="648">
                  <c:v>40969</c:v>
                </c:pt>
                <c:pt idx="649">
                  <c:v>41000</c:v>
                </c:pt>
                <c:pt idx="650">
                  <c:v>41030</c:v>
                </c:pt>
                <c:pt idx="651">
                  <c:v>41061</c:v>
                </c:pt>
                <c:pt idx="652">
                  <c:v>41091</c:v>
                </c:pt>
                <c:pt idx="653">
                  <c:v>41122</c:v>
                </c:pt>
                <c:pt idx="654">
                  <c:v>41153</c:v>
                </c:pt>
                <c:pt idx="655">
                  <c:v>41183</c:v>
                </c:pt>
                <c:pt idx="656">
                  <c:v>41214</c:v>
                </c:pt>
                <c:pt idx="657">
                  <c:v>41244</c:v>
                </c:pt>
                <c:pt idx="658">
                  <c:v>41275</c:v>
                </c:pt>
                <c:pt idx="659">
                  <c:v>41306</c:v>
                </c:pt>
                <c:pt idx="660">
                  <c:v>41334</c:v>
                </c:pt>
                <c:pt idx="661">
                  <c:v>41365</c:v>
                </c:pt>
                <c:pt idx="662">
                  <c:v>41395</c:v>
                </c:pt>
                <c:pt idx="663">
                  <c:v>41426</c:v>
                </c:pt>
                <c:pt idx="664">
                  <c:v>41456</c:v>
                </c:pt>
                <c:pt idx="665">
                  <c:v>41487</c:v>
                </c:pt>
                <c:pt idx="666">
                  <c:v>41518</c:v>
                </c:pt>
                <c:pt idx="667">
                  <c:v>41548</c:v>
                </c:pt>
                <c:pt idx="668">
                  <c:v>41579</c:v>
                </c:pt>
                <c:pt idx="669">
                  <c:v>41609</c:v>
                </c:pt>
                <c:pt idx="670">
                  <c:v>41640</c:v>
                </c:pt>
                <c:pt idx="671">
                  <c:v>41671</c:v>
                </c:pt>
                <c:pt idx="672">
                  <c:v>41699</c:v>
                </c:pt>
                <c:pt idx="673">
                  <c:v>41730</c:v>
                </c:pt>
                <c:pt idx="674">
                  <c:v>41760</c:v>
                </c:pt>
                <c:pt idx="675">
                  <c:v>41791</c:v>
                </c:pt>
                <c:pt idx="676">
                  <c:v>41821</c:v>
                </c:pt>
                <c:pt idx="677">
                  <c:v>41852</c:v>
                </c:pt>
                <c:pt idx="678">
                  <c:v>41883</c:v>
                </c:pt>
                <c:pt idx="679">
                  <c:v>41913</c:v>
                </c:pt>
                <c:pt idx="680">
                  <c:v>41944</c:v>
                </c:pt>
                <c:pt idx="681">
                  <c:v>41974</c:v>
                </c:pt>
                <c:pt idx="682">
                  <c:v>42005</c:v>
                </c:pt>
                <c:pt idx="683">
                  <c:v>42036</c:v>
                </c:pt>
                <c:pt idx="684">
                  <c:v>42064</c:v>
                </c:pt>
                <c:pt idx="685">
                  <c:v>42095</c:v>
                </c:pt>
                <c:pt idx="686">
                  <c:v>42125</c:v>
                </c:pt>
                <c:pt idx="687">
                  <c:v>42156</c:v>
                </c:pt>
                <c:pt idx="688">
                  <c:v>42186</c:v>
                </c:pt>
                <c:pt idx="689">
                  <c:v>42217</c:v>
                </c:pt>
                <c:pt idx="690">
                  <c:v>42248</c:v>
                </c:pt>
                <c:pt idx="691">
                  <c:v>42278</c:v>
                </c:pt>
                <c:pt idx="692">
                  <c:v>42309</c:v>
                </c:pt>
                <c:pt idx="693">
                  <c:v>42339</c:v>
                </c:pt>
                <c:pt idx="694">
                  <c:v>42370</c:v>
                </c:pt>
                <c:pt idx="695">
                  <c:v>42401</c:v>
                </c:pt>
                <c:pt idx="696">
                  <c:v>42430</c:v>
                </c:pt>
                <c:pt idx="697">
                  <c:v>42461</c:v>
                </c:pt>
                <c:pt idx="698">
                  <c:v>42491</c:v>
                </c:pt>
                <c:pt idx="699">
                  <c:v>42522</c:v>
                </c:pt>
                <c:pt idx="700">
                  <c:v>42552</c:v>
                </c:pt>
                <c:pt idx="701">
                  <c:v>42583</c:v>
                </c:pt>
                <c:pt idx="702">
                  <c:v>42614</c:v>
                </c:pt>
                <c:pt idx="703">
                  <c:v>42644</c:v>
                </c:pt>
                <c:pt idx="704">
                  <c:v>42675</c:v>
                </c:pt>
                <c:pt idx="705">
                  <c:v>42705</c:v>
                </c:pt>
                <c:pt idx="706">
                  <c:v>42736</c:v>
                </c:pt>
                <c:pt idx="707">
                  <c:v>42767</c:v>
                </c:pt>
                <c:pt idx="708">
                  <c:v>42795</c:v>
                </c:pt>
                <c:pt idx="709">
                  <c:v>42826</c:v>
                </c:pt>
                <c:pt idx="710">
                  <c:v>42856</c:v>
                </c:pt>
                <c:pt idx="711">
                  <c:v>42887</c:v>
                </c:pt>
                <c:pt idx="712">
                  <c:v>42917</c:v>
                </c:pt>
                <c:pt idx="713">
                  <c:v>42948</c:v>
                </c:pt>
                <c:pt idx="714">
                  <c:v>42979</c:v>
                </c:pt>
                <c:pt idx="715">
                  <c:v>43009</c:v>
                </c:pt>
                <c:pt idx="716">
                  <c:v>43040</c:v>
                </c:pt>
                <c:pt idx="717">
                  <c:v>43070</c:v>
                </c:pt>
                <c:pt idx="718">
                  <c:v>43101</c:v>
                </c:pt>
                <c:pt idx="719">
                  <c:v>43132</c:v>
                </c:pt>
                <c:pt idx="720">
                  <c:v>43160</c:v>
                </c:pt>
                <c:pt idx="721">
                  <c:v>43191</c:v>
                </c:pt>
                <c:pt idx="722">
                  <c:v>43221</c:v>
                </c:pt>
                <c:pt idx="723">
                  <c:v>43252</c:v>
                </c:pt>
                <c:pt idx="724">
                  <c:v>43282</c:v>
                </c:pt>
                <c:pt idx="725">
                  <c:v>43313</c:v>
                </c:pt>
                <c:pt idx="726">
                  <c:v>43344</c:v>
                </c:pt>
                <c:pt idx="727">
                  <c:v>43374</c:v>
                </c:pt>
                <c:pt idx="728">
                  <c:v>43405</c:v>
                </c:pt>
                <c:pt idx="729">
                  <c:v>43435</c:v>
                </c:pt>
                <c:pt idx="730">
                  <c:v>43466</c:v>
                </c:pt>
                <c:pt idx="731">
                  <c:v>43497</c:v>
                </c:pt>
                <c:pt idx="732">
                  <c:v>43525</c:v>
                </c:pt>
                <c:pt idx="733">
                  <c:v>43556</c:v>
                </c:pt>
                <c:pt idx="734">
                  <c:v>43586</c:v>
                </c:pt>
                <c:pt idx="735">
                  <c:v>43617</c:v>
                </c:pt>
                <c:pt idx="736">
                  <c:v>43647</c:v>
                </c:pt>
                <c:pt idx="737">
                  <c:v>43678</c:v>
                </c:pt>
                <c:pt idx="738">
                  <c:v>43709</c:v>
                </c:pt>
                <c:pt idx="739">
                  <c:v>43739</c:v>
                </c:pt>
                <c:pt idx="740">
                  <c:v>43770</c:v>
                </c:pt>
                <c:pt idx="741">
                  <c:v>43800</c:v>
                </c:pt>
                <c:pt idx="742">
                  <c:v>43831</c:v>
                </c:pt>
                <c:pt idx="743">
                  <c:v>43862</c:v>
                </c:pt>
                <c:pt idx="744">
                  <c:v>43891</c:v>
                </c:pt>
                <c:pt idx="745">
                  <c:v>43922</c:v>
                </c:pt>
                <c:pt idx="746">
                  <c:v>43952</c:v>
                </c:pt>
                <c:pt idx="747">
                  <c:v>43983</c:v>
                </c:pt>
                <c:pt idx="748">
                  <c:v>44013</c:v>
                </c:pt>
                <c:pt idx="749">
                  <c:v>44044</c:v>
                </c:pt>
                <c:pt idx="750">
                  <c:v>44075</c:v>
                </c:pt>
                <c:pt idx="751">
                  <c:v>44105</c:v>
                </c:pt>
                <c:pt idx="752">
                  <c:v>44136</c:v>
                </c:pt>
                <c:pt idx="753">
                  <c:v>44166</c:v>
                </c:pt>
                <c:pt idx="754">
                  <c:v>44197</c:v>
                </c:pt>
                <c:pt idx="755">
                  <c:v>44228</c:v>
                </c:pt>
                <c:pt idx="756">
                  <c:v>44256</c:v>
                </c:pt>
                <c:pt idx="757">
                  <c:v>44287</c:v>
                </c:pt>
                <c:pt idx="758">
                  <c:v>44317</c:v>
                </c:pt>
                <c:pt idx="759">
                  <c:v>44348</c:v>
                </c:pt>
                <c:pt idx="760">
                  <c:v>44378</c:v>
                </c:pt>
                <c:pt idx="761">
                  <c:v>44409</c:v>
                </c:pt>
                <c:pt idx="762">
                  <c:v>44440</c:v>
                </c:pt>
                <c:pt idx="763">
                  <c:v>44470</c:v>
                </c:pt>
                <c:pt idx="764">
                  <c:v>44501</c:v>
                </c:pt>
                <c:pt idx="765">
                  <c:v>44531</c:v>
                </c:pt>
                <c:pt idx="766">
                  <c:v>44562</c:v>
                </c:pt>
                <c:pt idx="767">
                  <c:v>44593</c:v>
                </c:pt>
                <c:pt idx="768">
                  <c:v>44621</c:v>
                </c:pt>
                <c:pt idx="769">
                  <c:v>44652</c:v>
                </c:pt>
                <c:pt idx="770">
                  <c:v>44682</c:v>
                </c:pt>
                <c:pt idx="771">
                  <c:v>44713</c:v>
                </c:pt>
                <c:pt idx="772">
                  <c:v>44743</c:v>
                </c:pt>
                <c:pt idx="773">
                  <c:v>44774</c:v>
                </c:pt>
                <c:pt idx="774">
                  <c:v>44805</c:v>
                </c:pt>
                <c:pt idx="775">
                  <c:v>44835</c:v>
                </c:pt>
                <c:pt idx="776">
                  <c:v>44866</c:v>
                </c:pt>
                <c:pt idx="777">
                  <c:v>44896</c:v>
                </c:pt>
                <c:pt idx="778">
                  <c:v>44927</c:v>
                </c:pt>
                <c:pt idx="779">
                  <c:v>44958</c:v>
                </c:pt>
                <c:pt idx="780">
                  <c:v>44986</c:v>
                </c:pt>
                <c:pt idx="781">
                  <c:v>45017</c:v>
                </c:pt>
                <c:pt idx="782">
                  <c:v>45047</c:v>
                </c:pt>
                <c:pt idx="783">
                  <c:v>45078</c:v>
                </c:pt>
                <c:pt idx="784">
                  <c:v>45108</c:v>
                </c:pt>
                <c:pt idx="785">
                  <c:v>45139</c:v>
                </c:pt>
                <c:pt idx="786">
                  <c:v>45170</c:v>
                </c:pt>
                <c:pt idx="787">
                  <c:v>45200</c:v>
                </c:pt>
                <c:pt idx="788">
                  <c:v>45231</c:v>
                </c:pt>
                <c:pt idx="789">
                  <c:v>45261</c:v>
                </c:pt>
                <c:pt idx="790">
                  <c:v>45292</c:v>
                </c:pt>
                <c:pt idx="791">
                  <c:v>45323</c:v>
                </c:pt>
                <c:pt idx="792">
                  <c:v>45352</c:v>
                </c:pt>
                <c:pt idx="793">
                  <c:v>45383</c:v>
                </c:pt>
                <c:pt idx="794">
                  <c:v>45413</c:v>
                </c:pt>
                <c:pt idx="795">
                  <c:v>45444</c:v>
                </c:pt>
                <c:pt idx="796">
                  <c:v>45474</c:v>
                </c:pt>
                <c:pt idx="797">
                  <c:v>45505</c:v>
                </c:pt>
                <c:pt idx="798">
                  <c:v>45536</c:v>
                </c:pt>
                <c:pt idx="799">
                  <c:v>45566</c:v>
                </c:pt>
                <c:pt idx="800">
                  <c:v>45597</c:v>
                </c:pt>
                <c:pt idx="801">
                  <c:v>45627</c:v>
                </c:pt>
                <c:pt idx="802">
                  <c:v>45658</c:v>
                </c:pt>
                <c:pt idx="803">
                  <c:v>45689</c:v>
                </c:pt>
                <c:pt idx="804">
                  <c:v>45717</c:v>
                </c:pt>
                <c:pt idx="805">
                  <c:v>45748</c:v>
                </c:pt>
                <c:pt idx="806">
                  <c:v>45778</c:v>
                </c:pt>
                <c:pt idx="807">
                  <c:v>45809</c:v>
                </c:pt>
                <c:pt idx="808">
                  <c:v>45839</c:v>
                </c:pt>
                <c:pt idx="809">
                  <c:v>45870</c:v>
                </c:pt>
                <c:pt idx="810">
                  <c:v>45901</c:v>
                </c:pt>
                <c:pt idx="811">
                  <c:v>45931</c:v>
                </c:pt>
                <c:pt idx="812">
                  <c:v>45962</c:v>
                </c:pt>
                <c:pt idx="813">
                  <c:v>45992</c:v>
                </c:pt>
                <c:pt idx="814">
                  <c:v>46023</c:v>
                </c:pt>
                <c:pt idx="815">
                  <c:v>46054</c:v>
                </c:pt>
                <c:pt idx="816">
                  <c:v>46082</c:v>
                </c:pt>
                <c:pt idx="817">
                  <c:v>46113</c:v>
                </c:pt>
                <c:pt idx="818">
                  <c:v>46143</c:v>
                </c:pt>
                <c:pt idx="819">
                  <c:v>46174</c:v>
                </c:pt>
                <c:pt idx="820">
                  <c:v>46204</c:v>
                </c:pt>
                <c:pt idx="821">
                  <c:v>46235</c:v>
                </c:pt>
                <c:pt idx="822">
                  <c:v>46266</c:v>
                </c:pt>
                <c:pt idx="823">
                  <c:v>46296</c:v>
                </c:pt>
                <c:pt idx="824">
                  <c:v>46327</c:v>
                </c:pt>
                <c:pt idx="825">
                  <c:v>46357</c:v>
                </c:pt>
                <c:pt idx="826">
                  <c:v>46388</c:v>
                </c:pt>
                <c:pt idx="827">
                  <c:v>46419</c:v>
                </c:pt>
                <c:pt idx="828">
                  <c:v>46447</c:v>
                </c:pt>
                <c:pt idx="829">
                  <c:v>46478</c:v>
                </c:pt>
                <c:pt idx="830">
                  <c:v>46508</c:v>
                </c:pt>
                <c:pt idx="831">
                  <c:v>46539</c:v>
                </c:pt>
                <c:pt idx="832">
                  <c:v>46569</c:v>
                </c:pt>
                <c:pt idx="833">
                  <c:v>46600</c:v>
                </c:pt>
                <c:pt idx="834">
                  <c:v>46631</c:v>
                </c:pt>
                <c:pt idx="835">
                  <c:v>46661</c:v>
                </c:pt>
                <c:pt idx="836">
                  <c:v>46692</c:v>
                </c:pt>
                <c:pt idx="837">
                  <c:v>46722</c:v>
                </c:pt>
                <c:pt idx="838">
                  <c:v>46753</c:v>
                </c:pt>
                <c:pt idx="839">
                  <c:v>46784</c:v>
                </c:pt>
                <c:pt idx="840">
                  <c:v>46813</c:v>
                </c:pt>
                <c:pt idx="841">
                  <c:v>46844</c:v>
                </c:pt>
                <c:pt idx="842">
                  <c:v>46874</c:v>
                </c:pt>
                <c:pt idx="843">
                  <c:v>46905</c:v>
                </c:pt>
                <c:pt idx="844">
                  <c:v>46935</c:v>
                </c:pt>
                <c:pt idx="845">
                  <c:v>46966</c:v>
                </c:pt>
                <c:pt idx="846">
                  <c:v>46997</c:v>
                </c:pt>
                <c:pt idx="847">
                  <c:v>47027</c:v>
                </c:pt>
                <c:pt idx="848">
                  <c:v>47058</c:v>
                </c:pt>
                <c:pt idx="849">
                  <c:v>47088</c:v>
                </c:pt>
                <c:pt idx="850">
                  <c:v>47119</c:v>
                </c:pt>
                <c:pt idx="851">
                  <c:v>47150</c:v>
                </c:pt>
                <c:pt idx="852">
                  <c:v>47178</c:v>
                </c:pt>
                <c:pt idx="853">
                  <c:v>47209</c:v>
                </c:pt>
                <c:pt idx="854">
                  <c:v>47239</c:v>
                </c:pt>
                <c:pt idx="855">
                  <c:v>47270</c:v>
                </c:pt>
                <c:pt idx="856">
                  <c:v>47300</c:v>
                </c:pt>
                <c:pt idx="857">
                  <c:v>47331</c:v>
                </c:pt>
                <c:pt idx="858">
                  <c:v>47362</c:v>
                </c:pt>
                <c:pt idx="859">
                  <c:v>47392</c:v>
                </c:pt>
                <c:pt idx="860">
                  <c:v>47423</c:v>
                </c:pt>
                <c:pt idx="861">
                  <c:v>47453</c:v>
                </c:pt>
                <c:pt idx="862">
                  <c:v>47484</c:v>
                </c:pt>
                <c:pt idx="863">
                  <c:v>47515</c:v>
                </c:pt>
                <c:pt idx="864">
                  <c:v>47543</c:v>
                </c:pt>
                <c:pt idx="865">
                  <c:v>47574</c:v>
                </c:pt>
                <c:pt idx="866">
                  <c:v>47604</c:v>
                </c:pt>
                <c:pt idx="867">
                  <c:v>47635</c:v>
                </c:pt>
                <c:pt idx="868">
                  <c:v>47665</c:v>
                </c:pt>
                <c:pt idx="869">
                  <c:v>47696</c:v>
                </c:pt>
                <c:pt idx="870">
                  <c:v>47727</c:v>
                </c:pt>
                <c:pt idx="871">
                  <c:v>47757</c:v>
                </c:pt>
                <c:pt idx="872">
                  <c:v>47788</c:v>
                </c:pt>
                <c:pt idx="873">
                  <c:v>47818</c:v>
                </c:pt>
                <c:pt idx="874">
                  <c:v>47849</c:v>
                </c:pt>
                <c:pt idx="875">
                  <c:v>47880</c:v>
                </c:pt>
                <c:pt idx="876">
                  <c:v>47908</c:v>
                </c:pt>
                <c:pt idx="877">
                  <c:v>47939</c:v>
                </c:pt>
                <c:pt idx="878">
                  <c:v>47969</c:v>
                </c:pt>
                <c:pt idx="879">
                  <c:v>48000</c:v>
                </c:pt>
                <c:pt idx="880">
                  <c:v>48030</c:v>
                </c:pt>
                <c:pt idx="881">
                  <c:v>48061</c:v>
                </c:pt>
                <c:pt idx="882">
                  <c:v>48092</c:v>
                </c:pt>
                <c:pt idx="883">
                  <c:v>48122</c:v>
                </c:pt>
                <c:pt idx="884">
                  <c:v>48153</c:v>
                </c:pt>
                <c:pt idx="885">
                  <c:v>48183</c:v>
                </c:pt>
                <c:pt idx="886">
                  <c:v>48214</c:v>
                </c:pt>
                <c:pt idx="887">
                  <c:v>48245</c:v>
                </c:pt>
                <c:pt idx="888">
                  <c:v>48274</c:v>
                </c:pt>
                <c:pt idx="889">
                  <c:v>48305</c:v>
                </c:pt>
                <c:pt idx="890">
                  <c:v>48335</c:v>
                </c:pt>
                <c:pt idx="891">
                  <c:v>48366</c:v>
                </c:pt>
                <c:pt idx="892">
                  <c:v>48396</c:v>
                </c:pt>
                <c:pt idx="893">
                  <c:v>48427</c:v>
                </c:pt>
                <c:pt idx="894">
                  <c:v>48458</c:v>
                </c:pt>
                <c:pt idx="895">
                  <c:v>48488</c:v>
                </c:pt>
                <c:pt idx="896">
                  <c:v>48519</c:v>
                </c:pt>
                <c:pt idx="897">
                  <c:v>48549</c:v>
                </c:pt>
                <c:pt idx="898">
                  <c:v>48580</c:v>
                </c:pt>
                <c:pt idx="899">
                  <c:v>48611</c:v>
                </c:pt>
                <c:pt idx="900">
                  <c:v>48639</c:v>
                </c:pt>
                <c:pt idx="901">
                  <c:v>48670</c:v>
                </c:pt>
                <c:pt idx="902">
                  <c:v>48700</c:v>
                </c:pt>
                <c:pt idx="903">
                  <c:v>48731</c:v>
                </c:pt>
                <c:pt idx="904">
                  <c:v>48761</c:v>
                </c:pt>
                <c:pt idx="905">
                  <c:v>48792</c:v>
                </c:pt>
                <c:pt idx="906">
                  <c:v>48823</c:v>
                </c:pt>
                <c:pt idx="907">
                  <c:v>48853</c:v>
                </c:pt>
                <c:pt idx="908">
                  <c:v>48884</c:v>
                </c:pt>
                <c:pt idx="909">
                  <c:v>48914</c:v>
                </c:pt>
                <c:pt idx="910">
                  <c:v>48945</c:v>
                </c:pt>
                <c:pt idx="911">
                  <c:v>48976</c:v>
                </c:pt>
                <c:pt idx="912">
                  <c:v>49004</c:v>
                </c:pt>
                <c:pt idx="913">
                  <c:v>49035</c:v>
                </c:pt>
                <c:pt idx="914">
                  <c:v>49065</c:v>
                </c:pt>
                <c:pt idx="915">
                  <c:v>49096</c:v>
                </c:pt>
                <c:pt idx="916">
                  <c:v>49126</c:v>
                </c:pt>
                <c:pt idx="917">
                  <c:v>49157</c:v>
                </c:pt>
                <c:pt idx="918">
                  <c:v>49188</c:v>
                </c:pt>
                <c:pt idx="919">
                  <c:v>49218</c:v>
                </c:pt>
                <c:pt idx="920">
                  <c:v>49249</c:v>
                </c:pt>
                <c:pt idx="921">
                  <c:v>49279</c:v>
                </c:pt>
                <c:pt idx="922">
                  <c:v>49310</c:v>
                </c:pt>
                <c:pt idx="923">
                  <c:v>49341</c:v>
                </c:pt>
                <c:pt idx="924">
                  <c:v>49369</c:v>
                </c:pt>
                <c:pt idx="925">
                  <c:v>49400</c:v>
                </c:pt>
                <c:pt idx="926">
                  <c:v>49430</c:v>
                </c:pt>
                <c:pt idx="927">
                  <c:v>49461</c:v>
                </c:pt>
                <c:pt idx="928">
                  <c:v>49491</c:v>
                </c:pt>
                <c:pt idx="929">
                  <c:v>49522</c:v>
                </c:pt>
                <c:pt idx="930">
                  <c:v>49553</c:v>
                </c:pt>
                <c:pt idx="931">
                  <c:v>49583</c:v>
                </c:pt>
                <c:pt idx="932">
                  <c:v>49614</c:v>
                </c:pt>
                <c:pt idx="933">
                  <c:v>49644</c:v>
                </c:pt>
                <c:pt idx="934">
                  <c:v>49675</c:v>
                </c:pt>
                <c:pt idx="935">
                  <c:v>49706</c:v>
                </c:pt>
                <c:pt idx="936">
                  <c:v>49735</c:v>
                </c:pt>
                <c:pt idx="937">
                  <c:v>49766</c:v>
                </c:pt>
                <c:pt idx="938">
                  <c:v>49796</c:v>
                </c:pt>
                <c:pt idx="939">
                  <c:v>49827</c:v>
                </c:pt>
                <c:pt idx="940">
                  <c:v>49857</c:v>
                </c:pt>
                <c:pt idx="941">
                  <c:v>49888</c:v>
                </c:pt>
                <c:pt idx="942">
                  <c:v>49919</c:v>
                </c:pt>
                <c:pt idx="943">
                  <c:v>49949</c:v>
                </c:pt>
                <c:pt idx="944">
                  <c:v>49980</c:v>
                </c:pt>
                <c:pt idx="945">
                  <c:v>50010</c:v>
                </c:pt>
              </c:numCache>
            </c:numRef>
          </c:cat>
          <c:val>
            <c:numRef>
              <c:f>Sheet1!$E$2:$E$947</c:f>
              <c:numCache>
                <c:formatCode>General</c:formatCode>
                <c:ptCount val="946"/>
                <c:pt idx="745" formatCode="0.00">
                  <c:v>416.18</c:v>
                </c:pt>
                <c:pt idx="746" formatCode="0.00">
                  <c:v>418.03789419595284</c:v>
                </c:pt>
                <c:pt idx="747" formatCode="0.00">
                  <c:v>418.04270057769128</c:v>
                </c:pt>
                <c:pt idx="748" formatCode="0.00">
                  <c:v>417.00724629801965</c:v>
                </c:pt>
                <c:pt idx="749" formatCode="0.00">
                  <c:v>415.58024338422621</c:v>
                </c:pt>
                <c:pt idx="750" formatCode="0.00">
                  <c:v>414.38881059240794</c:v>
                </c:pt>
                <c:pt idx="751" formatCode="0.00">
                  <c:v>414.4158742353855</c:v>
                </c:pt>
                <c:pt idx="752" formatCode="0.00">
                  <c:v>415.55405876080351</c:v>
                </c:pt>
                <c:pt idx="753" formatCode="0.00">
                  <c:v>416.84778205710296</c:v>
                </c:pt>
                <c:pt idx="754" formatCode="0.00">
                  <c:v>417.887455152717</c:v>
                </c:pt>
                <c:pt idx="755" formatCode="0.00">
                  <c:v>418.84534939886504</c:v>
                </c:pt>
                <c:pt idx="756" formatCode="0.00">
                  <c:v>419.6188314954569</c:v>
                </c:pt>
                <c:pt idx="757" formatCode="0.00">
                  <c:v>420.97840147484021</c:v>
                </c:pt>
                <c:pt idx="758" formatCode="0.00">
                  <c:v>422.04230565141654</c:v>
                </c:pt>
                <c:pt idx="759" formatCode="0.00">
                  <c:v>421.79202099251251</c:v>
                </c:pt>
                <c:pt idx="760" formatCode="0.00">
                  <c:v>420.58576868914383</c:v>
                </c:pt>
                <c:pt idx="761" formatCode="0.00">
                  <c:v>419.02993247420818</c:v>
                </c:pt>
                <c:pt idx="762" formatCode="0.00">
                  <c:v>417.73541485775701</c:v>
                </c:pt>
                <c:pt idx="763" formatCode="0.00">
                  <c:v>417.67694818215296</c:v>
                </c:pt>
                <c:pt idx="764" formatCode="0.00">
                  <c:v>418.74237337846182</c:v>
                </c:pt>
                <c:pt idx="765" formatCode="0.00">
                  <c:v>419.97305097913949</c:v>
                </c:pt>
                <c:pt idx="766" formatCode="0.00">
                  <c:v>420.95731149068803</c:v>
                </c:pt>
                <c:pt idx="767" formatCode="0.00">
                  <c:v>421.86594354058269</c:v>
                </c:pt>
                <c:pt idx="768" formatCode="0.00">
                  <c:v>422.59521886967678</c:v>
                </c:pt>
                <c:pt idx="769" formatCode="0.00">
                  <c:v>423.91480568390824</c:v>
                </c:pt>
                <c:pt idx="770" formatCode="0.00">
                  <c:v>424.94223249104903</c:v>
                </c:pt>
                <c:pt idx="771" formatCode="0.00">
                  <c:v>424.65861167738677</c:v>
                </c:pt>
                <c:pt idx="772" formatCode="0.00">
                  <c:v>423.42167382620454</c:v>
                </c:pt>
                <c:pt idx="773" formatCode="0.00">
                  <c:v>421.83746540773063</c:v>
                </c:pt>
                <c:pt idx="774" formatCode="0.00">
                  <c:v>420.5166099832889</c:v>
                </c:pt>
                <c:pt idx="775" formatCode="0.00">
                  <c:v>420.43360668919377</c:v>
                </c:pt>
                <c:pt idx="776" formatCode="0.00">
                  <c:v>421.47609962942988</c:v>
                </c:pt>
                <c:pt idx="777" formatCode="0.00">
                  <c:v>422.68528179663468</c:v>
                </c:pt>
                <c:pt idx="778" formatCode="0.00">
                  <c:v>423.64933999383709</c:v>
                </c:pt>
                <c:pt idx="779" formatCode="0.00">
                  <c:v>424.53893873594768</c:v>
                </c:pt>
                <c:pt idx="780" formatCode="0.00">
                  <c:v>425.25024189612026</c:v>
                </c:pt>
                <c:pt idx="781" formatCode="0.00">
                  <c:v>426.55282339179598</c:v>
                </c:pt>
                <c:pt idx="782" formatCode="0.00">
                  <c:v>427.56409633898562</c:v>
                </c:pt>
                <c:pt idx="783" formatCode="0.00">
                  <c:v>427.2651666457599</c:v>
                </c:pt>
                <c:pt idx="784" formatCode="0.00">
                  <c:v>426.0136657355946</c:v>
                </c:pt>
                <c:pt idx="785" formatCode="0.00">
                  <c:v>424.41558229734136</c:v>
                </c:pt>
                <c:pt idx="786" formatCode="0.00">
                  <c:v>423.08148822896283</c:v>
                </c:pt>
                <c:pt idx="787" formatCode="0.00">
                  <c:v>422.98583630672749</c:v>
                </c:pt>
                <c:pt idx="788" formatCode="0.00">
                  <c:v>424.01622889294208</c:v>
                </c:pt>
                <c:pt idx="789" formatCode="0.00">
                  <c:v>425.21382127784062</c:v>
                </c:pt>
                <c:pt idx="790" formatCode="0.00">
                  <c:v>426.1667661091538</c:v>
                </c:pt>
                <c:pt idx="791" formatCode="0.00">
                  <c:v>427.04569687325142</c:v>
                </c:pt>
                <c:pt idx="792" formatCode="0.00">
                  <c:v>427.74674918083718</c:v>
                </c:pt>
                <c:pt idx="793" formatCode="0.00">
                  <c:v>429.03947114218835</c:v>
                </c:pt>
                <c:pt idx="794" formatCode="0.00">
                  <c:v>430.04123267019202</c:v>
                </c:pt>
                <c:pt idx="795" formatCode="0.00">
                  <c:v>429.73315787174664</c:v>
                </c:pt>
                <c:pt idx="796" formatCode="0.00">
                  <c:v>428.47283792686574</c:v>
                </c:pt>
                <c:pt idx="797" formatCode="0.00">
                  <c:v>426.86624317949509</c:v>
                </c:pt>
                <c:pt idx="798" formatCode="0.00">
                  <c:v>425.52392859694521</c:v>
                </c:pt>
                <c:pt idx="799" formatCode="0.00">
                  <c:v>425.42033130143921</c:v>
                </c:pt>
                <c:pt idx="800" formatCode="0.00">
                  <c:v>426.44303915629064</c:v>
                </c:pt>
                <c:pt idx="801" formatCode="0.00">
                  <c:v>427.63319400014552</c:v>
                </c:pt>
                <c:pt idx="802" formatCode="0.00">
                  <c:v>428.57893598096149</c:v>
                </c:pt>
                <c:pt idx="803" formatCode="0.00">
                  <c:v>429.45088695204697</c:v>
                </c:pt>
                <c:pt idx="804" formatCode="0.00">
                  <c:v>430.14517168180322</c:v>
                </c:pt>
                <c:pt idx="805" formatCode="0.00">
                  <c:v>431.4313281610157</c:v>
                </c:pt>
                <c:pt idx="806" formatCode="0.00">
                  <c:v>432.42670344245244</c:v>
                </c:pt>
                <c:pt idx="807" formatCode="0.00">
                  <c:v>432.11243996763579</c:v>
                </c:pt>
                <c:pt idx="808" formatCode="0.00">
                  <c:v>430.846106824392</c:v>
                </c:pt>
                <c:pt idx="809" formatCode="0.00">
                  <c:v>429.23366657845224</c:v>
                </c:pt>
                <c:pt idx="810" formatCode="0.00">
                  <c:v>427.88566689198785</c:v>
                </c:pt>
                <c:pt idx="811" formatCode="0.00">
                  <c:v>427.77653801874948</c:v>
                </c:pt>
                <c:pt idx="812" formatCode="0.00">
                  <c:v>428.79386135721023</c:v>
                </c:pt>
                <c:pt idx="813" formatCode="0.00">
                  <c:v>429.97877265478343</c:v>
                </c:pt>
                <c:pt idx="814" formatCode="0.00">
                  <c:v>430.91940631446903</c:v>
                </c:pt>
                <c:pt idx="815" formatCode="0.00">
                  <c:v>431.78637876596866</c:v>
                </c:pt>
                <c:pt idx="816" formatCode="0.00">
                  <c:v>432.47580965266548</c:v>
                </c:pt>
                <c:pt idx="817" formatCode="0.00">
                  <c:v>433.75723211809759</c:v>
                </c:pt>
                <c:pt idx="818" formatCode="0.00">
                  <c:v>434.74797873197389</c:v>
                </c:pt>
                <c:pt idx="819" formatCode="0.00">
                  <c:v>434.42920761058497</c:v>
                </c:pt>
                <c:pt idx="820" formatCode="0.00">
                  <c:v>433.15847358338368</c:v>
                </c:pt>
                <c:pt idx="821" formatCode="0.00">
                  <c:v>431.54173530472201</c:v>
                </c:pt>
                <c:pt idx="822" formatCode="0.00">
                  <c:v>430.18953672213178</c:v>
                </c:pt>
                <c:pt idx="823" formatCode="0.00">
                  <c:v>430.07630455892263</c:v>
                </c:pt>
                <c:pt idx="824" formatCode="0.00">
                  <c:v>431.08961685574889</c:v>
                </c:pt>
                <c:pt idx="825" formatCode="0.00">
                  <c:v>432.27060616412803</c:v>
                </c:pt>
                <c:pt idx="826" formatCode="0.00">
                  <c:v>433.20740384318827</c:v>
                </c:pt>
                <c:pt idx="827" formatCode="0.00">
                  <c:v>434.07062342161589</c:v>
                </c:pt>
                <c:pt idx="828" formatCode="0.00">
                  <c:v>434.75638177613371</c:v>
                </c:pt>
                <c:pt idx="829" formatCode="0.00">
                  <c:v>436.03420941008426</c:v>
                </c:pt>
                <c:pt idx="830" formatCode="0.00">
                  <c:v>437.02142869181216</c:v>
                </c:pt>
                <c:pt idx="831" formatCode="0.00">
                  <c:v>436.69921084471326</c:v>
                </c:pt>
                <c:pt idx="832" formatCode="0.00">
                  <c:v>435.42510055503845</c:v>
                </c:pt>
                <c:pt idx="833" formatCode="0.00">
                  <c:v>433.80505427463106</c:v>
                </c:pt>
                <c:pt idx="834" formatCode="0.00">
                  <c:v>432.44961384304435</c:v>
                </c:pt>
                <c:pt idx="835" formatCode="0.00">
                  <c:v>432.33320396499187</c:v>
                </c:pt>
                <c:pt idx="836" formatCode="0.00">
                  <c:v>433.34340074710633</c:v>
                </c:pt>
                <c:pt idx="837" formatCode="0.00">
                  <c:v>434.52133488696171</c:v>
                </c:pt>
                <c:pt idx="838" formatCode="0.00">
                  <c:v>435.45513596561426</c:v>
                </c:pt>
                <c:pt idx="839" formatCode="0.00">
                  <c:v>436.31541580560878</c:v>
                </c:pt>
                <c:pt idx="840" formatCode="0.00">
                  <c:v>436.99828964576523</c:v>
                </c:pt>
                <c:pt idx="841" formatCode="0.00">
                  <c:v>438.27328641629765</c:v>
                </c:pt>
                <c:pt idx="842" formatCode="0.00">
                  <c:v>439.25772079546226</c:v>
                </c:pt>
                <c:pt idx="843" formatCode="0.00">
                  <c:v>438.9327750201507</c:v>
                </c:pt>
                <c:pt idx="844" formatCode="0.00">
                  <c:v>437.65598608792249</c:v>
                </c:pt>
                <c:pt idx="845" formatCode="0.00">
                  <c:v>436.03330910609446</c:v>
                </c:pt>
                <c:pt idx="846" formatCode="0.00">
                  <c:v>434.67528462004452</c:v>
                </c:pt>
                <c:pt idx="847" formatCode="0.00">
                  <c:v>434.55633608826832</c:v>
                </c:pt>
                <c:pt idx="848" formatCode="0.00">
                  <c:v>435.56403841688098</c:v>
                </c:pt>
                <c:pt idx="849" formatCode="0.00">
                  <c:v>436.73952114651257</c:v>
                </c:pt>
                <c:pt idx="850" formatCode="0.00">
                  <c:v>437.67091274284019</c:v>
                </c:pt>
                <c:pt idx="851" formatCode="0.00">
                  <c:v>438.52882395269876</c:v>
                </c:pt>
                <c:pt idx="852" formatCode="0.00">
                  <c:v>439.20936897707537</c:v>
                </c:pt>
                <c:pt idx="853" formatCode="0.00">
                  <c:v>440.48207574453528</c:v>
                </c:pt>
                <c:pt idx="854" formatCode="0.00">
                  <c:v>441.4642528609379</c:v>
                </c:pt>
                <c:pt idx="855" formatCode="0.00">
                  <c:v>441.13709192078881</c:v>
                </c:pt>
                <c:pt idx="856" formatCode="0.00">
                  <c:v>439.85812383102171</c:v>
                </c:pt>
                <c:pt idx="857" formatCode="0.00">
                  <c:v>438.23330282691677</c:v>
                </c:pt>
                <c:pt idx="858" formatCode="0.00">
                  <c:v>436.87316861079131</c:v>
                </c:pt>
                <c:pt idx="859" formatCode="0.00">
                  <c:v>436.75214382583471</c:v>
                </c:pt>
                <c:pt idx="860" formatCode="0.00">
                  <c:v>437.7578025894494</c:v>
                </c:pt>
                <c:pt idx="861" formatCode="0.00">
                  <c:v>438.93127367904378</c:v>
                </c:pt>
                <c:pt idx="862" formatCode="0.00">
                  <c:v>439.86068482151853</c:v>
                </c:pt>
                <c:pt idx="863" formatCode="0.00">
                  <c:v>440.7166460483827</c:v>
                </c:pt>
                <c:pt idx="864" formatCode="0.00">
                  <c:v>441.39527086780214</c:v>
                </c:pt>
                <c:pt idx="865" formatCode="0.00">
                  <c:v>442.66608653712626</c:v>
                </c:pt>
                <c:pt idx="866" formatCode="0.00">
                  <c:v>443.64639670423236</c:v>
                </c:pt>
                <c:pt idx="867" formatCode="0.00">
                  <c:v>443.31740100996961</c:v>
                </c:pt>
                <c:pt idx="868" formatCode="0.00">
                  <c:v>442.0366253791874</c:v>
                </c:pt>
                <c:pt idx="869" formatCode="0.00">
                  <c:v>440.41002345425153</c:v>
                </c:pt>
                <c:pt idx="870" formatCode="0.00">
                  <c:v>439.04813436227778</c:v>
                </c:pt>
                <c:pt idx="871" formatCode="0.00">
                  <c:v>438.92538018829322</c:v>
                </c:pt>
                <c:pt idx="872" formatCode="0.00">
                  <c:v>439.92933450793686</c:v>
                </c:pt>
                <c:pt idx="873" formatCode="0.00">
                  <c:v>441.10112557264051</c:v>
                </c:pt>
                <c:pt idx="874" formatCode="0.00">
                  <c:v>442.02888059852955</c:v>
                </c:pt>
                <c:pt idx="875" formatCode="0.00">
                  <c:v>442.88320912098163</c:v>
                </c:pt>
                <c:pt idx="876" formatCode="0.00">
                  <c:v>443.56022416614167</c:v>
                </c:pt>
                <c:pt idx="877" formatCode="0.00">
                  <c:v>444.82945252293808</c:v>
                </c:pt>
                <c:pt idx="878" formatCode="0.00">
                  <c:v>445.80819368829049</c:v>
                </c:pt>
                <c:pt idx="879" formatCode="0.00">
                  <c:v>445.47765430024026</c:v>
                </c:pt>
                <c:pt idx="880" formatCode="0.00">
                  <c:v>444.19535610800619</c:v>
                </c:pt>
                <c:pt idx="881" formatCode="0.00">
                  <c:v>442.56725233529045</c:v>
                </c:pt>
                <c:pt idx="882" formatCode="0.00">
                  <c:v>441.20388170190813</c:v>
                </c:pt>
                <c:pt idx="883" formatCode="0.00">
                  <c:v>441.07966589655626</c:v>
                </c:pt>
                <c:pt idx="884" formatCode="0.00">
                  <c:v>442.08217810913874</c:v>
                </c:pt>
                <c:pt idx="885" formatCode="0.00">
                  <c:v>443.25254621558747</c:v>
                </c:pt>
                <c:pt idx="886" formatCode="0.00">
                  <c:v>444.17889706641836</c:v>
                </c:pt>
                <c:pt idx="887" formatCode="0.00">
                  <c:v>445.03183984095807</c:v>
                </c:pt>
                <c:pt idx="888" formatCode="0.00">
                  <c:v>445.70748721854204</c:v>
                </c:pt>
                <c:pt idx="889" formatCode="0.00">
                  <c:v>446.97536565022608</c:v>
                </c:pt>
                <c:pt idx="890" formatCode="0.00">
                  <c:v>447.95277108924449</c:v>
                </c:pt>
                <c:pt idx="891" formatCode="0.00">
                  <c:v>447.62091632067165</c:v>
                </c:pt>
                <c:pt idx="892" formatCode="0.00">
                  <c:v>446.33731952680108</c:v>
                </c:pt>
                <c:pt idx="893" formatCode="0.00">
                  <c:v>444.70793362641291</c:v>
                </c:pt>
                <c:pt idx="894" formatCode="0.00">
                  <c:v>443.34329704198376</c:v>
                </c:pt>
                <c:pt idx="895" formatCode="0.00">
                  <c:v>443.21783117221594</c:v>
                </c:pt>
                <c:pt idx="896" formatCode="0.00">
                  <c:v>444.21910892413234</c:v>
                </c:pt>
                <c:pt idx="897" formatCode="0.00">
                  <c:v>445.38825789767486</c:v>
                </c:pt>
                <c:pt idx="898" formatCode="0.00">
                  <c:v>446.31340467404789</c:v>
                </c:pt>
                <c:pt idx="899" formatCode="0.00">
                  <c:v>447.16515816973964</c:v>
                </c:pt>
                <c:pt idx="900" formatCode="0.00">
                  <c:v>447.83963080752176</c:v>
                </c:pt>
                <c:pt idx="901" formatCode="0.00">
                  <c:v>449.10634878797111</c:v>
                </c:pt>
                <c:pt idx="902" formatCode="0.00">
                  <c:v>450.08260499163293</c:v>
                </c:pt>
                <c:pt idx="903" formatCode="0.00">
                  <c:v>449.74961765284536</c:v>
                </c:pt>
                <c:pt idx="904" formatCode="0.00">
                  <c:v>448.46490186006207</c:v>
                </c:pt>
                <c:pt idx="905" formatCode="0.00">
                  <c:v>446.83441030416708</c:v>
                </c:pt>
                <c:pt idx="906" formatCode="0.00">
                  <c:v>445.46868118497207</c:v>
                </c:pt>
                <c:pt idx="907" formatCode="0.00">
                  <c:v>445.34213568359343</c:v>
                </c:pt>
                <c:pt idx="908" formatCode="0.00">
                  <c:v>446.34234649439952</c:v>
                </c:pt>
                <c:pt idx="909" formatCode="0.00">
                  <c:v>447.51044100946791</c:v>
                </c:pt>
                <c:pt idx="910" formatCode="0.00">
                  <c:v>448.43454560679044</c:v>
                </c:pt>
                <c:pt idx="911" formatCode="0.00">
                  <c:v>449.28526900416313</c:v>
                </c:pt>
                <c:pt idx="912" formatCode="0.00">
                  <c:v>449.958723430058</c:v>
                </c:pt>
                <c:pt idx="913" formatCode="0.00">
                  <c:v>451.22443489502092</c:v>
                </c:pt>
                <c:pt idx="914" formatCode="0.00">
                  <c:v>452.19969358123097</c:v>
                </c:pt>
                <c:pt idx="915" formatCode="0.00">
                  <c:v>451.86572259265716</c:v>
                </c:pt>
                <c:pt idx="916" formatCode="0.00">
                  <c:v>450.58003430042368</c:v>
                </c:pt>
                <c:pt idx="917" formatCode="0.00">
                  <c:v>448.94858122131581</c:v>
                </c:pt>
                <c:pt idx="918" formatCode="0.00">
                  <c:v>447.58190138475788</c:v>
                </c:pt>
                <c:pt idx="919" formatCode="0.00">
                  <c:v>447.45441580508981</c:v>
                </c:pt>
                <c:pt idx="920" formatCode="0.00">
                  <c:v>448.4536970134173</c:v>
                </c:pt>
                <c:pt idx="921" formatCode="0.00">
                  <c:v>449.6208722419745</c:v>
                </c:pt>
                <c:pt idx="922" formatCode="0.00">
                  <c:v>450.54406771223864</c:v>
                </c:pt>
                <c:pt idx="923" formatCode="0.00">
                  <c:v>451.39389198873158</c:v>
                </c:pt>
                <c:pt idx="924" formatCode="0.00">
                  <c:v>452.06645714980624</c:v>
                </c:pt>
                <c:pt idx="925" formatCode="0.00">
                  <c:v>453.33128905896217</c:v>
                </c:pt>
                <c:pt idx="926" formatCode="0.00">
                  <c:v>454.30567550353311</c:v>
                </c:pt>
                <c:pt idx="927" formatCode="0.00">
                  <c:v>453.97084397026464</c:v>
                </c:pt>
                <c:pt idx="928" formatCode="0.00">
                  <c:v>452.68430441853451</c:v>
                </c:pt>
                <c:pt idx="929" formatCode="0.00">
                  <c:v>451.05200922960393</c:v>
                </c:pt>
                <c:pt idx="930" formatCode="0.00">
                  <c:v>449.68449630007069</c:v>
                </c:pt>
                <c:pt idx="931" formatCode="0.00">
                  <c:v>449.55618651407724</c:v>
                </c:pt>
                <c:pt idx="932" formatCode="0.00">
                  <c:v>450.55465227509416</c:v>
                </c:pt>
                <c:pt idx="933" formatCode="0.00">
                  <c:v>451.72102069021946</c:v>
                </c:pt>
                <c:pt idx="934" formatCode="0.00">
                  <c:v>452.64341785823098</c:v>
                </c:pt>
                <c:pt idx="935" formatCode="0.00">
                  <c:v>453.49245222332718</c:v>
                </c:pt>
                <c:pt idx="936" formatCode="0.00">
                  <c:v>454.16423574585542</c:v>
                </c:pt>
                <c:pt idx="937" formatCode="0.00">
                  <c:v>455.42829417357075</c:v>
                </c:pt>
                <c:pt idx="938" formatCode="0.00">
                  <c:v>456.40191314923345</c:v>
                </c:pt>
                <c:pt idx="939" formatCode="0.00">
                  <c:v>456.06632412930969</c:v>
                </c:pt>
                <c:pt idx="940" formatCode="0.00">
                  <c:v>454.77903491356022</c:v>
                </c:pt>
                <c:pt idx="941" formatCode="0.00">
                  <c:v>453.14599777601671</c:v>
                </c:pt>
                <c:pt idx="942" formatCode="0.00">
                  <c:v>451.77775050804803</c:v>
                </c:pt>
                <c:pt idx="943" formatCode="0.00">
                  <c:v>451.64871389052212</c:v>
                </c:pt>
                <c:pt idx="944" formatCode="0.00">
                  <c:v>452.64646022554297</c:v>
                </c:pt>
                <c:pt idx="945" formatCode="0.00">
                  <c:v>453.81211652070471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0-4B6E-A39D-ADFE7A47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366896"/>
        <c:axId val="1473681552"/>
      </c:lineChart>
      <c:catAx>
        <c:axId val="147436689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681552"/>
        <c:crosses val="autoZero"/>
        <c:auto val="1"/>
        <c:lblAlgn val="ctr"/>
        <c:lblOffset val="100"/>
        <c:noMultiLvlLbl val="0"/>
      </c:catAx>
      <c:valAx>
        <c:axId val="1473681552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436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'2次多項式モデル'!$H$1</c:f>
              <c:strCache>
                <c:ptCount val="1"/>
                <c:pt idx="0">
                  <c:v>T(d)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'2次多項式モデル'!$H$2:$H$942</c:f>
              <c:numCache>
                <c:formatCode>0.00_ ;[Red]\-0.00\ </c:formatCode>
                <c:ptCount val="941"/>
                <c:pt idx="0">
                  <c:v>314.61155003735519</c:v>
                </c:pt>
                <c:pt idx="1">
                  <c:v>314.67624382141679</c:v>
                </c:pt>
                <c:pt idx="2">
                  <c:v>314.73903013579707</c:v>
                </c:pt>
                <c:pt idx="3">
                  <c:v>314.86723990232565</c:v>
                </c:pt>
                <c:pt idx="4">
                  <c:v>314.93267531624593</c:v>
                </c:pt>
                <c:pt idx="5">
                  <c:v>314.99829917709746</c:v>
                </c:pt>
                <c:pt idx="6">
                  <c:v>315.12798024157149</c:v>
                </c:pt>
                <c:pt idx="7">
                  <c:v>315.19202548342207</c:v>
                </c:pt>
                <c:pt idx="8">
                  <c:v>315.25839097413228</c:v>
                </c:pt>
                <c:pt idx="9">
                  <c:v>315.3249449117738</c:v>
                </c:pt>
                <c:pt idx="10">
                  <c:v>315.38522011993001</c:v>
                </c:pt>
                <c:pt idx="11">
                  <c:v>315.45213271463433</c:v>
                </c:pt>
                <c:pt idx="12">
                  <c:v>315.51706626512043</c:v>
                </c:pt>
                <c:pt idx="13">
                  <c:v>315.58434967475409</c:v>
                </c:pt>
                <c:pt idx="14">
                  <c:v>315.64964207839762</c:v>
                </c:pt>
                <c:pt idx="15">
                  <c:v>315.71729630296062</c:v>
                </c:pt>
                <c:pt idx="16">
                  <c:v>315.78513897445492</c:v>
                </c:pt>
                <c:pt idx="17">
                  <c:v>315.85097259925391</c:v>
                </c:pt>
                <c:pt idx="18">
                  <c:v>315.91918608567755</c:v>
                </c:pt>
                <c:pt idx="19">
                  <c:v>315.98537856363396</c:v>
                </c:pt>
                <c:pt idx="20">
                  <c:v>316.05396286498689</c:v>
                </c:pt>
                <c:pt idx="21">
                  <c:v>316.12273561327112</c:v>
                </c:pt>
                <c:pt idx="22">
                  <c:v>316.18724201237393</c:v>
                </c:pt>
                <c:pt idx="23">
                  <c:v>316.25637949665423</c:v>
                </c:pt>
                <c:pt idx="24">
                  <c:v>316.32346616608487</c:v>
                </c:pt>
                <c:pt idx="25">
                  <c:v>316.39297446529451</c:v>
                </c:pt>
                <c:pt idx="26">
                  <c:v>316.46041998788257</c:v>
                </c:pt>
                <c:pt idx="27">
                  <c:v>316.53029910202156</c:v>
                </c:pt>
                <c:pt idx="28">
                  <c:v>316.60036666309185</c:v>
                </c:pt>
                <c:pt idx="29">
                  <c:v>316.66835340683537</c:v>
                </c:pt>
                <c:pt idx="30">
                  <c:v>316.73879178283499</c:v>
                </c:pt>
                <c:pt idx="31">
                  <c:v>316.80713737973588</c:v>
                </c:pt>
                <c:pt idx="32">
                  <c:v>316.87794657066485</c:v>
                </c:pt>
                <c:pt idx="33">
                  <c:v>316.94894420852512</c:v>
                </c:pt>
                <c:pt idx="34">
                  <c:v>317.01323308139501</c:v>
                </c:pt>
                <c:pt idx="35">
                  <c:v>317.08458937631804</c:v>
                </c:pt>
                <c:pt idx="36">
                  <c:v>317.15382328185456</c:v>
                </c:pt>
                <c:pt idx="37">
                  <c:v>317.22555039170692</c:v>
                </c:pt>
                <c:pt idx="38">
                  <c:v>317.29514315040086</c:v>
                </c:pt>
                <c:pt idx="39">
                  <c:v>317.36724107518256</c:v>
                </c:pt>
                <c:pt idx="40">
                  <c:v>317.43952744689557</c:v>
                </c:pt>
                <c:pt idx="41">
                  <c:v>317.50966142674497</c:v>
                </c:pt>
                <c:pt idx="42">
                  <c:v>317.58231861338732</c:v>
                </c:pt>
                <c:pt idx="43">
                  <c:v>317.65281144639408</c:v>
                </c:pt>
                <c:pt idx="44">
                  <c:v>317.72583944796577</c:v>
                </c:pt>
                <c:pt idx="45">
                  <c:v>317.79905589646876</c:v>
                </c:pt>
                <c:pt idx="46">
                  <c:v>317.86534885637082</c:v>
                </c:pt>
                <c:pt idx="47">
                  <c:v>317.93892396193655</c:v>
                </c:pt>
                <c:pt idx="48">
                  <c:v>318.01030510357896</c:v>
                </c:pt>
                <c:pt idx="49">
                  <c:v>318.08425102407404</c:v>
                </c:pt>
                <c:pt idx="50">
                  <c:v>318.15599101887386</c:v>
                </c:pt>
                <c:pt idx="51">
                  <c:v>318.23030775429828</c:v>
                </c:pt>
                <c:pt idx="52">
                  <c:v>318.304812936654</c:v>
                </c:pt>
                <c:pt idx="53">
                  <c:v>318.37709415260929</c:v>
                </c:pt>
                <c:pt idx="54">
                  <c:v>318.45197014989435</c:v>
                </c:pt>
                <c:pt idx="55">
                  <c:v>318.524610219007</c:v>
                </c:pt>
                <c:pt idx="56">
                  <c:v>318.5998570312214</c:v>
                </c:pt>
                <c:pt idx="57">
                  <c:v>318.67529229036711</c:v>
                </c:pt>
                <c:pt idx="58">
                  <c:v>318.74358933730127</c:v>
                </c:pt>
                <c:pt idx="59">
                  <c:v>318.81938325350978</c:v>
                </c:pt>
                <c:pt idx="60">
                  <c:v>318.89291163125802</c:v>
                </c:pt>
                <c:pt idx="61">
                  <c:v>318.96907636239587</c:v>
                </c:pt>
                <c:pt idx="62">
                  <c:v>319.04296359330158</c:v>
                </c:pt>
                <c:pt idx="63">
                  <c:v>319.11949913936871</c:v>
                </c:pt>
                <c:pt idx="64">
                  <c:v>319.19622313236721</c:v>
                </c:pt>
                <c:pt idx="65">
                  <c:v>319.27065158442832</c:v>
                </c:pt>
                <c:pt idx="66">
                  <c:v>319.3477463923561</c:v>
                </c:pt>
                <c:pt idx="67">
                  <c:v>319.42253369757464</c:v>
                </c:pt>
                <c:pt idx="68">
                  <c:v>319.49999932043181</c:v>
                </c:pt>
                <c:pt idx="69">
                  <c:v>319.80416842482032</c:v>
                </c:pt>
                <c:pt idx="70">
                  <c:v>319.88255804553415</c:v>
                </c:pt>
                <c:pt idx="71">
                  <c:v>319.95859839538434</c:v>
                </c:pt>
                <c:pt idx="72">
                  <c:v>320.03735883102746</c:v>
                </c:pt>
                <c:pt idx="73">
                  <c:v>320.11630771360194</c:v>
                </c:pt>
                <c:pt idx="74">
                  <c:v>320.19288928460759</c:v>
                </c:pt>
                <c:pt idx="75">
                  <c:v>320.27220898211135</c:v>
                </c:pt>
                <c:pt idx="76">
                  <c:v>320.34914940627442</c:v>
                </c:pt>
                <c:pt idx="77">
                  <c:v>320.42883991870758</c:v>
                </c:pt>
                <c:pt idx="78">
                  <c:v>320.50871887807199</c:v>
                </c:pt>
                <c:pt idx="79">
                  <c:v>320.58102958971983</c:v>
                </c:pt>
                <c:pt idx="80">
                  <c:v>320.6612672061471</c:v>
                </c:pt>
                <c:pt idx="81">
                  <c:v>320.7390959389457</c:v>
                </c:pt>
                <c:pt idx="82">
                  <c:v>320.8197043703023</c:v>
                </c:pt>
                <c:pt idx="83">
                  <c:v>320.89789195625832</c:v>
                </c:pt>
                <c:pt idx="84">
                  <c:v>320.97887120254421</c:v>
                </c:pt>
                <c:pt idx="85">
                  <c:v>321.06003889576141</c:v>
                </c:pt>
                <c:pt idx="86">
                  <c:v>321.13876770287288</c:v>
                </c:pt>
                <c:pt idx="87">
                  <c:v>321.22030621101942</c:v>
                </c:pt>
                <c:pt idx="88">
                  <c:v>321.29939387128832</c:v>
                </c:pt>
                <c:pt idx="89">
                  <c:v>321.38130319436419</c:v>
                </c:pt>
                <c:pt idx="90">
                  <c:v>321.46340096437137</c:v>
                </c:pt>
                <c:pt idx="91">
                  <c:v>321.53771576305138</c:v>
                </c:pt>
                <c:pt idx="92">
                  <c:v>321.62017219012137</c:v>
                </c:pt>
                <c:pt idx="93">
                  <c:v>321.70014815902584</c:v>
                </c:pt>
                <c:pt idx="94">
                  <c:v>321.78297540102511</c:v>
                </c:pt>
                <c:pt idx="95">
                  <c:v>321.86331022308701</c:v>
                </c:pt>
                <c:pt idx="96">
                  <c:v>321.94650828001568</c:v>
                </c:pt>
                <c:pt idx="97">
                  <c:v>322.02989478387559</c:v>
                </c:pt>
                <c:pt idx="98">
                  <c:v>322.11077082709295</c:v>
                </c:pt>
                <c:pt idx="99">
                  <c:v>322.1945281458822</c:v>
                </c:pt>
                <c:pt idx="100">
                  <c:v>322.27576304225698</c:v>
                </c:pt>
                <c:pt idx="101">
                  <c:v>322.35989117597558</c:v>
                </c:pt>
                <c:pt idx="102">
                  <c:v>322.44420775662547</c:v>
                </c:pt>
                <c:pt idx="103">
                  <c:v>322.52052664233764</c:v>
                </c:pt>
                <c:pt idx="104">
                  <c:v>322.60520188005034</c:v>
                </c:pt>
                <c:pt idx="105">
                  <c:v>322.68732508506065</c:v>
                </c:pt>
                <c:pt idx="106">
                  <c:v>322.77237113770269</c:v>
                </c:pt>
                <c:pt idx="107">
                  <c:v>322.85485319587048</c:v>
                </c:pt>
                <c:pt idx="108">
                  <c:v>322.9402700634418</c:v>
                </c:pt>
                <c:pt idx="109">
                  <c:v>323.02587537794449</c:v>
                </c:pt>
                <c:pt idx="110">
                  <c:v>323.10889865726773</c:v>
                </c:pt>
                <c:pt idx="111">
                  <c:v>323.1948747866997</c:v>
                </c:pt>
                <c:pt idx="112">
                  <c:v>323.27825691918036</c:v>
                </c:pt>
                <c:pt idx="113">
                  <c:v>323.36460386354167</c:v>
                </c:pt>
                <c:pt idx="114">
                  <c:v>323.45113925483429</c:v>
                </c:pt>
                <c:pt idx="115">
                  <c:v>323.53226231997718</c:v>
                </c:pt>
                <c:pt idx="116">
                  <c:v>323.61916244726586</c:v>
                </c:pt>
                <c:pt idx="117">
                  <c:v>323.7034387712207</c:v>
                </c:pt>
                <c:pt idx="118">
                  <c:v>323.79070971343873</c:v>
                </c:pt>
                <c:pt idx="119">
                  <c:v>323.87534489055105</c:v>
                </c:pt>
                <c:pt idx="120">
                  <c:v>323.96298664769841</c:v>
                </c:pt>
                <c:pt idx="121">
                  <c:v>324.05081685177709</c:v>
                </c:pt>
                <c:pt idx="122">
                  <c:v>324.13599325004481</c:v>
                </c:pt>
                <c:pt idx="123">
                  <c:v>324.22419426905276</c:v>
                </c:pt>
                <c:pt idx="124">
                  <c:v>324.30972952047796</c:v>
                </c:pt>
                <c:pt idx="125">
                  <c:v>324.39830135441525</c:v>
                </c:pt>
                <c:pt idx="126">
                  <c:v>324.48706163528391</c:v>
                </c:pt>
                <c:pt idx="127">
                  <c:v>324.5673941857097</c:v>
                </c:pt>
                <c:pt idx="128">
                  <c:v>324.65651312364116</c:v>
                </c:pt>
                <c:pt idx="129">
                  <c:v>324.74293668370188</c:v>
                </c:pt>
                <c:pt idx="130">
                  <c:v>324.83242643656263</c:v>
                </c:pt>
                <c:pt idx="131">
                  <c:v>324.91920884978077</c:v>
                </c:pt>
                <c:pt idx="132">
                  <c:v>325.00906941757086</c:v>
                </c:pt>
                <c:pt idx="133">
                  <c:v>325.09911843229224</c:v>
                </c:pt>
                <c:pt idx="134">
                  <c:v>325.18644206666585</c:v>
                </c:pt>
                <c:pt idx="135">
                  <c:v>325.27686189631657</c:v>
                </c:pt>
                <c:pt idx="136">
                  <c:v>325.3645443838476</c:v>
                </c:pt>
                <c:pt idx="137">
                  <c:v>325.45533502842767</c:v>
                </c:pt>
                <c:pt idx="138">
                  <c:v>325.54631411993898</c:v>
                </c:pt>
                <c:pt idx="139">
                  <c:v>325.628650757397</c:v>
                </c:pt>
                <c:pt idx="140">
                  <c:v>325.71998850597112</c:v>
                </c:pt>
                <c:pt idx="141">
                  <c:v>325.80855930213772</c:v>
                </c:pt>
                <c:pt idx="142">
                  <c:v>325.90026786564124</c:v>
                </c:pt>
                <c:pt idx="143">
                  <c:v>325.98919751496521</c:v>
                </c:pt>
                <c:pt idx="144">
                  <c:v>326.08127689339801</c:v>
                </c:pt>
                <c:pt idx="145">
                  <c:v>326.17354471876217</c:v>
                </c:pt>
                <c:pt idx="146">
                  <c:v>326.2630155892416</c:v>
                </c:pt>
                <c:pt idx="147">
                  <c:v>326.35565422953511</c:v>
                </c:pt>
                <c:pt idx="148">
                  <c:v>326.44548395317196</c:v>
                </c:pt>
                <c:pt idx="149">
                  <c:v>326.53849340839474</c:v>
                </c:pt>
                <c:pt idx="150">
                  <c:v>326.63169131054883</c:v>
                </c:pt>
                <c:pt idx="151">
                  <c:v>326.71603203503895</c:v>
                </c:pt>
                <c:pt idx="152">
                  <c:v>326.80958859425584</c:v>
                </c:pt>
                <c:pt idx="153">
                  <c:v>326.90030662652828</c:v>
                </c:pt>
                <c:pt idx="154">
                  <c:v>326.99423400067451</c:v>
                </c:pt>
                <c:pt idx="155">
                  <c:v>327.08531088610442</c:v>
                </c:pt>
                <c:pt idx="156">
                  <c:v>327.17960907517994</c:v>
                </c:pt>
                <c:pt idx="157">
                  <c:v>327.27409571118676</c:v>
                </c:pt>
                <c:pt idx="158">
                  <c:v>327.36571381777213</c:v>
                </c:pt>
                <c:pt idx="159">
                  <c:v>327.46057126870829</c:v>
                </c:pt>
                <c:pt idx="160">
                  <c:v>327.55254822845109</c:v>
                </c:pt>
                <c:pt idx="161">
                  <c:v>327.64777649431659</c:v>
                </c:pt>
                <c:pt idx="162">
                  <c:v>327.74319320711339</c:v>
                </c:pt>
                <c:pt idx="163">
                  <c:v>327.83262460527629</c:v>
                </c:pt>
                <c:pt idx="164">
                  <c:v>327.92840605406917</c:v>
                </c:pt>
                <c:pt idx="165">
                  <c:v>328.02127720528614</c:v>
                </c:pt>
                <c:pt idx="166">
                  <c:v>328.11742946900836</c:v>
                </c:pt>
                <c:pt idx="167">
                  <c:v>328.21065947338275</c:v>
                </c:pt>
                <c:pt idx="168">
                  <c:v>328.30718255203431</c:v>
                </c:pt>
                <c:pt idx="169">
                  <c:v>328.40389407761717</c:v>
                </c:pt>
                <c:pt idx="170">
                  <c:v>328.49766530314702</c:v>
                </c:pt>
                <c:pt idx="171">
                  <c:v>328.59474764365916</c:v>
                </c:pt>
                <c:pt idx="172">
                  <c:v>328.68887772234643</c:v>
                </c:pt>
                <c:pt idx="173">
                  <c:v>328.78633087778798</c:v>
                </c:pt>
                <c:pt idx="174">
                  <c:v>328.88397248016076</c:v>
                </c:pt>
                <c:pt idx="175">
                  <c:v>328.97232686936457</c:v>
                </c:pt>
                <c:pt idx="176">
                  <c:v>329.07032712880022</c:v>
                </c:pt>
                <c:pt idx="177">
                  <c:v>329.16534551612301</c:v>
                </c:pt>
                <c:pt idx="178">
                  <c:v>329.263716590488</c:v>
                </c:pt>
                <c:pt idx="179">
                  <c:v>329.35909383096822</c:v>
                </c:pt>
                <c:pt idx="180">
                  <c:v>329.45783572026249</c:v>
                </c:pt>
                <c:pt idx="181">
                  <c:v>329.55676605648807</c:v>
                </c:pt>
                <c:pt idx="182">
                  <c:v>329.65268451812381</c:v>
                </c:pt>
                <c:pt idx="183">
                  <c:v>329.75198566927872</c:v>
                </c:pt>
                <c:pt idx="184">
                  <c:v>329.84826298407188</c:v>
                </c:pt>
                <c:pt idx="185">
                  <c:v>329.94793495015608</c:v>
                </c:pt>
                <c:pt idx="186">
                  <c:v>330.04779536317164</c:v>
                </c:pt>
                <c:pt idx="187">
                  <c:v>330.13815383940755</c:v>
                </c:pt>
                <c:pt idx="188">
                  <c:v>330.23837290948592</c:v>
                </c:pt>
                <c:pt idx="189">
                  <c:v>330.3355385329146</c:v>
                </c:pt>
                <c:pt idx="190">
                  <c:v>330.4361284179223</c:v>
                </c:pt>
                <c:pt idx="191">
                  <c:v>330.53365289450841</c:v>
                </c:pt>
                <c:pt idx="192">
                  <c:v>330.6346135944454</c:v>
                </c:pt>
                <c:pt idx="193">
                  <c:v>330.73576274131375</c:v>
                </c:pt>
                <c:pt idx="194">
                  <c:v>330.83382843905531</c:v>
                </c:pt>
                <c:pt idx="195">
                  <c:v>330.93534840085294</c:v>
                </c:pt>
                <c:pt idx="196">
                  <c:v>331.03377295175198</c:v>
                </c:pt>
                <c:pt idx="197">
                  <c:v>331.1356637284789</c:v>
                </c:pt>
                <c:pt idx="198">
                  <c:v>331.23774295213718</c:v>
                </c:pt>
                <c:pt idx="199">
                  <c:v>331.33010551540531</c:v>
                </c:pt>
                <c:pt idx="200">
                  <c:v>331.43254339612633</c:v>
                </c:pt>
                <c:pt idx="201">
                  <c:v>331.53185625566095</c:v>
                </c:pt>
                <c:pt idx="202">
                  <c:v>331.63466495131132</c:v>
                </c:pt>
                <c:pt idx="203">
                  <c:v>331.73433666400331</c:v>
                </c:pt>
                <c:pt idx="204">
                  <c:v>331.83751617458307</c:v>
                </c:pt>
                <c:pt idx="205">
                  <c:v>331.94088413209408</c:v>
                </c:pt>
                <c:pt idx="206">
                  <c:v>332.04109706594153</c:v>
                </c:pt>
                <c:pt idx="207">
                  <c:v>332.14483583838194</c:v>
                </c:pt>
                <c:pt idx="208">
                  <c:v>332.2454076253868</c:v>
                </c:pt>
                <c:pt idx="209">
                  <c:v>332.3495172127565</c:v>
                </c:pt>
                <c:pt idx="210">
                  <c:v>332.45381524705749</c:v>
                </c:pt>
                <c:pt idx="211">
                  <c:v>332.55155497824046</c:v>
                </c:pt>
                <c:pt idx="212">
                  <c:v>332.65621774853753</c:v>
                </c:pt>
                <c:pt idx="213">
                  <c:v>332.75768372701657</c:v>
                </c:pt>
                <c:pt idx="214">
                  <c:v>332.86271731224298</c:v>
                </c:pt>
                <c:pt idx="215">
                  <c:v>332.9645421438795</c:v>
                </c:pt>
                <c:pt idx="216">
                  <c:v>333.06994654403525</c:v>
                </c:pt>
                <c:pt idx="217">
                  <c:v>333.17553939112224</c:v>
                </c:pt>
                <c:pt idx="218">
                  <c:v>333.27790544391422</c:v>
                </c:pt>
                <c:pt idx="219">
                  <c:v>333.38386910593061</c:v>
                </c:pt>
                <c:pt idx="220">
                  <c:v>333.48659401187996</c:v>
                </c:pt>
                <c:pt idx="221">
                  <c:v>333.59292848882569</c:v>
                </c:pt>
                <c:pt idx="222">
                  <c:v>333.69945141270267</c:v>
                </c:pt>
                <c:pt idx="223">
                  <c:v>333.79582764068448</c:v>
                </c:pt>
                <c:pt idx="224">
                  <c:v>333.90270922162426</c:v>
                </c:pt>
                <c:pt idx="225">
                  <c:v>334.00632243620919</c:v>
                </c:pt>
                <c:pt idx="226">
                  <c:v>334.11357483207831</c:v>
                </c:pt>
                <c:pt idx="227">
                  <c:v>334.21754689982072</c:v>
                </c:pt>
                <c:pt idx="228">
                  <c:v>334.32517011061918</c:v>
                </c:pt>
                <c:pt idx="229">
                  <c:v>334.43298176834895</c:v>
                </c:pt>
                <c:pt idx="230">
                  <c:v>334.53749505724676</c:v>
                </c:pt>
                <c:pt idx="231">
                  <c:v>334.64567752990587</c:v>
                </c:pt>
                <c:pt idx="232">
                  <c:v>334.7505496719611</c:v>
                </c:pt>
                <c:pt idx="233">
                  <c:v>334.85910295954955</c:v>
                </c:pt>
                <c:pt idx="234">
                  <c:v>334.96784469406924</c:v>
                </c:pt>
                <c:pt idx="235">
                  <c:v>335.06622500908315</c:v>
                </c:pt>
                <c:pt idx="236">
                  <c:v>335.17532540066571</c:v>
                </c:pt>
                <c:pt idx="237">
                  <c:v>335.28108585135652</c:v>
                </c:pt>
                <c:pt idx="238">
                  <c:v>335.39055705786836</c:v>
                </c:pt>
                <c:pt idx="239">
                  <c:v>335.49667636171665</c:v>
                </c:pt>
                <c:pt idx="240">
                  <c:v>335.60651838315783</c:v>
                </c:pt>
                <c:pt idx="241">
                  <c:v>335.71654885153032</c:v>
                </c:pt>
                <c:pt idx="242">
                  <c:v>335.82320937653401</c:v>
                </c:pt>
                <c:pt idx="243">
                  <c:v>335.93361065983584</c:v>
                </c:pt>
                <c:pt idx="244">
                  <c:v>336.04063003799695</c:v>
                </c:pt>
                <c:pt idx="245">
                  <c:v>336.15140213622811</c:v>
                </c:pt>
                <c:pt idx="246">
                  <c:v>336.26236268139053</c:v>
                </c:pt>
                <c:pt idx="247">
                  <c:v>336.3627470834366</c:v>
                </c:pt>
                <c:pt idx="248">
                  <c:v>336.47406628566188</c:v>
                </c:pt>
                <c:pt idx="249">
                  <c:v>336.58197397245857</c:v>
                </c:pt>
                <c:pt idx="250">
                  <c:v>336.69366398961313</c:v>
                </c:pt>
                <c:pt idx="251">
                  <c:v>336.80193052956724</c:v>
                </c:pt>
                <c:pt idx="252">
                  <c:v>336.9139913616512</c:v>
                </c:pt>
                <c:pt idx="253">
                  <c:v>337.0262406406664</c:v>
                </c:pt>
                <c:pt idx="254">
                  <c:v>337.13504840177598</c:v>
                </c:pt>
                <c:pt idx="255">
                  <c:v>337.24766849572052</c:v>
                </c:pt>
                <c:pt idx="256">
                  <c:v>337.35683510998751</c:v>
                </c:pt>
                <c:pt idx="257">
                  <c:v>337.4698260188614</c:v>
                </c:pt>
                <c:pt idx="258">
                  <c:v>337.58300537466658</c:v>
                </c:pt>
                <c:pt idx="259">
                  <c:v>337.68905343886956</c:v>
                </c:pt>
                <c:pt idx="260">
                  <c:v>337.80259753067082</c:v>
                </c:pt>
                <c:pt idx="261">
                  <c:v>337.91265833641205</c:v>
                </c:pt>
                <c:pt idx="262">
                  <c:v>338.02657324314265</c:v>
                </c:pt>
                <c:pt idx="263">
                  <c:v>338.13699290204124</c:v>
                </c:pt>
                <c:pt idx="264">
                  <c:v>338.25127862370118</c:v>
                </c:pt>
                <c:pt idx="265">
                  <c:v>338.36575279229237</c:v>
                </c:pt>
                <c:pt idx="266">
                  <c:v>338.47671367234648</c:v>
                </c:pt>
                <c:pt idx="267">
                  <c:v>338.591558655867</c:v>
                </c:pt>
                <c:pt idx="268">
                  <c:v>338.70287838907853</c:v>
                </c:pt>
                <c:pt idx="269">
                  <c:v>338.8180941875284</c:v>
                </c:pt>
                <c:pt idx="270">
                  <c:v>338.93349843290957</c:v>
                </c:pt>
                <c:pt idx="271">
                  <c:v>339.03789649966933</c:v>
                </c:pt>
                <c:pt idx="272">
                  <c:v>339.15365940211331</c:v>
                </c:pt>
                <c:pt idx="273">
                  <c:v>339.26586744396036</c:v>
                </c:pt>
                <c:pt idx="274">
                  <c:v>339.38200116133368</c:v>
                </c:pt>
                <c:pt idx="275">
                  <c:v>339.49456805633821</c:v>
                </c:pt>
                <c:pt idx="276">
                  <c:v>339.61107258864081</c:v>
                </c:pt>
                <c:pt idx="277">
                  <c:v>339.72776556787477</c:v>
                </c:pt>
                <c:pt idx="278">
                  <c:v>339.8408736840347</c:v>
                </c:pt>
                <c:pt idx="279">
                  <c:v>339.95793747819801</c:v>
                </c:pt>
                <c:pt idx="280">
                  <c:v>340.07140444751536</c:v>
                </c:pt>
                <c:pt idx="281">
                  <c:v>340.188839056608</c:v>
                </c:pt>
                <c:pt idx="282">
                  <c:v>340.30646211263189</c:v>
                </c:pt>
                <c:pt idx="283">
                  <c:v>340.41286426642381</c:v>
                </c:pt>
                <c:pt idx="284">
                  <c:v>340.5308459795105</c:v>
                </c:pt>
                <c:pt idx="285">
                  <c:v>340.64520125746344</c:v>
                </c:pt>
                <c:pt idx="286">
                  <c:v>340.76355378547947</c:v>
                </c:pt>
                <c:pt idx="287">
                  <c:v>340.87826791658983</c:v>
                </c:pt>
                <c:pt idx="288">
                  <c:v>340.99699125953521</c:v>
                </c:pt>
                <c:pt idx="289">
                  <c:v>341.11590304941188</c:v>
                </c:pt>
                <c:pt idx="290">
                  <c:v>341.2311584016777</c:v>
                </c:pt>
                <c:pt idx="291">
                  <c:v>341.35044100648372</c:v>
                </c:pt>
                <c:pt idx="292">
                  <c:v>341.46605521190696</c:v>
                </c:pt>
                <c:pt idx="293">
                  <c:v>341.58570863164232</c:v>
                </c:pt>
                <c:pt idx="294">
                  <c:v>341.70555049830892</c:v>
                </c:pt>
                <c:pt idx="295">
                  <c:v>341.813956739133</c:v>
                </c:pt>
                <c:pt idx="296">
                  <c:v>341.93415726286241</c:v>
                </c:pt>
                <c:pt idx="297">
                  <c:v>342.05065977692124</c:v>
                </c:pt>
                <c:pt idx="298">
                  <c:v>342.17123111557999</c:v>
                </c:pt>
                <c:pt idx="299">
                  <c:v>342.28809248279623</c:v>
                </c:pt>
                <c:pt idx="300">
                  <c:v>342.40903463638432</c:v>
                </c:pt>
                <c:pt idx="301">
                  <c:v>342.53016523690371</c:v>
                </c:pt>
                <c:pt idx="302">
                  <c:v>342.64756782527542</c:v>
                </c:pt>
                <c:pt idx="303">
                  <c:v>342.76906924072415</c:v>
                </c:pt>
                <c:pt idx="304">
                  <c:v>342.88683068225328</c:v>
                </c:pt>
                <c:pt idx="305">
                  <c:v>343.00870291263129</c:v>
                </c:pt>
                <c:pt idx="306">
                  <c:v>343.13076358994067</c:v>
                </c:pt>
                <c:pt idx="307">
                  <c:v>343.24511998716372</c:v>
                </c:pt>
                <c:pt idx="308">
                  <c:v>343.36754540046917</c:v>
                </c:pt>
                <c:pt idx="309">
                  <c:v>343.48620103347253</c:v>
                </c:pt>
                <c:pt idx="310">
                  <c:v>343.60899726170726</c:v>
                </c:pt>
                <c:pt idx="311">
                  <c:v>343.72801174786798</c:v>
                </c:pt>
                <c:pt idx="312">
                  <c:v>343.85117879103211</c:v>
                </c:pt>
                <c:pt idx="313">
                  <c:v>343.97453428112749</c:v>
                </c:pt>
                <c:pt idx="314">
                  <c:v>344.09408998844373</c:v>
                </c:pt>
                <c:pt idx="315">
                  <c:v>344.21781629346845</c:v>
                </c:pt>
                <c:pt idx="316">
                  <c:v>344.33773085394205</c:v>
                </c:pt>
                <c:pt idx="317">
                  <c:v>344.46182797389611</c:v>
                </c:pt>
                <c:pt idx="318">
                  <c:v>344.58611354078153</c:v>
                </c:pt>
                <c:pt idx="319">
                  <c:v>344.69853344631923</c:v>
                </c:pt>
                <c:pt idx="320">
                  <c:v>344.82317767026734</c:v>
                </c:pt>
                <c:pt idx="321">
                  <c:v>344.94398053937658</c:v>
                </c:pt>
                <c:pt idx="322">
                  <c:v>345.06899557825409</c:v>
                </c:pt>
                <c:pt idx="323">
                  <c:v>345.1901573005207</c:v>
                </c:pt>
                <c:pt idx="324">
                  <c:v>345.31554315432754</c:v>
                </c:pt>
                <c:pt idx="325">
                  <c:v>345.44111745506564</c:v>
                </c:pt>
                <c:pt idx="326">
                  <c:v>345.5628203984877</c:v>
                </c:pt>
                <c:pt idx="327">
                  <c:v>345.68876551415519</c:v>
                </c:pt>
                <c:pt idx="328">
                  <c:v>345.81082731073462</c:v>
                </c:pt>
                <c:pt idx="329">
                  <c:v>345.93714324133146</c:v>
                </c:pt>
                <c:pt idx="330">
                  <c:v>346.06364761885953</c:v>
                </c:pt>
                <c:pt idx="331">
                  <c:v>346.1780716114294</c:v>
                </c:pt>
                <c:pt idx="332">
                  <c:v>346.30493464602029</c:v>
                </c:pt>
                <c:pt idx="333">
                  <c:v>346.42788475123535</c:v>
                </c:pt>
                <c:pt idx="334">
                  <c:v>346.55511860075558</c:v>
                </c:pt>
                <c:pt idx="335">
                  <c:v>346.67842755912807</c:v>
                </c:pt>
                <c:pt idx="336">
                  <c:v>346.80603222357763</c:v>
                </c:pt>
                <c:pt idx="337">
                  <c:v>346.9338253349585</c:v>
                </c:pt>
                <c:pt idx="338">
                  <c:v>347.05767551448639</c:v>
                </c:pt>
                <c:pt idx="339">
                  <c:v>347.1858394407966</c:v>
                </c:pt>
                <c:pt idx="340">
                  <c:v>347.31004847348197</c:v>
                </c:pt>
                <c:pt idx="341">
                  <c:v>347.43858321472146</c:v>
                </c:pt>
                <c:pt idx="342">
                  <c:v>347.56730640289231</c:v>
                </c:pt>
                <c:pt idx="343">
                  <c:v>347.68373448249429</c:v>
                </c:pt>
                <c:pt idx="344">
                  <c:v>347.81281632772794</c:v>
                </c:pt>
                <c:pt idx="345">
                  <c:v>347.93791366904884</c:v>
                </c:pt>
                <c:pt idx="346">
                  <c:v>348.06736632921184</c:v>
                </c:pt>
                <c:pt idx="347">
                  <c:v>348.19282252369015</c:v>
                </c:pt>
                <c:pt idx="348">
                  <c:v>348.32264599878249</c:v>
                </c:pt>
                <c:pt idx="349">
                  <c:v>348.45265792080602</c:v>
                </c:pt>
                <c:pt idx="350">
                  <c:v>348.57865533643985</c:v>
                </c:pt>
                <c:pt idx="351">
                  <c:v>348.70903807339278</c:v>
                </c:pt>
                <c:pt idx="352">
                  <c:v>348.83539434218397</c:v>
                </c:pt>
                <c:pt idx="353">
                  <c:v>348.96614789406624</c:v>
                </c:pt>
                <c:pt idx="354">
                  <c:v>349.09708989287981</c:v>
                </c:pt>
                <c:pt idx="355">
                  <c:v>349.21975462312287</c:v>
                </c:pt>
                <c:pt idx="356">
                  <c:v>349.35106135793251</c:v>
                </c:pt>
                <c:pt idx="357">
                  <c:v>349.47831181819794</c:v>
                </c:pt>
                <c:pt idx="358">
                  <c:v>349.60998936793692</c:v>
                </c:pt>
                <c:pt idx="359">
                  <c:v>349.73759868135977</c:v>
                </c:pt>
                <c:pt idx="360">
                  <c:v>349.86964704602804</c:v>
                </c:pt>
                <c:pt idx="361">
                  <c:v>350.00188385762766</c:v>
                </c:pt>
                <c:pt idx="362">
                  <c:v>350.13003439220597</c:v>
                </c:pt>
                <c:pt idx="363">
                  <c:v>350.26264201873488</c:v>
                </c:pt>
                <c:pt idx="364">
                  <c:v>350.39115140647061</c:v>
                </c:pt>
                <c:pt idx="365">
                  <c:v>350.52412984792886</c:v>
                </c:pt>
                <c:pt idx="366">
                  <c:v>350.65729673631841</c:v>
                </c:pt>
                <c:pt idx="367">
                  <c:v>350.77773848063407</c:v>
                </c:pt>
                <c:pt idx="368">
                  <c:v>350.91126402608643</c:v>
                </c:pt>
                <c:pt idx="369">
                  <c:v>351.04066172245774</c:v>
                </c:pt>
                <c:pt idx="370">
                  <c:v>351.17455808283944</c:v>
                </c:pt>
                <c:pt idx="371">
                  <c:v>351.30431463236818</c:v>
                </c:pt>
                <c:pt idx="372">
                  <c:v>351.43858180767916</c:v>
                </c:pt>
                <c:pt idx="373">
                  <c:v>351.5730374299215</c:v>
                </c:pt>
                <c:pt idx="374">
                  <c:v>351.70333520060569</c:v>
                </c:pt>
                <c:pt idx="375">
                  <c:v>351.83816163777732</c:v>
                </c:pt>
                <c:pt idx="376">
                  <c:v>351.96881826161894</c:v>
                </c:pt>
                <c:pt idx="377">
                  <c:v>352.1040155137199</c:v>
                </c:pt>
                <c:pt idx="378">
                  <c:v>352.23940121275223</c:v>
                </c:pt>
                <c:pt idx="379">
                  <c:v>352.36184704410005</c:v>
                </c:pt>
                <c:pt idx="380">
                  <c:v>352.49759140019512</c:v>
                </c:pt>
                <c:pt idx="381">
                  <c:v>352.62913633267226</c:v>
                </c:pt>
                <c:pt idx="382">
                  <c:v>352.76525150369673</c:v>
                </c:pt>
                <c:pt idx="383">
                  <c:v>352.89715528933129</c:v>
                </c:pt>
                <c:pt idx="384">
                  <c:v>353.03364127528505</c:v>
                </c:pt>
                <c:pt idx="385">
                  <c:v>353.17031570817011</c:v>
                </c:pt>
                <c:pt idx="386">
                  <c:v>353.30276071496013</c:v>
                </c:pt>
                <c:pt idx="387">
                  <c:v>353.43980596277447</c:v>
                </c:pt>
                <c:pt idx="388">
                  <c:v>353.57260982272197</c:v>
                </c:pt>
                <c:pt idx="389">
                  <c:v>353.71002588546565</c:v>
                </c:pt>
                <c:pt idx="390">
                  <c:v>353.8476303951407</c:v>
                </c:pt>
                <c:pt idx="391">
                  <c:v>353.97208031352068</c:v>
                </c:pt>
                <c:pt idx="392">
                  <c:v>354.11004348025847</c:v>
                </c:pt>
                <c:pt idx="393">
                  <c:v>354.24373564884149</c:v>
                </c:pt>
                <c:pt idx="394">
                  <c:v>354.38206963050868</c:v>
                </c:pt>
                <c:pt idx="395">
                  <c:v>354.51612065224913</c:v>
                </c:pt>
                <c:pt idx="396">
                  <c:v>354.6548254488456</c:v>
                </c:pt>
                <c:pt idx="397">
                  <c:v>354.79371869237337</c:v>
                </c:pt>
                <c:pt idx="398">
                  <c:v>354.92831093526928</c:v>
                </c:pt>
                <c:pt idx="399">
                  <c:v>355.0675749937264</c:v>
                </c:pt>
                <c:pt idx="400">
                  <c:v>355.20252608977972</c:v>
                </c:pt>
                <c:pt idx="401">
                  <c:v>355.34216096316618</c:v>
                </c:pt>
                <c:pt idx="402">
                  <c:v>355.48198428348394</c:v>
                </c:pt>
                <c:pt idx="403">
                  <c:v>355.61295734674707</c:v>
                </c:pt>
                <c:pt idx="404">
                  <c:v>355.75314540306084</c:v>
                </c:pt>
                <c:pt idx="405">
                  <c:v>355.8889906905884</c:v>
                </c:pt>
                <c:pt idx="406">
                  <c:v>356.02954956183157</c:v>
                </c:pt>
                <c:pt idx="407">
                  <c:v>356.16575370251655</c:v>
                </c:pt>
                <c:pt idx="408">
                  <c:v>356.30668338868901</c:v>
                </c:pt>
                <c:pt idx="409">
                  <c:v>356.44780152179277</c:v>
                </c:pt>
                <c:pt idx="410">
                  <c:v>356.58454688363321</c:v>
                </c:pt>
                <c:pt idx="411">
                  <c:v>356.72603583166631</c:v>
                </c:pt>
                <c:pt idx="412">
                  <c:v>356.86314004666417</c:v>
                </c:pt>
                <c:pt idx="413">
                  <c:v>357.00499980962661</c:v>
                </c:pt>
                <c:pt idx="414">
                  <c:v>357.1470480195203</c:v>
                </c:pt>
                <c:pt idx="415">
                  <c:v>357.27551160261402</c:v>
                </c:pt>
                <c:pt idx="416">
                  <c:v>357.41791846957051</c:v>
                </c:pt>
                <c:pt idx="417">
                  <c:v>357.55591099320395</c:v>
                </c:pt>
                <c:pt idx="418">
                  <c:v>357.69868867508984</c:v>
                </c:pt>
                <c:pt idx="419">
                  <c:v>357.83704005188065</c:v>
                </c:pt>
                <c:pt idx="420">
                  <c:v>357.98018854869588</c:v>
                </c:pt>
                <c:pt idx="421">
                  <c:v>358.12352549244235</c:v>
                </c:pt>
                <c:pt idx="422">
                  <c:v>358.26241809038868</c:v>
                </c:pt>
                <c:pt idx="423">
                  <c:v>358.40612584906449</c:v>
                </c:pt>
                <c:pt idx="424">
                  <c:v>358.54537730016818</c:v>
                </c:pt>
                <c:pt idx="425">
                  <c:v>358.6894558737734</c:v>
                </c:pt>
                <c:pt idx="426">
                  <c:v>358.83372289430986</c:v>
                </c:pt>
                <c:pt idx="427">
                  <c:v>358.96419056443563</c:v>
                </c:pt>
                <c:pt idx="428">
                  <c:v>359.10881624203489</c:v>
                </c:pt>
                <c:pt idx="429">
                  <c:v>359.24895600177422</c:v>
                </c:pt>
                <c:pt idx="430">
                  <c:v>359.39395249430282</c:v>
                </c:pt>
                <c:pt idx="431">
                  <c:v>359.53445110719952</c:v>
                </c:pt>
                <c:pt idx="432">
                  <c:v>359.67981841465746</c:v>
                </c:pt>
                <c:pt idx="433">
                  <c:v>359.82537416904665</c:v>
                </c:pt>
                <c:pt idx="434">
                  <c:v>359.96641400309886</c:v>
                </c:pt>
                <c:pt idx="435">
                  <c:v>360.11234057241739</c:v>
                </c:pt>
                <c:pt idx="436">
                  <c:v>360.25373925962697</c:v>
                </c:pt>
                <c:pt idx="437">
                  <c:v>360.4000366438749</c:v>
                </c:pt>
                <c:pt idx="438">
                  <c:v>360.54652247505408</c:v>
                </c:pt>
                <c:pt idx="439">
                  <c:v>360.67899423221206</c:v>
                </c:pt>
                <c:pt idx="440">
                  <c:v>360.82583872045404</c:v>
                </c:pt>
                <c:pt idx="441">
                  <c:v>360.9681257162992</c:v>
                </c:pt>
                <c:pt idx="442">
                  <c:v>361.11534101947052</c:v>
                </c:pt>
                <c:pt idx="443">
                  <c:v>361.2579868684731</c:v>
                </c:pt>
                <c:pt idx="444">
                  <c:v>361.40557298657376</c:v>
                </c:pt>
                <c:pt idx="445">
                  <c:v>361.55334755160573</c:v>
                </c:pt>
                <c:pt idx="446">
                  <c:v>361.69653462176376</c:v>
                </c:pt>
                <c:pt idx="447">
                  <c:v>361.84468000172507</c:v>
                </c:pt>
                <c:pt idx="448">
                  <c:v>361.98822592504047</c:v>
                </c:pt>
                <c:pt idx="449">
                  <c:v>362.13674211993111</c:v>
                </c:pt>
                <c:pt idx="450">
                  <c:v>362.28544676175306</c:v>
                </c:pt>
                <c:pt idx="451">
                  <c:v>362.42472815803626</c:v>
                </c:pt>
                <c:pt idx="452">
                  <c:v>362.57379753585423</c:v>
                </c:pt>
                <c:pt idx="453">
                  <c:v>362.71823765064391</c:v>
                </c:pt>
                <c:pt idx="454">
                  <c:v>362.86767784339122</c:v>
                </c:pt>
                <c:pt idx="455">
                  <c:v>363.01247681133827</c:v>
                </c:pt>
                <c:pt idx="456">
                  <c:v>363.16228781901498</c:v>
                </c:pt>
                <c:pt idx="457">
                  <c:v>363.31228727362293</c:v>
                </c:pt>
                <c:pt idx="458">
                  <c:v>363.45762746272544</c:v>
                </c:pt>
                <c:pt idx="459">
                  <c:v>363.60799773226273</c:v>
                </c:pt>
                <c:pt idx="460">
                  <c:v>363.75369677452272</c:v>
                </c:pt>
                <c:pt idx="461">
                  <c:v>363.90443785898935</c:v>
                </c:pt>
                <c:pt idx="462">
                  <c:v>364.05536739038723</c:v>
                </c:pt>
                <c:pt idx="463">
                  <c:v>364.1918528122589</c:v>
                </c:pt>
                <c:pt idx="464">
                  <c:v>364.34314100071964</c:v>
                </c:pt>
                <c:pt idx="465">
                  <c:v>364.48972835161516</c:v>
                </c:pt>
                <c:pt idx="466">
                  <c:v>364.64138735500524</c:v>
                </c:pt>
                <c:pt idx="467">
                  <c:v>364.78833355905817</c:v>
                </c:pt>
                <c:pt idx="468">
                  <c:v>364.94036337737754</c:v>
                </c:pt>
                <c:pt idx="469">
                  <c:v>365.09258164262826</c:v>
                </c:pt>
                <c:pt idx="470">
                  <c:v>365.24006906783666</c:v>
                </c:pt>
                <c:pt idx="471">
                  <c:v>365.39265814801666</c:v>
                </c:pt>
                <c:pt idx="472">
                  <c:v>365.54050442638254</c:v>
                </c:pt>
                <c:pt idx="473">
                  <c:v>365.69346432149183</c:v>
                </c:pt>
                <c:pt idx="474">
                  <c:v>365.84661266353248</c:v>
                </c:pt>
                <c:pt idx="475">
                  <c:v>365.98510217243631</c:v>
                </c:pt>
                <c:pt idx="476">
                  <c:v>366.13860917153977</c:v>
                </c:pt>
                <c:pt idx="477">
                  <c:v>366.28734375854117</c:v>
                </c:pt>
                <c:pt idx="478">
                  <c:v>366.44122157257391</c:v>
                </c:pt>
                <c:pt idx="479">
                  <c:v>366.59031501273273</c:v>
                </c:pt>
                <c:pt idx="480">
                  <c:v>366.74456364169487</c:v>
                </c:pt>
                <c:pt idx="481">
                  <c:v>366.89900071758831</c:v>
                </c:pt>
                <c:pt idx="482">
                  <c:v>367.04863537890253</c:v>
                </c:pt>
                <c:pt idx="483">
                  <c:v>367.20344326972531</c:v>
                </c:pt>
                <c:pt idx="484">
                  <c:v>367.35343678419702</c:v>
                </c:pt>
                <c:pt idx="485">
                  <c:v>367.50861548994908</c:v>
                </c:pt>
                <c:pt idx="486">
                  <c:v>367.66398264263245</c:v>
                </c:pt>
                <c:pt idx="487">
                  <c:v>367.80447623856844</c:v>
                </c:pt>
                <c:pt idx="488">
                  <c:v>367.96020204831461</c:v>
                </c:pt>
                <c:pt idx="489">
                  <c:v>368.11108387142184</c:v>
                </c:pt>
                <c:pt idx="490">
                  <c:v>368.26718049609741</c:v>
                </c:pt>
                <c:pt idx="491">
                  <c:v>368.41842117236206</c:v>
                </c:pt>
                <c:pt idx="492">
                  <c:v>368.57488861196691</c:v>
                </c:pt>
                <c:pt idx="493">
                  <c:v>368.73154449850307</c:v>
                </c:pt>
                <c:pt idx="494">
                  <c:v>368.88332639592323</c:v>
                </c:pt>
                <c:pt idx="495">
                  <c:v>369.04035309738867</c:v>
                </c:pt>
                <c:pt idx="496">
                  <c:v>369.19249384796626</c:v>
                </c:pt>
                <c:pt idx="497">
                  <c:v>369.34989136436104</c:v>
                </c:pt>
                <c:pt idx="498">
                  <c:v>369.50747732768718</c:v>
                </c:pt>
                <c:pt idx="499">
                  <c:v>369.65506705699039</c:v>
                </c:pt>
                <c:pt idx="500">
                  <c:v>369.81301775631255</c:v>
                </c:pt>
                <c:pt idx="501">
                  <c:v>369.96605269836436</c:v>
                </c:pt>
                <c:pt idx="502">
                  <c:v>370.12437421261586</c:v>
                </c:pt>
                <c:pt idx="503">
                  <c:v>370.2777680078251</c:v>
                </c:pt>
                <c:pt idx="504">
                  <c:v>370.43646033700594</c:v>
                </c:pt>
                <c:pt idx="505">
                  <c:v>370.59534111311808</c:v>
                </c:pt>
                <c:pt idx="506">
                  <c:v>370.74927612948272</c:v>
                </c:pt>
                <c:pt idx="507">
                  <c:v>370.90852772052421</c:v>
                </c:pt>
                <c:pt idx="508">
                  <c:v>371.06282159004627</c:v>
                </c:pt>
                <c:pt idx="509">
                  <c:v>371.22244399601709</c:v>
                </c:pt>
                <c:pt idx="510">
                  <c:v>371.38225484891916</c:v>
                </c:pt>
                <c:pt idx="511">
                  <c:v>371.52676210956878</c:v>
                </c:pt>
                <c:pt idx="512">
                  <c:v>371.68693161953371</c:v>
                </c:pt>
                <c:pt idx="513">
                  <c:v>371.84211379769135</c:v>
                </c:pt>
                <c:pt idx="514">
                  <c:v>372.00265412258562</c:v>
                </c:pt>
                <c:pt idx="515">
                  <c:v>372.15819515390069</c:v>
                </c:pt>
                <c:pt idx="516">
                  <c:v>372.31910629372425</c:v>
                </c:pt>
                <c:pt idx="517">
                  <c:v>372.48020588047916</c:v>
                </c:pt>
                <c:pt idx="518">
                  <c:v>372.63628813294963</c:v>
                </c:pt>
                <c:pt idx="519">
                  <c:v>372.79775853463389</c:v>
                </c:pt>
                <c:pt idx="520">
                  <c:v>372.95419964026178</c:v>
                </c:pt>
                <c:pt idx="521">
                  <c:v>373.11604085687532</c:v>
                </c:pt>
                <c:pt idx="522">
                  <c:v>373.27807052042016</c:v>
                </c:pt>
                <c:pt idx="523">
                  <c:v>373.42458186810194</c:v>
                </c:pt>
                <c:pt idx="524">
                  <c:v>373.58697018870953</c:v>
                </c:pt>
                <c:pt idx="525">
                  <c:v>373.74429960297311</c:v>
                </c:pt>
                <c:pt idx="526">
                  <c:v>373.90705873851005</c:v>
                </c:pt>
                <c:pt idx="527">
                  <c:v>374.064747005931</c:v>
                </c:pt>
                <c:pt idx="528">
                  <c:v>374.22787695639732</c:v>
                </c:pt>
                <c:pt idx="529">
                  <c:v>374.3911953537949</c:v>
                </c:pt>
                <c:pt idx="530">
                  <c:v>374.54942484237131</c:v>
                </c:pt>
                <c:pt idx="531">
                  <c:v>374.71311405469822</c:v>
                </c:pt>
                <c:pt idx="532">
                  <c:v>374.87170239643206</c:v>
                </c:pt>
                <c:pt idx="533">
                  <c:v>375.03576242368831</c:v>
                </c:pt>
                <c:pt idx="534">
                  <c:v>375.20001089787587</c:v>
                </c:pt>
                <c:pt idx="535">
                  <c:v>375.34852633258981</c:v>
                </c:pt>
                <c:pt idx="536">
                  <c:v>375.51313346384018</c:v>
                </c:pt>
                <c:pt idx="537">
                  <c:v>375.67261011420953</c:v>
                </c:pt>
                <c:pt idx="538">
                  <c:v>375.83758806038924</c:v>
                </c:pt>
                <c:pt idx="539">
                  <c:v>375.99742356391607</c:v>
                </c:pt>
                <c:pt idx="540">
                  <c:v>376.16277232502506</c:v>
                </c:pt>
                <c:pt idx="541">
                  <c:v>376.32830953306541</c:v>
                </c:pt>
                <c:pt idx="542">
                  <c:v>376.48868625774764</c:v>
                </c:pt>
                <c:pt idx="543">
                  <c:v>376.65459428071733</c:v>
                </c:pt>
                <c:pt idx="544">
                  <c:v>376.81532985855699</c:v>
                </c:pt>
                <c:pt idx="545">
                  <c:v>376.98160869645602</c:v>
                </c:pt>
                <c:pt idx="546">
                  <c:v>377.1480759812863</c:v>
                </c:pt>
                <c:pt idx="547">
                  <c:v>377.30397404360957</c:v>
                </c:pt>
                <c:pt idx="548">
                  <c:v>377.47080606443592</c:v>
                </c:pt>
                <c:pt idx="549">
                  <c:v>377.63243583374981</c:v>
                </c:pt>
                <c:pt idx="550">
                  <c:v>377.79963866950555</c:v>
                </c:pt>
                <c:pt idx="551">
                  <c:v>377.96162729197687</c:v>
                </c:pt>
                <c:pt idx="552">
                  <c:v>378.1292009426619</c:v>
                </c:pt>
                <c:pt idx="553">
                  <c:v>378.29696304027823</c:v>
                </c:pt>
                <c:pt idx="554">
                  <c:v>378.459492883905</c:v>
                </c:pt>
                <c:pt idx="555">
                  <c:v>378.62762579645062</c:v>
                </c:pt>
                <c:pt idx="556">
                  <c:v>378.79051449323487</c:v>
                </c:pt>
                <c:pt idx="557">
                  <c:v>378.95901822070982</c:v>
                </c:pt>
                <c:pt idx="558">
                  <c:v>379.12771039511614</c:v>
                </c:pt>
                <c:pt idx="559">
                  <c:v>379.28023949454371</c:v>
                </c:pt>
                <c:pt idx="560">
                  <c:v>379.44929032601283</c:v>
                </c:pt>
                <c:pt idx="561">
                  <c:v>379.6130673314326</c:v>
                </c:pt>
                <c:pt idx="562">
                  <c:v>379.78248897783101</c:v>
                </c:pt>
                <c:pt idx="563">
                  <c:v>379.9466248364082</c:v>
                </c:pt>
                <c:pt idx="564">
                  <c:v>380.11641729773595</c:v>
                </c:pt>
                <c:pt idx="565">
                  <c:v>380.28639820599506</c:v>
                </c:pt>
                <c:pt idx="566">
                  <c:v>380.45107528572765</c:v>
                </c:pt>
                <c:pt idx="567">
                  <c:v>380.62142700891604</c:v>
                </c:pt>
                <c:pt idx="568">
                  <c:v>380.78646294180612</c:v>
                </c:pt>
                <c:pt idx="569">
                  <c:v>380.95718547992385</c:v>
                </c:pt>
                <c:pt idx="570">
                  <c:v>381.12809646497283</c:v>
                </c:pt>
                <c:pt idx="571">
                  <c:v>381.28262965143256</c:v>
                </c:pt>
                <c:pt idx="572">
                  <c:v>381.4538992935444</c:v>
                </c:pt>
                <c:pt idx="573">
                  <c:v>381.61982353507005</c:v>
                </c:pt>
                <c:pt idx="574">
                  <c:v>381.79146399211123</c:v>
                </c:pt>
                <c:pt idx="575">
                  <c:v>381.95774708679426</c:v>
                </c:pt>
                <c:pt idx="576">
                  <c:v>382.12975835876478</c:v>
                </c:pt>
                <c:pt idx="577">
                  <c:v>382.30195807766654</c:v>
                </c:pt>
                <c:pt idx="578">
                  <c:v>382.46878239350502</c:v>
                </c:pt>
                <c:pt idx="579">
                  <c:v>382.64135292733613</c:v>
                </c:pt>
                <c:pt idx="580">
                  <c:v>382.80853609633209</c:v>
                </c:pt>
                <c:pt idx="581">
                  <c:v>382.98147744509254</c:v>
                </c:pt>
                <c:pt idx="582">
                  <c:v>383.15460724078429</c:v>
                </c:pt>
                <c:pt idx="583">
                  <c:v>383.31114451427618</c:v>
                </c:pt>
                <c:pt idx="584">
                  <c:v>383.48463296703073</c:v>
                </c:pt>
                <c:pt idx="585">
                  <c:v>383.65270444466222</c:v>
                </c:pt>
                <c:pt idx="586">
                  <c:v>383.82656371234611</c:v>
                </c:pt>
                <c:pt idx="587">
                  <c:v>383.99499404313502</c:v>
                </c:pt>
                <c:pt idx="588">
                  <c:v>384.16922412574826</c:v>
                </c:pt>
                <c:pt idx="589">
                  <c:v>384.34364265529274</c:v>
                </c:pt>
                <c:pt idx="590">
                  <c:v>384.51261420723711</c:v>
                </c:pt>
                <c:pt idx="591">
                  <c:v>384.68740355171099</c:v>
                </c:pt>
                <c:pt idx="592">
                  <c:v>384.85673395681277</c:v>
                </c:pt>
                <c:pt idx="593">
                  <c:v>385.03189411621599</c:v>
                </c:pt>
                <c:pt idx="594">
                  <c:v>385.2072427225504</c:v>
                </c:pt>
                <c:pt idx="595">
                  <c:v>385.37144911789375</c:v>
                </c:pt>
                <c:pt idx="596">
                  <c:v>385.54716246022434</c:v>
                </c:pt>
                <c:pt idx="597">
                  <c:v>385.71738705680036</c:v>
                </c:pt>
                <c:pt idx="598">
                  <c:v>385.89347121406024</c:v>
                </c:pt>
                <c:pt idx="599">
                  <c:v>386.06405466379363</c:v>
                </c:pt>
                <c:pt idx="600">
                  <c:v>386.24050963598285</c:v>
                </c:pt>
                <c:pt idx="601">
                  <c:v>386.41715305510337</c:v>
                </c:pt>
                <c:pt idx="602">
                  <c:v>386.58827772599227</c:v>
                </c:pt>
                <c:pt idx="603">
                  <c:v>386.76529196004213</c:v>
                </c:pt>
                <c:pt idx="604">
                  <c:v>386.9367754840884</c:v>
                </c:pt>
                <c:pt idx="605">
                  <c:v>387.1141605330676</c:v>
                </c:pt>
                <c:pt idx="606">
                  <c:v>387.29173402897806</c:v>
                </c:pt>
                <c:pt idx="607">
                  <c:v>387.45228496718363</c:v>
                </c:pt>
                <c:pt idx="608">
                  <c:v>387.63021712015694</c:v>
                </c:pt>
                <c:pt idx="609">
                  <c:v>387.80258895283879</c:v>
                </c:pt>
                <c:pt idx="610">
                  <c:v>387.98089192074144</c:v>
                </c:pt>
                <c:pt idx="611">
                  <c:v>388.15362260658071</c:v>
                </c:pt>
                <c:pt idx="612">
                  <c:v>388.33229638941265</c:v>
                </c:pt>
                <c:pt idx="613">
                  <c:v>388.51115861917589</c:v>
                </c:pt>
                <c:pt idx="614">
                  <c:v>388.68443052617067</c:v>
                </c:pt>
                <c:pt idx="615">
                  <c:v>388.8636635708632</c:v>
                </c:pt>
                <c:pt idx="616">
                  <c:v>389.0372943310154</c:v>
                </c:pt>
                <c:pt idx="617">
                  <c:v>389.21689819063732</c:v>
                </c:pt>
                <c:pt idx="618">
                  <c:v>389.39669049719055</c:v>
                </c:pt>
                <c:pt idx="619">
                  <c:v>389.55924552242823</c:v>
                </c:pt>
                <c:pt idx="620">
                  <c:v>389.73939648604426</c:v>
                </c:pt>
                <c:pt idx="621">
                  <c:v>389.91391555483199</c:v>
                </c:pt>
                <c:pt idx="622">
                  <c:v>390.09443733337736</c:v>
                </c:pt>
                <c:pt idx="623">
                  <c:v>390.26931525532251</c:v>
                </c:pt>
                <c:pt idx="624">
                  <c:v>390.45020784879716</c:v>
                </c:pt>
                <c:pt idx="625">
                  <c:v>390.63128888920318</c:v>
                </c:pt>
                <c:pt idx="626">
                  <c:v>390.80670803230373</c:v>
                </c:pt>
                <c:pt idx="627">
                  <c:v>390.98815988763909</c:v>
                </c:pt>
                <c:pt idx="628">
                  <c:v>391.16393788389712</c:v>
                </c:pt>
                <c:pt idx="629">
                  <c:v>391.34576055416176</c:v>
                </c:pt>
                <c:pt idx="630">
                  <c:v>391.5277716713577</c:v>
                </c:pt>
                <c:pt idx="631">
                  <c:v>391.69233078362754</c:v>
                </c:pt>
                <c:pt idx="632">
                  <c:v>391.87470055788629</c:v>
                </c:pt>
                <c:pt idx="633">
                  <c:v>392.0513668627799</c:v>
                </c:pt>
                <c:pt idx="634">
                  <c:v>392.23410745196799</c:v>
                </c:pt>
                <c:pt idx="635">
                  <c:v>392.41113261001902</c:v>
                </c:pt>
                <c:pt idx="636">
                  <c:v>392.59424401413639</c:v>
                </c:pt>
                <c:pt idx="637">
                  <c:v>392.77754386518512</c:v>
                </c:pt>
                <c:pt idx="638">
                  <c:v>392.95511024439162</c:v>
                </c:pt>
                <c:pt idx="639">
                  <c:v>393.13878091036963</c:v>
                </c:pt>
                <c:pt idx="640">
                  <c:v>393.31670614273355</c:v>
                </c:pt>
                <c:pt idx="641">
                  <c:v>393.5007476236409</c:v>
                </c:pt>
                <c:pt idx="642">
                  <c:v>393.68497755147956</c:v>
                </c:pt>
                <c:pt idx="643">
                  <c:v>393.85749227984297</c:v>
                </c:pt>
                <c:pt idx="644">
                  <c:v>394.0420869436777</c:v>
                </c:pt>
                <c:pt idx="645">
                  <c:v>394.22090636751585</c:v>
                </c:pt>
                <c:pt idx="646">
                  <c:v>394.40587184627987</c:v>
                </c:pt>
                <c:pt idx="647">
                  <c:v>394.58505012327544</c:v>
                </c:pt>
                <c:pt idx="648">
                  <c:v>394.77038641696885</c:v>
                </c:pt>
                <c:pt idx="649">
                  <c:v>394.9559111575935</c:v>
                </c:pt>
                <c:pt idx="650">
                  <c:v>395.13563065574454</c:v>
                </c:pt>
                <c:pt idx="651">
                  <c:v>395.32152621129859</c:v>
                </c:pt>
                <c:pt idx="652">
                  <c:v>395.50160456260699</c:v>
                </c:pt>
                <c:pt idx="653">
                  <c:v>395.68787093309038</c:v>
                </c:pt>
                <c:pt idx="654">
                  <c:v>395.87432575050502</c:v>
                </c:pt>
                <c:pt idx="655">
                  <c:v>396.04289852748855</c:v>
                </c:pt>
                <c:pt idx="656">
                  <c:v>396.22971200196605</c:v>
                </c:pt>
                <c:pt idx="657">
                  <c:v>396.41067866191003</c:v>
                </c:pt>
                <c:pt idx="658">
                  <c:v>396.59786295131687</c:v>
                </c:pt>
                <c:pt idx="659">
                  <c:v>396.77918846441827</c:v>
                </c:pt>
                <c:pt idx="660">
                  <c:v>396.96674356875434</c:v>
                </c:pt>
                <c:pt idx="661">
                  <c:v>397.15448712002183</c:v>
                </c:pt>
                <c:pt idx="662">
                  <c:v>397.33635385427868</c:v>
                </c:pt>
                <c:pt idx="663">
                  <c:v>397.52446822047546</c:v>
                </c:pt>
                <c:pt idx="664">
                  <c:v>397.70669380788974</c:v>
                </c:pt>
                <c:pt idx="665">
                  <c:v>397.89517898901585</c:v>
                </c:pt>
                <c:pt idx="666">
                  <c:v>398.08385261707321</c:v>
                </c:pt>
                <c:pt idx="667">
                  <c:v>398.25442948108889</c:v>
                </c:pt>
                <c:pt idx="668">
                  <c:v>398.44346176620911</c:v>
                </c:pt>
                <c:pt idx="669">
                  <c:v>398.62657566225897</c:v>
                </c:pt>
                <c:pt idx="670">
                  <c:v>398.81597876230848</c:v>
                </c:pt>
                <c:pt idx="671">
                  <c:v>398.99945151151576</c:v>
                </c:pt>
                <c:pt idx="672">
                  <c:v>399.18922542649466</c:v>
                </c:pt>
                <c:pt idx="673">
                  <c:v>399.37918778840481</c:v>
                </c:pt>
                <c:pt idx="674">
                  <c:v>399.56320175876749</c:v>
                </c:pt>
                <c:pt idx="675">
                  <c:v>399.75353493560704</c:v>
                </c:pt>
                <c:pt idx="676">
                  <c:v>399.93790775912714</c:v>
                </c:pt>
                <c:pt idx="677">
                  <c:v>400.12861175089597</c:v>
                </c:pt>
                <c:pt idx="678">
                  <c:v>400.31950418959616</c:v>
                </c:pt>
                <c:pt idx="679">
                  <c:v>400.49208514064395</c:v>
                </c:pt>
                <c:pt idx="680">
                  <c:v>400.68333623640683</c:v>
                </c:pt>
                <c:pt idx="681">
                  <c:v>400.86859736856263</c:v>
                </c:pt>
                <c:pt idx="682">
                  <c:v>401.06021927925485</c:v>
                </c:pt>
                <c:pt idx="683">
                  <c:v>401.24583926456802</c:v>
                </c:pt>
                <c:pt idx="684">
                  <c:v>401.43783199018958</c:v>
                </c:pt>
                <c:pt idx="685">
                  <c:v>401.6300131627425</c:v>
                </c:pt>
                <c:pt idx="686">
                  <c:v>401.81617436921113</c:v>
                </c:pt>
                <c:pt idx="687">
                  <c:v>402.00872635669333</c:v>
                </c:pt>
                <c:pt idx="688">
                  <c:v>402.19524641631938</c:v>
                </c:pt>
                <c:pt idx="689">
                  <c:v>402.38816921873087</c:v>
                </c:pt>
                <c:pt idx="690">
                  <c:v>402.58128046807371</c:v>
                </c:pt>
                <c:pt idx="691">
                  <c:v>402.76210352945714</c:v>
                </c:pt>
                <c:pt idx="692">
                  <c:v>402.95557951479611</c:v>
                </c:pt>
                <c:pt idx="693">
                  <c:v>403.14299376589628</c:v>
                </c:pt>
                <c:pt idx="694">
                  <c:v>403.3368405661646</c:v>
                </c:pt>
                <c:pt idx="695">
                  <c:v>403.52461367042224</c:v>
                </c:pt>
                <c:pt idx="696">
                  <c:v>403.71883128561979</c:v>
                </c:pt>
                <c:pt idx="697">
                  <c:v>403.91323734774869</c:v>
                </c:pt>
                <c:pt idx="698">
                  <c:v>404.10155167316185</c:v>
                </c:pt>
                <c:pt idx="699">
                  <c:v>404.29632855022004</c:v>
                </c:pt>
                <c:pt idx="700">
                  <c:v>404.48500172879062</c:v>
                </c:pt>
                <c:pt idx="701">
                  <c:v>404.68014942077815</c:v>
                </c:pt>
                <c:pt idx="702">
                  <c:v>404.87548555969698</c:v>
                </c:pt>
                <c:pt idx="703">
                  <c:v>405.05208017545851</c:v>
                </c:pt>
                <c:pt idx="704">
                  <c:v>405.24777497144015</c:v>
                </c:pt>
                <c:pt idx="705">
                  <c:v>405.43733645864626</c:v>
                </c:pt>
                <c:pt idx="706">
                  <c:v>405.63340206955729</c:v>
                </c:pt>
                <c:pt idx="707">
                  <c:v>405.82332240992076</c:v>
                </c:pt>
                <c:pt idx="708">
                  <c:v>406.01975883576108</c:v>
                </c:pt>
                <c:pt idx="709">
                  <c:v>406.21638370853276</c:v>
                </c:pt>
                <c:pt idx="710">
                  <c:v>406.40684527005169</c:v>
                </c:pt>
                <c:pt idx="711">
                  <c:v>406.60384095775265</c:v>
                </c:pt>
                <c:pt idx="712">
                  <c:v>406.79466137242906</c:v>
                </c:pt>
                <c:pt idx="713">
                  <c:v>406.99202787505931</c:v>
                </c:pt>
                <c:pt idx="714">
                  <c:v>407.18958282462091</c:v>
                </c:pt>
                <c:pt idx="715">
                  <c:v>407.36818152741455</c:v>
                </c:pt>
                <c:pt idx="716">
                  <c:v>407.56609513403896</c:v>
                </c:pt>
                <c:pt idx="717">
                  <c:v>407.75780385735095</c:v>
                </c:pt>
                <c:pt idx="718">
                  <c:v>407.95608827890464</c:v>
                </c:pt>
                <c:pt idx="719">
                  <c:v>408.14815585537406</c:v>
                </c:pt>
                <c:pt idx="720">
                  <c:v>408.34681109185709</c:v>
                </c:pt>
                <c:pt idx="721">
                  <c:v>408.54565477527143</c:v>
                </c:pt>
                <c:pt idx="722">
                  <c:v>408.7382635728963</c:v>
                </c:pt>
                <c:pt idx="723">
                  <c:v>408.93747807123992</c:v>
                </c:pt>
                <c:pt idx="724">
                  <c:v>409.13044572202222</c:v>
                </c:pt>
                <c:pt idx="725">
                  <c:v>409.33003103529524</c:v>
                </c:pt>
                <c:pt idx="726">
                  <c:v>409.52980479549956</c:v>
                </c:pt>
                <c:pt idx="727">
                  <c:v>409.71040758532536</c:v>
                </c:pt>
                <c:pt idx="728">
                  <c:v>409.91054000259248</c:v>
                </c:pt>
                <c:pt idx="729">
                  <c:v>410.1043959620103</c:v>
                </c:pt>
                <c:pt idx="730">
                  <c:v>410.30489919420671</c:v>
                </c:pt>
                <c:pt idx="731">
                  <c:v>410.49911400678201</c:v>
                </c:pt>
                <c:pt idx="732">
                  <c:v>410.69998805390776</c:v>
                </c:pt>
                <c:pt idx="733">
                  <c:v>410.90105054796481</c:v>
                </c:pt>
                <c:pt idx="734">
                  <c:v>411.09580658169557</c:v>
                </c:pt>
                <c:pt idx="735">
                  <c:v>411.29723989068202</c:v>
                </c:pt>
                <c:pt idx="736">
                  <c:v>411.49235477757014</c:v>
                </c:pt>
                <c:pt idx="737">
                  <c:v>411.69415890148588</c:v>
                </c:pt>
                <c:pt idx="738">
                  <c:v>411.89615147233292</c:v>
                </c:pt>
                <c:pt idx="739">
                  <c:v>412.08528286673641</c:v>
                </c:pt>
                <c:pt idx="740">
                  <c:v>412.28764017357946</c:v>
                </c:pt>
                <c:pt idx="741">
                  <c:v>412.48364925194181</c:v>
                </c:pt>
                <c:pt idx="742">
                  <c:v>412.68637737371427</c:v>
                </c:pt>
                <c:pt idx="743">
                  <c:v>412.88274530523404</c:v>
                </c:pt>
                <c:pt idx="744">
                  <c:v>413.08584424193583</c:v>
                </c:pt>
                <c:pt idx="745">
                  <c:v>413.28913162556893</c:v>
                </c:pt>
                <c:pt idx="746">
                  <c:v>413.48604077824416</c:v>
                </c:pt>
                <c:pt idx="747">
                  <c:v>413.68969897680654</c:v>
                </c:pt>
                <c:pt idx="748">
                  <c:v>413.88696698263919</c:v>
                </c:pt>
                <c:pt idx="749">
                  <c:v>414.09099599613091</c:v>
                </c:pt>
                <c:pt idx="750">
                  <c:v>414.29521345655394</c:v>
                </c:pt>
                <c:pt idx="751">
                  <c:v>414.47982991109342</c:v>
                </c:pt>
                <c:pt idx="752">
                  <c:v>414.6844060285793</c:v>
                </c:pt>
                <c:pt idx="753">
                  <c:v>414.88256234304754</c:v>
                </c:pt>
                <c:pt idx="754">
                  <c:v>415.08750927546271</c:v>
                </c:pt>
                <c:pt idx="755">
                  <c:v>415.28602444308831</c:v>
                </c:pt>
                <c:pt idx="756">
                  <c:v>415.49134219043282</c:v>
                </c:pt>
                <c:pt idx="757">
                  <c:v>415.69684838470857</c:v>
                </c:pt>
                <c:pt idx="758">
                  <c:v>415.89590477348975</c:v>
                </c:pt>
                <c:pt idx="759">
                  <c:v>416.10178178269484</c:v>
                </c:pt>
                <c:pt idx="760">
                  <c:v>416.30119702463338</c:v>
                </c:pt>
                <c:pt idx="761">
                  <c:v>416.50744484876782</c:v>
                </c:pt>
                <c:pt idx="762">
                  <c:v>416.71388111983362</c:v>
                </c:pt>
                <c:pt idx="763">
                  <c:v>416.90050166140526</c:v>
                </c:pt>
                <c:pt idx="764">
                  <c:v>417.1072965895338</c:v>
                </c:pt>
                <c:pt idx="765">
                  <c:v>417.30760014010787</c:v>
                </c:pt>
                <c:pt idx="766">
                  <c:v>417.51476588316581</c:v>
                </c:pt>
                <c:pt idx="767">
                  <c:v>417.71542828689735</c:v>
                </c:pt>
                <c:pt idx="768">
                  <c:v>417.92296484488452</c:v>
                </c:pt>
                <c:pt idx="769">
                  <c:v>418.13068984980305</c:v>
                </c:pt>
                <c:pt idx="770">
                  <c:v>418.33189347469005</c:v>
                </c:pt>
                <c:pt idx="771">
                  <c:v>418.53998929453792</c:v>
                </c:pt>
                <c:pt idx="772">
                  <c:v>418.74155177258228</c:v>
                </c:pt>
                <c:pt idx="773">
                  <c:v>418.95001840735949</c:v>
                </c:pt>
                <c:pt idx="774">
                  <c:v>419.15867348906795</c:v>
                </c:pt>
                <c:pt idx="775">
                  <c:v>419.34729811767176</c:v>
                </c:pt>
                <c:pt idx="776">
                  <c:v>419.55631185644307</c:v>
                </c:pt>
                <c:pt idx="777">
                  <c:v>419.75876264312302</c:v>
                </c:pt>
                <c:pt idx="778">
                  <c:v>419.96814719682362</c:v>
                </c:pt>
                <c:pt idx="779">
                  <c:v>420.17095683666105</c:v>
                </c:pt>
                <c:pt idx="780">
                  <c:v>420.38071220529099</c:v>
                </c:pt>
                <c:pt idx="781">
                  <c:v>420.59065602085224</c:v>
                </c:pt>
                <c:pt idx="782">
                  <c:v>420.79400688184506</c:v>
                </c:pt>
                <c:pt idx="783">
                  <c:v>421.00432151233565</c:v>
                </c:pt>
                <c:pt idx="784">
                  <c:v>421.2080312264859</c:v>
                </c:pt>
                <c:pt idx="785">
                  <c:v>421.41871667190583</c:v>
                </c:pt>
                <c:pt idx="786">
                  <c:v>421.62959056425711</c:v>
                </c:pt>
                <c:pt idx="787">
                  <c:v>421.82703029168056</c:v>
                </c:pt>
                <c:pt idx="788">
                  <c:v>422.03826892002786</c:v>
                </c:pt>
                <c:pt idx="789">
                  <c:v>422.24287282565234</c:v>
                </c:pt>
                <c:pt idx="790">
                  <c:v>422.45448226892898</c:v>
                </c:pt>
                <c:pt idx="791">
                  <c:v>422.65944502771083</c:v>
                </c:pt>
                <c:pt idx="792">
                  <c:v>422.87142528591681</c:v>
                </c:pt>
                <c:pt idx="793">
                  <c:v>423.0835939910541</c:v>
                </c:pt>
                <c:pt idx="794">
                  <c:v>423.28909797099141</c:v>
                </c:pt>
                <c:pt idx="795">
                  <c:v>423.50163749105803</c:v>
                </c:pt>
                <c:pt idx="796">
                  <c:v>423.70750032415282</c:v>
                </c:pt>
                <c:pt idx="797">
                  <c:v>423.92041065914867</c:v>
                </c:pt>
                <c:pt idx="798">
                  <c:v>424.13350944107594</c:v>
                </c:pt>
                <c:pt idx="799">
                  <c:v>424.32614773439337</c:v>
                </c:pt>
                <c:pt idx="800">
                  <c:v>424.53960517338345</c:v>
                </c:pt>
                <c:pt idx="801">
                  <c:v>424.74635631511376</c:v>
                </c:pt>
                <c:pt idx="802">
                  <c:v>424.96018456903312</c:v>
                </c:pt>
                <c:pt idx="803">
                  <c:v>425.1672945639209</c:v>
                </c:pt>
                <c:pt idx="804">
                  <c:v>425.38149363276955</c:v>
                </c:pt>
                <c:pt idx="805">
                  <c:v>425.59588114854955</c:v>
                </c:pt>
                <c:pt idx="806">
                  <c:v>425.80353236459274</c:v>
                </c:pt>
                <c:pt idx="807">
                  <c:v>426.01829069530208</c:v>
                </c:pt>
                <c:pt idx="808">
                  <c:v>426.2263007645027</c:v>
                </c:pt>
                <c:pt idx="809">
                  <c:v>426.44142991014138</c:v>
                </c:pt>
                <c:pt idx="810">
                  <c:v>426.65674750271131</c:v>
                </c:pt>
                <c:pt idx="811">
                  <c:v>426.85138988306096</c:v>
                </c:pt>
                <c:pt idx="812">
                  <c:v>427.06706613269364</c:v>
                </c:pt>
                <c:pt idx="813">
                  <c:v>427.27596451052989</c:v>
                </c:pt>
                <c:pt idx="814">
                  <c:v>427.49201157509196</c:v>
                </c:pt>
                <c:pt idx="815">
                  <c:v>427.70126880608558</c:v>
                </c:pt>
                <c:pt idx="816">
                  <c:v>427.917686685577</c:v>
                </c:pt>
                <c:pt idx="817">
                  <c:v>428.13429301199972</c:v>
                </c:pt>
                <c:pt idx="818">
                  <c:v>428.34409146414879</c:v>
                </c:pt>
                <c:pt idx="819">
                  <c:v>428.56106860550085</c:v>
                </c:pt>
                <c:pt idx="820">
                  <c:v>428.7712259108074</c:v>
                </c:pt>
                <c:pt idx="821">
                  <c:v>428.98857386708875</c:v>
                </c:pt>
                <c:pt idx="822">
                  <c:v>429.20611027030145</c:v>
                </c:pt>
                <c:pt idx="823">
                  <c:v>429.40275673768315</c:v>
                </c:pt>
                <c:pt idx="824">
                  <c:v>429.62065179795866</c:v>
                </c:pt>
                <c:pt idx="825">
                  <c:v>429.83169741190073</c:v>
                </c:pt>
                <c:pt idx="826">
                  <c:v>430.04996328710553</c:v>
                </c:pt>
                <c:pt idx="827">
                  <c:v>430.26136775420503</c:v>
                </c:pt>
                <c:pt idx="828">
                  <c:v>430.48000444433916</c:v>
                </c:pt>
                <c:pt idx="829">
                  <c:v>430.69882958140465</c:v>
                </c:pt>
                <c:pt idx="830">
                  <c:v>430.91077526965955</c:v>
                </c:pt>
                <c:pt idx="831">
                  <c:v>431.12997122165439</c:v>
                </c:pt>
                <c:pt idx="832">
                  <c:v>431.34227576306671</c:v>
                </c:pt>
                <c:pt idx="833">
                  <c:v>431.56184252999083</c:v>
                </c:pt>
                <c:pt idx="834">
                  <c:v>431.78159774384619</c:v>
                </c:pt>
                <c:pt idx="835">
                  <c:v>431.98734580428976</c:v>
                </c:pt>
                <c:pt idx="836">
                  <c:v>432.20746575414125</c:v>
                </c:pt>
                <c:pt idx="837">
                  <c:v>432.42066448702786</c:v>
                </c:pt>
                <c:pt idx="838">
                  <c:v>432.64115525180864</c:v>
                </c:pt>
                <c:pt idx="839">
                  <c:v>432.85471283785267</c:v>
                </c:pt>
                <c:pt idx="840">
                  <c:v>433.07557441756285</c:v>
                </c:pt>
                <c:pt idx="841">
                  <c:v>433.29662444420421</c:v>
                </c:pt>
                <c:pt idx="842">
                  <c:v>433.51072325140376</c:v>
                </c:pt>
                <c:pt idx="843">
                  <c:v>433.73214409297452</c:v>
                </c:pt>
                <c:pt idx="844">
                  <c:v>433.94660175333138</c:v>
                </c:pt>
                <c:pt idx="845">
                  <c:v>434.16839340983148</c:v>
                </c:pt>
                <c:pt idx="846">
                  <c:v>434.39037351326294</c:v>
                </c:pt>
                <c:pt idx="847">
                  <c:v>434.59103364535838</c:v>
                </c:pt>
                <c:pt idx="848">
                  <c:v>434.81337240585253</c:v>
                </c:pt>
                <c:pt idx="849">
                  <c:v>435.02871837484497</c:v>
                </c:pt>
                <c:pt idx="850">
                  <c:v>435.25142795026858</c:v>
                </c:pt>
                <c:pt idx="851">
                  <c:v>435.46713277241844</c:v>
                </c:pt>
                <c:pt idx="852">
                  <c:v>435.69021316277127</c:v>
                </c:pt>
                <c:pt idx="853">
                  <c:v>435.91348200005547</c:v>
                </c:pt>
                <c:pt idx="854">
                  <c:v>436.12972804336079</c:v>
                </c:pt>
                <c:pt idx="855">
                  <c:v>436.35336769557432</c:v>
                </c:pt>
                <c:pt idx="856">
                  <c:v>436.56997259203706</c:v>
                </c:pt>
                <c:pt idx="857">
                  <c:v>436.79398305917988</c:v>
                </c:pt>
                <c:pt idx="858">
                  <c:v>437.018181973254</c:v>
                </c:pt>
                <c:pt idx="859">
                  <c:v>437.2208461923816</c:v>
                </c:pt>
                <c:pt idx="860">
                  <c:v>437.44540376351858</c:v>
                </c:pt>
                <c:pt idx="861">
                  <c:v>437.66289696861691</c:v>
                </c:pt>
                <c:pt idx="862">
                  <c:v>437.88782535468312</c:v>
                </c:pt>
                <c:pt idx="863">
                  <c:v>438.10567741293892</c:v>
                </c:pt>
                <c:pt idx="864">
                  <c:v>438.33097661393447</c:v>
                </c:pt>
                <c:pt idx="865">
                  <c:v>438.55646426186138</c:v>
                </c:pt>
                <c:pt idx="866">
                  <c:v>438.77485754127258</c:v>
                </c:pt>
                <c:pt idx="867">
                  <c:v>439.00071600412883</c:v>
                </c:pt>
                <c:pt idx="868">
                  <c:v>439.2194681366974</c:v>
                </c:pt>
                <c:pt idx="869">
                  <c:v>439.44569741448299</c:v>
                </c:pt>
                <c:pt idx="870">
                  <c:v>439.67211513919989</c:v>
                </c:pt>
                <c:pt idx="871">
                  <c:v>439.87678344535959</c:v>
                </c:pt>
                <c:pt idx="872">
                  <c:v>440.10355982713924</c:v>
                </c:pt>
                <c:pt idx="873">
                  <c:v>440.32320026834344</c:v>
                </c:pt>
                <c:pt idx="874">
                  <c:v>440.55034746505248</c:v>
                </c:pt>
                <c:pt idx="875">
                  <c:v>440.77034675941405</c:v>
                </c:pt>
                <c:pt idx="876">
                  <c:v>440.99786477105238</c:v>
                </c:pt>
                <c:pt idx="877">
                  <c:v>441.22557122962201</c:v>
                </c:pt>
                <c:pt idx="878">
                  <c:v>441.44611174513909</c:v>
                </c:pt>
                <c:pt idx="879">
                  <c:v>441.67418901863806</c:v>
                </c:pt>
                <c:pt idx="880">
                  <c:v>441.89508838731251</c:v>
                </c:pt>
                <c:pt idx="881">
                  <c:v>442.12353647574082</c:v>
                </c:pt>
                <c:pt idx="882">
                  <c:v>442.35217301110043</c:v>
                </c:pt>
                <c:pt idx="883">
                  <c:v>442.56622940456401</c:v>
                </c:pt>
                <c:pt idx="884">
                  <c:v>442.7952306759197</c:v>
                </c:pt>
                <c:pt idx="885">
                  <c:v>443.01702423606832</c:v>
                </c:pt>
                <c:pt idx="886">
                  <c:v>443.24639632235335</c:v>
                </c:pt>
                <c:pt idx="887">
                  <c:v>443.46854873565951</c:v>
                </c:pt>
                <c:pt idx="888">
                  <c:v>443.69829163687382</c:v>
                </c:pt>
                <c:pt idx="889">
                  <c:v>443.92822298501949</c:v>
                </c:pt>
                <c:pt idx="890">
                  <c:v>444.15091661948105</c:v>
                </c:pt>
                <c:pt idx="891">
                  <c:v>444.381218782556</c:v>
                </c:pt>
                <c:pt idx="892">
                  <c:v>444.60427127017499</c:v>
                </c:pt>
                <c:pt idx="893">
                  <c:v>444.83494424817934</c:v>
                </c:pt>
                <c:pt idx="894">
                  <c:v>445.06580567311488</c:v>
                </c:pt>
                <c:pt idx="895">
                  <c:v>445.27448764398832</c:v>
                </c:pt>
                <c:pt idx="896">
                  <c:v>445.50570772598667</c:v>
                </c:pt>
                <c:pt idx="897">
                  <c:v>445.72964852224123</c:v>
                </c:pt>
                <c:pt idx="898">
                  <c:v>445.96123941916903</c:v>
                </c:pt>
                <c:pt idx="899">
                  <c:v>446.18553906858097</c:v>
                </c:pt>
                <c:pt idx="900">
                  <c:v>446.41750078043805</c:v>
                </c:pt>
                <c:pt idx="901">
                  <c:v>446.64965093922643</c:v>
                </c:pt>
                <c:pt idx="902">
                  <c:v>446.87449180979382</c:v>
                </c:pt>
                <c:pt idx="903">
                  <c:v>447.10701278351155</c:v>
                </c:pt>
                <c:pt idx="904">
                  <c:v>447.33221250723642</c:v>
                </c:pt>
                <c:pt idx="905">
                  <c:v>447.56510429588343</c:v>
                </c:pt>
                <c:pt idx="906">
                  <c:v>447.79818453146174</c:v>
                </c:pt>
                <c:pt idx="907">
                  <c:v>448.00887058936729</c:v>
                </c:pt>
                <c:pt idx="908">
                  <c:v>448.24230948200841</c:v>
                </c:pt>
                <c:pt idx="909">
                  <c:v>448.46839751436886</c:v>
                </c:pt>
                <c:pt idx="910">
                  <c:v>448.70220722193932</c:v>
                </c:pt>
                <c:pt idx="911">
                  <c:v>448.92865410745719</c:v>
                </c:pt>
                <c:pt idx="912">
                  <c:v>449.16283462995693</c:v>
                </c:pt>
                <c:pt idx="913">
                  <c:v>449.39720359938804</c:v>
                </c:pt>
                <c:pt idx="914">
                  <c:v>449.62419170606137</c:v>
                </c:pt>
                <c:pt idx="915">
                  <c:v>449.85893149042175</c:v>
                </c:pt>
                <c:pt idx="916">
                  <c:v>450.08627845025251</c:v>
                </c:pt>
                <c:pt idx="917">
                  <c:v>450.32138904954229</c:v>
                </c:pt>
                <c:pt idx="918">
                  <c:v>450.55668809576332</c:v>
                </c:pt>
                <c:pt idx="919">
                  <c:v>450.76937824070097</c:v>
                </c:pt>
                <c:pt idx="920">
                  <c:v>451.00503594398486</c:v>
                </c:pt>
                <c:pt idx="921">
                  <c:v>451.2332712124512</c:v>
                </c:pt>
                <c:pt idx="922">
                  <c:v>451.46929973066437</c:v>
                </c:pt>
                <c:pt idx="923">
                  <c:v>451.69789385228808</c:v>
                </c:pt>
                <c:pt idx="924">
                  <c:v>451.93429318543059</c:v>
                </c:pt>
                <c:pt idx="925">
                  <c:v>452.17088096550441</c:v>
                </c:pt>
                <c:pt idx="926">
                  <c:v>452.40001630828357</c:v>
                </c:pt>
                <c:pt idx="927">
                  <c:v>452.63697490328673</c:v>
                </c:pt>
                <c:pt idx="928">
                  <c:v>452.86646909922337</c:v>
                </c:pt>
                <c:pt idx="929">
                  <c:v>453.10379850915581</c:v>
                </c:pt>
                <c:pt idx="930">
                  <c:v>453.34131636601961</c:v>
                </c:pt>
                <c:pt idx="931">
                  <c:v>453.56368109250326</c:v>
                </c:pt>
                <c:pt idx="932">
                  <c:v>453.80156368536308</c:v>
                </c:pt>
                <c:pt idx="933">
                  <c:v>454.03195207277395</c:v>
                </c:pt>
                <c:pt idx="934">
                  <c:v>454.27020548056311</c:v>
                </c:pt>
                <c:pt idx="935">
                  <c:v>454.50095272113134</c:v>
                </c:pt>
                <c:pt idx="936">
                  <c:v>454.73957694384984</c:v>
                </c:pt>
                <c:pt idx="937">
                  <c:v>454.97838961349964</c:v>
                </c:pt>
                <c:pt idx="938">
                  <c:v>455.20967807522339</c:v>
                </c:pt>
                <c:pt idx="939">
                  <c:v>455.44886155980248</c:v>
                </c:pt>
                <c:pt idx="940">
                  <c:v>455.6805088746836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6F-43CA-B2CA-10D5945E9AF5}"/>
            </c:ext>
          </c:extLst>
        </c:ser>
        <c:ser>
          <c:idx val="0"/>
          <c:order val="1"/>
          <c:tx>
            <c:strRef>
              <c:f>'2次多項式モデル'!$G$1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'2次多項式モデル'!$G$2:$G$942</c:f>
              <c:numCache>
                <c:formatCode>0.00_ ;[Red]\-0.00\ </c:formatCode>
                <c:ptCount val="9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6F-43CA-B2CA-10D5945E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92415"/>
        <c:axId val="890224911"/>
      </c:scatterChart>
      <c:valAx>
        <c:axId val="1041792415"/>
        <c:scaling>
          <c:orientation val="minMax"/>
          <c:max val="50010"/>
          <c:min val="212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0224911"/>
        <c:crosses val="autoZero"/>
        <c:crossBetween val="midCat"/>
      </c:valAx>
      <c:valAx>
        <c:axId val="89022491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17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'2次多項式モデル'!$K$1</c:f>
              <c:strCache>
                <c:ptCount val="1"/>
                <c:pt idx="0">
                  <c:v>TS(d)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'2次多項式モデル'!$K$2:$K$942</c:f>
              <c:numCache>
                <c:formatCode>0.00_ ;[Red]\-0.00\ </c:formatCode>
                <c:ptCount val="941"/>
                <c:pt idx="0">
                  <c:v>315.98531750528986</c:v>
                </c:pt>
                <c:pt idx="1">
                  <c:v>317.28655842379914</c:v>
                </c:pt>
                <c:pt idx="2">
                  <c:v>317.80471798616026</c:v>
                </c:pt>
                <c:pt idx="3">
                  <c:v>315.59097817322834</c:v>
                </c:pt>
                <c:pt idx="4">
                  <c:v>313.53551504128745</c:v>
                </c:pt>
                <c:pt idx="5">
                  <c:v>311.80521264937875</c:v>
                </c:pt>
                <c:pt idx="6">
                  <c:v>313.06921428660803</c:v>
                </c:pt>
                <c:pt idx="7">
                  <c:v>314.30109801974214</c:v>
                </c:pt>
                <c:pt idx="8">
                  <c:v>315.31982892524042</c:v>
                </c:pt>
                <c:pt idx="9">
                  <c:v>316.0195640995239</c:v>
                </c:pt>
                <c:pt idx="10">
                  <c:v>316.75898758786468</c:v>
                </c:pt>
                <c:pt idx="11">
                  <c:v>318.06244731701668</c:v>
                </c:pt>
                <c:pt idx="12">
                  <c:v>318.58275411548362</c:v>
                </c:pt>
                <c:pt idx="13">
                  <c:v>317.9311375722923</c:v>
                </c:pt>
                <c:pt idx="14">
                  <c:v>316.37338034930031</c:v>
                </c:pt>
                <c:pt idx="15">
                  <c:v>314.32013602800214</c:v>
                </c:pt>
                <c:pt idx="16">
                  <c:v>312.5920524467362</c:v>
                </c:pt>
                <c:pt idx="17">
                  <c:v>312.51455959259511</c:v>
                </c:pt>
                <c:pt idx="18">
                  <c:v>313.86042013071409</c:v>
                </c:pt>
                <c:pt idx="19">
                  <c:v>315.09445109995403</c:v>
                </c:pt>
                <c:pt idx="20">
                  <c:v>316.11540081609502</c:v>
                </c:pt>
                <c:pt idx="21">
                  <c:v>316.81735480102122</c:v>
                </c:pt>
                <c:pt idx="22">
                  <c:v>317.5610094803086</c:v>
                </c:pt>
                <c:pt idx="23">
                  <c:v>318.86669409903658</c:v>
                </c:pt>
                <c:pt idx="24">
                  <c:v>319.38915401644806</c:v>
                </c:pt>
                <c:pt idx="25">
                  <c:v>318.73976236283272</c:v>
                </c:pt>
                <c:pt idx="26">
                  <c:v>317.18415825878526</c:v>
                </c:pt>
                <c:pt idx="27">
                  <c:v>315.13313882706308</c:v>
                </c:pt>
                <c:pt idx="28">
                  <c:v>313.40728013537313</c:v>
                </c:pt>
                <c:pt idx="29">
                  <c:v>313.33194040017656</c:v>
                </c:pt>
                <c:pt idx="30">
                  <c:v>314.68002582787153</c:v>
                </c:pt>
                <c:pt idx="31">
                  <c:v>315.91620991605595</c:v>
                </c:pt>
                <c:pt idx="32">
                  <c:v>316.93938452177298</c:v>
                </c:pt>
                <c:pt idx="33">
                  <c:v>317.64356339627523</c:v>
                </c:pt>
                <c:pt idx="34">
                  <c:v>318.38700054932968</c:v>
                </c:pt>
                <c:pt idx="35">
                  <c:v>319.69490397870038</c:v>
                </c:pt>
                <c:pt idx="36">
                  <c:v>320.21951113221775</c:v>
                </c:pt>
                <c:pt idx="37">
                  <c:v>319.57233828924512</c:v>
                </c:pt>
                <c:pt idx="38">
                  <c:v>318.01888142130355</c:v>
                </c:pt>
                <c:pt idx="39">
                  <c:v>315.97008080022408</c:v>
                </c:pt>
                <c:pt idx="40">
                  <c:v>314.24644091917685</c:v>
                </c:pt>
                <c:pt idx="41">
                  <c:v>314.17324842008617</c:v>
                </c:pt>
                <c:pt idx="42">
                  <c:v>315.52355265842385</c:v>
                </c:pt>
                <c:pt idx="43">
                  <c:v>316.76188398271415</c:v>
                </c:pt>
                <c:pt idx="44">
                  <c:v>317.7872773990739</c:v>
                </c:pt>
                <c:pt idx="45">
                  <c:v>318.49367508421886</c:v>
                </c:pt>
                <c:pt idx="46">
                  <c:v>319.23911632430548</c:v>
                </c:pt>
                <c:pt idx="47">
                  <c:v>320.5492385643189</c:v>
                </c:pt>
                <c:pt idx="48">
                  <c:v>321.07599295394215</c:v>
                </c:pt>
                <c:pt idx="49">
                  <c:v>320.43103892161224</c:v>
                </c:pt>
                <c:pt idx="50">
                  <c:v>318.87972928977655</c:v>
                </c:pt>
                <c:pt idx="51">
                  <c:v>316.8331474793398</c:v>
                </c:pt>
                <c:pt idx="52">
                  <c:v>315.11172640893528</c:v>
                </c:pt>
                <c:pt idx="53">
                  <c:v>315.04068114595049</c:v>
                </c:pt>
                <c:pt idx="54">
                  <c:v>316.39320419493089</c:v>
                </c:pt>
                <c:pt idx="55">
                  <c:v>317.63368275532707</c:v>
                </c:pt>
                <c:pt idx="56">
                  <c:v>318.66129498232954</c:v>
                </c:pt>
                <c:pt idx="57">
                  <c:v>319.36991147811722</c:v>
                </c:pt>
                <c:pt idx="58">
                  <c:v>320.11735680523594</c:v>
                </c:pt>
                <c:pt idx="59">
                  <c:v>321.42969785589213</c:v>
                </c:pt>
                <c:pt idx="60">
                  <c:v>321.95859948162121</c:v>
                </c:pt>
                <c:pt idx="61">
                  <c:v>321.31586425993407</c:v>
                </c:pt>
                <c:pt idx="62">
                  <c:v>319.76670186420426</c:v>
                </c:pt>
                <c:pt idx="63">
                  <c:v>317.72233886441023</c:v>
                </c:pt>
                <c:pt idx="64">
                  <c:v>316.00313660464849</c:v>
                </c:pt>
                <c:pt idx="65">
                  <c:v>315.93423857776952</c:v>
                </c:pt>
                <c:pt idx="66">
                  <c:v>317.28898043739264</c:v>
                </c:pt>
                <c:pt idx="67">
                  <c:v>318.53160623389471</c:v>
                </c:pt>
                <c:pt idx="68">
                  <c:v>319.56143727153994</c:v>
                </c:pt>
                <c:pt idx="69">
                  <c:v>322.86985627518351</c:v>
                </c:pt>
                <c:pt idx="70">
                  <c:v>322.22934594307236</c:v>
                </c:pt>
                <c:pt idx="71">
                  <c:v>320.68233666628703</c:v>
                </c:pt>
                <c:pt idx="72">
                  <c:v>318.64019855606898</c:v>
                </c:pt>
                <c:pt idx="73">
                  <c:v>316.92322118588322</c:v>
                </c:pt>
                <c:pt idx="74">
                  <c:v>316.85647627794879</c:v>
                </c:pt>
                <c:pt idx="75">
                  <c:v>318.21344302714789</c:v>
                </c:pt>
                <c:pt idx="76">
                  <c:v>319.45822194259449</c:v>
                </c:pt>
                <c:pt idx="77">
                  <c:v>320.49027786981571</c:v>
                </c:pt>
                <c:pt idx="78">
                  <c:v>321.20333806582209</c:v>
                </c:pt>
                <c:pt idx="79">
                  <c:v>321.9547970576545</c:v>
                </c:pt>
                <c:pt idx="80">
                  <c:v>323.27158180852945</c:v>
                </c:pt>
                <c:pt idx="81">
                  <c:v>323.80478378930889</c:v>
                </c:pt>
                <c:pt idx="82">
                  <c:v>323.16649226784051</c:v>
                </c:pt>
                <c:pt idx="83">
                  <c:v>321.62163022716101</c:v>
                </c:pt>
                <c:pt idx="84">
                  <c:v>319.58171092758573</c:v>
                </c:pt>
                <c:pt idx="85">
                  <c:v>317.86695236804269</c:v>
                </c:pt>
                <c:pt idx="86">
                  <c:v>317.80235469621408</c:v>
                </c:pt>
                <c:pt idx="87">
                  <c:v>319.16154025605596</c:v>
                </c:pt>
                <c:pt idx="88">
                  <c:v>320.40846640760839</c:v>
                </c:pt>
                <c:pt idx="89">
                  <c:v>321.44274114547233</c:v>
                </c:pt>
                <c:pt idx="90">
                  <c:v>322.15802015212148</c:v>
                </c:pt>
                <c:pt idx="91">
                  <c:v>322.91148323098605</c:v>
                </c:pt>
                <c:pt idx="92">
                  <c:v>324.23048679250371</c:v>
                </c:pt>
                <c:pt idx="93">
                  <c:v>324.76583600938903</c:v>
                </c:pt>
                <c:pt idx="94">
                  <c:v>324.12976329856332</c:v>
                </c:pt>
                <c:pt idx="95">
                  <c:v>322.5870484939897</c:v>
                </c:pt>
                <c:pt idx="96">
                  <c:v>320.5493480050572</c:v>
                </c:pt>
                <c:pt idx="97">
                  <c:v>318.83680825615687</c:v>
                </c:pt>
                <c:pt idx="98">
                  <c:v>318.77435782043415</c:v>
                </c:pt>
                <c:pt idx="99">
                  <c:v>320.13576219091874</c:v>
                </c:pt>
                <c:pt idx="100">
                  <c:v>321.38483557857705</c:v>
                </c:pt>
                <c:pt idx="101">
                  <c:v>322.42132912708371</c:v>
                </c:pt>
                <c:pt idx="102">
                  <c:v>323.13882694437558</c:v>
                </c:pt>
                <c:pt idx="103">
                  <c:v>323.89429411027231</c:v>
                </c:pt>
                <c:pt idx="104">
                  <c:v>325.21551648243269</c:v>
                </c:pt>
                <c:pt idx="105">
                  <c:v>325.75301293542384</c:v>
                </c:pt>
                <c:pt idx="106">
                  <c:v>325.1191590352409</c:v>
                </c:pt>
                <c:pt idx="107">
                  <c:v>323.57859146677316</c:v>
                </c:pt>
                <c:pt idx="108">
                  <c:v>321.54310978848332</c:v>
                </c:pt>
                <c:pt idx="109">
                  <c:v>319.83278885022577</c:v>
                </c:pt>
                <c:pt idx="110">
                  <c:v>319.77248565060893</c:v>
                </c:pt>
                <c:pt idx="111">
                  <c:v>321.13610883173624</c:v>
                </c:pt>
                <c:pt idx="112">
                  <c:v>322.38732945550043</c:v>
                </c:pt>
                <c:pt idx="113">
                  <c:v>323.42604181464981</c:v>
                </c:pt>
                <c:pt idx="114">
                  <c:v>324.14575844258439</c:v>
                </c:pt>
                <c:pt idx="115">
                  <c:v>324.90602978791185</c:v>
                </c:pt>
                <c:pt idx="116">
                  <c:v>326.22947704964821</c:v>
                </c:pt>
                <c:pt idx="117">
                  <c:v>326.76912662158389</c:v>
                </c:pt>
                <c:pt idx="118">
                  <c:v>326.13749761097694</c:v>
                </c:pt>
                <c:pt idx="119">
                  <c:v>324.59908316145373</c:v>
                </c:pt>
                <c:pt idx="120">
                  <c:v>322.56582637273993</c:v>
                </c:pt>
                <c:pt idx="121">
                  <c:v>320.85773032405837</c:v>
                </c:pt>
                <c:pt idx="122">
                  <c:v>320.799580243386</c:v>
                </c:pt>
                <c:pt idx="123">
                  <c:v>322.1654283140893</c:v>
                </c:pt>
                <c:pt idx="124">
                  <c:v>323.41880205679803</c:v>
                </c:pt>
                <c:pt idx="125">
                  <c:v>324.45973930552339</c:v>
                </c:pt>
                <c:pt idx="126">
                  <c:v>325.18168082303401</c:v>
                </c:pt>
                <c:pt idx="127">
                  <c:v>325.94116165364437</c:v>
                </c:pt>
                <c:pt idx="128">
                  <c:v>327.26682772602351</c:v>
                </c:pt>
                <c:pt idx="129">
                  <c:v>327.80862453406507</c:v>
                </c:pt>
                <c:pt idx="130">
                  <c:v>327.17921433410083</c:v>
                </c:pt>
                <c:pt idx="131">
                  <c:v>325.64294712068346</c:v>
                </c:pt>
                <c:pt idx="132">
                  <c:v>323.61190914261238</c:v>
                </c:pt>
                <c:pt idx="133">
                  <c:v>321.90603190457352</c:v>
                </c:pt>
                <c:pt idx="134">
                  <c:v>321.85002906000705</c:v>
                </c:pt>
                <c:pt idx="135">
                  <c:v>323.21809594135311</c:v>
                </c:pt>
                <c:pt idx="136">
                  <c:v>324.47361692016767</c:v>
                </c:pt>
                <c:pt idx="137">
                  <c:v>325.5167729795358</c:v>
                </c:pt>
                <c:pt idx="138">
                  <c:v>326.24093330768909</c:v>
                </c:pt>
                <c:pt idx="139">
                  <c:v>327.00241822533167</c:v>
                </c:pt>
                <c:pt idx="140">
                  <c:v>328.33030310835346</c:v>
                </c:pt>
                <c:pt idx="141">
                  <c:v>328.87424715250091</c:v>
                </c:pt>
                <c:pt idx="142">
                  <c:v>328.24705576317945</c:v>
                </c:pt>
                <c:pt idx="143">
                  <c:v>326.7129357858679</c:v>
                </c:pt>
                <c:pt idx="144">
                  <c:v>324.68411661843953</c:v>
                </c:pt>
                <c:pt idx="145">
                  <c:v>322.98045819104345</c:v>
                </c:pt>
                <c:pt idx="146">
                  <c:v>322.9266025825828</c:v>
                </c:pt>
                <c:pt idx="147">
                  <c:v>324.29688827457164</c:v>
                </c:pt>
                <c:pt idx="148">
                  <c:v>325.55455648949203</c:v>
                </c:pt>
                <c:pt idx="149">
                  <c:v>326.59993135950288</c:v>
                </c:pt>
                <c:pt idx="150">
                  <c:v>327.32631049829894</c:v>
                </c:pt>
                <c:pt idx="151">
                  <c:v>328.08979950297362</c:v>
                </c:pt>
                <c:pt idx="152">
                  <c:v>329.41990319663819</c:v>
                </c:pt>
                <c:pt idx="153">
                  <c:v>329.96599447689147</c:v>
                </c:pt>
                <c:pt idx="154">
                  <c:v>329.34102189821272</c:v>
                </c:pt>
                <c:pt idx="155">
                  <c:v>327.80904915700711</c:v>
                </c:pt>
                <c:pt idx="156">
                  <c:v>325.78244880022146</c:v>
                </c:pt>
                <c:pt idx="157">
                  <c:v>324.08100918346804</c:v>
                </c:pt>
                <c:pt idx="158">
                  <c:v>324.02930081111333</c:v>
                </c:pt>
                <c:pt idx="159">
                  <c:v>325.40180531374483</c:v>
                </c:pt>
                <c:pt idx="160">
                  <c:v>326.66162076477116</c:v>
                </c:pt>
                <c:pt idx="161">
                  <c:v>327.70921444542472</c:v>
                </c:pt>
                <c:pt idx="162">
                  <c:v>328.4378123948635</c:v>
                </c:pt>
                <c:pt idx="163">
                  <c:v>329.20639207321096</c:v>
                </c:pt>
                <c:pt idx="164">
                  <c:v>330.53872065645152</c:v>
                </c:pt>
                <c:pt idx="165">
                  <c:v>331.08696505564933</c:v>
                </c:pt>
                <c:pt idx="166">
                  <c:v>330.46421736654656</c:v>
                </c:pt>
                <c:pt idx="167">
                  <c:v>328.93439774428543</c:v>
                </c:pt>
                <c:pt idx="168">
                  <c:v>326.91002227707583</c:v>
                </c:pt>
                <c:pt idx="169">
                  <c:v>325.21080754989845</c:v>
                </c:pt>
                <c:pt idx="170">
                  <c:v>325.16125229648821</c:v>
                </c:pt>
                <c:pt idx="171">
                  <c:v>326.5359816886957</c:v>
                </c:pt>
                <c:pt idx="172">
                  <c:v>327.7979502586665</c:v>
                </c:pt>
                <c:pt idx="173">
                  <c:v>328.84776882889611</c:v>
                </c:pt>
                <c:pt idx="174">
                  <c:v>329.57859166791087</c:v>
                </c:pt>
                <c:pt idx="175">
                  <c:v>330.34609433729923</c:v>
                </c:pt>
                <c:pt idx="176">
                  <c:v>331.68064173118256</c:v>
                </c:pt>
                <c:pt idx="177">
                  <c:v>332.2310333664862</c:v>
                </c:pt>
                <c:pt idx="178">
                  <c:v>331.61050448802621</c:v>
                </c:pt>
                <c:pt idx="179">
                  <c:v>330.08283210187091</c:v>
                </c:pt>
                <c:pt idx="180">
                  <c:v>328.06067544530401</c:v>
                </c:pt>
                <c:pt idx="181">
                  <c:v>326.36367952876935</c:v>
                </c:pt>
                <c:pt idx="182">
                  <c:v>326.316271511465</c:v>
                </c:pt>
                <c:pt idx="183">
                  <c:v>327.69321971431526</c:v>
                </c:pt>
                <c:pt idx="184">
                  <c:v>328.95733552039195</c:v>
                </c:pt>
                <c:pt idx="185">
                  <c:v>330.00937290126421</c:v>
                </c:pt>
                <c:pt idx="186">
                  <c:v>330.74241455092175</c:v>
                </c:pt>
                <c:pt idx="187">
                  <c:v>331.51192130734222</c:v>
                </c:pt>
                <c:pt idx="188">
                  <c:v>332.84868751186826</c:v>
                </c:pt>
                <c:pt idx="189">
                  <c:v>333.40122638327779</c:v>
                </c:pt>
                <c:pt idx="190">
                  <c:v>332.78291631546051</c:v>
                </c:pt>
                <c:pt idx="191">
                  <c:v>331.25739116541109</c:v>
                </c:pt>
                <c:pt idx="192">
                  <c:v>329.23745331948692</c:v>
                </c:pt>
                <c:pt idx="193">
                  <c:v>327.54267621359503</c:v>
                </c:pt>
                <c:pt idx="194">
                  <c:v>327.49741543239651</c:v>
                </c:pt>
                <c:pt idx="195">
                  <c:v>328.87658244588948</c:v>
                </c:pt>
                <c:pt idx="196">
                  <c:v>330.14284548807206</c:v>
                </c:pt>
                <c:pt idx="197">
                  <c:v>331.19710167958704</c:v>
                </c:pt>
                <c:pt idx="198">
                  <c:v>331.93236213988729</c:v>
                </c:pt>
                <c:pt idx="199">
                  <c:v>332.70387298333998</c:v>
                </c:pt>
                <c:pt idx="200">
                  <c:v>334.04285799850868</c:v>
                </c:pt>
                <c:pt idx="201">
                  <c:v>334.59754410602415</c:v>
                </c:pt>
                <c:pt idx="202">
                  <c:v>333.98145284884953</c:v>
                </c:pt>
                <c:pt idx="203">
                  <c:v>332.45807493490599</c:v>
                </c:pt>
                <c:pt idx="204">
                  <c:v>330.44035589962459</c:v>
                </c:pt>
                <c:pt idx="205">
                  <c:v>328.74779760437536</c:v>
                </c:pt>
                <c:pt idx="206">
                  <c:v>328.70468405928273</c:v>
                </c:pt>
                <c:pt idx="207">
                  <c:v>330.08606988341847</c:v>
                </c:pt>
                <c:pt idx="208">
                  <c:v>331.35448016170687</c:v>
                </c:pt>
                <c:pt idx="209">
                  <c:v>332.41095516386463</c:v>
                </c:pt>
                <c:pt idx="210">
                  <c:v>333.1484344348076</c:v>
                </c:pt>
                <c:pt idx="211">
                  <c:v>333.92532244617513</c:v>
                </c:pt>
                <c:pt idx="212">
                  <c:v>335.26653235091987</c:v>
                </c:pt>
                <c:pt idx="213">
                  <c:v>335.82337157737976</c:v>
                </c:pt>
                <c:pt idx="214">
                  <c:v>335.20950520978118</c:v>
                </c:pt>
                <c:pt idx="215">
                  <c:v>333.68828041478218</c:v>
                </c:pt>
                <c:pt idx="216">
                  <c:v>331.67278626907677</c:v>
                </c:pt>
                <c:pt idx="217">
                  <c:v>329.98245286340352</c:v>
                </c:pt>
                <c:pt idx="218">
                  <c:v>329.94149243725542</c:v>
                </c:pt>
                <c:pt idx="219">
                  <c:v>331.32510315096715</c:v>
                </c:pt>
                <c:pt idx="220">
                  <c:v>332.59566654820003</c:v>
                </c:pt>
                <c:pt idx="221">
                  <c:v>333.65436643993382</c:v>
                </c:pt>
                <c:pt idx="222">
                  <c:v>334.39407060045278</c:v>
                </c:pt>
                <c:pt idx="223">
                  <c:v>335.16959510861915</c:v>
                </c:pt>
                <c:pt idx="224">
                  <c:v>336.51302382400661</c:v>
                </c:pt>
                <c:pt idx="225">
                  <c:v>337.07201028657238</c:v>
                </c:pt>
                <c:pt idx="226">
                  <c:v>336.46036272961652</c:v>
                </c:pt>
                <c:pt idx="227">
                  <c:v>334.9412851707234</c:v>
                </c:pt>
                <c:pt idx="228">
                  <c:v>332.9280098356607</c:v>
                </c:pt>
                <c:pt idx="229">
                  <c:v>331.23989524063023</c:v>
                </c:pt>
                <c:pt idx="230">
                  <c:v>331.20108205058796</c:v>
                </c:pt>
                <c:pt idx="231">
                  <c:v>332.58691157494241</c:v>
                </c:pt>
                <c:pt idx="232">
                  <c:v>333.85962220828117</c:v>
                </c:pt>
                <c:pt idx="233">
                  <c:v>334.92054091065768</c:v>
                </c:pt>
                <c:pt idx="234">
                  <c:v>335.66246388181935</c:v>
                </c:pt>
                <c:pt idx="235">
                  <c:v>336.43999247701782</c:v>
                </c:pt>
                <c:pt idx="236">
                  <c:v>337.78564000304806</c:v>
                </c:pt>
                <c:pt idx="237">
                  <c:v>338.34677370171971</c:v>
                </c:pt>
                <c:pt idx="238">
                  <c:v>337.73734495540657</c:v>
                </c:pt>
                <c:pt idx="239">
                  <c:v>336.22041463261934</c:v>
                </c:pt>
                <c:pt idx="240">
                  <c:v>334.20935810819935</c:v>
                </c:pt>
                <c:pt idx="241">
                  <c:v>332.5234623238116</c:v>
                </c:pt>
                <c:pt idx="242">
                  <c:v>332.48679636987521</c:v>
                </c:pt>
                <c:pt idx="243">
                  <c:v>333.87484470487237</c:v>
                </c:pt>
                <c:pt idx="244">
                  <c:v>335.14970257431702</c:v>
                </c:pt>
                <c:pt idx="245">
                  <c:v>336.21284008733625</c:v>
                </c:pt>
                <c:pt idx="246">
                  <c:v>336.95698186914063</c:v>
                </c:pt>
                <c:pt idx="247">
                  <c:v>337.73651455137127</c:v>
                </c:pt>
                <c:pt idx="248">
                  <c:v>339.08438088804422</c:v>
                </c:pt>
                <c:pt idx="249">
                  <c:v>339.64766182282176</c:v>
                </c:pt>
                <c:pt idx="250">
                  <c:v>339.04045188715133</c:v>
                </c:pt>
                <c:pt idx="251">
                  <c:v>337.52566880046993</c:v>
                </c:pt>
                <c:pt idx="252">
                  <c:v>335.51683108669272</c:v>
                </c:pt>
                <c:pt idx="253">
                  <c:v>333.83315411294768</c:v>
                </c:pt>
                <c:pt idx="254">
                  <c:v>333.79863539511717</c:v>
                </c:pt>
                <c:pt idx="255">
                  <c:v>335.18890254075706</c:v>
                </c:pt>
                <c:pt idx="256">
                  <c:v>336.46590764630758</c:v>
                </c:pt>
                <c:pt idx="257">
                  <c:v>337.53126396996953</c:v>
                </c:pt>
                <c:pt idx="258">
                  <c:v>338.27762456241669</c:v>
                </c:pt>
                <c:pt idx="259">
                  <c:v>339.06282090680423</c:v>
                </c:pt>
                <c:pt idx="260">
                  <c:v>340.41291213305317</c:v>
                </c:pt>
                <c:pt idx="261">
                  <c:v>340.97834618677524</c:v>
                </c:pt>
                <c:pt idx="262">
                  <c:v>340.37336114068086</c:v>
                </c:pt>
                <c:pt idx="263">
                  <c:v>338.86073117294393</c:v>
                </c:pt>
                <c:pt idx="264">
                  <c:v>336.8541183487427</c:v>
                </c:pt>
                <c:pt idx="265">
                  <c:v>335.17266626457365</c:v>
                </c:pt>
                <c:pt idx="266">
                  <c:v>335.14030066568768</c:v>
                </c:pt>
                <c:pt idx="267">
                  <c:v>336.53279270090354</c:v>
                </c:pt>
                <c:pt idx="268">
                  <c:v>337.81195092539861</c:v>
                </c:pt>
                <c:pt idx="269">
                  <c:v>338.87953213863653</c:v>
                </c:pt>
                <c:pt idx="270">
                  <c:v>339.62811762065968</c:v>
                </c:pt>
                <c:pt idx="271">
                  <c:v>340.411663967604</c:v>
                </c:pt>
                <c:pt idx="272">
                  <c:v>341.76397400449565</c:v>
                </c:pt>
                <c:pt idx="273">
                  <c:v>342.33155529432355</c:v>
                </c:pt>
                <c:pt idx="274">
                  <c:v>341.72878905887188</c:v>
                </c:pt>
                <c:pt idx="275">
                  <c:v>340.2183063272409</c:v>
                </c:pt>
                <c:pt idx="276">
                  <c:v>338.21391231368233</c:v>
                </c:pt>
                <c:pt idx="277">
                  <c:v>336.53467904015605</c:v>
                </c:pt>
                <c:pt idx="278">
                  <c:v>336.5044606773759</c:v>
                </c:pt>
                <c:pt idx="279">
                  <c:v>337.89917152323454</c:v>
                </c:pt>
                <c:pt idx="280">
                  <c:v>339.18047698383543</c:v>
                </c:pt>
                <c:pt idx="281">
                  <c:v>340.25027700771614</c:v>
                </c:pt>
                <c:pt idx="282">
                  <c:v>341.001081300382</c:v>
                </c:pt>
                <c:pt idx="283">
                  <c:v>341.78663173435848</c:v>
                </c:pt>
                <c:pt idx="284">
                  <c:v>343.14116058189285</c:v>
                </c:pt>
                <c:pt idx="285">
                  <c:v>343.71088910782663</c:v>
                </c:pt>
                <c:pt idx="286">
                  <c:v>343.11034168301768</c:v>
                </c:pt>
                <c:pt idx="287">
                  <c:v>341.60200618749252</c:v>
                </c:pt>
                <c:pt idx="288">
                  <c:v>339.59983098457673</c:v>
                </c:pt>
                <c:pt idx="289">
                  <c:v>337.92281652169316</c:v>
                </c:pt>
                <c:pt idx="290">
                  <c:v>337.8947453950189</c:v>
                </c:pt>
                <c:pt idx="291">
                  <c:v>339.29167505152026</c:v>
                </c:pt>
                <c:pt idx="292">
                  <c:v>340.57512774822703</c:v>
                </c:pt>
                <c:pt idx="293">
                  <c:v>341.64714658275045</c:v>
                </c:pt>
                <c:pt idx="294">
                  <c:v>342.40016968605903</c:v>
                </c:pt>
                <c:pt idx="295">
                  <c:v>343.18772420706767</c:v>
                </c:pt>
                <c:pt idx="296">
                  <c:v>344.54447186524476</c:v>
                </c:pt>
                <c:pt idx="297">
                  <c:v>345.11634762728443</c:v>
                </c:pt>
                <c:pt idx="298">
                  <c:v>344.51801901311819</c:v>
                </c:pt>
                <c:pt idx="299">
                  <c:v>343.01183075369892</c:v>
                </c:pt>
                <c:pt idx="300">
                  <c:v>341.01187436142584</c:v>
                </c:pt>
                <c:pt idx="301">
                  <c:v>339.33707870918499</c:v>
                </c:pt>
                <c:pt idx="302">
                  <c:v>339.31115481861661</c:v>
                </c:pt>
                <c:pt idx="303">
                  <c:v>340.71030328576069</c:v>
                </c:pt>
                <c:pt idx="304">
                  <c:v>341.99590321857335</c:v>
                </c:pt>
                <c:pt idx="305">
                  <c:v>343.07014086373943</c:v>
                </c:pt>
                <c:pt idx="306">
                  <c:v>343.82538277769078</c:v>
                </c:pt>
                <c:pt idx="307">
                  <c:v>344.61888745509839</c:v>
                </c:pt>
                <c:pt idx="308">
                  <c:v>345.97786000285151</c:v>
                </c:pt>
                <c:pt idx="309">
                  <c:v>346.55188888383572</c:v>
                </c:pt>
                <c:pt idx="310">
                  <c:v>345.95578515924547</c:v>
                </c:pt>
                <c:pt idx="311">
                  <c:v>344.45175001877067</c:v>
                </c:pt>
                <c:pt idx="312">
                  <c:v>342.45401851607363</c:v>
                </c:pt>
                <c:pt idx="313">
                  <c:v>340.78144775340877</c:v>
                </c:pt>
                <c:pt idx="314">
                  <c:v>340.75767698178493</c:v>
                </c:pt>
                <c:pt idx="315">
                  <c:v>342.15905033850498</c:v>
                </c:pt>
                <c:pt idx="316">
                  <c:v>343.44680339026212</c:v>
                </c:pt>
                <c:pt idx="317">
                  <c:v>344.52326592500424</c:v>
                </c:pt>
                <c:pt idx="318">
                  <c:v>345.28073272853163</c:v>
                </c:pt>
                <c:pt idx="319">
                  <c:v>346.0723009142539</c:v>
                </c:pt>
                <c:pt idx="320">
                  <c:v>347.43349227264969</c:v>
                </c:pt>
                <c:pt idx="321">
                  <c:v>348.00966838973977</c:v>
                </c:pt>
                <c:pt idx="322">
                  <c:v>347.4157834757923</c:v>
                </c:pt>
                <c:pt idx="323">
                  <c:v>345.91389557142338</c:v>
                </c:pt>
                <c:pt idx="324">
                  <c:v>343.91838287936906</c:v>
                </c:pt>
                <c:pt idx="325">
                  <c:v>342.24803092734692</c:v>
                </c:pt>
                <c:pt idx="326">
                  <c:v>342.2264073918289</c:v>
                </c:pt>
                <c:pt idx="327">
                  <c:v>343.62999955919173</c:v>
                </c:pt>
                <c:pt idx="328">
                  <c:v>344.91989984705469</c:v>
                </c:pt>
                <c:pt idx="329">
                  <c:v>345.99858119243959</c:v>
                </c:pt>
                <c:pt idx="330">
                  <c:v>346.75826680660964</c:v>
                </c:pt>
                <c:pt idx="331">
                  <c:v>347.55183907936407</c:v>
                </c:pt>
                <c:pt idx="332">
                  <c:v>348.91524924840263</c:v>
                </c:pt>
                <c:pt idx="333">
                  <c:v>349.49357260159854</c:v>
                </c:pt>
                <c:pt idx="334">
                  <c:v>348.90190649829378</c:v>
                </c:pt>
                <c:pt idx="335">
                  <c:v>347.40216583003075</c:v>
                </c:pt>
                <c:pt idx="336">
                  <c:v>345.40887194861915</c:v>
                </c:pt>
                <c:pt idx="337">
                  <c:v>343.74073880723978</c:v>
                </c:pt>
                <c:pt idx="338">
                  <c:v>343.72126250782759</c:v>
                </c:pt>
                <c:pt idx="339">
                  <c:v>345.12707348583314</c:v>
                </c:pt>
                <c:pt idx="340">
                  <c:v>346.41912100980204</c:v>
                </c:pt>
                <c:pt idx="341">
                  <c:v>347.50002116582959</c:v>
                </c:pt>
                <c:pt idx="342">
                  <c:v>348.26192559064242</c:v>
                </c:pt>
                <c:pt idx="343">
                  <c:v>349.05750195042896</c:v>
                </c:pt>
                <c:pt idx="344">
                  <c:v>350.42313093011029</c:v>
                </c:pt>
                <c:pt idx="345">
                  <c:v>351.00360151941203</c:v>
                </c:pt>
                <c:pt idx="346">
                  <c:v>350.41415422675004</c:v>
                </c:pt>
                <c:pt idx="347">
                  <c:v>348.91656079459284</c:v>
                </c:pt>
                <c:pt idx="348">
                  <c:v>346.92548572382401</c:v>
                </c:pt>
                <c:pt idx="349">
                  <c:v>345.2595713930873</c:v>
                </c:pt>
                <c:pt idx="350">
                  <c:v>345.24224232978105</c:v>
                </c:pt>
                <c:pt idx="351">
                  <c:v>346.65027211842931</c:v>
                </c:pt>
                <c:pt idx="352">
                  <c:v>347.94446687850404</c:v>
                </c:pt>
                <c:pt idx="353">
                  <c:v>349.02758584517437</c:v>
                </c:pt>
                <c:pt idx="354">
                  <c:v>349.79170908062991</c:v>
                </c:pt>
                <c:pt idx="355">
                  <c:v>350.59352209105754</c:v>
                </c:pt>
                <c:pt idx="356">
                  <c:v>351.96137596031485</c:v>
                </c:pt>
                <c:pt idx="357">
                  <c:v>352.54399966856113</c:v>
                </c:pt>
                <c:pt idx="358">
                  <c:v>351.95677726547513</c:v>
                </c:pt>
                <c:pt idx="359">
                  <c:v>350.46133695226246</c:v>
                </c:pt>
                <c:pt idx="360">
                  <c:v>348.47248677106955</c:v>
                </c:pt>
                <c:pt idx="361">
                  <c:v>346.80879732990894</c:v>
                </c:pt>
                <c:pt idx="362">
                  <c:v>346.79362138554717</c:v>
                </c:pt>
                <c:pt idx="363">
                  <c:v>348.20387606377142</c:v>
                </c:pt>
                <c:pt idx="364">
                  <c:v>349.50022394279068</c:v>
                </c:pt>
                <c:pt idx="365">
                  <c:v>350.58556779903699</c:v>
                </c:pt>
                <c:pt idx="366">
                  <c:v>351.35191592406852</c:v>
                </c:pt>
                <c:pt idx="367">
                  <c:v>352.15150594856874</c:v>
                </c:pt>
                <c:pt idx="368">
                  <c:v>353.52157862846877</c:v>
                </c:pt>
                <c:pt idx="369">
                  <c:v>354.10634957282093</c:v>
                </c:pt>
                <c:pt idx="370">
                  <c:v>353.52134598037765</c:v>
                </c:pt>
                <c:pt idx="371">
                  <c:v>352.02805290327086</c:v>
                </c:pt>
                <c:pt idx="372">
                  <c:v>350.04142153272068</c:v>
                </c:pt>
                <c:pt idx="373">
                  <c:v>348.37995090220278</c:v>
                </c:pt>
                <c:pt idx="374">
                  <c:v>348.36692219394689</c:v>
                </c:pt>
                <c:pt idx="375">
                  <c:v>349.77939568281386</c:v>
                </c:pt>
                <c:pt idx="376">
                  <c:v>351.07789079793901</c:v>
                </c:pt>
                <c:pt idx="377">
                  <c:v>352.16545346482803</c:v>
                </c:pt>
                <c:pt idx="378">
                  <c:v>352.93402040050233</c:v>
                </c:pt>
                <c:pt idx="379">
                  <c:v>353.73561451203472</c:v>
                </c:pt>
                <c:pt idx="380">
                  <c:v>355.10790600257747</c:v>
                </c:pt>
                <c:pt idx="381">
                  <c:v>355.69482418303545</c:v>
                </c:pt>
                <c:pt idx="382">
                  <c:v>355.11203940123494</c:v>
                </c:pt>
                <c:pt idx="383">
                  <c:v>353.62089356023398</c:v>
                </c:pt>
                <c:pt idx="384">
                  <c:v>351.63648100032657</c:v>
                </c:pt>
                <c:pt idx="385">
                  <c:v>349.97722918045139</c:v>
                </c:pt>
                <c:pt idx="386">
                  <c:v>349.96634770830133</c:v>
                </c:pt>
                <c:pt idx="387">
                  <c:v>351.38104000781101</c:v>
                </c:pt>
                <c:pt idx="388">
                  <c:v>352.68168235904204</c:v>
                </c:pt>
                <c:pt idx="389">
                  <c:v>353.77146383657379</c:v>
                </c:pt>
                <c:pt idx="390">
                  <c:v>354.5422495828908</c:v>
                </c:pt>
                <c:pt idx="391">
                  <c:v>355.34584778145535</c:v>
                </c:pt>
                <c:pt idx="392">
                  <c:v>356.72035808264081</c:v>
                </c:pt>
                <c:pt idx="393">
                  <c:v>357.30942349920468</c:v>
                </c:pt>
                <c:pt idx="394">
                  <c:v>356.72885752804689</c:v>
                </c:pt>
                <c:pt idx="395">
                  <c:v>355.23985892315181</c:v>
                </c:pt>
                <c:pt idx="396">
                  <c:v>353.25766517388712</c:v>
                </c:pt>
                <c:pt idx="397">
                  <c:v>351.60063216465466</c:v>
                </c:pt>
                <c:pt idx="398">
                  <c:v>351.59189792861048</c:v>
                </c:pt>
                <c:pt idx="399">
                  <c:v>353.00880903876293</c:v>
                </c:pt>
                <c:pt idx="400">
                  <c:v>354.31159862609979</c:v>
                </c:pt>
                <c:pt idx="401">
                  <c:v>355.40359891427431</c:v>
                </c:pt>
                <c:pt idx="402">
                  <c:v>356.17660347123405</c:v>
                </c:pt>
                <c:pt idx="403">
                  <c:v>356.98672481468174</c:v>
                </c:pt>
                <c:pt idx="404">
                  <c:v>358.36346000544319</c:v>
                </c:pt>
                <c:pt idx="405">
                  <c:v>358.95467854095159</c:v>
                </c:pt>
                <c:pt idx="406">
                  <c:v>358.37633745936978</c:v>
                </c:pt>
                <c:pt idx="407">
                  <c:v>356.88949197341924</c:v>
                </c:pt>
                <c:pt idx="408">
                  <c:v>354.90952311373053</c:v>
                </c:pt>
                <c:pt idx="409">
                  <c:v>353.25471499407405</c:v>
                </c:pt>
                <c:pt idx="410">
                  <c:v>353.24813387697441</c:v>
                </c:pt>
                <c:pt idx="411">
                  <c:v>354.66726987670285</c:v>
                </c:pt>
                <c:pt idx="412">
                  <c:v>355.97221258298424</c:v>
                </c:pt>
                <c:pt idx="413">
                  <c:v>357.06643776073474</c:v>
                </c:pt>
                <c:pt idx="414">
                  <c:v>357.8416672072704</c:v>
                </c:pt>
                <c:pt idx="415">
                  <c:v>358.64927907054869</c:v>
                </c:pt>
                <c:pt idx="416">
                  <c:v>360.02823307195285</c:v>
                </c:pt>
                <c:pt idx="417">
                  <c:v>360.62159884356714</c:v>
                </c:pt>
                <c:pt idx="418">
                  <c:v>360.04547657262805</c:v>
                </c:pt>
                <c:pt idx="419">
                  <c:v>358.56077832278334</c:v>
                </c:pt>
                <c:pt idx="420">
                  <c:v>356.5830282737374</c:v>
                </c:pt>
                <c:pt idx="421">
                  <c:v>354.93043896472363</c:v>
                </c:pt>
                <c:pt idx="422">
                  <c:v>354.92600508372988</c:v>
                </c:pt>
                <c:pt idx="423">
                  <c:v>356.34735989410103</c:v>
                </c:pt>
                <c:pt idx="424">
                  <c:v>357.65444983648825</c:v>
                </c:pt>
                <c:pt idx="425">
                  <c:v>358.75089382488153</c:v>
                </c:pt>
                <c:pt idx="426">
                  <c:v>359.52834208205996</c:v>
                </c:pt>
                <c:pt idx="427">
                  <c:v>360.3379580323703</c:v>
                </c:pt>
                <c:pt idx="428">
                  <c:v>361.71913084441724</c:v>
                </c:pt>
                <c:pt idx="429">
                  <c:v>362.31464385213741</c:v>
                </c:pt>
                <c:pt idx="430">
                  <c:v>361.74074039184103</c:v>
                </c:pt>
                <c:pt idx="431">
                  <c:v>360.2581893781022</c:v>
                </c:pt>
                <c:pt idx="432">
                  <c:v>358.28265813969898</c:v>
                </c:pt>
                <c:pt idx="433">
                  <c:v>356.63228764132793</c:v>
                </c:pt>
                <c:pt idx="434">
                  <c:v>356.63000099644006</c:v>
                </c:pt>
                <c:pt idx="435">
                  <c:v>358.05357461745393</c:v>
                </c:pt>
                <c:pt idx="436">
                  <c:v>359.36281179594704</c:v>
                </c:pt>
                <c:pt idx="437">
                  <c:v>360.46147459498303</c:v>
                </c:pt>
                <c:pt idx="438">
                  <c:v>361.24114166280418</c:v>
                </c:pt>
                <c:pt idx="439">
                  <c:v>362.05276170014673</c:v>
                </c:pt>
                <c:pt idx="440">
                  <c:v>363.43615332283639</c:v>
                </c:pt>
                <c:pt idx="441">
                  <c:v>364.03381356666239</c:v>
                </c:pt>
                <c:pt idx="442">
                  <c:v>363.46212891700873</c:v>
                </c:pt>
                <c:pt idx="443">
                  <c:v>361.98172513937578</c:v>
                </c:pt>
                <c:pt idx="444">
                  <c:v>360.00841271161528</c:v>
                </c:pt>
                <c:pt idx="445">
                  <c:v>358.36026102388701</c:v>
                </c:pt>
                <c:pt idx="446">
                  <c:v>358.36012161510496</c:v>
                </c:pt>
                <c:pt idx="447">
                  <c:v>359.7859140467616</c:v>
                </c:pt>
                <c:pt idx="448">
                  <c:v>361.09729846136054</c:v>
                </c:pt>
                <c:pt idx="449">
                  <c:v>362.19818007103925</c:v>
                </c:pt>
                <c:pt idx="450">
                  <c:v>362.98006594950317</c:v>
                </c:pt>
                <c:pt idx="451">
                  <c:v>363.79849562597093</c:v>
                </c:pt>
                <c:pt idx="452">
                  <c:v>365.18411213823657</c:v>
                </c:pt>
                <c:pt idx="453">
                  <c:v>365.7839255010071</c:v>
                </c:pt>
                <c:pt idx="454">
                  <c:v>365.21446574092943</c:v>
                </c:pt>
                <c:pt idx="455">
                  <c:v>363.73621508224096</c:v>
                </c:pt>
                <c:pt idx="456">
                  <c:v>361.7651275440565</c:v>
                </c:pt>
                <c:pt idx="457">
                  <c:v>360.11920074590421</c:v>
                </c:pt>
                <c:pt idx="458">
                  <c:v>360.12121445606664</c:v>
                </c:pt>
                <c:pt idx="459">
                  <c:v>361.54923177729927</c:v>
                </c:pt>
                <c:pt idx="460">
                  <c:v>362.86276931084279</c:v>
                </c:pt>
                <c:pt idx="461">
                  <c:v>363.96587581009749</c:v>
                </c:pt>
                <c:pt idx="462">
                  <c:v>364.74998657813734</c:v>
                </c:pt>
                <c:pt idx="463">
                  <c:v>365.56562028019357</c:v>
                </c:pt>
                <c:pt idx="464">
                  <c:v>366.95345560310199</c:v>
                </c:pt>
                <c:pt idx="465">
                  <c:v>367.55541620197835</c:v>
                </c:pt>
                <c:pt idx="466">
                  <c:v>366.98817525254344</c:v>
                </c:pt>
                <c:pt idx="467">
                  <c:v>365.51207182996086</c:v>
                </c:pt>
                <c:pt idx="468">
                  <c:v>363.54320310241906</c:v>
                </c:pt>
                <c:pt idx="469">
                  <c:v>361.89949511490954</c:v>
                </c:pt>
                <c:pt idx="470">
                  <c:v>361.90365606117786</c:v>
                </c:pt>
                <c:pt idx="471">
                  <c:v>363.3338921930532</c:v>
                </c:pt>
                <c:pt idx="472">
                  <c:v>364.64957696270261</c:v>
                </c:pt>
                <c:pt idx="473">
                  <c:v>365.75490227259996</c:v>
                </c:pt>
                <c:pt idx="474">
                  <c:v>366.54123185128259</c:v>
                </c:pt>
                <c:pt idx="475">
                  <c:v>367.35886964037098</c:v>
                </c:pt>
                <c:pt idx="476">
                  <c:v>368.74892377392212</c:v>
                </c:pt>
                <c:pt idx="477">
                  <c:v>369.35303160890436</c:v>
                </c:pt>
                <c:pt idx="478">
                  <c:v>368.78800947011212</c:v>
                </c:pt>
                <c:pt idx="479">
                  <c:v>367.31405328363542</c:v>
                </c:pt>
                <c:pt idx="480">
                  <c:v>365.34740336673639</c:v>
                </c:pt>
                <c:pt idx="481">
                  <c:v>363.70591418986959</c:v>
                </c:pt>
                <c:pt idx="482">
                  <c:v>363.71222237224373</c:v>
                </c:pt>
                <c:pt idx="483">
                  <c:v>365.14467731476185</c:v>
                </c:pt>
                <c:pt idx="484">
                  <c:v>366.46250932051709</c:v>
                </c:pt>
                <c:pt idx="485">
                  <c:v>367.57005344105721</c:v>
                </c:pt>
                <c:pt idx="486">
                  <c:v>368.35860183038255</c:v>
                </c:pt>
                <c:pt idx="487">
                  <c:v>369.17824370650311</c:v>
                </c:pt>
                <c:pt idx="488">
                  <c:v>370.57051665069696</c:v>
                </c:pt>
                <c:pt idx="489">
                  <c:v>371.17677172178503</c:v>
                </c:pt>
                <c:pt idx="490">
                  <c:v>370.61396839363562</c:v>
                </c:pt>
                <c:pt idx="491">
                  <c:v>369.14215944326475</c:v>
                </c:pt>
                <c:pt idx="492">
                  <c:v>367.17772833700843</c:v>
                </c:pt>
                <c:pt idx="493">
                  <c:v>365.53845797078435</c:v>
                </c:pt>
                <c:pt idx="494">
                  <c:v>365.54691338926443</c:v>
                </c:pt>
                <c:pt idx="495">
                  <c:v>366.98158714242521</c:v>
                </c:pt>
                <c:pt idx="496">
                  <c:v>368.30156638428633</c:v>
                </c:pt>
                <c:pt idx="497">
                  <c:v>369.41132931546917</c:v>
                </c:pt>
                <c:pt idx="498">
                  <c:v>370.20209651543729</c:v>
                </c:pt>
                <c:pt idx="499">
                  <c:v>371.02883452492506</c:v>
                </c:pt>
                <c:pt idx="500">
                  <c:v>372.42333235869489</c:v>
                </c:pt>
                <c:pt idx="501">
                  <c:v>373.03174054872756</c:v>
                </c:pt>
                <c:pt idx="502">
                  <c:v>372.47116211015407</c:v>
                </c:pt>
                <c:pt idx="503">
                  <c:v>371.00150627872779</c:v>
                </c:pt>
                <c:pt idx="504">
                  <c:v>369.03930006204746</c:v>
                </c:pt>
                <c:pt idx="505">
                  <c:v>367.40225458539936</c:v>
                </c:pt>
                <c:pt idx="506">
                  <c:v>367.41286312282392</c:v>
                </c:pt>
                <c:pt idx="507">
                  <c:v>368.84976176556074</c:v>
                </c:pt>
                <c:pt idx="508">
                  <c:v>370.17189412636634</c:v>
                </c:pt>
                <c:pt idx="509">
                  <c:v>371.28388194712522</c:v>
                </c:pt>
                <c:pt idx="510">
                  <c:v>372.07687403666927</c:v>
                </c:pt>
                <c:pt idx="511">
                  <c:v>372.90052957750345</c:v>
                </c:pt>
                <c:pt idx="512">
                  <c:v>374.29724622191605</c:v>
                </c:pt>
                <c:pt idx="513">
                  <c:v>374.90780164805454</c:v>
                </c:pt>
                <c:pt idx="514">
                  <c:v>374.34944202012383</c:v>
                </c:pt>
                <c:pt idx="515">
                  <c:v>372.88193342480338</c:v>
                </c:pt>
                <c:pt idx="516">
                  <c:v>370.92194601876577</c:v>
                </c:pt>
                <c:pt idx="517">
                  <c:v>369.28711935276044</c:v>
                </c:pt>
                <c:pt idx="518">
                  <c:v>369.29987512629083</c:v>
                </c:pt>
                <c:pt idx="519">
                  <c:v>370.73899257967042</c:v>
                </c:pt>
                <c:pt idx="520">
                  <c:v>372.06327217658185</c:v>
                </c:pt>
                <c:pt idx="521">
                  <c:v>373.17747880798345</c:v>
                </c:pt>
                <c:pt idx="522">
                  <c:v>373.97268970817026</c:v>
                </c:pt>
                <c:pt idx="523">
                  <c:v>374.79834933603661</c:v>
                </c:pt>
                <c:pt idx="524">
                  <c:v>376.19728479109187</c:v>
                </c:pt>
                <c:pt idx="525">
                  <c:v>376.8099874533363</c:v>
                </c:pt>
                <c:pt idx="526">
                  <c:v>376.25384663604825</c:v>
                </c:pt>
                <c:pt idx="527">
                  <c:v>374.78848527683368</c:v>
                </c:pt>
                <c:pt idx="528">
                  <c:v>372.83071668143884</c:v>
                </c:pt>
                <c:pt idx="529">
                  <c:v>371.19810882607618</c:v>
                </c:pt>
                <c:pt idx="530">
                  <c:v>371.21301183571251</c:v>
                </c:pt>
                <c:pt idx="531">
                  <c:v>372.65434809973476</c:v>
                </c:pt>
                <c:pt idx="532">
                  <c:v>373.98077493275213</c:v>
                </c:pt>
                <c:pt idx="533">
                  <c:v>375.09720037479644</c:v>
                </c:pt>
                <c:pt idx="534">
                  <c:v>375.89463008562598</c:v>
                </c:pt>
                <c:pt idx="535">
                  <c:v>376.72229380052448</c:v>
                </c:pt>
                <c:pt idx="536">
                  <c:v>378.12344806622252</c:v>
                </c:pt>
                <c:pt idx="537">
                  <c:v>378.73829796457272</c:v>
                </c:pt>
                <c:pt idx="538">
                  <c:v>378.18437595792744</c:v>
                </c:pt>
                <c:pt idx="539">
                  <c:v>376.72116183481876</c:v>
                </c:pt>
                <c:pt idx="540">
                  <c:v>374.76561205006658</c:v>
                </c:pt>
                <c:pt idx="541">
                  <c:v>373.13522300534669</c:v>
                </c:pt>
                <c:pt idx="542">
                  <c:v>373.15227325108884</c:v>
                </c:pt>
                <c:pt idx="543">
                  <c:v>374.59582832575387</c:v>
                </c:pt>
                <c:pt idx="544">
                  <c:v>375.92440239487706</c:v>
                </c:pt>
                <c:pt idx="545">
                  <c:v>377.04304664756415</c:v>
                </c:pt>
                <c:pt idx="546">
                  <c:v>377.8426951690364</c:v>
                </c:pt>
                <c:pt idx="547">
                  <c:v>378.67774151154424</c:v>
                </c:pt>
                <c:pt idx="548">
                  <c:v>380.08112066681826</c:v>
                </c:pt>
                <c:pt idx="549">
                  <c:v>380.698123684113</c:v>
                </c:pt>
                <c:pt idx="550">
                  <c:v>380.14642656704376</c:v>
                </c:pt>
                <c:pt idx="551">
                  <c:v>378.68536556287955</c:v>
                </c:pt>
                <c:pt idx="552">
                  <c:v>376.73204066770342</c:v>
                </c:pt>
                <c:pt idx="553">
                  <c:v>375.10387651255951</c:v>
                </c:pt>
                <c:pt idx="554">
                  <c:v>375.1230798772462</c:v>
                </c:pt>
                <c:pt idx="555">
                  <c:v>376.56885984148715</c:v>
                </c:pt>
                <c:pt idx="556">
                  <c:v>377.89958702955494</c:v>
                </c:pt>
                <c:pt idx="557">
                  <c:v>379.02045617181795</c:v>
                </c:pt>
                <c:pt idx="558">
                  <c:v>379.82232958286625</c:v>
                </c:pt>
                <c:pt idx="559">
                  <c:v>380.65400696247838</c:v>
                </c:pt>
                <c:pt idx="560">
                  <c:v>382.05960492839517</c:v>
                </c:pt>
                <c:pt idx="561">
                  <c:v>382.67875518179579</c:v>
                </c:pt>
                <c:pt idx="562">
                  <c:v>382.12927687536921</c:v>
                </c:pt>
                <c:pt idx="563">
                  <c:v>380.67036310731089</c:v>
                </c:pt>
                <c:pt idx="564">
                  <c:v>378.71925702277747</c:v>
                </c:pt>
                <c:pt idx="565">
                  <c:v>377.09331167827634</c:v>
                </c:pt>
                <c:pt idx="566">
                  <c:v>377.11466227906885</c:v>
                </c:pt>
                <c:pt idx="567">
                  <c:v>378.56266105395258</c:v>
                </c:pt>
                <c:pt idx="568">
                  <c:v>379.89553547812619</c:v>
                </c:pt>
                <c:pt idx="569">
                  <c:v>381.01862343103198</c:v>
                </c:pt>
                <c:pt idx="570">
                  <c:v>381.82271565272293</c:v>
                </c:pt>
                <c:pt idx="571">
                  <c:v>382.65639711936723</c:v>
                </c:pt>
                <c:pt idx="572">
                  <c:v>384.06421389592674</c:v>
                </c:pt>
                <c:pt idx="573">
                  <c:v>384.68551138543324</c:v>
                </c:pt>
                <c:pt idx="574">
                  <c:v>384.13825188964944</c:v>
                </c:pt>
                <c:pt idx="575">
                  <c:v>382.68148535769694</c:v>
                </c:pt>
                <c:pt idx="576">
                  <c:v>380.73259808380629</c:v>
                </c:pt>
                <c:pt idx="577">
                  <c:v>379.10887154994782</c:v>
                </c:pt>
                <c:pt idx="578">
                  <c:v>379.13236938684622</c:v>
                </c:pt>
                <c:pt idx="579">
                  <c:v>380.58258697237267</c:v>
                </c:pt>
                <c:pt idx="580">
                  <c:v>381.91760863265216</c:v>
                </c:pt>
                <c:pt idx="581">
                  <c:v>383.04291539620067</c:v>
                </c:pt>
                <c:pt idx="582">
                  <c:v>383.84922642853439</c:v>
                </c:pt>
                <c:pt idx="583">
                  <c:v>384.68491198221085</c:v>
                </c:pt>
                <c:pt idx="584">
                  <c:v>386.09494756941308</c:v>
                </c:pt>
                <c:pt idx="585">
                  <c:v>386.71839229502541</c:v>
                </c:pt>
                <c:pt idx="586">
                  <c:v>386.17335160988432</c:v>
                </c:pt>
                <c:pt idx="587">
                  <c:v>384.71873231403771</c:v>
                </c:pt>
                <c:pt idx="588">
                  <c:v>382.77206385078978</c:v>
                </c:pt>
                <c:pt idx="589">
                  <c:v>381.15055612757402</c:v>
                </c:pt>
                <c:pt idx="590">
                  <c:v>381.1762012005783</c:v>
                </c:pt>
                <c:pt idx="591">
                  <c:v>382.62863759674752</c:v>
                </c:pt>
                <c:pt idx="592">
                  <c:v>383.96580649313285</c:v>
                </c:pt>
                <c:pt idx="593">
                  <c:v>385.09333206732413</c:v>
                </c:pt>
                <c:pt idx="594">
                  <c:v>385.90186191030051</c:v>
                </c:pt>
                <c:pt idx="595">
                  <c:v>386.74521658582842</c:v>
                </c:pt>
                <c:pt idx="596">
                  <c:v>388.15747706260669</c:v>
                </c:pt>
                <c:pt idx="597">
                  <c:v>388.78307490716355</c:v>
                </c:pt>
                <c:pt idx="598">
                  <c:v>388.24025911159845</c:v>
                </c:pt>
                <c:pt idx="599">
                  <c:v>386.78779293469631</c:v>
                </c:pt>
                <c:pt idx="600">
                  <c:v>384.84334936102437</c:v>
                </c:pt>
                <c:pt idx="601">
                  <c:v>383.22406652738465</c:v>
                </c:pt>
                <c:pt idx="602">
                  <c:v>383.25186471933347</c:v>
                </c:pt>
                <c:pt idx="603">
                  <c:v>384.70652600507867</c:v>
                </c:pt>
                <c:pt idx="604">
                  <c:v>386.04584802040847</c:v>
                </c:pt>
                <c:pt idx="605">
                  <c:v>387.17559848417574</c:v>
                </c:pt>
                <c:pt idx="606">
                  <c:v>387.98635321672816</c:v>
                </c:pt>
                <c:pt idx="607">
                  <c:v>388.8260524351183</c:v>
                </c:pt>
                <c:pt idx="608">
                  <c:v>390.24053172253929</c:v>
                </c:pt>
                <c:pt idx="609">
                  <c:v>390.86827680320198</c:v>
                </c:pt>
                <c:pt idx="610">
                  <c:v>390.32767981827965</c:v>
                </c:pt>
                <c:pt idx="611">
                  <c:v>388.8773608774834</c:v>
                </c:pt>
                <c:pt idx="612">
                  <c:v>386.93513611445417</c:v>
                </c:pt>
                <c:pt idx="613">
                  <c:v>385.31807209145717</c:v>
                </c:pt>
                <c:pt idx="614">
                  <c:v>385.34801751951187</c:v>
                </c:pt>
                <c:pt idx="615">
                  <c:v>386.80489761589973</c:v>
                </c:pt>
                <c:pt idx="616">
                  <c:v>388.14636686733547</c:v>
                </c:pt>
                <c:pt idx="617">
                  <c:v>389.27833614174546</c:v>
                </c:pt>
                <c:pt idx="618">
                  <c:v>390.09130968494065</c:v>
                </c:pt>
                <c:pt idx="619">
                  <c:v>390.9330129903629</c:v>
                </c:pt>
                <c:pt idx="620">
                  <c:v>392.3497110884266</c:v>
                </c:pt>
                <c:pt idx="621">
                  <c:v>392.97960340519518</c:v>
                </c:pt>
                <c:pt idx="622">
                  <c:v>392.44122523091556</c:v>
                </c:pt>
                <c:pt idx="623">
                  <c:v>390.9930535262252</c:v>
                </c:pt>
                <c:pt idx="624">
                  <c:v>389.05304757383868</c:v>
                </c:pt>
                <c:pt idx="625">
                  <c:v>387.43820236148446</c:v>
                </c:pt>
                <c:pt idx="626">
                  <c:v>387.47029502564493</c:v>
                </c:pt>
                <c:pt idx="627">
                  <c:v>388.92939393267562</c:v>
                </c:pt>
                <c:pt idx="628">
                  <c:v>390.27301042021719</c:v>
                </c:pt>
                <c:pt idx="629">
                  <c:v>391.40719850526989</c:v>
                </c:pt>
                <c:pt idx="630">
                  <c:v>392.2223908591078</c:v>
                </c:pt>
                <c:pt idx="631">
                  <c:v>393.06609825156221</c:v>
                </c:pt>
                <c:pt idx="632">
                  <c:v>394.48501516026863</c:v>
                </c:pt>
                <c:pt idx="633">
                  <c:v>395.11705471314309</c:v>
                </c:pt>
                <c:pt idx="634">
                  <c:v>394.58089534950619</c:v>
                </c:pt>
                <c:pt idx="635">
                  <c:v>393.13487088092171</c:v>
                </c:pt>
                <c:pt idx="636">
                  <c:v>391.19708373917791</c:v>
                </c:pt>
                <c:pt idx="637">
                  <c:v>389.5844573374664</c:v>
                </c:pt>
                <c:pt idx="638">
                  <c:v>389.61869723773282</c:v>
                </c:pt>
                <c:pt idx="639">
                  <c:v>391.08001495540617</c:v>
                </c:pt>
                <c:pt idx="640">
                  <c:v>392.42577867905362</c:v>
                </c:pt>
                <c:pt idx="641">
                  <c:v>393.56218557474904</c:v>
                </c:pt>
                <c:pt idx="642">
                  <c:v>394.37959673922967</c:v>
                </c:pt>
                <c:pt idx="643">
                  <c:v>395.23125974777764</c:v>
                </c:pt>
                <c:pt idx="644">
                  <c:v>396.65240154606005</c:v>
                </c:pt>
                <c:pt idx="645">
                  <c:v>397.28659421787904</c:v>
                </c:pt>
                <c:pt idx="646">
                  <c:v>396.75265974381807</c:v>
                </c:pt>
                <c:pt idx="647">
                  <c:v>395.30878839417812</c:v>
                </c:pt>
                <c:pt idx="648">
                  <c:v>393.37322614201037</c:v>
                </c:pt>
                <c:pt idx="649">
                  <c:v>391.76282462987479</c:v>
                </c:pt>
                <c:pt idx="650">
                  <c:v>391.79921764908573</c:v>
                </c:pt>
                <c:pt idx="651">
                  <c:v>393.26276025633513</c:v>
                </c:pt>
                <c:pt idx="652">
                  <c:v>394.61067709892706</c:v>
                </c:pt>
                <c:pt idx="653">
                  <c:v>395.74930888419851</c:v>
                </c:pt>
                <c:pt idx="654">
                  <c:v>396.56894493825513</c:v>
                </c:pt>
                <c:pt idx="655">
                  <c:v>397.41666599542322</c:v>
                </c:pt>
                <c:pt idx="656">
                  <c:v>398.8400266043484</c:v>
                </c:pt>
                <c:pt idx="657">
                  <c:v>399.47636651227322</c:v>
                </c:pt>
                <c:pt idx="658">
                  <c:v>398.94465084885508</c:v>
                </c:pt>
                <c:pt idx="659">
                  <c:v>397.50292673532095</c:v>
                </c:pt>
                <c:pt idx="660">
                  <c:v>395.56958329379586</c:v>
                </c:pt>
                <c:pt idx="661">
                  <c:v>393.96140059230311</c:v>
                </c:pt>
                <c:pt idx="662">
                  <c:v>393.99994084761988</c:v>
                </c:pt>
                <c:pt idx="663">
                  <c:v>395.46570226551199</c:v>
                </c:pt>
                <c:pt idx="664">
                  <c:v>396.81576634420981</c:v>
                </c:pt>
                <c:pt idx="665">
                  <c:v>397.95661694012398</c:v>
                </c:pt>
                <c:pt idx="666">
                  <c:v>398.77847180482331</c:v>
                </c:pt>
                <c:pt idx="667">
                  <c:v>399.62819694902356</c:v>
                </c:pt>
                <c:pt idx="668">
                  <c:v>401.05377636859146</c:v>
                </c:pt>
                <c:pt idx="669">
                  <c:v>401.69226351262216</c:v>
                </c:pt>
                <c:pt idx="670">
                  <c:v>401.16276665984668</c:v>
                </c:pt>
                <c:pt idx="671">
                  <c:v>399.72318978241844</c:v>
                </c:pt>
                <c:pt idx="672">
                  <c:v>397.79206515153618</c:v>
                </c:pt>
                <c:pt idx="673">
                  <c:v>396.18610126068609</c:v>
                </c:pt>
                <c:pt idx="674">
                  <c:v>396.22678875210869</c:v>
                </c:pt>
                <c:pt idx="675">
                  <c:v>397.69476898064357</c:v>
                </c:pt>
                <c:pt idx="676">
                  <c:v>399.04698029544721</c:v>
                </c:pt>
                <c:pt idx="677">
                  <c:v>400.1900497020041</c:v>
                </c:pt>
                <c:pt idx="678">
                  <c:v>401.01412337734627</c:v>
                </c:pt>
                <c:pt idx="679">
                  <c:v>401.86585260857862</c:v>
                </c:pt>
                <c:pt idx="680">
                  <c:v>403.29365083878918</c:v>
                </c:pt>
                <c:pt idx="681">
                  <c:v>403.93428521892582</c:v>
                </c:pt>
                <c:pt idx="682">
                  <c:v>403.40700717679306</c:v>
                </c:pt>
                <c:pt idx="683">
                  <c:v>401.96957753547071</c:v>
                </c:pt>
                <c:pt idx="684">
                  <c:v>400.0406717152311</c:v>
                </c:pt>
                <c:pt idx="685">
                  <c:v>398.43692663502378</c:v>
                </c:pt>
                <c:pt idx="686">
                  <c:v>398.47976136255232</c:v>
                </c:pt>
                <c:pt idx="687">
                  <c:v>399.94996040172987</c:v>
                </c:pt>
                <c:pt idx="688">
                  <c:v>401.30431895263945</c:v>
                </c:pt>
                <c:pt idx="689">
                  <c:v>402.449607169839</c:v>
                </c:pt>
                <c:pt idx="690">
                  <c:v>403.27589965582382</c:v>
                </c:pt>
                <c:pt idx="691">
                  <c:v>404.13587099739181</c:v>
                </c:pt>
                <c:pt idx="692">
                  <c:v>405.56589411717846</c:v>
                </c:pt>
                <c:pt idx="693">
                  <c:v>406.20868161625947</c:v>
                </c:pt>
                <c:pt idx="694">
                  <c:v>405.6836284637028</c:v>
                </c:pt>
                <c:pt idx="695">
                  <c:v>404.24835194132493</c:v>
                </c:pt>
                <c:pt idx="696">
                  <c:v>402.3216710106613</c:v>
                </c:pt>
                <c:pt idx="697">
                  <c:v>400.72015082002997</c:v>
                </c:pt>
                <c:pt idx="698">
                  <c:v>400.76513866650305</c:v>
                </c:pt>
                <c:pt idx="699">
                  <c:v>402.23756259525658</c:v>
                </c:pt>
                <c:pt idx="700">
                  <c:v>403.59407426511069</c:v>
                </c:pt>
                <c:pt idx="701">
                  <c:v>404.74158737188628</c:v>
                </c:pt>
                <c:pt idx="702">
                  <c:v>405.57010474744709</c:v>
                </c:pt>
                <c:pt idx="703">
                  <c:v>406.42584764339318</c:v>
                </c:pt>
                <c:pt idx="704">
                  <c:v>407.8580895738225</c:v>
                </c:pt>
                <c:pt idx="705">
                  <c:v>408.50302430900945</c:v>
                </c:pt>
                <c:pt idx="706">
                  <c:v>407.9801899670955</c:v>
                </c:pt>
                <c:pt idx="707">
                  <c:v>406.54706068082345</c:v>
                </c:pt>
                <c:pt idx="708">
                  <c:v>404.6225985608026</c:v>
                </c:pt>
                <c:pt idx="709">
                  <c:v>403.02329718081404</c:v>
                </c:pt>
                <c:pt idx="710">
                  <c:v>403.07043226339289</c:v>
                </c:pt>
                <c:pt idx="711">
                  <c:v>404.54507500278919</c:v>
                </c:pt>
                <c:pt idx="712">
                  <c:v>405.90373390874913</c:v>
                </c:pt>
                <c:pt idx="713">
                  <c:v>407.05346582616744</c:v>
                </c:pt>
                <c:pt idx="714">
                  <c:v>407.88420201237102</c:v>
                </c:pt>
                <c:pt idx="715">
                  <c:v>408.74194899534922</c:v>
                </c:pt>
                <c:pt idx="716">
                  <c:v>410.17640973642131</c:v>
                </c:pt>
                <c:pt idx="717">
                  <c:v>410.82349170771414</c:v>
                </c:pt>
                <c:pt idx="718">
                  <c:v>410.30287617644285</c:v>
                </c:pt>
                <c:pt idx="719">
                  <c:v>408.87189412627674</c:v>
                </c:pt>
                <c:pt idx="720">
                  <c:v>406.94965081689861</c:v>
                </c:pt>
                <c:pt idx="721">
                  <c:v>405.35256824755271</c:v>
                </c:pt>
                <c:pt idx="722">
                  <c:v>405.4018505662375</c:v>
                </c:pt>
                <c:pt idx="723">
                  <c:v>406.87871211627646</c:v>
                </c:pt>
                <c:pt idx="724">
                  <c:v>408.23951825834229</c:v>
                </c:pt>
                <c:pt idx="725">
                  <c:v>409.39146898640337</c:v>
                </c:pt>
                <c:pt idx="726">
                  <c:v>410.22442398324966</c:v>
                </c:pt>
                <c:pt idx="727">
                  <c:v>411.08417505326003</c:v>
                </c:pt>
                <c:pt idx="728">
                  <c:v>412.52085460497483</c:v>
                </c:pt>
                <c:pt idx="729">
                  <c:v>413.17008381237349</c:v>
                </c:pt>
                <c:pt idx="730">
                  <c:v>412.65168709174492</c:v>
                </c:pt>
                <c:pt idx="731">
                  <c:v>411.22285227768469</c:v>
                </c:pt>
                <c:pt idx="732">
                  <c:v>409.30282777894928</c:v>
                </c:pt>
                <c:pt idx="733">
                  <c:v>407.7079640202461</c:v>
                </c:pt>
                <c:pt idx="734">
                  <c:v>407.75939357503677</c:v>
                </c:pt>
                <c:pt idx="735">
                  <c:v>409.23847393571856</c:v>
                </c:pt>
                <c:pt idx="736">
                  <c:v>410.60142731389021</c:v>
                </c:pt>
                <c:pt idx="737">
                  <c:v>411.75559685259401</c:v>
                </c:pt>
                <c:pt idx="738">
                  <c:v>412.59077066008302</c:v>
                </c:pt>
                <c:pt idx="739">
                  <c:v>413.45905033467108</c:v>
                </c:pt>
                <c:pt idx="740">
                  <c:v>414.89795477596181</c:v>
                </c:pt>
                <c:pt idx="741">
                  <c:v>415.549337102305</c:v>
                </c:pt>
                <c:pt idx="742">
                  <c:v>415.03316527125247</c:v>
                </c:pt>
                <c:pt idx="743">
                  <c:v>413.60648357613672</c:v>
                </c:pt>
                <c:pt idx="744">
                  <c:v>411.68868396697735</c:v>
                </c:pt>
                <c:pt idx="745">
                  <c:v>410.09604509785021</c:v>
                </c:pt>
                <c:pt idx="746">
                  <c:v>410.14962777158536</c:v>
                </c:pt>
                <c:pt idx="747">
                  <c:v>411.63093302184308</c:v>
                </c:pt>
                <c:pt idx="748">
                  <c:v>412.99603951895926</c:v>
                </c:pt>
                <c:pt idx="749">
                  <c:v>414.15243394723905</c:v>
                </c:pt>
                <c:pt idx="750">
                  <c:v>414.98983264430404</c:v>
                </c:pt>
                <c:pt idx="751">
                  <c:v>415.85359737902809</c:v>
                </c:pt>
                <c:pt idx="752">
                  <c:v>417.29472063096165</c:v>
                </c:pt>
                <c:pt idx="753">
                  <c:v>417.94825019341073</c:v>
                </c:pt>
                <c:pt idx="754">
                  <c:v>417.43429717300091</c:v>
                </c:pt>
                <c:pt idx="755">
                  <c:v>416.00976271399099</c:v>
                </c:pt>
                <c:pt idx="756">
                  <c:v>414.09418191547434</c:v>
                </c:pt>
                <c:pt idx="757">
                  <c:v>412.50376185698985</c:v>
                </c:pt>
                <c:pt idx="758">
                  <c:v>412.55949176683094</c:v>
                </c:pt>
                <c:pt idx="759">
                  <c:v>414.04301582773138</c:v>
                </c:pt>
                <c:pt idx="760">
                  <c:v>415.41026956095345</c:v>
                </c:pt>
                <c:pt idx="761">
                  <c:v>416.56888279987595</c:v>
                </c:pt>
                <c:pt idx="762">
                  <c:v>417.40850030758372</c:v>
                </c:pt>
                <c:pt idx="763">
                  <c:v>418.27426912933993</c:v>
                </c:pt>
                <c:pt idx="764">
                  <c:v>419.71761119191615</c:v>
                </c:pt>
                <c:pt idx="765">
                  <c:v>420.37328799047106</c:v>
                </c:pt>
                <c:pt idx="766">
                  <c:v>419.86155378070401</c:v>
                </c:pt>
                <c:pt idx="767">
                  <c:v>418.43916655780004</c:v>
                </c:pt>
                <c:pt idx="768">
                  <c:v>416.52580456992604</c:v>
                </c:pt>
                <c:pt idx="769">
                  <c:v>414.93760332208433</c:v>
                </c:pt>
                <c:pt idx="770">
                  <c:v>414.99548046803125</c:v>
                </c:pt>
                <c:pt idx="771">
                  <c:v>416.48122333957446</c:v>
                </c:pt>
                <c:pt idx="772">
                  <c:v>417.85062430890235</c:v>
                </c:pt>
                <c:pt idx="773">
                  <c:v>419.01145635846763</c:v>
                </c:pt>
                <c:pt idx="774">
                  <c:v>419.85329267681806</c:v>
                </c:pt>
                <c:pt idx="775">
                  <c:v>420.72106558560642</c:v>
                </c:pt>
                <c:pt idx="776">
                  <c:v>422.16662645882542</c:v>
                </c:pt>
                <c:pt idx="777">
                  <c:v>422.82445049348621</c:v>
                </c:pt>
                <c:pt idx="778">
                  <c:v>422.31493509436183</c:v>
                </c:pt>
                <c:pt idx="779">
                  <c:v>420.89469510756373</c:v>
                </c:pt>
                <c:pt idx="780">
                  <c:v>418.98355193033251</c:v>
                </c:pt>
                <c:pt idx="781">
                  <c:v>417.39756949313352</c:v>
                </c:pt>
                <c:pt idx="782">
                  <c:v>417.45759387518626</c:v>
                </c:pt>
                <c:pt idx="783">
                  <c:v>418.94555555737219</c:v>
                </c:pt>
                <c:pt idx="784">
                  <c:v>420.31710376280597</c:v>
                </c:pt>
                <c:pt idx="785">
                  <c:v>421.48015462301396</c:v>
                </c:pt>
                <c:pt idx="786">
                  <c:v>422.32420975200722</c:v>
                </c:pt>
                <c:pt idx="787">
                  <c:v>423.20079775961523</c:v>
                </c:pt>
                <c:pt idx="788">
                  <c:v>424.64858352241021</c:v>
                </c:pt>
                <c:pt idx="789">
                  <c:v>425.30856067601553</c:v>
                </c:pt>
                <c:pt idx="790">
                  <c:v>424.80127016646719</c:v>
                </c:pt>
                <c:pt idx="791">
                  <c:v>423.38318329861352</c:v>
                </c:pt>
                <c:pt idx="792">
                  <c:v>421.47426501095833</c:v>
                </c:pt>
                <c:pt idx="793">
                  <c:v>419.89050746333538</c:v>
                </c:pt>
                <c:pt idx="794">
                  <c:v>419.9526849643326</c:v>
                </c:pt>
                <c:pt idx="795">
                  <c:v>421.44287153609457</c:v>
                </c:pt>
                <c:pt idx="796">
                  <c:v>422.81657286047289</c:v>
                </c:pt>
                <c:pt idx="797">
                  <c:v>423.9818486102568</c:v>
                </c:pt>
                <c:pt idx="798">
                  <c:v>424.82812862882605</c:v>
                </c:pt>
                <c:pt idx="799">
                  <c:v>425.69991520232804</c:v>
                </c:pt>
                <c:pt idx="800">
                  <c:v>427.1499197757658</c:v>
                </c:pt>
                <c:pt idx="801">
                  <c:v>427.81204416547695</c:v>
                </c:pt>
                <c:pt idx="802">
                  <c:v>427.30697246657132</c:v>
                </c:pt>
                <c:pt idx="803">
                  <c:v>425.89103283482359</c:v>
                </c:pt>
                <c:pt idx="804">
                  <c:v>423.98433335781107</c:v>
                </c:pt>
                <c:pt idx="805">
                  <c:v>422.40279462083083</c:v>
                </c:pt>
                <c:pt idx="806">
                  <c:v>422.46711935793394</c:v>
                </c:pt>
                <c:pt idx="807">
                  <c:v>423.95952474033862</c:v>
                </c:pt>
                <c:pt idx="808">
                  <c:v>425.33537330082277</c:v>
                </c:pt>
                <c:pt idx="809">
                  <c:v>426.50286786124951</c:v>
                </c:pt>
                <c:pt idx="810">
                  <c:v>427.35136669046142</c:v>
                </c:pt>
                <c:pt idx="811">
                  <c:v>428.22515735099563</c:v>
                </c:pt>
                <c:pt idx="812">
                  <c:v>429.67738073507599</c:v>
                </c:pt>
                <c:pt idx="813">
                  <c:v>430.34165236089308</c:v>
                </c:pt>
                <c:pt idx="814">
                  <c:v>429.83879947263017</c:v>
                </c:pt>
                <c:pt idx="815">
                  <c:v>428.42500707698827</c:v>
                </c:pt>
                <c:pt idx="816">
                  <c:v>426.52052641061852</c:v>
                </c:pt>
                <c:pt idx="817">
                  <c:v>424.941206484281</c:v>
                </c:pt>
                <c:pt idx="818">
                  <c:v>425.00767845748999</c:v>
                </c:pt>
                <c:pt idx="819">
                  <c:v>426.50230265053739</c:v>
                </c:pt>
                <c:pt idx="820">
                  <c:v>427.88029844712747</c:v>
                </c:pt>
                <c:pt idx="821">
                  <c:v>429.05001181819688</c:v>
                </c:pt>
                <c:pt idx="822">
                  <c:v>429.90072945805156</c:v>
                </c:pt>
                <c:pt idx="823">
                  <c:v>430.77652420561782</c:v>
                </c:pt>
                <c:pt idx="824">
                  <c:v>432.230966400341</c:v>
                </c:pt>
                <c:pt idx="825">
                  <c:v>432.89738526226392</c:v>
                </c:pt>
                <c:pt idx="826">
                  <c:v>432.39675118464373</c:v>
                </c:pt>
                <c:pt idx="827">
                  <c:v>430.98510602510771</c:v>
                </c:pt>
                <c:pt idx="828">
                  <c:v>429.08284416938068</c:v>
                </c:pt>
                <c:pt idx="829">
                  <c:v>427.50574305368593</c:v>
                </c:pt>
                <c:pt idx="830">
                  <c:v>427.57436226300075</c:v>
                </c:pt>
                <c:pt idx="831">
                  <c:v>429.07120526669092</c:v>
                </c:pt>
                <c:pt idx="832">
                  <c:v>430.45134829938678</c:v>
                </c:pt>
                <c:pt idx="833">
                  <c:v>431.62328048109896</c:v>
                </c:pt>
                <c:pt idx="834">
                  <c:v>432.4762169315963</c:v>
                </c:pt>
                <c:pt idx="835">
                  <c:v>433.36111327222443</c:v>
                </c:pt>
                <c:pt idx="836">
                  <c:v>434.8177803565236</c:v>
                </c:pt>
                <c:pt idx="837">
                  <c:v>435.48635233739105</c:v>
                </c:pt>
                <c:pt idx="838">
                  <c:v>434.98794314934685</c:v>
                </c:pt>
                <c:pt idx="839">
                  <c:v>433.57845110875536</c:v>
                </c:pt>
                <c:pt idx="840">
                  <c:v>431.67841414260437</c:v>
                </c:pt>
                <c:pt idx="841">
                  <c:v>430.10353791648549</c:v>
                </c:pt>
                <c:pt idx="842">
                  <c:v>430.17431024474496</c:v>
                </c:pt>
                <c:pt idx="843">
                  <c:v>431.67337813801106</c:v>
                </c:pt>
                <c:pt idx="844">
                  <c:v>433.05567428965145</c:v>
                </c:pt>
                <c:pt idx="845">
                  <c:v>434.22983136093961</c:v>
                </c:pt>
                <c:pt idx="846">
                  <c:v>435.08499270101305</c:v>
                </c:pt>
                <c:pt idx="847">
                  <c:v>435.96480111329305</c:v>
                </c:pt>
                <c:pt idx="848">
                  <c:v>437.42368700823488</c:v>
                </c:pt>
                <c:pt idx="849">
                  <c:v>438.09440622520816</c:v>
                </c:pt>
                <c:pt idx="850">
                  <c:v>437.59821584780678</c:v>
                </c:pt>
                <c:pt idx="851">
                  <c:v>436.19087104332112</c:v>
                </c:pt>
                <c:pt idx="852">
                  <c:v>434.29305288781279</c:v>
                </c:pt>
                <c:pt idx="853">
                  <c:v>432.72039547233675</c:v>
                </c:pt>
                <c:pt idx="854">
                  <c:v>432.79331503670198</c:v>
                </c:pt>
                <c:pt idx="855">
                  <c:v>434.29460174061086</c:v>
                </c:pt>
                <c:pt idx="856">
                  <c:v>435.67904512835713</c:v>
                </c:pt>
                <c:pt idx="857">
                  <c:v>436.85542101028801</c:v>
                </c:pt>
                <c:pt idx="858">
                  <c:v>437.71280116100411</c:v>
                </c:pt>
                <c:pt idx="859">
                  <c:v>438.59461366031627</c:v>
                </c:pt>
                <c:pt idx="860">
                  <c:v>440.05571836590093</c:v>
                </c:pt>
                <c:pt idx="861">
                  <c:v>440.7285848189801</c:v>
                </c:pt>
                <c:pt idx="862">
                  <c:v>440.23461325222132</c:v>
                </c:pt>
                <c:pt idx="863">
                  <c:v>438.8294156838416</c:v>
                </c:pt>
                <c:pt idx="864">
                  <c:v>436.93381633897599</c:v>
                </c:pt>
                <c:pt idx="865">
                  <c:v>435.36337773414266</c:v>
                </c:pt>
                <c:pt idx="866">
                  <c:v>435.43844453461378</c:v>
                </c:pt>
                <c:pt idx="867">
                  <c:v>436.94195004916537</c:v>
                </c:pt>
                <c:pt idx="868">
                  <c:v>438.32854067301747</c:v>
                </c:pt>
                <c:pt idx="869">
                  <c:v>439.50713536559113</c:v>
                </c:pt>
                <c:pt idx="870">
                  <c:v>440.36673432695</c:v>
                </c:pt>
                <c:pt idx="871">
                  <c:v>441.25055091329426</c:v>
                </c:pt>
                <c:pt idx="872">
                  <c:v>442.71387442952158</c:v>
                </c:pt>
                <c:pt idx="873">
                  <c:v>443.38888811870663</c:v>
                </c:pt>
                <c:pt idx="874">
                  <c:v>442.89713536259069</c:v>
                </c:pt>
                <c:pt idx="875">
                  <c:v>441.49408503031674</c:v>
                </c:pt>
                <c:pt idx="876">
                  <c:v>439.6007044960939</c:v>
                </c:pt>
                <c:pt idx="877">
                  <c:v>438.03248470190329</c:v>
                </c:pt>
                <c:pt idx="878">
                  <c:v>438.10969873848029</c:v>
                </c:pt>
                <c:pt idx="879">
                  <c:v>439.6154230636746</c:v>
                </c:pt>
                <c:pt idx="880">
                  <c:v>441.00416092363258</c:v>
                </c:pt>
                <c:pt idx="881">
                  <c:v>442.18497442684895</c:v>
                </c:pt>
                <c:pt idx="882">
                  <c:v>443.04679219885054</c:v>
                </c:pt>
                <c:pt idx="883">
                  <c:v>443.93999687249868</c:v>
                </c:pt>
                <c:pt idx="884">
                  <c:v>445.40554527830204</c:v>
                </c:pt>
                <c:pt idx="885">
                  <c:v>446.08271208643151</c:v>
                </c:pt>
                <c:pt idx="886">
                  <c:v>445.59318421989155</c:v>
                </c:pt>
                <c:pt idx="887">
                  <c:v>444.1922870065622</c:v>
                </c:pt>
                <c:pt idx="888">
                  <c:v>442.30113136191534</c:v>
                </c:pt>
                <c:pt idx="889">
                  <c:v>440.73513645730077</c:v>
                </c:pt>
                <c:pt idx="890">
                  <c:v>440.81450361282225</c:v>
                </c:pt>
                <c:pt idx="891">
                  <c:v>442.32245282759254</c:v>
                </c:pt>
                <c:pt idx="892">
                  <c:v>443.71334380649506</c:v>
                </c:pt>
                <c:pt idx="893">
                  <c:v>444.89638219928747</c:v>
                </c:pt>
                <c:pt idx="894">
                  <c:v>445.76042486086499</c:v>
                </c:pt>
                <c:pt idx="895">
                  <c:v>446.64825511192299</c:v>
                </c:pt>
                <c:pt idx="896">
                  <c:v>448.11602232836901</c:v>
                </c:pt>
                <c:pt idx="897">
                  <c:v>448.79533637260442</c:v>
                </c:pt>
                <c:pt idx="898">
                  <c:v>448.30802731670724</c:v>
                </c:pt>
                <c:pt idx="899">
                  <c:v>446.90927733948365</c:v>
                </c:pt>
                <c:pt idx="900">
                  <c:v>445.02034050547957</c:v>
                </c:pt>
                <c:pt idx="901">
                  <c:v>443.45656441150771</c:v>
                </c:pt>
                <c:pt idx="902">
                  <c:v>443.53807880313502</c:v>
                </c:pt>
                <c:pt idx="903">
                  <c:v>445.04824682854809</c:v>
                </c:pt>
                <c:pt idx="904">
                  <c:v>446.44128504355649</c:v>
                </c:pt>
                <c:pt idx="905">
                  <c:v>447.62654224699156</c:v>
                </c:pt>
                <c:pt idx="906">
                  <c:v>448.49280371921185</c:v>
                </c:pt>
                <c:pt idx="907">
                  <c:v>449.38263805730196</c:v>
                </c:pt>
                <c:pt idx="908">
                  <c:v>450.85262408439075</c:v>
                </c:pt>
                <c:pt idx="909">
                  <c:v>451.53408536473205</c:v>
                </c:pt>
                <c:pt idx="910">
                  <c:v>451.04899511947752</c:v>
                </c:pt>
                <c:pt idx="911">
                  <c:v>449.65239237835988</c:v>
                </c:pt>
                <c:pt idx="912">
                  <c:v>447.76567435499845</c:v>
                </c:pt>
                <c:pt idx="913">
                  <c:v>446.20411707166932</c:v>
                </c:pt>
                <c:pt idx="914">
                  <c:v>446.28777869940257</c:v>
                </c:pt>
                <c:pt idx="915">
                  <c:v>447.80016553545829</c:v>
                </c:pt>
                <c:pt idx="916">
                  <c:v>449.19535098657258</c:v>
                </c:pt>
                <c:pt idx="917">
                  <c:v>450.38282700065042</c:v>
                </c:pt>
                <c:pt idx="918">
                  <c:v>451.25130728351343</c:v>
                </c:pt>
                <c:pt idx="919">
                  <c:v>452.14314570863564</c:v>
                </c:pt>
                <c:pt idx="920">
                  <c:v>453.61535054636721</c:v>
                </c:pt>
                <c:pt idx="921">
                  <c:v>454.29895906281439</c:v>
                </c:pt>
                <c:pt idx="922">
                  <c:v>453.81608762820258</c:v>
                </c:pt>
                <c:pt idx="923">
                  <c:v>452.42163212319076</c:v>
                </c:pt>
                <c:pt idx="924">
                  <c:v>450.53713291047211</c:v>
                </c:pt>
                <c:pt idx="925">
                  <c:v>448.97779443778569</c:v>
                </c:pt>
                <c:pt idx="926">
                  <c:v>449.06360330162477</c:v>
                </c:pt>
                <c:pt idx="927">
                  <c:v>450.57820894832327</c:v>
                </c:pt>
                <c:pt idx="928">
                  <c:v>451.97554163554344</c:v>
                </c:pt>
                <c:pt idx="929">
                  <c:v>453.16523646026394</c:v>
                </c:pt>
                <c:pt idx="930">
                  <c:v>454.03593555376972</c:v>
                </c:pt>
                <c:pt idx="931">
                  <c:v>454.93744856043793</c:v>
                </c:pt>
                <c:pt idx="932">
                  <c:v>456.41187828774542</c:v>
                </c:pt>
                <c:pt idx="933">
                  <c:v>457.09763992313714</c:v>
                </c:pt>
                <c:pt idx="934">
                  <c:v>456.61699337810131</c:v>
                </c:pt>
                <c:pt idx="935">
                  <c:v>455.22469099203403</c:v>
                </c:pt>
                <c:pt idx="936">
                  <c:v>453.34241666889136</c:v>
                </c:pt>
                <c:pt idx="937">
                  <c:v>451.78530308578092</c:v>
                </c:pt>
                <c:pt idx="938">
                  <c:v>451.87326506856459</c:v>
                </c:pt>
                <c:pt idx="939">
                  <c:v>453.39009560483902</c:v>
                </c:pt>
                <c:pt idx="940">
                  <c:v>454.78958141100367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D7-4973-85F2-4BB0B600AF15}"/>
            </c:ext>
          </c:extLst>
        </c:ser>
        <c:ser>
          <c:idx val="0"/>
          <c:order val="1"/>
          <c:tx>
            <c:strRef>
              <c:f>'2次多項式モデル'!$G$1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'2次多項式モデル'!$G$2:$G$942</c:f>
              <c:numCache>
                <c:formatCode>0.00_ ;[Red]\-0.00\ </c:formatCode>
                <c:ptCount val="9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D7-4973-85F2-4BB0B600A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806815"/>
        <c:axId val="1049778207"/>
      </c:scatterChart>
      <c:valAx>
        <c:axId val="1041806815"/>
        <c:scaling>
          <c:orientation val="minMax"/>
          <c:max val="50010"/>
          <c:min val="212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9778207"/>
        <c:crosses val="autoZero"/>
        <c:crossBetween val="midCat"/>
      </c:valAx>
      <c:valAx>
        <c:axId val="1049778207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180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'2次多項式モデル'!$B$11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'2次多項式モデル'!$A$12:$A$24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'2次多項式モデル'!$B$12:$B$24</c:f>
              <c:numCache>
                <c:formatCode>General</c:formatCode>
                <c:ptCount val="13"/>
                <c:pt idx="0">
                  <c:v>6.1437951108157106E-2</c:v>
                </c:pt>
                <c:pt idx="1">
                  <c:v>0.69461918775013354</c:v>
                </c:pt>
                <c:pt idx="2">
                  <c:v>1.3737674679346947</c:v>
                </c:pt>
                <c:pt idx="3">
                  <c:v>2.6103146023823673</c:v>
                </c:pt>
                <c:pt idx="4">
                  <c:v>3.0656878503632123</c:v>
                </c:pt>
                <c:pt idx="5">
                  <c:v>2.3467878975381979</c:v>
                </c:pt>
                <c:pt idx="6">
                  <c:v>0.72373827090267417</c:v>
                </c:pt>
                <c:pt idx="7">
                  <c:v>-1.3971602749585079</c:v>
                </c:pt>
                <c:pt idx="8">
                  <c:v>-3.1930865277187257</c:v>
                </c:pt>
                <c:pt idx="9">
                  <c:v>-3.3364130066587929</c:v>
                </c:pt>
                <c:pt idx="10">
                  <c:v>-2.0587659549634894</c:v>
                </c:pt>
                <c:pt idx="11">
                  <c:v>-0.89092746367992248</c:v>
                </c:pt>
                <c:pt idx="12">
                  <c:v>6.1437951108157106E-2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F-41F8-82BC-5F447D90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091679"/>
        <c:axId val="1049778207"/>
      </c:scatterChart>
      <c:valAx>
        <c:axId val="116009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9778207"/>
        <c:crosses val="autoZero"/>
        <c:crossBetween val="midCat"/>
      </c:valAx>
      <c:valAx>
        <c:axId val="104977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00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'2次多項式モデル'!$L$1</c:f>
              <c:strCache>
                <c:ptCount val="1"/>
                <c:pt idx="0">
                  <c:v>残差(I)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numRef>
              <c:f>'2次多項式モデル'!$F$2:$F$942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cat>
          <c:val>
            <c:numRef>
              <c:f>'2次多項式モデル'!$L$2:$L$942</c:f>
              <c:numCache>
                <c:formatCode>0.00_ ;[Red]\-0.00\ </c:formatCode>
                <c:ptCount val="941"/>
                <c:pt idx="0">
                  <c:v>-0.28531750528986777</c:v>
                </c:pt>
                <c:pt idx="1">
                  <c:v>0.17344157620084388</c:v>
                </c:pt>
                <c:pt idx="2">
                  <c:v>-0.2947179861602649</c:v>
                </c:pt>
                <c:pt idx="3">
                  <c:v>0.2690218267716773</c:v>
                </c:pt>
                <c:pt idx="4">
                  <c:v>1.3944849587125532</c:v>
                </c:pt>
                <c:pt idx="5">
                  <c:v>1.4047873506212341</c:v>
                </c:pt>
                <c:pt idx="6">
                  <c:v>0.26078571339195378</c:v>
                </c:pt>
                <c:pt idx="7">
                  <c:v>0.36890198025787413</c:v>
                </c:pt>
                <c:pt idx="8">
                  <c:v>0.26017107475956891</c:v>
                </c:pt>
                <c:pt idx="9">
                  <c:v>0.47043590047610451</c:v>
                </c:pt>
                <c:pt idx="10">
                  <c:v>-0.10898758786470353</c:v>
                </c:pt>
                <c:pt idx="11">
                  <c:v>-0.34244731701664932</c:v>
                </c:pt>
                <c:pt idx="12">
                  <c:v>-0.29275411548360353</c:v>
                </c:pt>
                <c:pt idx="13">
                  <c:v>0.21886242770767694</c:v>
                </c:pt>
                <c:pt idx="14">
                  <c:v>0.16661965069971529</c:v>
                </c:pt>
                <c:pt idx="15">
                  <c:v>0.47986397199787234</c:v>
                </c:pt>
                <c:pt idx="16">
                  <c:v>1.2479475532637707</c:v>
                </c:pt>
                <c:pt idx="17">
                  <c:v>0.81544040740487844</c:v>
                </c:pt>
                <c:pt idx="18">
                  <c:v>0.94957986928591254</c:v>
                </c:pt>
                <c:pt idx="19">
                  <c:v>0.48554890004595563</c:v>
                </c:pt>
                <c:pt idx="20">
                  <c:v>0.31459918390498842</c:v>
                </c:pt>
                <c:pt idx="21">
                  <c:v>0.16264519897879381</c:v>
                </c:pt>
                <c:pt idx="22">
                  <c:v>1.8990519691385543E-2</c:v>
                </c:pt>
                <c:pt idx="23">
                  <c:v>0.16330590096339392</c:v>
                </c:pt>
                <c:pt idx="24">
                  <c:v>0.65084598355196022</c:v>
                </c:pt>
                <c:pt idx="25">
                  <c:v>0.84023763716726307</c:v>
                </c:pt>
                <c:pt idx="26">
                  <c:v>0.99584174121474689</c:v>
                </c:pt>
                <c:pt idx="27">
                  <c:v>0.76686117293689904</c:v>
                </c:pt>
                <c:pt idx="28">
                  <c:v>0.76271986462688801</c:v>
                </c:pt>
                <c:pt idx="29">
                  <c:v>0.49805959982342074</c:v>
                </c:pt>
                <c:pt idx="30">
                  <c:v>0.31997417212846813</c:v>
                </c:pt>
                <c:pt idx="31">
                  <c:v>0.27379008394404991</c:v>
                </c:pt>
                <c:pt idx="32">
                  <c:v>-3.9384521773001779E-2</c:v>
                </c:pt>
                <c:pt idx="33">
                  <c:v>5.6436603724762335E-2</c:v>
                </c:pt>
                <c:pt idx="34">
                  <c:v>0.15299945067033605</c:v>
                </c:pt>
                <c:pt idx="35">
                  <c:v>-0.21490397870036304</c:v>
                </c:pt>
                <c:pt idx="36">
                  <c:v>0.36048886778223732</c:v>
                </c:pt>
                <c:pt idx="37">
                  <c:v>0.19766171075485772</c:v>
                </c:pt>
                <c:pt idx="38">
                  <c:v>0.55111857869644609</c:v>
                </c:pt>
                <c:pt idx="39">
                  <c:v>0.81991919977593852</c:v>
                </c:pt>
                <c:pt idx="40">
                  <c:v>0.74355908082316091</c:v>
                </c:pt>
                <c:pt idx="41">
                  <c:v>1.1367515799138346</c:v>
                </c:pt>
                <c:pt idx="42">
                  <c:v>0.57644734157616995</c:v>
                </c:pt>
                <c:pt idx="43">
                  <c:v>0.2481160172858381</c:v>
                </c:pt>
                <c:pt idx="44">
                  <c:v>0.15272260092609713</c:v>
                </c:pt>
                <c:pt idx="45">
                  <c:v>5.6324915781146956E-2</c:v>
                </c:pt>
                <c:pt idx="46">
                  <c:v>0.44088367569452203</c:v>
                </c:pt>
                <c:pt idx="47">
                  <c:v>2.0761435681095008E-2</c:v>
                </c:pt>
                <c:pt idx="48">
                  <c:v>-5.5992953942165968E-2</c:v>
                </c:pt>
                <c:pt idx="49">
                  <c:v>0.18896107838776288</c:v>
                </c:pt>
                <c:pt idx="50">
                  <c:v>0.7302707102234649</c:v>
                </c:pt>
                <c:pt idx="51">
                  <c:v>0.56685252066017711</c:v>
                </c:pt>
                <c:pt idx="52">
                  <c:v>1.138273591064717</c:v>
                </c:pt>
                <c:pt idx="53">
                  <c:v>0.37931885404952936</c:v>
                </c:pt>
                <c:pt idx="54">
                  <c:v>0.29679580506910952</c:v>
                </c:pt>
                <c:pt idx="55">
                  <c:v>6.6317244672916331E-2</c:v>
                </c:pt>
                <c:pt idx="56">
                  <c:v>7.8705017670472444E-2</c:v>
                </c:pt>
                <c:pt idx="57">
                  <c:v>-0.29991147811722385</c:v>
                </c:pt>
                <c:pt idx="58">
                  <c:v>-0.25735680523592919</c:v>
                </c:pt>
                <c:pt idx="59">
                  <c:v>-4.9697855892134157E-2</c:v>
                </c:pt>
                <c:pt idx="60">
                  <c:v>0.29140051837879355</c:v>
                </c:pt>
                <c:pt idx="61">
                  <c:v>0.16413574006594445</c:v>
                </c:pt>
                <c:pt idx="62">
                  <c:v>-2.6701864204255799E-2</c:v>
                </c:pt>
                <c:pt idx="63">
                  <c:v>4.7661135589748937E-2</c:v>
                </c:pt>
                <c:pt idx="64">
                  <c:v>0.20686339535149045</c:v>
                </c:pt>
                <c:pt idx="65">
                  <c:v>5.5761422230489188E-2</c:v>
                </c:pt>
                <c:pt idx="66">
                  <c:v>-0.21898043739264494</c:v>
                </c:pt>
                <c:pt idx="67">
                  <c:v>-0.18160623389468356</c:v>
                </c:pt>
                <c:pt idx="68">
                  <c:v>8.5627284600491294E-3</c:v>
                </c:pt>
                <c:pt idx="69">
                  <c:v>-0.60985627518351748</c:v>
                </c:pt>
                <c:pt idx="70">
                  <c:v>-0.33934594307237376</c:v>
                </c:pt>
                <c:pt idx="71">
                  <c:v>-0.24233666628703077</c:v>
                </c:pt>
                <c:pt idx="72">
                  <c:v>4.980144393101682E-2</c:v>
                </c:pt>
                <c:pt idx="73">
                  <c:v>-0.22322118588323292</c:v>
                </c:pt>
                <c:pt idx="74">
                  <c:v>1.3523722051218101E-2</c:v>
                </c:pt>
                <c:pt idx="75">
                  <c:v>-0.53344302714788228</c:v>
                </c:pt>
                <c:pt idx="76">
                  <c:v>-0.7482219425945118</c:v>
                </c:pt>
                <c:pt idx="77">
                  <c:v>-1.0502778698157158</c:v>
                </c:pt>
                <c:pt idx="78">
                  <c:v>-0.76333806582209718</c:v>
                </c:pt>
                <c:pt idx="79">
                  <c:v>-1.0647970576545163</c:v>
                </c:pt>
                <c:pt idx="80">
                  <c:v>-1.1315818085294609</c:v>
                </c:pt>
                <c:pt idx="81">
                  <c:v>-1.6347837893088695</c:v>
                </c:pt>
                <c:pt idx="82">
                  <c:v>-1.296492267840506</c:v>
                </c:pt>
                <c:pt idx="83">
                  <c:v>-0.4116302271610266</c:v>
                </c:pt>
                <c:pt idx="84">
                  <c:v>-0.7117109275857274</c:v>
                </c:pt>
                <c:pt idx="85">
                  <c:v>-5.6952368042686885E-2</c:v>
                </c:pt>
                <c:pt idx="86">
                  <c:v>-0.50235469621406992</c:v>
                </c:pt>
                <c:pt idx="87">
                  <c:v>-0.2915402560559528</c:v>
                </c:pt>
                <c:pt idx="88">
                  <c:v>-0.9884664076083709</c:v>
                </c:pt>
                <c:pt idx="89">
                  <c:v>-0.82274114547232102</c:v>
                </c:pt>
                <c:pt idx="90">
                  <c:v>-0.55802015212145761</c:v>
                </c:pt>
                <c:pt idx="91">
                  <c:v>-0.52148323098606397</c:v>
                </c:pt>
                <c:pt idx="92">
                  <c:v>-0.53048679250372288</c:v>
                </c:pt>
                <c:pt idx="93">
                  <c:v>-0.68583600938904965</c:v>
                </c:pt>
                <c:pt idx="94">
                  <c:v>-0.37976329856331859</c:v>
                </c:pt>
                <c:pt idx="95">
                  <c:v>-0.20704849398970282</c:v>
                </c:pt>
                <c:pt idx="96">
                  <c:v>-0.18934800505718385</c:v>
                </c:pt>
                <c:pt idx="97">
                  <c:v>-0.19680825615688491</c:v>
                </c:pt>
                <c:pt idx="98">
                  <c:v>-0.67435782043412473</c:v>
                </c:pt>
                <c:pt idx="99">
                  <c:v>-0.35576219091876737</c:v>
                </c:pt>
                <c:pt idx="100">
                  <c:v>-0.35483557857708092</c:v>
                </c:pt>
                <c:pt idx="101">
                  <c:v>-9.132912708372487E-2</c:v>
                </c:pt>
                <c:pt idx="102">
                  <c:v>-0.6388269443755803</c:v>
                </c:pt>
                <c:pt idx="103">
                  <c:v>-0.85429411027229207</c:v>
                </c:pt>
                <c:pt idx="104">
                  <c:v>-0.79551648243267437</c:v>
                </c:pt>
                <c:pt idx="105">
                  <c:v>-0.75301293542383974</c:v>
                </c:pt>
                <c:pt idx="106">
                  <c:v>-1.029159035240923</c:v>
                </c:pt>
                <c:pt idx="107">
                  <c:v>-1.0385914667731413</c:v>
                </c:pt>
                <c:pt idx="108">
                  <c:v>-0.62310978848330478</c:v>
                </c:pt>
                <c:pt idx="109">
                  <c:v>-0.58278885022576787</c:v>
                </c:pt>
                <c:pt idx="110">
                  <c:v>-0.3824856506089418</c:v>
                </c:pt>
                <c:pt idx="111">
                  <c:v>-0.40610883173621914</c:v>
                </c:pt>
                <c:pt idx="112">
                  <c:v>-0.42732945550045542</c:v>
                </c:pt>
                <c:pt idx="113">
                  <c:v>-0.85604181464981366</c:v>
                </c:pt>
                <c:pt idx="114">
                  <c:v>-0.99575844258441748</c:v>
                </c:pt>
                <c:pt idx="115">
                  <c:v>-1.0160297879118616</c:v>
                </c:pt>
                <c:pt idx="116">
                  <c:v>-1.2094770496482283</c:v>
                </c:pt>
                <c:pt idx="117">
                  <c:v>-1.1991266215839005</c:v>
                </c:pt>
                <c:pt idx="118">
                  <c:v>-0.77749761097692272</c:v>
                </c:pt>
                <c:pt idx="119">
                  <c:v>-0.45908316145374783</c:v>
                </c:pt>
                <c:pt idx="120">
                  <c:v>-0.45582637273992077</c:v>
                </c:pt>
                <c:pt idx="121">
                  <c:v>-0.52773032405838194</c:v>
                </c:pt>
                <c:pt idx="122">
                  <c:v>-0.54958024338600353</c:v>
                </c:pt>
                <c:pt idx="123">
                  <c:v>-0.84542831408930397</c:v>
                </c:pt>
                <c:pt idx="124">
                  <c:v>-0.52880205679804249</c:v>
                </c:pt>
                <c:pt idx="125">
                  <c:v>-0.45973930552338516</c:v>
                </c:pt>
                <c:pt idx="126">
                  <c:v>-0.77168082303398933</c:v>
                </c:pt>
                <c:pt idx="127">
                  <c:v>-0.3111616536443762</c:v>
                </c:pt>
                <c:pt idx="128">
                  <c:v>-0.60682772602348223</c:v>
                </c:pt>
                <c:pt idx="129">
                  <c:v>-0.42862453406507939</c:v>
                </c:pt>
                <c:pt idx="130">
                  <c:v>-0.46921433410085456</c:v>
                </c:pt>
                <c:pt idx="131">
                  <c:v>0.23705287931653629</c:v>
                </c:pt>
                <c:pt idx="132">
                  <c:v>4.8090857387649066E-2</c:v>
                </c:pt>
                <c:pt idx="133">
                  <c:v>0.47396809542647134</c:v>
                </c:pt>
                <c:pt idx="134">
                  <c:v>-7.0029060007072985E-2</c:v>
                </c:pt>
                <c:pt idx="135">
                  <c:v>-0.36809594135308998</c:v>
                </c:pt>
                <c:pt idx="136">
                  <c:v>-0.3536169201676671</c:v>
                </c:pt>
                <c:pt idx="137">
                  <c:v>-0.4567729795357991</c:v>
                </c:pt>
                <c:pt idx="138">
                  <c:v>-0.26093330768907208</c:v>
                </c:pt>
                <c:pt idx="139">
                  <c:v>-7.2418225331659869E-2</c:v>
                </c:pt>
                <c:pt idx="140">
                  <c:v>-0.20030310835346654</c:v>
                </c:pt>
                <c:pt idx="141">
                  <c:v>-0.79424715250092959</c:v>
                </c:pt>
                <c:pt idx="142">
                  <c:v>-0.57705576317943041</c:v>
                </c:pt>
                <c:pt idx="143">
                  <c:v>-0.37293578586792364</c:v>
                </c:pt>
                <c:pt idx="144">
                  <c:v>5.8833815604657502E-3</c:v>
                </c:pt>
                <c:pt idx="145">
                  <c:v>0.11954180895656918</c:v>
                </c:pt>
                <c:pt idx="146">
                  <c:v>0.1333974174171999</c:v>
                </c:pt>
                <c:pt idx="147">
                  <c:v>-0.28688827457165189</c:v>
                </c:pt>
                <c:pt idx="148">
                  <c:v>-0.42455648949203351</c:v>
                </c:pt>
                <c:pt idx="149">
                  <c:v>-0.42993135950285932</c:v>
                </c:pt>
                <c:pt idx="150">
                  <c:v>-0.64631049829893072</c:v>
                </c:pt>
                <c:pt idx="151">
                  <c:v>-0.91979950297360347</c:v>
                </c:pt>
                <c:pt idx="152">
                  <c:v>-1.6299031966381676</c:v>
                </c:pt>
                <c:pt idx="153">
                  <c:v>-1.0359944768914602</c:v>
                </c:pt>
                <c:pt idx="154">
                  <c:v>-0.77102189821272304</c:v>
                </c:pt>
                <c:pt idx="155">
                  <c:v>-0.4490491570070958</c:v>
                </c:pt>
                <c:pt idx="156">
                  <c:v>-0.35244880022145253</c:v>
                </c:pt>
                <c:pt idx="157">
                  <c:v>-0.721009183468027</c:v>
                </c:pt>
                <c:pt idx="158">
                  <c:v>-0.46930081111332811</c:v>
                </c:pt>
                <c:pt idx="159">
                  <c:v>-0.60180531374481916</c:v>
                </c:pt>
                <c:pt idx="160">
                  <c:v>-0.65162076477116671</c:v>
                </c:pt>
                <c:pt idx="161">
                  <c:v>-0.93921444542473864</c:v>
                </c:pt>
                <c:pt idx="162">
                  <c:v>-0.80781239486350387</c:v>
                </c:pt>
                <c:pt idx="163">
                  <c:v>-1.4563920732109636</c:v>
                </c:pt>
                <c:pt idx="164">
                  <c:v>-0.8187206564514895</c:v>
                </c:pt>
                <c:pt idx="165">
                  <c:v>-1.0169650556493366</c:v>
                </c:pt>
                <c:pt idx="166">
                  <c:v>-1.3742173665465884</c:v>
                </c:pt>
                <c:pt idx="167">
                  <c:v>-0.89439774428541341</c:v>
                </c:pt>
                <c:pt idx="168">
                  <c:v>-0.59002227707583188</c:v>
                </c:pt>
                <c:pt idx="169">
                  <c:v>-0.37080754989847264</c:v>
                </c:pt>
                <c:pt idx="170">
                  <c:v>3.8747703511774034E-2</c:v>
                </c:pt>
                <c:pt idx="171">
                  <c:v>-3.5981688695699177E-2</c:v>
                </c:pt>
                <c:pt idx="172">
                  <c:v>-0.24795025866649212</c:v>
                </c:pt>
                <c:pt idx="173">
                  <c:v>-0.29776882889609624</c:v>
                </c:pt>
                <c:pt idx="174">
                  <c:v>-1.8591667910868637E-2</c:v>
                </c:pt>
                <c:pt idx="175">
                  <c:v>-4.6094337299223298E-2</c:v>
                </c:pt>
                <c:pt idx="176">
                  <c:v>-0.18064173118256122</c:v>
                </c:pt>
                <c:pt idx="177">
                  <c:v>0.24896663351381676</c:v>
                </c:pt>
                <c:pt idx="178">
                  <c:v>0.45949551197378469</c:v>
                </c:pt>
                <c:pt idx="179">
                  <c:v>0.78716789812909838</c:v>
                </c:pt>
                <c:pt idx="180">
                  <c:v>1.2493245546959884</c:v>
                </c:pt>
                <c:pt idx="181">
                  <c:v>1.1463204712306378</c:v>
                </c:pt>
                <c:pt idx="182">
                  <c:v>0.86372848853500273</c:v>
                </c:pt>
                <c:pt idx="183">
                  <c:v>0.46678028568476293</c:v>
                </c:pt>
                <c:pt idx="184">
                  <c:v>-0.31733552039196411</c:v>
                </c:pt>
                <c:pt idx="185">
                  <c:v>-0.65937290126419157</c:v>
                </c:pt>
                <c:pt idx="186">
                  <c:v>-3.2414550921771479E-2</c:v>
                </c:pt>
                <c:pt idx="187">
                  <c:v>-3.1921307342201999E-2</c:v>
                </c:pt>
                <c:pt idx="188">
                  <c:v>-0.19868751186828604</c:v>
                </c:pt>
                <c:pt idx="189">
                  <c:v>-0.3112263832778126</c:v>
                </c:pt>
                <c:pt idx="190">
                  <c:v>-0.53291631546051121</c:v>
                </c:pt>
                <c:pt idx="191">
                  <c:v>-7.7391165411086149E-2</c:v>
                </c:pt>
                <c:pt idx="192">
                  <c:v>0.15254668051306908</c:v>
                </c:pt>
                <c:pt idx="193">
                  <c:v>-0.112676213595023</c:v>
                </c:pt>
                <c:pt idx="194">
                  <c:v>-0.12741543239650355</c:v>
                </c:pt>
                <c:pt idx="195">
                  <c:v>-0.41658244588950311</c:v>
                </c:pt>
                <c:pt idx="196">
                  <c:v>-0.57284548807206193</c:v>
                </c:pt>
                <c:pt idx="197">
                  <c:v>-0.79710167958705824</c:v>
                </c:pt>
                <c:pt idx="198">
                  <c:v>-0.53236213988731151</c:v>
                </c:pt>
                <c:pt idx="199">
                  <c:v>-0.66387298333995659</c:v>
                </c:pt>
                <c:pt idx="200">
                  <c:v>-0.73285799850867761</c:v>
                </c:pt>
                <c:pt idx="201">
                  <c:v>-0.62754410602411781</c:v>
                </c:pt>
                <c:pt idx="202">
                  <c:v>-0.3814528488495057</c:v>
                </c:pt>
                <c:pt idx="203">
                  <c:v>-0.55807493490601701</c:v>
                </c:pt>
                <c:pt idx="204">
                  <c:v>-0.38035589962458971</c:v>
                </c:pt>
                <c:pt idx="205">
                  <c:v>-0.18779760437536197</c:v>
                </c:pt>
                <c:pt idx="206">
                  <c:v>-0.3646840592827516</c:v>
                </c:pt>
                <c:pt idx="207">
                  <c:v>-0.59606988341846545</c:v>
                </c:pt>
                <c:pt idx="208">
                  <c:v>-0.59448016170688334</c:v>
                </c:pt>
                <c:pt idx="209">
                  <c:v>-0.66095516386462805</c:v>
                </c:pt>
                <c:pt idx="210">
                  <c:v>-0.5784344348076047</c:v>
                </c:pt>
                <c:pt idx="211">
                  <c:v>-0.42532244617513015</c:v>
                </c:pt>
                <c:pt idx="212">
                  <c:v>-0.68653235091989018</c:v>
                </c:pt>
                <c:pt idx="213">
                  <c:v>-0.9433715773797644</c:v>
                </c:pt>
                <c:pt idx="214">
                  <c:v>-0.87950520978120039</c:v>
                </c:pt>
                <c:pt idx="215">
                  <c:v>-0.63828041478217301</c:v>
                </c:pt>
                <c:pt idx="216">
                  <c:v>-0.7327862690767688</c:v>
                </c:pt>
                <c:pt idx="217">
                  <c:v>-0.68245286340351186</c:v>
                </c:pt>
                <c:pt idx="218">
                  <c:v>-1.0014924372554219</c:v>
                </c:pt>
                <c:pt idx="219">
                  <c:v>-1.0151031509671498</c:v>
                </c:pt>
                <c:pt idx="220">
                  <c:v>-0.91566654820002213</c:v>
                </c:pt>
                <c:pt idx="221">
                  <c:v>-0.72436643993381722</c:v>
                </c:pt>
                <c:pt idx="222">
                  <c:v>-0.97407060045276239</c:v>
                </c:pt>
                <c:pt idx="223">
                  <c:v>-0.46959510861915987</c:v>
                </c:pt>
                <c:pt idx="224">
                  <c:v>-0.443023824006616</c:v>
                </c:pt>
                <c:pt idx="225">
                  <c:v>-0.32201028657237885</c:v>
                </c:pt>
                <c:pt idx="226">
                  <c:v>-0.19036272961653822</c:v>
                </c:pt>
                <c:pt idx="227">
                  <c:v>-2.1285170723388092E-2</c:v>
                </c:pt>
                <c:pt idx="228">
                  <c:v>-0.17800983566070272</c:v>
                </c:pt>
                <c:pt idx="229">
                  <c:v>0.35010475936974217</c:v>
                </c:pt>
                <c:pt idx="230">
                  <c:v>-4.1082050587931462E-2</c:v>
                </c:pt>
                <c:pt idx="231">
                  <c:v>-0.18691157494242816</c:v>
                </c:pt>
                <c:pt idx="232">
                  <c:v>-9.6222082811436849E-3</c:v>
                </c:pt>
                <c:pt idx="233">
                  <c:v>4.9459089342349216E-2</c:v>
                </c:pt>
                <c:pt idx="234">
                  <c:v>-0.27246388181936254</c:v>
                </c:pt>
                <c:pt idx="235">
                  <c:v>0.20000752298216184</c:v>
                </c:pt>
                <c:pt idx="236">
                  <c:v>-2.5640003048067683E-2</c:v>
                </c:pt>
                <c:pt idx="237">
                  <c:v>-0.33677370171972143</c:v>
                </c:pt>
                <c:pt idx="238">
                  <c:v>0.16265504459340718</c:v>
                </c:pt>
                <c:pt idx="239">
                  <c:v>0.31958536738068233</c:v>
                </c:pt>
                <c:pt idx="240">
                  <c:v>0.47064189180065341</c:v>
                </c:pt>
                <c:pt idx="241">
                  <c:v>0.23653767618839083</c:v>
                </c:pt>
                <c:pt idx="242">
                  <c:v>6.3203630124803567E-2</c:v>
                </c:pt>
                <c:pt idx="243">
                  <c:v>4.5155295127642603E-2</c:v>
                </c:pt>
                <c:pt idx="244">
                  <c:v>-0.19970257431702976</c:v>
                </c:pt>
                <c:pt idx="245">
                  <c:v>1.7159912663771593E-2</c:v>
                </c:pt>
                <c:pt idx="246">
                  <c:v>-0.19698186914064308</c:v>
                </c:pt>
                <c:pt idx="247">
                  <c:v>0.22348544862870767</c:v>
                </c:pt>
                <c:pt idx="248">
                  <c:v>-0.20438088804422705</c:v>
                </c:pt>
                <c:pt idx="249">
                  <c:v>-0.17766182282173304</c:v>
                </c:pt>
                <c:pt idx="250">
                  <c:v>0.24954811284868583</c:v>
                </c:pt>
                <c:pt idx="251">
                  <c:v>0.20433119953008827</c:v>
                </c:pt>
                <c:pt idx="252">
                  <c:v>0.57316891330725639</c:v>
                </c:pt>
                <c:pt idx="253">
                  <c:v>8.6845887052334092E-2</c:v>
                </c:pt>
                <c:pt idx="254">
                  <c:v>6.1364604882840013E-2</c:v>
                </c:pt>
                <c:pt idx="255">
                  <c:v>0.10109745924296476</c:v>
                </c:pt>
                <c:pt idx="256">
                  <c:v>0.26409235369243333</c:v>
                </c:pt>
                <c:pt idx="257">
                  <c:v>0.47873603003046128</c:v>
                </c:pt>
                <c:pt idx="258">
                  <c:v>8.2375437583323219E-2</c:v>
                </c:pt>
                <c:pt idx="259">
                  <c:v>1.0071790931957594</c:v>
                </c:pt>
                <c:pt idx="260">
                  <c:v>0.34708786694682203</c:v>
                </c:pt>
                <c:pt idx="261">
                  <c:v>0.49165381322478652</c:v>
                </c:pt>
                <c:pt idx="262">
                  <c:v>0.79663885931915956</c:v>
                </c:pt>
                <c:pt idx="263">
                  <c:v>0.69926882705607341</c:v>
                </c:pt>
                <c:pt idx="264">
                  <c:v>0.74588165125732075</c:v>
                </c:pt>
                <c:pt idx="265">
                  <c:v>0.70733373542634581</c:v>
                </c:pt>
                <c:pt idx="266">
                  <c:v>0.87969933431230629</c:v>
                </c:pt>
                <c:pt idx="267">
                  <c:v>0.56720729909648071</c:v>
                </c:pt>
                <c:pt idx="268">
                  <c:v>0.39804907460137429</c:v>
                </c:pt>
                <c:pt idx="269">
                  <c:v>0.36046786136347464</c:v>
                </c:pt>
                <c:pt idx="270">
                  <c:v>0.8518823793403385</c:v>
                </c:pt>
                <c:pt idx="271">
                  <c:v>0.96833603239599597</c:v>
                </c:pt>
                <c:pt idx="272">
                  <c:v>0.73602599550434888</c:v>
                </c:pt>
                <c:pt idx="273">
                  <c:v>0.57844470567647477</c:v>
                </c:pt>
                <c:pt idx="274">
                  <c:v>0.52121094112811761</c:v>
                </c:pt>
                <c:pt idx="275">
                  <c:v>0.27169367275911327</c:v>
                </c:pt>
                <c:pt idx="276">
                  <c:v>0.21608768631767816</c:v>
                </c:pt>
                <c:pt idx="277">
                  <c:v>0.155320959843948</c:v>
                </c:pt>
                <c:pt idx="278">
                  <c:v>0.35553932262411081</c:v>
                </c:pt>
                <c:pt idx="279">
                  <c:v>0.4608284767654709</c:v>
                </c:pt>
                <c:pt idx="280">
                  <c:v>0.42952301616458044</c:v>
                </c:pt>
                <c:pt idx="281">
                  <c:v>0.49972299228386419</c:v>
                </c:pt>
                <c:pt idx="282">
                  <c:v>0.60891869961801603</c:v>
                </c:pt>
                <c:pt idx="283">
                  <c:v>0.91336826564150897</c:v>
                </c:pt>
                <c:pt idx="284">
                  <c:v>0.42883941810714532</c:v>
                </c:pt>
                <c:pt idx="285">
                  <c:v>0.4291108921733553</c:v>
                </c:pt>
                <c:pt idx="286">
                  <c:v>0.23965831698234297</c:v>
                </c:pt>
                <c:pt idx="287">
                  <c:v>0.45799381250748183</c:v>
                </c:pt>
                <c:pt idx="288">
                  <c:v>0.2101690154232756</c:v>
                </c:pt>
                <c:pt idx="289">
                  <c:v>5.7183478306853885E-2</c:v>
                </c:pt>
                <c:pt idx="290">
                  <c:v>-3.4745395018887848E-2</c:v>
                </c:pt>
                <c:pt idx="291">
                  <c:v>-3.1675051520267061E-2</c:v>
                </c:pt>
                <c:pt idx="292">
                  <c:v>-8.5127748227023403E-2</c:v>
                </c:pt>
                <c:pt idx="293">
                  <c:v>-0.26714658275045622</c:v>
                </c:pt>
                <c:pt idx="294">
                  <c:v>0.11983031394095178</c:v>
                </c:pt>
                <c:pt idx="295">
                  <c:v>-8.7724207067651605E-2</c:v>
                </c:pt>
                <c:pt idx="296">
                  <c:v>0.39552813475523863</c:v>
                </c:pt>
                <c:pt idx="297">
                  <c:v>0.64365237271556452</c:v>
                </c:pt>
                <c:pt idx="298">
                  <c:v>0.80198098688180153</c:v>
                </c:pt>
                <c:pt idx="299">
                  <c:v>0.96816924630110179</c:v>
                </c:pt>
                <c:pt idx="300">
                  <c:v>1.3681256385741563</c:v>
                </c:pt>
                <c:pt idx="301">
                  <c:v>0.53292129081501116</c:v>
                </c:pt>
                <c:pt idx="302">
                  <c:v>0.67884518138339445</c:v>
                </c:pt>
                <c:pt idx="303">
                  <c:v>0.43969671423928958</c:v>
                </c:pt>
                <c:pt idx="304">
                  <c:v>0.9940967814266628</c:v>
                </c:pt>
                <c:pt idx="305">
                  <c:v>0.62985913626056345</c:v>
                </c:pt>
                <c:pt idx="306">
                  <c:v>0.67461722230922305</c:v>
                </c:pt>
                <c:pt idx="307">
                  <c:v>0.66111254490158444</c:v>
                </c:pt>
                <c:pt idx="308">
                  <c:v>1.0721399971484971</c:v>
                </c:pt>
                <c:pt idx="309">
                  <c:v>0.87811111616429116</c:v>
                </c:pt>
                <c:pt idx="310">
                  <c:v>0.844214840754546</c:v>
                </c:pt>
                <c:pt idx="311">
                  <c:v>0.93824998122931902</c:v>
                </c:pt>
                <c:pt idx="312">
                  <c:v>0.8259814839263413</c:v>
                </c:pt>
                <c:pt idx="313">
                  <c:v>0.28855224659122314</c:v>
                </c:pt>
                <c:pt idx="314">
                  <c:v>0.59232301821509736</c:v>
                </c:pt>
                <c:pt idx="315">
                  <c:v>0.82094966149503534</c:v>
                </c:pt>
                <c:pt idx="316">
                  <c:v>0.7731966097379086</c:v>
                </c:pt>
                <c:pt idx="317">
                  <c:v>0.44673407499578843</c:v>
                </c:pt>
                <c:pt idx="318">
                  <c:v>0.7092672714683772</c:v>
                </c:pt>
                <c:pt idx="319">
                  <c:v>1.3476990857461146</c:v>
                </c:pt>
                <c:pt idx="320">
                  <c:v>0.9165077273503357</c:v>
                </c:pt>
                <c:pt idx="321">
                  <c:v>0.92033161026023436</c:v>
                </c:pt>
                <c:pt idx="322">
                  <c:v>0.83421652420770442</c:v>
                </c:pt>
                <c:pt idx="323">
                  <c:v>0.64610442857662065</c:v>
                </c:pt>
                <c:pt idx="324">
                  <c:v>0.75161712063095365</c:v>
                </c:pt>
                <c:pt idx="325">
                  <c:v>0.84196907265305754</c:v>
                </c:pt>
                <c:pt idx="326">
                  <c:v>0.57359260817111135</c:v>
                </c:pt>
                <c:pt idx="327">
                  <c:v>0.6100004408082782</c:v>
                </c:pt>
                <c:pt idx="328">
                  <c:v>0.64010015294530831</c:v>
                </c:pt>
                <c:pt idx="329">
                  <c:v>0.30141880756042383</c:v>
                </c:pt>
                <c:pt idx="330">
                  <c:v>0.19173319339034833</c:v>
                </c:pt>
                <c:pt idx="331">
                  <c:v>0.29816092063595079</c:v>
                </c:pt>
                <c:pt idx="332">
                  <c:v>0.63475075159738026</c:v>
                </c:pt>
                <c:pt idx="333">
                  <c:v>0.72642739840148352</c:v>
                </c:pt>
                <c:pt idx="334">
                  <c:v>0.64809350170622793</c:v>
                </c:pt>
                <c:pt idx="335">
                  <c:v>0.53783416996924416</c:v>
                </c:pt>
                <c:pt idx="336">
                  <c:v>0.49112805138082649</c:v>
                </c:pt>
                <c:pt idx="337">
                  <c:v>1.1092611927602434</c:v>
                </c:pt>
                <c:pt idx="338">
                  <c:v>0.44873749217242676</c:v>
                </c:pt>
                <c:pt idx="339">
                  <c:v>0.53292651416688841</c:v>
                </c:pt>
                <c:pt idx="340">
                  <c:v>0.48087899019793667</c:v>
                </c:pt>
                <c:pt idx="341">
                  <c:v>0.51997883417038793</c:v>
                </c:pt>
                <c:pt idx="342">
                  <c:v>0.21807440935759814</c:v>
                </c:pt>
                <c:pt idx="343">
                  <c:v>0.3624980495710588</c:v>
                </c:pt>
                <c:pt idx="344">
                  <c:v>0.55686906988972851</c:v>
                </c:pt>
                <c:pt idx="345">
                  <c:v>0.84639848058799316</c:v>
                </c:pt>
                <c:pt idx="346">
                  <c:v>0.84584577324994825</c:v>
                </c:pt>
                <c:pt idx="347">
                  <c:v>0.59343920540715089</c:v>
                </c:pt>
                <c:pt idx="348">
                  <c:v>1.1745142761760121</c:v>
                </c:pt>
                <c:pt idx="349">
                  <c:v>1.1904286069126897</c:v>
                </c:pt>
                <c:pt idx="350">
                  <c:v>1.117757670218964</c:v>
                </c:pt>
                <c:pt idx="351">
                  <c:v>1.1597278815706886</c:v>
                </c:pt>
                <c:pt idx="352">
                  <c:v>1.0155331214959347</c:v>
                </c:pt>
                <c:pt idx="353">
                  <c:v>1.4024141548256353</c:v>
                </c:pt>
                <c:pt idx="354">
                  <c:v>1.9382909193701039</c:v>
                </c:pt>
                <c:pt idx="355">
                  <c:v>1.6264779089424906</c:v>
                </c:pt>
                <c:pt idx="356">
                  <c:v>1.6286240396851213</c:v>
                </c:pt>
                <c:pt idx="357">
                  <c:v>1.6760003314388996</c:v>
                </c:pt>
                <c:pt idx="358">
                  <c:v>1.8432227345248862</c:v>
                </c:pt>
                <c:pt idx="359">
                  <c:v>1.9186630477375388</c:v>
                </c:pt>
                <c:pt idx="360">
                  <c:v>1.957513228930452</c:v>
                </c:pt>
                <c:pt idx="361">
                  <c:v>1.9212026700910769</c:v>
                </c:pt>
                <c:pt idx="362">
                  <c:v>2.0863786144528262</c:v>
                </c:pt>
                <c:pt idx="363">
                  <c:v>1.8661239362285755</c:v>
                </c:pt>
                <c:pt idx="364">
                  <c:v>1.839776057209292</c:v>
                </c:pt>
                <c:pt idx="365">
                  <c:v>2.1744322009629968</c:v>
                </c:pt>
                <c:pt idx="366">
                  <c:v>1.7180840759314719</c:v>
                </c:pt>
                <c:pt idx="367">
                  <c:v>1.5284940514312666</c:v>
                </c:pt>
                <c:pt idx="368">
                  <c:v>1.8984213715312421</c:v>
                </c:pt>
                <c:pt idx="369">
                  <c:v>1.5636504271790841</c:v>
                </c:pt>
                <c:pt idx="370">
                  <c:v>1.5986540196223586</c:v>
                </c:pt>
                <c:pt idx="371">
                  <c:v>1.8719470967291159</c:v>
                </c:pt>
                <c:pt idx="372">
                  <c:v>1.6285784672793397</c:v>
                </c:pt>
                <c:pt idx="373">
                  <c:v>1.4300490977972231</c:v>
                </c:pt>
                <c:pt idx="374">
                  <c:v>1.6230778060531179</c:v>
                </c:pt>
                <c:pt idx="375">
                  <c:v>1.5206043171861552</c:v>
                </c:pt>
                <c:pt idx="376">
                  <c:v>1.4421092020609763</c:v>
                </c:pt>
                <c:pt idx="377">
                  <c:v>1.4945465351719918</c:v>
                </c:pt>
                <c:pt idx="378">
                  <c:v>1.7659795994976548</c:v>
                </c:pt>
                <c:pt idx="379">
                  <c:v>1.6443854879652804</c:v>
                </c:pt>
                <c:pt idx="380">
                  <c:v>1.0920939974225234</c:v>
                </c:pt>
                <c:pt idx="381">
                  <c:v>1.4651758169645746</c:v>
                </c:pt>
                <c:pt idx="382">
                  <c:v>1.1179605987650802</c:v>
                </c:pt>
                <c:pt idx="383">
                  <c:v>1.1891064397660216</c:v>
                </c:pt>
                <c:pt idx="384">
                  <c:v>1.2735189996734562</c:v>
                </c:pt>
                <c:pt idx="385">
                  <c:v>0.98277081954859113</c:v>
                </c:pt>
                <c:pt idx="386">
                  <c:v>1.2136522916986792</c:v>
                </c:pt>
                <c:pt idx="387">
                  <c:v>1.4489599921889749</c:v>
                </c:pt>
                <c:pt idx="388">
                  <c:v>1.5283176409579369</c:v>
                </c:pt>
                <c:pt idx="389">
                  <c:v>0.94853616342624036</c:v>
                </c:pt>
                <c:pt idx="390">
                  <c:v>1.207750417109196</c:v>
                </c:pt>
                <c:pt idx="391">
                  <c:v>1.8141522185446775</c:v>
                </c:pt>
                <c:pt idx="392">
                  <c:v>1.8796419173592085</c:v>
                </c:pt>
                <c:pt idx="393">
                  <c:v>2.0305765007952914</c:v>
                </c:pt>
                <c:pt idx="394">
                  <c:v>1.5111424719531215</c:v>
                </c:pt>
                <c:pt idx="395">
                  <c:v>0.93014107684820146</c:v>
                </c:pt>
                <c:pt idx="396">
                  <c:v>0.75233482611287172</c:v>
                </c:pt>
                <c:pt idx="397">
                  <c:v>0.54936783534532196</c:v>
                </c:pt>
                <c:pt idx="398">
                  <c:v>0.61810207138950091</c:v>
                </c:pt>
                <c:pt idx="399">
                  <c:v>0.7411909612370664</c:v>
                </c:pt>
                <c:pt idx="400">
                  <c:v>0.67840137390021482</c:v>
                </c:pt>
                <c:pt idx="401">
                  <c:v>0.58640108572569716</c:v>
                </c:pt>
                <c:pt idx="402">
                  <c:v>0.54339652876598166</c:v>
                </c:pt>
                <c:pt idx="403">
                  <c:v>0.82327518531826627</c:v>
                </c:pt>
                <c:pt idx="404">
                  <c:v>0.78653999455679013</c:v>
                </c:pt>
                <c:pt idx="405">
                  <c:v>0.70532145904843446</c:v>
                </c:pt>
                <c:pt idx="406">
                  <c:v>0.87366254063022097</c:v>
                </c:pt>
                <c:pt idx="407">
                  <c:v>0.1305080265807419</c:v>
                </c:pt>
                <c:pt idx="408">
                  <c:v>9.0476886269470924E-2</c:v>
                </c:pt>
                <c:pt idx="409">
                  <c:v>-0.24471499407405872</c:v>
                </c:pt>
                <c:pt idx="410">
                  <c:v>6.1866123025595243E-2</c:v>
                </c:pt>
                <c:pt idx="411">
                  <c:v>-0.50726987670282142</c:v>
                </c:pt>
                <c:pt idx="412">
                  <c:v>-0.57221258298426392</c:v>
                </c:pt>
                <c:pt idx="413">
                  <c:v>-0.36643776073475465</c:v>
                </c:pt>
                <c:pt idx="414">
                  <c:v>-0.67166720727038864</c:v>
                </c:pt>
                <c:pt idx="415">
                  <c:v>-0.26927907054869138</c:v>
                </c:pt>
                <c:pt idx="416">
                  <c:v>-0.56823307195287498</c:v>
                </c:pt>
                <c:pt idx="417">
                  <c:v>-0.3415988435671693</c:v>
                </c:pt>
                <c:pt idx="418">
                  <c:v>-0.44547657262802431</c:v>
                </c:pt>
                <c:pt idx="419">
                  <c:v>-0.99077832278334199</c:v>
                </c:pt>
                <c:pt idx="420">
                  <c:v>-1.0630282737374159</c:v>
                </c:pt>
                <c:pt idx="421">
                  <c:v>-1.2404389647236371</c:v>
                </c:pt>
                <c:pt idx="422">
                  <c:v>-0.93600508372986724</c:v>
                </c:pt>
                <c:pt idx="423">
                  <c:v>-1.0073598941010573</c:v>
                </c:pt>
                <c:pt idx="424">
                  <c:v>-0.85444983648824291</c:v>
                </c:pt>
                <c:pt idx="425">
                  <c:v>-0.38089382488152523</c:v>
                </c:pt>
                <c:pt idx="426">
                  <c:v>-0.61834208205993946</c:v>
                </c:pt>
                <c:pt idx="427">
                  <c:v>-0.36795803237026803</c:v>
                </c:pt>
                <c:pt idx="428">
                  <c:v>-0.4591308444172455</c:v>
                </c:pt>
                <c:pt idx="429">
                  <c:v>-0.62464385213741025</c:v>
                </c:pt>
                <c:pt idx="430">
                  <c:v>-0.80074039184103185</c:v>
                </c:pt>
                <c:pt idx="431">
                  <c:v>-0.7081893781021904</c:v>
                </c:pt>
                <c:pt idx="432">
                  <c:v>-0.80265813969896271</c:v>
                </c:pt>
                <c:pt idx="433">
                  <c:v>-0.79228764132795959</c:v>
                </c:pt>
                <c:pt idx="434">
                  <c:v>-0.63000099644006013</c:v>
                </c:pt>
                <c:pt idx="435">
                  <c:v>-0.47357461745394858</c:v>
                </c:pt>
                <c:pt idx="436">
                  <c:v>-0.32281179594701825</c:v>
                </c:pt>
                <c:pt idx="437">
                  <c:v>-0.4914745949830035</c:v>
                </c:pt>
                <c:pt idx="438">
                  <c:v>-0.24114166280418203</c:v>
                </c:pt>
                <c:pt idx="439">
                  <c:v>-0.42276170014673653</c:v>
                </c:pt>
                <c:pt idx="440">
                  <c:v>1.3846677163598997E-2</c:v>
                </c:pt>
                <c:pt idx="441">
                  <c:v>-0.23381356666237707</c:v>
                </c:pt>
                <c:pt idx="442">
                  <c:v>-0.2021289170087357</c:v>
                </c:pt>
                <c:pt idx="443">
                  <c:v>-9.1725139375796516E-2</c:v>
                </c:pt>
                <c:pt idx="444">
                  <c:v>-0.55841271161528994</c:v>
                </c:pt>
                <c:pt idx="445">
                  <c:v>-0.31026102388699428</c:v>
                </c:pt>
                <c:pt idx="446">
                  <c:v>-0.61012161510495844</c:v>
                </c:pt>
                <c:pt idx="447">
                  <c:v>-0.22591404676160209</c:v>
                </c:pt>
                <c:pt idx="448">
                  <c:v>-0.39729846136054903</c:v>
                </c:pt>
                <c:pt idx="449">
                  <c:v>-0.14818007103923492</c:v>
                </c:pt>
                <c:pt idx="450">
                  <c:v>0.25993405049683815</c:v>
                </c:pt>
                <c:pt idx="451">
                  <c:v>0.22150437402905254</c:v>
                </c:pt>
                <c:pt idx="452">
                  <c:v>-0.47411213823659182</c:v>
                </c:pt>
                <c:pt idx="453">
                  <c:v>-0.36392550100708831</c:v>
                </c:pt>
                <c:pt idx="454">
                  <c:v>-0.24446574092939954</c:v>
                </c:pt>
                <c:pt idx="455">
                  <c:v>-8.6215082240983065E-2</c:v>
                </c:pt>
                <c:pt idx="456">
                  <c:v>-0.28512754405647911</c:v>
                </c:pt>
                <c:pt idx="457">
                  <c:v>-0.66920074590422018</c:v>
                </c:pt>
                <c:pt idx="458">
                  <c:v>-0.51121445606662519</c:v>
                </c:pt>
                <c:pt idx="459">
                  <c:v>-0.78923177729927829</c:v>
                </c:pt>
                <c:pt idx="460">
                  <c:v>-0.53276931084280932</c:v>
                </c:pt>
                <c:pt idx="461">
                  <c:v>-0.77587581009748874</c:v>
                </c:pt>
                <c:pt idx="462">
                  <c:v>-0.75998657813732962</c:v>
                </c:pt>
                <c:pt idx="463">
                  <c:v>-1.0056202801935683</c:v>
                </c:pt>
                <c:pt idx="464">
                  <c:v>-0.59345560310197243</c:v>
                </c:pt>
                <c:pt idx="465">
                  <c:v>-0.75541620197833481</c:v>
                </c:pt>
                <c:pt idx="466">
                  <c:v>-1.3581752525434467</c:v>
                </c:pt>
                <c:pt idx="467">
                  <c:v>-1.0420718299608325</c:v>
                </c:pt>
                <c:pt idx="468">
                  <c:v>-1.0432031024190564</c:v>
                </c:pt>
                <c:pt idx="469">
                  <c:v>-1.7094951149095436</c:v>
                </c:pt>
                <c:pt idx="470">
                  <c:v>-1.1236560611778827</c:v>
                </c:pt>
                <c:pt idx="471">
                  <c:v>-0.90389219305319557</c:v>
                </c:pt>
                <c:pt idx="472">
                  <c:v>-0.36957696270263796</c:v>
                </c:pt>
                <c:pt idx="473">
                  <c:v>-0.42490227259997937</c:v>
                </c:pt>
                <c:pt idx="474">
                  <c:v>-0.39123185128261184</c:v>
                </c:pt>
                <c:pt idx="475">
                  <c:v>-4.886964037098096E-2</c:v>
                </c:pt>
                <c:pt idx="476">
                  <c:v>-0.13892377392210165</c:v>
                </c:pt>
                <c:pt idx="477">
                  <c:v>-5.3031608904348104E-2</c:v>
                </c:pt>
                <c:pt idx="478">
                  <c:v>9.1990529887880257E-2</c:v>
                </c:pt>
                <c:pt idx="479">
                  <c:v>0.32594671636456951</c:v>
                </c:pt>
                <c:pt idx="480">
                  <c:v>0.43259663326358577</c:v>
                </c:pt>
                <c:pt idx="481">
                  <c:v>0.19408581013038884</c:v>
                </c:pt>
                <c:pt idx="482">
                  <c:v>0.51777762775628844</c:v>
                </c:pt>
                <c:pt idx="483">
                  <c:v>0.31532268523812945</c:v>
                </c:pt>
                <c:pt idx="484">
                  <c:v>0.50749067948294169</c:v>
                </c:pt>
                <c:pt idx="485">
                  <c:v>0.57994655894276548</c:v>
                </c:pt>
                <c:pt idx="486">
                  <c:v>0.51139816961745055</c:v>
                </c:pt>
                <c:pt idx="487">
                  <c:v>0.4117562934968646</c:v>
                </c:pt>
                <c:pt idx="488">
                  <c:v>0.56948334930302735</c:v>
                </c:pt>
                <c:pt idx="489">
                  <c:v>-0.17677172178503042</c:v>
                </c:pt>
                <c:pt idx="490">
                  <c:v>-0.26396839363559366</c:v>
                </c:pt>
                <c:pt idx="491">
                  <c:v>0.12784055673523653</c:v>
                </c:pt>
                <c:pt idx="492">
                  <c:v>-0.24772833700842511</c:v>
                </c:pt>
                <c:pt idx="493">
                  <c:v>-0.89845797078436362</c:v>
                </c:pt>
                <c:pt idx="494">
                  <c:v>-0.41691338926443677</c:v>
                </c:pt>
                <c:pt idx="495">
                  <c:v>-0.30158714242520546</c:v>
                </c:pt>
                <c:pt idx="496">
                  <c:v>-0.30156638428633187</c:v>
                </c:pt>
                <c:pt idx="497">
                  <c:v>-0.27132931546918826</c:v>
                </c:pt>
                <c:pt idx="498">
                  <c:v>-0.7420965154373107</c:v>
                </c:pt>
                <c:pt idx="499">
                  <c:v>-0.51883452492506876</c:v>
                </c:pt>
                <c:pt idx="500">
                  <c:v>-0.76333235869486771</c:v>
                </c:pt>
                <c:pt idx="501">
                  <c:v>-1.201740548727571</c:v>
                </c:pt>
                <c:pt idx="502">
                  <c:v>-0.78116211015407089</c:v>
                </c:pt>
                <c:pt idx="503">
                  <c:v>-0.88150627872778387</c:v>
                </c:pt>
                <c:pt idx="504">
                  <c:v>-0.91930006204745496</c:v>
                </c:pt>
                <c:pt idx="505">
                  <c:v>-0.78225458539935744</c:v>
                </c:pt>
                <c:pt idx="506">
                  <c:v>-0.68286312282390327</c:v>
                </c:pt>
                <c:pt idx="507">
                  <c:v>-0.55976176556072232</c:v>
                </c:pt>
                <c:pt idx="508">
                  <c:v>-0.6518941263663578</c:v>
                </c:pt>
                <c:pt idx="509">
                  <c:v>-1.0038819471252509</c:v>
                </c:pt>
                <c:pt idx="510">
                  <c:v>-0.57687403666926684</c:v>
                </c:pt>
                <c:pt idx="511">
                  <c:v>-0.78052957750344376</c:v>
                </c:pt>
                <c:pt idx="512">
                  <c:v>-1.4372462219160411</c:v>
                </c:pt>
                <c:pt idx="513">
                  <c:v>-0.88780164805456252</c:v>
                </c:pt>
                <c:pt idx="514">
                  <c:v>-1.039442020123829</c:v>
                </c:pt>
                <c:pt idx="515">
                  <c:v>-1.2619334248033738</c:v>
                </c:pt>
                <c:pt idx="516">
                  <c:v>-1.3719460187657546</c:v>
                </c:pt>
                <c:pt idx="517">
                  <c:v>-1.3271193527604623</c:v>
                </c:pt>
                <c:pt idx="518">
                  <c:v>-1.2098751262908536</c:v>
                </c:pt>
                <c:pt idx="519">
                  <c:v>-1.0589925796704165</c:v>
                </c:pt>
                <c:pt idx="520">
                  <c:v>-0.82327217658183827</c:v>
                </c:pt>
                <c:pt idx="521">
                  <c:v>-0.73747880798345022</c:v>
                </c:pt>
                <c:pt idx="522">
                  <c:v>-0.89268970817028048</c:v>
                </c:pt>
                <c:pt idx="523">
                  <c:v>-1.2783493360366265</c:v>
                </c:pt>
                <c:pt idx="524">
                  <c:v>-1.3472847910918517</c:v>
                </c:pt>
                <c:pt idx="525">
                  <c:v>-1.2599874533362936</c:v>
                </c:pt>
                <c:pt idx="526">
                  <c:v>-0.85384663604827438</c:v>
                </c:pt>
                <c:pt idx="527">
                  <c:v>-0.76848527683370094</c:v>
                </c:pt>
                <c:pt idx="528">
                  <c:v>-1.3507166814388256</c:v>
                </c:pt>
                <c:pt idx="529">
                  <c:v>-0.49810882607619078</c:v>
                </c:pt>
                <c:pt idx="530">
                  <c:v>-0.96301183571250704</c:v>
                </c:pt>
                <c:pt idx="531">
                  <c:v>-0.57434809973477741</c:v>
                </c:pt>
                <c:pt idx="532">
                  <c:v>-0.20077493275215375</c:v>
                </c:pt>
                <c:pt idx="533">
                  <c:v>-0.41720037479643679</c:v>
                </c:pt>
                <c:pt idx="534">
                  <c:v>-0.27463008562597224</c:v>
                </c:pt>
                <c:pt idx="535">
                  <c:v>-0.61229380052446913</c:v>
                </c:pt>
                <c:pt idx="536">
                  <c:v>-0.47344806622254509</c:v>
                </c:pt>
                <c:pt idx="537">
                  <c:v>-0.38829796457270049</c:v>
                </c:pt>
                <c:pt idx="538">
                  <c:v>-5.4375957927447871E-2</c:v>
                </c:pt>
                <c:pt idx="539">
                  <c:v>-0.12116183481873577</c:v>
                </c:pt>
                <c:pt idx="540">
                  <c:v>-0.2856120500665611</c:v>
                </c:pt>
                <c:pt idx="541">
                  <c:v>-0.15522300534667011</c:v>
                </c:pt>
                <c:pt idx="542">
                  <c:v>-0.15227325108884315</c:v>
                </c:pt>
                <c:pt idx="543">
                  <c:v>-0.24582832575384828</c:v>
                </c:pt>
                <c:pt idx="544">
                  <c:v>-0.23440239487706549</c:v>
                </c:pt>
                <c:pt idx="545">
                  <c:v>-0.25304664756413331</c:v>
                </c:pt>
                <c:pt idx="546">
                  <c:v>-0.47269516903639897</c:v>
                </c:pt>
                <c:pt idx="547">
                  <c:v>-0.28774151154425454</c:v>
                </c:pt>
                <c:pt idx="548">
                  <c:v>0.41887933318173509</c:v>
                </c:pt>
                <c:pt idx="549">
                  <c:v>-7.8123684112995306E-2</c:v>
                </c:pt>
                <c:pt idx="550">
                  <c:v>-0.59642656704374986</c:v>
                </c:pt>
                <c:pt idx="551">
                  <c:v>-0.92536556287956273</c:v>
                </c:pt>
                <c:pt idx="552">
                  <c:v>-0.90204066770343161</c:v>
                </c:pt>
                <c:pt idx="553">
                  <c:v>-1.0538765125594978</c:v>
                </c:pt>
                <c:pt idx="554">
                  <c:v>-0.90307987724617078</c:v>
                </c:pt>
                <c:pt idx="555">
                  <c:v>-0.72885984148717853</c:v>
                </c:pt>
                <c:pt idx="556">
                  <c:v>-0.45958702955493891</c:v>
                </c:pt>
                <c:pt idx="557">
                  <c:v>-0.68045617181797979</c:v>
                </c:pt>
                <c:pt idx="558">
                  <c:v>-0.21232958286623216</c:v>
                </c:pt>
                <c:pt idx="559">
                  <c:v>-0.57400696247839278</c:v>
                </c:pt>
                <c:pt idx="560">
                  <c:v>-9.604928395162915E-3</c:v>
                </c:pt>
                <c:pt idx="561">
                  <c:v>-0.43875518179578421</c:v>
                </c:pt>
                <c:pt idx="562">
                  <c:v>-4.9276875369230311E-2</c:v>
                </c:pt>
                <c:pt idx="563">
                  <c:v>-1.0363107310865871E-2</c:v>
                </c:pt>
                <c:pt idx="564">
                  <c:v>-4.9257022777453585E-2</c:v>
                </c:pt>
                <c:pt idx="565">
                  <c:v>-0.67331167827632044</c:v>
                </c:pt>
                <c:pt idx="566">
                  <c:v>-0.31466227906884114</c:v>
                </c:pt>
                <c:pt idx="567">
                  <c:v>-0.2526610539525791</c:v>
                </c:pt>
                <c:pt idx="568">
                  <c:v>6.4464521873787817E-2</c:v>
                </c:pt>
                <c:pt idx="569">
                  <c:v>0.35137656896802127</c:v>
                </c:pt>
                <c:pt idx="570">
                  <c:v>0.1972843472770478</c:v>
                </c:pt>
                <c:pt idx="571">
                  <c:v>-9.6397119367225059E-2</c:v>
                </c:pt>
                <c:pt idx="572">
                  <c:v>0.29578610407327233</c:v>
                </c:pt>
                <c:pt idx="573">
                  <c:v>0.2344886145667715</c:v>
                </c:pt>
                <c:pt idx="574">
                  <c:v>-0.10825188964946619</c:v>
                </c:pt>
                <c:pt idx="575">
                  <c:v>-0.40148535769696991</c:v>
                </c:pt>
                <c:pt idx="576">
                  <c:v>-0.25259808380627646</c:v>
                </c:pt>
                <c:pt idx="577">
                  <c:v>-0.29887154994781895</c:v>
                </c:pt>
                <c:pt idx="578">
                  <c:v>-7.2369386846219186E-2</c:v>
                </c:pt>
                <c:pt idx="579">
                  <c:v>-0.44258697237268052</c:v>
                </c:pt>
                <c:pt idx="580">
                  <c:v>-0.25760863265213629</c:v>
                </c:pt>
                <c:pt idx="581">
                  <c:v>-0.46291539620068534</c:v>
                </c:pt>
                <c:pt idx="582">
                  <c:v>-0.13922642853441403</c:v>
                </c:pt>
                <c:pt idx="583">
                  <c:v>-0.34491198221087416</c:v>
                </c:pt>
                <c:pt idx="584">
                  <c:v>0.1350524305869385</c:v>
                </c:pt>
                <c:pt idx="585">
                  <c:v>-0.30839229502538501</c:v>
                </c:pt>
                <c:pt idx="586">
                  <c:v>-0.30335160988431653</c:v>
                </c:pt>
                <c:pt idx="587">
                  <c:v>-0.27873231403771115</c:v>
                </c:pt>
                <c:pt idx="588">
                  <c:v>-0.93206385078980247</c:v>
                </c:pt>
                <c:pt idx="589">
                  <c:v>-0.29055612757400695</c:v>
                </c:pt>
                <c:pt idx="590">
                  <c:v>-0.31620120057829126</c:v>
                </c:pt>
                <c:pt idx="591">
                  <c:v>-0.26863759674751009</c:v>
                </c:pt>
                <c:pt idx="592">
                  <c:v>-0.35580649313283175</c:v>
                </c:pt>
                <c:pt idx="593">
                  <c:v>-2.3332067324133732E-2</c:v>
                </c:pt>
                <c:pt idx="594">
                  <c:v>-6.1861910300535783E-2</c:v>
                </c:pt>
                <c:pt idx="595">
                  <c:v>-0.91521658582843202</c:v>
                </c:pt>
                <c:pt idx="596">
                  <c:v>-1.3874770626067061</c:v>
                </c:pt>
                <c:pt idx="597">
                  <c:v>-0.27307490716356142</c:v>
                </c:pt>
                <c:pt idx="598">
                  <c:v>-0.19025911159843645</c:v>
                </c:pt>
                <c:pt idx="599">
                  <c:v>-0.53779293469631284</c:v>
                </c:pt>
                <c:pt idx="600">
                  <c:v>-0.76334936102438178</c:v>
                </c:pt>
                <c:pt idx="601">
                  <c:v>-0.13406652738467528</c:v>
                </c:pt>
                <c:pt idx="602">
                  <c:v>-0.47186471933349594</c:v>
                </c:pt>
                <c:pt idx="603">
                  <c:v>-0.69652600507868101</c:v>
                </c:pt>
                <c:pt idx="604">
                  <c:v>-0.93584802040845716</c:v>
                </c:pt>
                <c:pt idx="605">
                  <c:v>-0.52559848417575949</c:v>
                </c:pt>
                <c:pt idx="606">
                  <c:v>-0.86635321672815735</c:v>
                </c:pt>
                <c:pt idx="607">
                  <c:v>-0.30605243511831759</c:v>
                </c:pt>
                <c:pt idx="608">
                  <c:v>-0.67053172253929461</c:v>
                </c:pt>
                <c:pt idx="609">
                  <c:v>-0.6982768032019635</c:v>
                </c:pt>
                <c:pt idx="610">
                  <c:v>-0.70767981827964377</c:v>
                </c:pt>
                <c:pt idx="611">
                  <c:v>-0.80736087748340424</c:v>
                </c:pt>
                <c:pt idx="612">
                  <c:v>-0.85513611445418292</c:v>
                </c:pt>
                <c:pt idx="613">
                  <c:v>-0.66807209145719071</c:v>
                </c:pt>
                <c:pt idx="614">
                  <c:v>-1.0180175195118863</c:v>
                </c:pt>
                <c:pt idx="615">
                  <c:v>-0.75489761589972204</c:v>
                </c:pt>
                <c:pt idx="616">
                  <c:v>-0.65636686733546412</c:v>
                </c:pt>
                <c:pt idx="617">
                  <c:v>-0.72833614174544437</c:v>
                </c:pt>
                <c:pt idx="618">
                  <c:v>-1.1309684940670195E-2</c:v>
                </c:pt>
                <c:pt idx="619">
                  <c:v>7.6987009637093706E-2</c:v>
                </c:pt>
                <c:pt idx="620">
                  <c:v>3.0288911573393307E-2</c:v>
                </c:pt>
                <c:pt idx="621">
                  <c:v>0.24039659480484943</c:v>
                </c:pt>
                <c:pt idx="622">
                  <c:v>-0.20122523091555422</c:v>
                </c:pt>
                <c:pt idx="623">
                  <c:v>-0.66305352622521241</c:v>
                </c:pt>
                <c:pt idx="624">
                  <c:v>-0.53304757383870083</c:v>
                </c:pt>
                <c:pt idx="625">
                  <c:v>-0.59820236148448203</c:v>
                </c:pt>
                <c:pt idx="626">
                  <c:v>-0.31029502564490485</c:v>
                </c:pt>
                <c:pt idx="627">
                  <c:v>-0.25939393267560718</c:v>
                </c:pt>
                <c:pt idx="628">
                  <c:v>-0.46301042021718786</c:v>
                </c:pt>
                <c:pt idx="629">
                  <c:v>-0.10719850526987784</c:v>
                </c:pt>
                <c:pt idx="630">
                  <c:v>-0.3023908591077884</c:v>
                </c:pt>
                <c:pt idx="631">
                  <c:v>-0.61609825156222087</c:v>
                </c:pt>
                <c:pt idx="632">
                  <c:v>-1.1150151602686265</c:v>
                </c:pt>
                <c:pt idx="633">
                  <c:v>-0.83705471314311808</c:v>
                </c:pt>
                <c:pt idx="634">
                  <c:v>-0.89089534950619509</c:v>
                </c:pt>
                <c:pt idx="635">
                  <c:v>-0.54487088092173508</c:v>
                </c:pt>
                <c:pt idx="636">
                  <c:v>-0.98708373917793324</c:v>
                </c:pt>
                <c:pt idx="637">
                  <c:v>-0.58445733746640371</c:v>
                </c:pt>
                <c:pt idx="638">
                  <c:v>-0.68869723773281066</c:v>
                </c:pt>
                <c:pt idx="639">
                  <c:v>-0.84001495540616133</c:v>
                </c:pt>
                <c:pt idx="640">
                  <c:v>-0.62577867905361018</c:v>
                </c:pt>
                <c:pt idx="641">
                  <c:v>-0.49218557474904401</c:v>
                </c:pt>
                <c:pt idx="642">
                  <c:v>-1.0295967392296461</c:v>
                </c:pt>
                <c:pt idx="643">
                  <c:v>-0.87125974777762849</c:v>
                </c:pt>
                <c:pt idx="644">
                  <c:v>-0.22240154606004126</c:v>
                </c:pt>
                <c:pt idx="645">
                  <c:v>-0.41659421787903739</c:v>
                </c:pt>
                <c:pt idx="646">
                  <c:v>-0.87265974381807609</c:v>
                </c:pt>
                <c:pt idx="647">
                  <c:v>-0.78878839417814106</c:v>
                </c:pt>
                <c:pt idx="648">
                  <c:v>-0.83322614201034639</c:v>
                </c:pt>
                <c:pt idx="649">
                  <c:v>-0.63282462987478993</c:v>
                </c:pt>
                <c:pt idx="650">
                  <c:v>-0.78921764908574232</c:v>
                </c:pt>
                <c:pt idx="651">
                  <c:v>-0.31276025633513882</c:v>
                </c:pt>
                <c:pt idx="652">
                  <c:v>-0.28067709892707171</c:v>
                </c:pt>
                <c:pt idx="653">
                  <c:v>-0.13930888419849907</c:v>
                </c:pt>
                <c:pt idx="654">
                  <c:v>0.28105506174489392</c:v>
                </c:pt>
                <c:pt idx="655">
                  <c:v>-0.15666599542322501</c:v>
                </c:pt>
                <c:pt idx="656">
                  <c:v>-0.49002660434837253</c:v>
                </c:pt>
                <c:pt idx="657">
                  <c:v>0.50363348772680183</c:v>
                </c:pt>
                <c:pt idx="658">
                  <c:v>-7.4650848855071672E-2</c:v>
                </c:pt>
                <c:pt idx="659">
                  <c:v>-0.13292673532095023</c:v>
                </c:pt>
                <c:pt idx="660">
                  <c:v>-0.15958329379583347</c:v>
                </c:pt>
                <c:pt idx="661">
                  <c:v>-0.5714005923031209</c:v>
                </c:pt>
                <c:pt idx="662">
                  <c:v>-0.2999408476198937</c:v>
                </c:pt>
                <c:pt idx="663">
                  <c:v>-0.27570226551199539</c:v>
                </c:pt>
                <c:pt idx="664">
                  <c:v>4.2336557901876404E-3</c:v>
                </c:pt>
                <c:pt idx="665">
                  <c:v>-2.6616940123972199E-2</c:v>
                </c:pt>
                <c:pt idx="666">
                  <c:v>-0.67847180482328895</c:v>
                </c:pt>
                <c:pt idx="667">
                  <c:v>-0.15819694902353376</c:v>
                </c:pt>
                <c:pt idx="668">
                  <c:v>0.27622363140852713</c:v>
                </c:pt>
                <c:pt idx="669">
                  <c:v>0.18773648737783333</c:v>
                </c:pt>
                <c:pt idx="670">
                  <c:v>0.14723334015332057</c:v>
                </c:pt>
                <c:pt idx="671">
                  <c:v>-0.65318978241845116</c:v>
                </c:pt>
                <c:pt idx="672">
                  <c:v>-0.58206515153619875</c:v>
                </c:pt>
                <c:pt idx="673">
                  <c:v>-0.78610126068610953</c:v>
                </c:pt>
                <c:pt idx="674">
                  <c:v>-0.57678875210871183</c:v>
                </c:pt>
                <c:pt idx="675">
                  <c:v>-0.4647689806435551</c:v>
                </c:pt>
                <c:pt idx="676">
                  <c:v>-0.25698029544719247</c:v>
                </c:pt>
                <c:pt idx="677">
                  <c:v>-0.34004970200408025</c:v>
                </c:pt>
                <c:pt idx="678">
                  <c:v>-0.70412337734626362</c:v>
                </c:pt>
                <c:pt idx="679">
                  <c:v>-0.35585260857862977</c:v>
                </c:pt>
                <c:pt idx="680">
                  <c:v>0.15634916121081233</c:v>
                </c:pt>
                <c:pt idx="681">
                  <c:v>0.16571478107420035</c:v>
                </c:pt>
                <c:pt idx="682">
                  <c:v>-0.52700717679306308</c:v>
                </c:pt>
                <c:pt idx="683">
                  <c:v>-0.3595775354706916</c:v>
                </c:pt>
                <c:pt idx="684">
                  <c:v>-1.0406717152310989</c:v>
                </c:pt>
                <c:pt idx="685">
                  <c:v>-0.93692663502378082</c:v>
                </c:pt>
                <c:pt idx="686">
                  <c:v>-0.19976136255235133</c:v>
                </c:pt>
                <c:pt idx="687">
                  <c:v>0.29003959827014114</c:v>
                </c:pt>
                <c:pt idx="688">
                  <c:v>0.58568104736053783</c:v>
                </c:pt>
                <c:pt idx="689">
                  <c:v>0.20039283016097897</c:v>
                </c:pt>
                <c:pt idx="690">
                  <c:v>0.88410034417620409</c:v>
                </c:pt>
                <c:pt idx="691">
                  <c:v>0.71412900260821743</c:v>
                </c:pt>
                <c:pt idx="692">
                  <c:v>2.0041058828215341</c:v>
                </c:pt>
                <c:pt idx="693">
                  <c:v>1.4513183837405563</c:v>
                </c:pt>
                <c:pt idx="694">
                  <c:v>1.3163715362971971</c:v>
                </c:pt>
                <c:pt idx="695">
                  <c:v>0.25164805867507312</c:v>
                </c:pt>
                <c:pt idx="696">
                  <c:v>-8.1671010661295895E-2</c:v>
                </c:pt>
                <c:pt idx="697">
                  <c:v>0.28984917997001958</c:v>
                </c:pt>
                <c:pt idx="698">
                  <c:v>0.73486133349695137</c:v>
                </c:pt>
                <c:pt idx="699">
                  <c:v>1.4024374047434094</c:v>
                </c:pt>
                <c:pt idx="700">
                  <c:v>0.95592573488931976</c:v>
                </c:pt>
                <c:pt idx="701">
                  <c:v>1.3284126281137105</c:v>
                </c:pt>
                <c:pt idx="702">
                  <c:v>1.0698952525528966</c:v>
                </c:pt>
                <c:pt idx="703">
                  <c:v>0.62415235660682811</c:v>
                </c:pt>
                <c:pt idx="704">
                  <c:v>1.0919104261774919</c:v>
                </c:pt>
                <c:pt idx="705">
                  <c:v>1.4069756909905777</c:v>
                </c:pt>
                <c:pt idx="706">
                  <c:v>1.1398100329045064</c:v>
                </c:pt>
                <c:pt idx="707">
                  <c:v>0.65293931917653936</c:v>
                </c:pt>
                <c:pt idx="708">
                  <c:v>0.61740143919740831</c:v>
                </c:pt>
                <c:pt idx="709">
                  <c:v>0.24670281918594128</c:v>
                </c:pt>
                <c:pt idx="710">
                  <c:v>0.56956773660709814</c:v>
                </c:pt>
                <c:pt idx="711">
                  <c:v>0.62492499721082595</c:v>
                </c:pt>
                <c:pt idx="712">
                  <c:v>0.84626609125086816</c:v>
                </c:pt>
                <c:pt idx="713">
                  <c:v>0.99653417383257192</c:v>
                </c:pt>
                <c:pt idx="714">
                  <c:v>0.45579798762895507</c:v>
                </c:pt>
                <c:pt idx="715">
                  <c:v>0.50805100465078112</c:v>
                </c:pt>
                <c:pt idx="716">
                  <c:v>0.12359026357870562</c:v>
                </c:pt>
                <c:pt idx="717">
                  <c:v>0.47650829228587099</c:v>
                </c:pt>
                <c:pt idx="718">
                  <c:v>0.57712382355714453</c:v>
                </c:pt>
                <c:pt idx="719">
                  <c:v>2.8105873723234254E-2</c:v>
                </c:pt>
                <c:pt idx="720">
                  <c:v>0.15034918310141165</c:v>
                </c:pt>
                <c:pt idx="721">
                  <c:v>0.23743175244726444</c:v>
                </c:pt>
                <c:pt idx="722">
                  <c:v>0.58814943376250994</c:v>
                </c:pt>
                <c:pt idx="723">
                  <c:v>1.2412878837235439</c:v>
                </c:pt>
                <c:pt idx="724">
                  <c:v>0.99048174165773162</c:v>
                </c:pt>
                <c:pt idx="725">
                  <c:v>1.5285310135966483</c:v>
                </c:pt>
                <c:pt idx="726">
                  <c:v>1.4355760167503604</c:v>
                </c:pt>
                <c:pt idx="727">
                  <c:v>0.91582494673997417</c:v>
                </c:pt>
                <c:pt idx="728">
                  <c:v>0.99914539502515254</c:v>
                </c:pt>
                <c:pt idx="729">
                  <c:v>1.659916187626493</c:v>
                </c:pt>
                <c:pt idx="730">
                  <c:v>1.3083129082550613</c:v>
                </c:pt>
                <c:pt idx="731">
                  <c:v>0.62714772231532834</c:v>
                </c:pt>
                <c:pt idx="732">
                  <c:v>0.77717222105070505</c:v>
                </c:pt>
                <c:pt idx="733">
                  <c:v>0.84203597975391631</c:v>
                </c:pt>
                <c:pt idx="734">
                  <c:v>0.67060642496323908</c:v>
                </c:pt>
                <c:pt idx="735">
                  <c:v>1.051526064281461</c:v>
                </c:pt>
                <c:pt idx="736">
                  <c:v>1.2485726861098101</c:v>
                </c:pt>
                <c:pt idx="737">
                  <c:v>1.6144031474059943</c:v>
                </c:pt>
                <c:pt idx="738">
                  <c:v>1.4992293399169512</c:v>
                </c:pt>
                <c:pt idx="739">
                  <c:v>1.0509496653289148</c:v>
                </c:pt>
                <c:pt idx="740">
                  <c:v>1.2820452240381996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13F-4A67-9E7E-B2B85169E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18479"/>
        <c:axId val="1155212495"/>
      </c:barChart>
      <c:dateAx>
        <c:axId val="1160118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5212495"/>
        <c:crosses val="autoZero"/>
        <c:auto val="1"/>
        <c:lblOffset val="100"/>
        <c:baseTimeUnit val="months"/>
      </c:dateAx>
      <c:valAx>
        <c:axId val="1155212495"/>
        <c:scaling>
          <c:orientation val="minMax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011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'指数+定数モデル'!$H$1</c:f>
              <c:strCache>
                <c:ptCount val="1"/>
                <c:pt idx="0">
                  <c:v>T(d)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'指数+定数モデル'!$H$2:$H$942</c:f>
              <c:numCache>
                <c:formatCode>0.00_ ;[Red]\-0.00\ </c:formatCode>
                <c:ptCount val="941"/>
                <c:pt idx="0">
                  <c:v>313.71532610403119</c:v>
                </c:pt>
                <c:pt idx="1">
                  <c:v>313.7931394106717</c:v>
                </c:pt>
                <c:pt idx="2">
                  <c:v>313.86854690946114</c:v>
                </c:pt>
                <c:pt idx="3">
                  <c:v>314.02219244786505</c:v>
                </c:pt>
                <c:pt idx="4">
                  <c:v>314.10043775438589</c:v>
                </c:pt>
                <c:pt idx="5">
                  <c:v>314.17879321297698</c:v>
                </c:pt>
                <c:pt idx="6">
                  <c:v>314.33329876405867</c:v>
                </c:pt>
                <c:pt idx="7">
                  <c:v>314.409442141108</c:v>
                </c:pt>
                <c:pt idx="8">
                  <c:v>314.48823260947046</c:v>
                </c:pt>
                <c:pt idx="9">
                  <c:v>314.56713399737032</c:v>
                </c:pt>
                <c:pt idx="10">
                  <c:v>314.63849523467536</c:v>
                </c:pt>
                <c:pt idx="11">
                  <c:v>314.71760815908755</c:v>
                </c:pt>
                <c:pt idx="12">
                  <c:v>314.79427509446657</c:v>
                </c:pt>
                <c:pt idx="13">
                  <c:v>314.87360732243593</c:v>
                </c:pt>
                <c:pt idx="14">
                  <c:v>314.95048678101239</c:v>
                </c:pt>
                <c:pt idx="15">
                  <c:v>315.03003892045541</c:v>
                </c:pt>
                <c:pt idx="16">
                  <c:v>315.10970305170014</c:v>
                </c:pt>
                <c:pt idx="17">
                  <c:v>315.18690415186865</c:v>
                </c:pt>
                <c:pt idx="18">
                  <c:v>315.26678911463358</c:v>
                </c:pt>
                <c:pt idx="19">
                  <c:v>315.3442042187213</c:v>
                </c:pt>
                <c:pt idx="20">
                  <c:v>315.4243106251584</c:v>
                </c:pt>
                <c:pt idx="21">
                  <c:v>315.50452980368243</c:v>
                </c:pt>
                <c:pt idx="22">
                  <c:v>315.57967578532123</c:v>
                </c:pt>
                <c:pt idx="23">
                  <c:v>315.66011368359716</c:v>
                </c:pt>
                <c:pt idx="24">
                  <c:v>315.73806462770614</c:v>
                </c:pt>
                <c:pt idx="25">
                  <c:v>315.81872550240928</c:v>
                </c:pt>
                <c:pt idx="26">
                  <c:v>315.89689252902883</c:v>
                </c:pt>
                <c:pt idx="27">
                  <c:v>315.9777769982569</c:v>
                </c:pt>
                <c:pt idx="28">
                  <c:v>316.05877533491196</c:v>
                </c:pt>
                <c:pt idx="29">
                  <c:v>316.13726938993881</c:v>
                </c:pt>
                <c:pt idx="30">
                  <c:v>316.21849225657417</c:v>
                </c:pt>
                <c:pt idx="31">
                  <c:v>316.29720389963251</c:v>
                </c:pt>
                <c:pt idx="32">
                  <c:v>316.37865191865239</c:v>
                </c:pt>
                <c:pt idx="33">
                  <c:v>316.46021459845269</c:v>
                </c:pt>
                <c:pt idx="34">
                  <c:v>316.53398280333971</c:v>
                </c:pt>
                <c:pt idx="35">
                  <c:v>316.61576415463963</c:v>
                </c:pt>
                <c:pt idx="36">
                  <c:v>316.69501701530572</c:v>
                </c:pt>
                <c:pt idx="37">
                  <c:v>316.77702506712757</c:v>
                </c:pt>
                <c:pt idx="38">
                  <c:v>316.85649761925868</c:v>
                </c:pt>
                <c:pt idx="39">
                  <c:v>316.93873300002355</c:v>
                </c:pt>
                <c:pt idx="40">
                  <c:v>317.02108414999981</c:v>
                </c:pt>
                <c:pt idx="41">
                  <c:v>317.10088919248233</c:v>
                </c:pt>
                <c:pt idx="42">
                  <c:v>317.18346862248069</c:v>
                </c:pt>
                <c:pt idx="43">
                  <c:v>317.26349488709377</c:v>
                </c:pt>
                <c:pt idx="44">
                  <c:v>317.3463032299137</c:v>
                </c:pt>
                <c:pt idx="45">
                  <c:v>317.42922814854887</c:v>
                </c:pt>
                <c:pt idx="46">
                  <c:v>317.50422841096162</c:v>
                </c:pt>
                <c:pt idx="47">
                  <c:v>317.58737565329136</c:v>
                </c:pt>
                <c:pt idx="48">
                  <c:v>317.66795217478909</c:v>
                </c:pt>
                <c:pt idx="49">
                  <c:v>317.75132990393433</c:v>
                </c:pt>
                <c:pt idx="50">
                  <c:v>317.83212978612715</c:v>
                </c:pt>
                <c:pt idx="51">
                  <c:v>317.91573864100479</c:v>
                </c:pt>
                <c:pt idx="52">
                  <c:v>317.99946519864142</c:v>
                </c:pt>
                <c:pt idx="53">
                  <c:v>318.08060312435367</c:v>
                </c:pt>
                <c:pt idx="54">
                  <c:v>318.16456177468638</c:v>
                </c:pt>
                <c:pt idx="55">
                  <c:v>318.24592461732425</c:v>
                </c:pt>
                <c:pt idx="56">
                  <c:v>318.3301160037214</c:v>
                </c:pt>
                <c:pt idx="57">
                  <c:v>318.41442591295294</c:v>
                </c:pt>
                <c:pt idx="58">
                  <c:v>318.49067881039844</c:v>
                </c:pt>
                <c:pt idx="59">
                  <c:v>318.5752147565176</c:v>
                </c:pt>
                <c:pt idx="60">
                  <c:v>318.65713704628854</c:v>
                </c:pt>
                <c:pt idx="61">
                  <c:v>318.74190732875456</c:v>
                </c:pt>
                <c:pt idx="62">
                  <c:v>318.82405670973338</c:v>
                </c:pt>
                <c:pt idx="63">
                  <c:v>318.9090619781341</c:v>
                </c:pt>
                <c:pt idx="64">
                  <c:v>318.99418691513483</c:v>
                </c:pt>
                <c:pt idx="65">
                  <c:v>319.07667998554876</c:v>
                </c:pt>
                <c:pt idx="66">
                  <c:v>319.162040891598</c:v>
                </c:pt>
                <c:pt idx="67">
                  <c:v>319.24476263544193</c:v>
                </c:pt>
                <c:pt idx="68">
                  <c:v>319.33036016465331</c:v>
                </c:pt>
                <c:pt idx="69">
                  <c:v>319.66562133280149</c:v>
                </c:pt>
                <c:pt idx="70">
                  <c:v>319.75181133789221</c:v>
                </c:pt>
                <c:pt idx="71">
                  <c:v>319.83533654694878</c:v>
                </c:pt>
                <c:pt idx="72">
                  <c:v>319.92176547349078</c:v>
                </c:pt>
                <c:pt idx="73">
                  <c:v>320.00831607282828</c:v>
                </c:pt>
                <c:pt idx="74">
                  <c:v>320.09219072738978</c:v>
                </c:pt>
                <c:pt idx="75">
                  <c:v>320.17898124775729</c:v>
                </c:pt>
                <c:pt idx="76">
                  <c:v>320.26308840554441</c:v>
                </c:pt>
                <c:pt idx="77">
                  <c:v>320.35011951201068</c:v>
                </c:pt>
                <c:pt idx="78">
                  <c:v>320.4372731390086</c:v>
                </c:pt>
                <c:pt idx="79">
                  <c:v>320.51609799651413</c:v>
                </c:pt>
                <c:pt idx="80">
                  <c:v>320.60348528447514</c:v>
                </c:pt>
                <c:pt idx="81">
                  <c:v>320.688170759179</c:v>
                </c:pt>
                <c:pt idx="82">
                  <c:v>320.77580028749765</c:v>
                </c:pt>
                <c:pt idx="83">
                  <c:v>320.86072051304643</c:v>
                </c:pt>
                <c:pt idx="84">
                  <c:v>320.94859295322078</c:v>
                </c:pt>
                <c:pt idx="85">
                  <c:v>321.03658909833831</c:v>
                </c:pt>
                <c:pt idx="86">
                  <c:v>321.12186460574071</c:v>
                </c:pt>
                <c:pt idx="87">
                  <c:v>321.21010467898742</c:v>
                </c:pt>
                <c:pt idx="88">
                  <c:v>321.2956165728242</c:v>
                </c:pt>
                <c:pt idx="89">
                  <c:v>321.38410125037666</c:v>
                </c:pt>
                <c:pt idx="90">
                  <c:v>321.47271049476706</c:v>
                </c:pt>
                <c:pt idx="91">
                  <c:v>321.55285186470576</c:v>
                </c:pt>
                <c:pt idx="92">
                  <c:v>321.64169867260438</c:v>
                </c:pt>
                <c:pt idx="93">
                  <c:v>321.72779854225786</c:v>
                </c:pt>
                <c:pt idx="94">
                  <c:v>321.81689163635008</c:v>
                </c:pt>
                <c:pt idx="95">
                  <c:v>321.90323017759653</c:v>
                </c:pt>
                <c:pt idx="96">
                  <c:v>321.99257024059551</c:v>
                </c:pt>
                <c:pt idx="97">
                  <c:v>322.08203607462582</c:v>
                </c:pt>
                <c:pt idx="98">
                  <c:v>322.16873583155171</c:v>
                </c:pt>
                <c:pt idx="99">
                  <c:v>322.25844966773587</c:v>
                </c:pt>
                <c:pt idx="100">
                  <c:v>322.34538975916143</c:v>
                </c:pt>
                <c:pt idx="101">
                  <c:v>322.43535228496927</c:v>
                </c:pt>
                <c:pt idx="102">
                  <c:v>322.52544145809827</c:v>
                </c:pt>
                <c:pt idx="103">
                  <c:v>322.6069213285212</c:v>
                </c:pt>
                <c:pt idx="104">
                  <c:v>322.69725203288283</c:v>
                </c:pt>
                <c:pt idx="105">
                  <c:v>322.78478992034547</c:v>
                </c:pt>
                <c:pt idx="106">
                  <c:v>322.87537102430923</c:v>
                </c:pt>
                <c:pt idx="107">
                  <c:v>322.96315156959616</c:v>
                </c:pt>
                <c:pt idx="108">
                  <c:v>323.0539837672776</c:v>
                </c:pt>
                <c:pt idx="109">
                  <c:v>323.14494383658564</c:v>
                </c:pt>
                <c:pt idx="110">
                  <c:v>323.23309163048327</c:v>
                </c:pt>
                <c:pt idx="111">
                  <c:v>323.32430384401312</c:v>
                </c:pt>
                <c:pt idx="112">
                  <c:v>323.41269598641503</c:v>
                </c:pt>
                <c:pt idx="113">
                  <c:v>323.50416104311864</c:v>
                </c:pt>
                <c:pt idx="114">
                  <c:v>323.59575486237418</c:v>
                </c:pt>
                <c:pt idx="115">
                  <c:v>323.6815561331756</c:v>
                </c:pt>
                <c:pt idx="116">
                  <c:v>323.77339968544754</c:v>
                </c:pt>
                <c:pt idx="117">
                  <c:v>323.8624036470548</c:v>
                </c:pt>
                <c:pt idx="118">
                  <c:v>323.9545017925916</c:v>
                </c:pt>
                <c:pt idx="119">
                  <c:v>324.04375247602752</c:v>
                </c:pt>
                <c:pt idx="120">
                  <c:v>324.13610592056995</c:v>
                </c:pt>
                <c:pt idx="121">
                  <c:v>324.22858937831768</c:v>
                </c:pt>
                <c:pt idx="122">
                  <c:v>324.31821346100025</c:v>
                </c:pt>
                <c:pt idx="123">
                  <c:v>324.41095328585135</c:v>
                </c:pt>
                <c:pt idx="124">
                  <c:v>324.50082580935816</c:v>
                </c:pt>
                <c:pt idx="125">
                  <c:v>324.59382271197035</c:v>
                </c:pt>
                <c:pt idx="126">
                  <c:v>324.68695053363444</c:v>
                </c:pt>
                <c:pt idx="127">
                  <c:v>324.77117866647683</c:v>
                </c:pt>
                <c:pt idx="128">
                  <c:v>324.86455616606315</c:v>
                </c:pt>
                <c:pt idx="129">
                  <c:v>324.95504664887409</c:v>
                </c:pt>
                <c:pt idx="130">
                  <c:v>325.0486829938763</c:v>
                </c:pt>
                <c:pt idx="131">
                  <c:v>325.13942431920032</c:v>
                </c:pt>
                <c:pt idx="132">
                  <c:v>325.23332022714624</c:v>
                </c:pt>
                <c:pt idx="133">
                  <c:v>325.32734831974449</c:v>
                </c:pt>
                <c:pt idx="134">
                  <c:v>325.41846928073312</c:v>
                </c:pt>
                <c:pt idx="135">
                  <c:v>325.51275802221193</c:v>
                </c:pt>
                <c:pt idx="136">
                  <c:v>325.60413157341918</c:v>
                </c:pt>
                <c:pt idx="137">
                  <c:v>325.69868168630558</c:v>
                </c:pt>
                <c:pt idx="138">
                  <c:v>325.79336490482018</c:v>
                </c:pt>
                <c:pt idx="139">
                  <c:v>325.87899979420632</c:v>
                </c:pt>
                <c:pt idx="140">
                  <c:v>325.97393686069938</c:v>
                </c:pt>
                <c:pt idx="141">
                  <c:v>326.06593869220762</c:v>
                </c:pt>
                <c:pt idx="142">
                  <c:v>326.16113892728589</c:v>
                </c:pt>
                <c:pt idx="143">
                  <c:v>326.25339579081412</c:v>
                </c:pt>
                <c:pt idx="144">
                  <c:v>326.34885992398938</c:v>
                </c:pt>
                <c:pt idx="145">
                  <c:v>326.44445844953106</c:v>
                </c:pt>
                <c:pt idx="146">
                  <c:v>326.53710128930072</c:v>
                </c:pt>
                <c:pt idx="147">
                  <c:v>326.63296481701332</c:v>
                </c:pt>
                <c:pt idx="148">
                  <c:v>326.72586446569841</c:v>
                </c:pt>
                <c:pt idx="149">
                  <c:v>326.8219937301763</c:v>
                </c:pt>
                <c:pt idx="150">
                  <c:v>326.91825832337815</c:v>
                </c:pt>
                <c:pt idx="151">
                  <c:v>327.00532346459306</c:v>
                </c:pt>
                <c:pt idx="152">
                  <c:v>327.10184614547688</c:v>
                </c:pt>
                <c:pt idx="153">
                  <c:v>327.19538456783846</c:v>
                </c:pt>
                <c:pt idx="154">
                  <c:v>327.29217481268142</c:v>
                </c:pt>
                <c:pt idx="155">
                  <c:v>327.38597252654199</c:v>
                </c:pt>
                <c:pt idx="156">
                  <c:v>327.48303107703975</c:v>
                </c:pt>
                <c:pt idx="157">
                  <c:v>327.58022626449053</c:v>
                </c:pt>
                <c:pt idx="158">
                  <c:v>327.67441640106824</c:v>
                </c:pt>
                <c:pt idx="159">
                  <c:v>327.77188101668776</c:v>
                </c:pt>
                <c:pt idx="160">
                  <c:v>327.8663322513371</c:v>
                </c:pt>
                <c:pt idx="161">
                  <c:v>327.96406704198898</c:v>
                </c:pt>
                <c:pt idx="162">
                  <c:v>328.06193942159024</c:v>
                </c:pt>
                <c:pt idx="163">
                  <c:v>328.15362218593395</c:v>
                </c:pt>
                <c:pt idx="164">
                  <c:v>328.25176141721556</c:v>
                </c:pt>
                <c:pt idx="165">
                  <c:v>328.34686640996773</c:v>
                </c:pt>
                <c:pt idx="166">
                  <c:v>328.44527768633782</c:v>
                </c:pt>
                <c:pt idx="167">
                  <c:v>328.54064631317215</c:v>
                </c:pt>
                <c:pt idx="168">
                  <c:v>328.63933038874848</c:v>
                </c:pt>
                <c:pt idx="169">
                  <c:v>328.73815338965721</c:v>
                </c:pt>
                <c:pt idx="170">
                  <c:v>328.83392101145768</c:v>
                </c:pt>
                <c:pt idx="171">
                  <c:v>328.93301795288619</c:v>
                </c:pt>
                <c:pt idx="172">
                  <c:v>329.02905104559784</c:v>
                </c:pt>
                <c:pt idx="173">
                  <c:v>329.12842268691799</c:v>
                </c:pt>
                <c:pt idx="174">
                  <c:v>329.22793422151096</c:v>
                </c:pt>
                <c:pt idx="175">
                  <c:v>329.31793601265417</c:v>
                </c:pt>
                <c:pt idx="176">
                  <c:v>329.41771434005676</c:v>
                </c:pt>
                <c:pt idx="177">
                  <c:v>329.51440775186069</c:v>
                </c:pt>
                <c:pt idx="178">
                  <c:v>329.61446266797861</c:v>
                </c:pt>
                <c:pt idx="179">
                  <c:v>329.71142411701328</c:v>
                </c:pt>
                <c:pt idx="180">
                  <c:v>329.81175638855927</c:v>
                </c:pt>
                <c:pt idx="181">
                  <c:v>329.91222990573294</c:v>
                </c:pt>
                <c:pt idx="182">
                  <c:v>330.00959701364462</c:v>
                </c:pt>
                <c:pt idx="183">
                  <c:v>330.11034904662182</c:v>
                </c:pt>
                <c:pt idx="184">
                  <c:v>330.20798605927132</c:v>
                </c:pt>
                <c:pt idx="185">
                  <c:v>330.30901738010687</c:v>
                </c:pt>
                <c:pt idx="186">
                  <c:v>330.41019093067666</c:v>
                </c:pt>
                <c:pt idx="187">
                  <c:v>330.50169590851505</c:v>
                </c:pt>
                <c:pt idx="188">
                  <c:v>330.60314070779913</c:v>
                </c:pt>
                <c:pt idx="189">
                  <c:v>330.70144906802011</c:v>
                </c:pt>
                <c:pt idx="190">
                  <c:v>330.80317507553281</c:v>
                </c:pt>
                <c:pt idx="191">
                  <c:v>330.90175594967309</c:v>
                </c:pt>
                <c:pt idx="192">
                  <c:v>331.00376394493281</c:v>
                </c:pt>
                <c:pt idx="193">
                  <c:v>331.10591554486803</c:v>
                </c:pt>
                <c:pt idx="194">
                  <c:v>331.20490885309528</c:v>
                </c:pt>
                <c:pt idx="195">
                  <c:v>331.30734362053329</c:v>
                </c:pt>
                <c:pt idx="196">
                  <c:v>331.4066113413777</c:v>
                </c:pt>
                <c:pt idx="197">
                  <c:v>331.50933006126775</c:v>
                </c:pt>
                <c:pt idx="198">
                  <c:v>331.6121933863763</c:v>
                </c:pt>
                <c:pt idx="199">
                  <c:v>331.70522665674628</c:v>
                </c:pt>
                <c:pt idx="200">
                  <c:v>331.80836576089519</c:v>
                </c:pt>
                <c:pt idx="201">
                  <c:v>331.90831604198496</c:v>
                </c:pt>
                <c:pt idx="202">
                  <c:v>332.0117410510299</c:v>
                </c:pt>
                <c:pt idx="203">
                  <c:v>332.11196839749618</c:v>
                </c:pt>
                <c:pt idx="204">
                  <c:v>332.21568010397453</c:v>
                </c:pt>
                <c:pt idx="205">
                  <c:v>332.31953781357674</c:v>
                </c:pt>
                <c:pt idx="206">
                  <c:v>332.4201844824978</c:v>
                </c:pt>
                <c:pt idx="207">
                  <c:v>332.52433008899334</c:v>
                </c:pt>
                <c:pt idx="208">
                  <c:v>332.62525575370017</c:v>
                </c:pt>
                <c:pt idx="209">
                  <c:v>332.72969005514841</c:v>
                </c:pt>
                <c:pt idx="210">
                  <c:v>332.83427137697419</c:v>
                </c:pt>
                <c:pt idx="211">
                  <c:v>332.93223879865906</c:v>
                </c:pt>
                <c:pt idx="212">
                  <c:v>333.03710526427693</c:v>
                </c:pt>
                <c:pt idx="213">
                  <c:v>333.13872950080588</c:v>
                </c:pt>
                <c:pt idx="214">
                  <c:v>333.24388665962107</c:v>
                </c:pt>
                <c:pt idx="215">
                  <c:v>333.34579260178452</c:v>
                </c:pt>
                <c:pt idx="216">
                  <c:v>333.45124125960774</c:v>
                </c:pt>
                <c:pt idx="217">
                  <c:v>333.55683836579772</c:v>
                </c:pt>
                <c:pt idx="218">
                  <c:v>333.65917065317853</c:v>
                </c:pt>
                <c:pt idx="219">
                  <c:v>333.76506047792486</c:v>
                </c:pt>
                <c:pt idx="220">
                  <c:v>333.86767643367989</c:v>
                </c:pt>
                <c:pt idx="221">
                  <c:v>333.97385978840765</c:v>
                </c:pt>
                <c:pt idx="222">
                  <c:v>334.08019262579285</c:v>
                </c:pt>
                <c:pt idx="223">
                  <c:v>334.17636384716087</c:v>
                </c:pt>
                <c:pt idx="224">
                  <c:v>334.28298176543194</c:v>
                </c:pt>
                <c:pt idx="225">
                  <c:v>334.38630330374025</c:v>
                </c:pt>
                <c:pt idx="226">
                  <c:v>334.49321677029133</c:v>
                </c:pt>
                <c:pt idx="227">
                  <c:v>334.59682471920905</c:v>
                </c:pt>
                <c:pt idx="228">
                  <c:v>334.70403455330944</c:v>
                </c:pt>
                <c:pt idx="229">
                  <c:v>334.81139531512304</c:v>
                </c:pt>
                <c:pt idx="230">
                  <c:v>334.91543672996596</c:v>
                </c:pt>
                <c:pt idx="231">
                  <c:v>335.02309509924555</c:v>
                </c:pt>
                <c:pt idx="232">
                  <c:v>335.12742492021857</c:v>
                </c:pt>
                <c:pt idx="233">
                  <c:v>335.23538172194168</c:v>
                </c:pt>
                <c:pt idx="234">
                  <c:v>335.34349050294304</c:v>
                </c:pt>
                <c:pt idx="235">
                  <c:v>335.4412679512381</c:v>
                </c:pt>
                <c:pt idx="236">
                  <c:v>335.54966657447272</c:v>
                </c:pt>
                <c:pt idx="237">
                  <c:v>335.65471376245688</c:v>
                </c:pt>
                <c:pt idx="238">
                  <c:v>335.76341287014259</c:v>
                </c:pt>
                <c:pt idx="239">
                  <c:v>335.86875125229221</c:v>
                </c:pt>
                <c:pt idx="240">
                  <c:v>335.97775167738166</c:v>
                </c:pt>
                <c:pt idx="241">
                  <c:v>336.08690555093989</c:v>
                </c:pt>
                <c:pt idx="242">
                  <c:v>336.1926846386508</c:v>
                </c:pt>
                <c:pt idx="243">
                  <c:v>336.30214109023831</c:v>
                </c:pt>
                <c:pt idx="244">
                  <c:v>336.40821340096409</c:v>
                </c:pt>
                <c:pt idx="245">
                  <c:v>336.51797326933672</c:v>
                </c:pt>
                <c:pt idx="246">
                  <c:v>336.62788765530615</c:v>
                </c:pt>
                <c:pt idx="247">
                  <c:v>336.72729815731611</c:v>
                </c:pt>
                <c:pt idx="248">
                  <c:v>336.83750722638911</c:v>
                </c:pt>
                <c:pt idx="249">
                  <c:v>336.94430888540484</c:v>
                </c:pt>
                <c:pt idx="250">
                  <c:v>337.05482345754274</c:v>
                </c:pt>
                <c:pt idx="251">
                  <c:v>337.16192117417364</c:v>
                </c:pt>
                <c:pt idx="252">
                  <c:v>337.27274209624079</c:v>
                </c:pt>
                <c:pt idx="253">
                  <c:v>337.38371902963343</c:v>
                </c:pt>
                <c:pt idx="254">
                  <c:v>337.4912648123763</c:v>
                </c:pt>
                <c:pt idx="255">
                  <c:v>337.60254937737835</c:v>
                </c:pt>
                <c:pt idx="256">
                  <c:v>337.71039328047129</c:v>
                </c:pt>
                <c:pt idx="257">
                  <c:v>337.82198632984739</c:v>
                </c:pt>
                <c:pt idx="258">
                  <c:v>337.93373647753339</c:v>
                </c:pt>
                <c:pt idx="259">
                  <c:v>338.03841935637428</c:v>
                </c:pt>
                <c:pt idx="260">
                  <c:v>338.15047419384928</c:v>
                </c:pt>
                <c:pt idx="261">
                  <c:v>338.25906455436808</c:v>
                </c:pt>
                <c:pt idx="262">
                  <c:v>338.37143001143704</c:v>
                </c:pt>
                <c:pt idx="263">
                  <c:v>338.48032138790887</c:v>
                </c:pt>
                <c:pt idx="264">
                  <c:v>338.59299832561931</c:v>
                </c:pt>
                <c:pt idx="265">
                  <c:v>338.70583388751447</c:v>
                </c:pt>
                <c:pt idx="266">
                  <c:v>338.81518083425613</c:v>
                </c:pt>
                <c:pt idx="267">
                  <c:v>338.92832917993837</c:v>
                </c:pt>
                <c:pt idx="268">
                  <c:v>339.03797923991436</c:v>
                </c:pt>
                <c:pt idx="269">
                  <c:v>339.15144123643029</c:v>
                </c:pt>
                <c:pt idx="270">
                  <c:v>339.26506296232003</c:v>
                </c:pt>
                <c:pt idx="271">
                  <c:v>339.36782651515523</c:v>
                </c:pt>
                <c:pt idx="272">
                  <c:v>339.48175286361555</c:v>
                </c:pt>
                <c:pt idx="273">
                  <c:v>339.59215687231932</c:v>
                </c:pt>
                <c:pt idx="274">
                  <c:v>339.70639902826201</c:v>
                </c:pt>
                <c:pt idx="275">
                  <c:v>339.81710908040964</c:v>
                </c:pt>
                <c:pt idx="276">
                  <c:v>339.93166791926302</c:v>
                </c:pt>
                <c:pt idx="277">
                  <c:v>340.0463880316014</c:v>
                </c:pt>
                <c:pt idx="278">
                  <c:v>340.157561262836</c:v>
                </c:pt>
                <c:pt idx="279">
                  <c:v>340.27259938299551</c:v>
                </c:pt>
                <c:pt idx="280">
                  <c:v>340.38408078998339</c:v>
                </c:pt>
                <c:pt idx="281">
                  <c:v>340.499437799492</c:v>
                </c:pt>
                <c:pt idx="282">
                  <c:v>340.61495720613306</c:v>
                </c:pt>
                <c:pt idx="283">
                  <c:v>340.71943708931462</c:v>
                </c:pt>
                <c:pt idx="284">
                  <c:v>340.835266206254</c:v>
                </c:pt>
                <c:pt idx="285">
                  <c:v>340.94751415422689</c:v>
                </c:pt>
                <c:pt idx="286">
                  <c:v>341.06366435318358</c:v>
                </c:pt>
                <c:pt idx="287">
                  <c:v>341.17622345605889</c:v>
                </c:pt>
                <c:pt idx="288">
                  <c:v>341.29269562708271</c:v>
                </c:pt>
                <c:pt idx="289">
                  <c:v>341.40933176513954</c:v>
                </c:pt>
                <c:pt idx="290">
                  <c:v>341.5223617829995</c:v>
                </c:pt>
                <c:pt idx="291">
                  <c:v>341.63932124016208</c:v>
                </c:pt>
                <c:pt idx="292">
                  <c:v>341.75266458084729</c:v>
                </c:pt>
                <c:pt idx="293">
                  <c:v>341.86994825336649</c:v>
                </c:pt>
                <c:pt idx="294">
                  <c:v>341.98739703533317</c:v>
                </c:pt>
                <c:pt idx="295">
                  <c:v>342.09362191456796</c:v>
                </c:pt>
                <c:pt idx="296">
                  <c:v>342.21138557953441</c:v>
                </c:pt>
                <c:pt idx="297">
                  <c:v>342.3255082637744</c:v>
                </c:pt>
                <c:pt idx="298">
                  <c:v>342.44359837338732</c:v>
                </c:pt>
                <c:pt idx="299">
                  <c:v>342.55803740935858</c:v>
                </c:pt>
                <c:pt idx="300">
                  <c:v>342.67645486853291</c:v>
                </c:pt>
                <c:pt idx="301">
                  <c:v>342.79503903327537</c:v>
                </c:pt>
                <c:pt idx="302">
                  <c:v>342.90995684933193</c:v>
                </c:pt>
                <c:pt idx="303">
                  <c:v>343.02886973317243</c:v>
                </c:pt>
                <c:pt idx="304">
                  <c:v>343.14410610509117</c:v>
                </c:pt>
                <c:pt idx="305">
                  <c:v>343.2633486192496</c:v>
                </c:pt>
                <c:pt idx="306">
                  <c:v>343.38275900047091</c:v>
                </c:pt>
                <c:pt idx="307">
                  <c:v>343.49461766668816</c:v>
                </c:pt>
                <c:pt idx="308">
                  <c:v>343.61435362353171</c:v>
                </c:pt>
                <c:pt idx="309">
                  <c:v>343.73038762093574</c:v>
                </c:pt>
                <c:pt idx="310">
                  <c:v>343.85045548968185</c:v>
                </c:pt>
                <c:pt idx="311">
                  <c:v>343.96681113703858</c:v>
                </c:pt>
                <c:pt idx="312">
                  <c:v>344.08721183775765</c:v>
                </c:pt>
                <c:pt idx="313">
                  <c:v>344.20778203600992</c:v>
                </c:pt>
                <c:pt idx="314">
                  <c:v>344.32462448200386</c:v>
                </c:pt>
                <c:pt idx="315">
                  <c:v>344.44552890470266</c:v>
                </c:pt>
                <c:pt idx="316">
                  <c:v>344.56269524169448</c:v>
                </c:pt>
                <c:pt idx="317">
                  <c:v>344.68393481532053</c:v>
                </c:pt>
                <c:pt idx="318">
                  <c:v>344.80534506742725</c:v>
                </c:pt>
                <c:pt idx="319">
                  <c:v>344.91515284194747</c:v>
                </c:pt>
                <c:pt idx="320">
                  <c:v>345.03688859785024</c:v>
                </c:pt>
                <c:pt idx="321">
                  <c:v>345.15486056514214</c:v>
                </c:pt>
                <c:pt idx="322">
                  <c:v>345.27693377645454</c:v>
                </c:pt>
                <c:pt idx="323">
                  <c:v>345.3952327658136</c:v>
                </c:pt>
                <c:pt idx="324">
                  <c:v>345.51764436797265</c:v>
                </c:pt>
                <c:pt idx="325">
                  <c:v>345.64022829856907</c:v>
                </c:pt>
                <c:pt idx="326">
                  <c:v>345.7590222169506</c:v>
                </c:pt>
                <c:pt idx="327">
                  <c:v>345.88194595412386</c:v>
                </c:pt>
                <c:pt idx="328">
                  <c:v>346.0010691730472</c:v>
                </c:pt>
                <c:pt idx="329">
                  <c:v>346.12433365875222</c:v>
                </c:pt>
                <c:pt idx="330">
                  <c:v>346.24777167356564</c:v>
                </c:pt>
                <c:pt idx="331">
                  <c:v>346.35941342920552</c:v>
                </c:pt>
                <c:pt idx="332">
                  <c:v>346.48318238429556</c:v>
                </c:pt>
                <c:pt idx="333">
                  <c:v>346.60312468894836</c:v>
                </c:pt>
                <c:pt idx="334">
                  <c:v>346.72723673554111</c:v>
                </c:pt>
                <c:pt idx="335">
                  <c:v>346.84751152409922</c:v>
                </c:pt>
                <c:pt idx="336">
                  <c:v>346.97196761325546</c:v>
                </c:pt>
                <c:pt idx="337">
                  <c:v>347.09659890903396</c:v>
                </c:pt>
                <c:pt idx="338">
                  <c:v>347.21737689279144</c:v>
                </c:pt>
                <c:pt idx="339">
                  <c:v>347.34235367050866</c:v>
                </c:pt>
                <c:pt idx="340">
                  <c:v>347.46346645470061</c:v>
                </c:pt>
                <c:pt idx="341">
                  <c:v>347.5887896720435</c:v>
                </c:pt>
                <c:pt idx="342">
                  <c:v>347.71428931673336</c:v>
                </c:pt>
                <c:pt idx="343">
                  <c:v>347.82779568417232</c:v>
                </c:pt>
                <c:pt idx="344">
                  <c:v>347.95363179641788</c:v>
                </c:pt>
                <c:pt idx="345">
                  <c:v>348.07557734649788</c:v>
                </c:pt>
                <c:pt idx="346">
                  <c:v>348.20176228047194</c:v>
                </c:pt>
                <c:pt idx="347">
                  <c:v>348.32404586751761</c:v>
                </c:pt>
                <c:pt idx="348">
                  <c:v>348.45058059016515</c:v>
                </c:pt>
                <c:pt idx="349">
                  <c:v>348.57729344569088</c:v>
                </c:pt>
                <c:pt idx="350">
                  <c:v>348.70008863217231</c:v>
                </c:pt>
                <c:pt idx="351">
                  <c:v>348.82715273978692</c:v>
                </c:pt>
                <c:pt idx="352">
                  <c:v>348.95028831845337</c:v>
                </c:pt>
                <c:pt idx="353">
                  <c:v>349.07770465183893</c:v>
                </c:pt>
                <c:pt idx="354">
                  <c:v>349.20530035921541</c:v>
                </c:pt>
                <c:pt idx="355">
                  <c:v>349.32482669768115</c:v>
                </c:pt>
                <c:pt idx="356">
                  <c:v>349.45277029819215</c:v>
                </c:pt>
                <c:pt idx="357">
                  <c:v>349.57675817786446</c:v>
                </c:pt>
                <c:pt idx="358">
                  <c:v>349.70505644212881</c:v>
                </c:pt>
                <c:pt idx="359">
                  <c:v>349.82938802016986</c:v>
                </c:pt>
                <c:pt idx="360">
                  <c:v>349.95804193132693</c:v>
                </c:pt>
                <c:pt idx="361">
                  <c:v>350.08687695871043</c:v>
                </c:pt>
                <c:pt idx="362">
                  <c:v>350.21172870439369</c:v>
                </c:pt>
                <c:pt idx="363">
                  <c:v>350.3409208665945</c:v>
                </c:pt>
                <c:pt idx="364">
                  <c:v>350.46611870531063</c:v>
                </c:pt>
                <c:pt idx="365">
                  <c:v>350.59566899231766</c:v>
                </c:pt>
                <c:pt idx="366">
                  <c:v>350.72540165744999</c:v>
                </c:pt>
                <c:pt idx="367">
                  <c:v>350.84273651998075</c:v>
                </c:pt>
                <c:pt idx="368">
                  <c:v>350.97281700149796</c:v>
                </c:pt>
                <c:pt idx="369">
                  <c:v>351.09887569474768</c:v>
                </c:pt>
                <c:pt idx="370">
                  <c:v>351.22931676352084</c:v>
                </c:pt>
                <c:pt idx="371">
                  <c:v>351.35572489550066</c:v>
                </c:pt>
                <c:pt idx="372">
                  <c:v>351.48652755108924</c:v>
                </c:pt>
                <c:pt idx="373">
                  <c:v>351.61751434786061</c:v>
                </c:pt>
                <c:pt idx="374">
                  <c:v>351.7444513351885</c:v>
                </c:pt>
                <c:pt idx="375">
                  <c:v>351.87580123155067</c:v>
                </c:pt>
                <c:pt idx="376">
                  <c:v>352.003090092268</c:v>
                </c:pt>
                <c:pt idx="377">
                  <c:v>352.13480409474471</c:v>
                </c:pt>
                <c:pt idx="378">
                  <c:v>352.26670352137893</c:v>
                </c:pt>
                <c:pt idx="379">
                  <c:v>352.38599808051129</c:v>
                </c:pt>
                <c:pt idx="380">
                  <c:v>352.51825113267006</c:v>
                </c:pt>
                <c:pt idx="381">
                  <c:v>352.64641522569121</c:v>
                </c:pt>
                <c:pt idx="382">
                  <c:v>352.77903488754117</c:v>
                </c:pt>
                <c:pt idx="383">
                  <c:v>352.90755425552805</c:v>
                </c:pt>
                <c:pt idx="384">
                  <c:v>353.040541543323</c:v>
                </c:pt>
                <c:pt idx="385">
                  <c:v>353.17371604777946</c:v>
                </c:pt>
                <c:pt idx="386">
                  <c:v>353.30277310392</c:v>
                </c:pt>
                <c:pt idx="387">
                  <c:v>353.43631677236294</c:v>
                </c:pt>
                <c:pt idx="388">
                  <c:v>353.56573157879143</c:v>
                </c:pt>
                <c:pt idx="389">
                  <c:v>353.69964543455512</c:v>
                </c:pt>
                <c:pt idx="390">
                  <c:v>353.83374781138298</c:v>
                </c:pt>
                <c:pt idx="391">
                  <c:v>353.9550347974639</c:v>
                </c:pt>
                <c:pt idx="392">
                  <c:v>354.08949670597849</c:v>
                </c:pt>
                <c:pt idx="393">
                  <c:v>354.21980136261504</c:v>
                </c:pt>
                <c:pt idx="394">
                  <c:v>354.35463600384128</c:v>
                </c:pt>
                <c:pt idx="395">
                  <c:v>354.48530186915423</c:v>
                </c:pt>
                <c:pt idx="396">
                  <c:v>354.62051027631918</c:v>
                </c:pt>
                <c:pt idx="397">
                  <c:v>354.75590902699008</c:v>
                </c:pt>
                <c:pt idx="398">
                  <c:v>354.88712156078543</c:v>
                </c:pt>
                <c:pt idx="399">
                  <c:v>355.02289564112436</c:v>
                </c:pt>
                <c:pt idx="400">
                  <c:v>355.15447190026089</c:v>
                </c:pt>
                <c:pt idx="401">
                  <c:v>355.29062235069375</c:v>
                </c:pt>
                <c:pt idx="402">
                  <c:v>355.42696447082091</c:v>
                </c:pt>
                <c:pt idx="403">
                  <c:v>355.55468408406279</c:v>
                </c:pt>
                <c:pt idx="404">
                  <c:v>355.69139794465457</c:v>
                </c:pt>
                <c:pt idx="405">
                  <c:v>355.82388492820729</c:v>
                </c:pt>
                <c:pt idx="406">
                  <c:v>355.96097776399387</c:v>
                </c:pt>
                <c:pt idx="407">
                  <c:v>356.09383200570323</c:v>
                </c:pt>
                <c:pt idx="408">
                  <c:v>356.23130486721607</c:v>
                </c:pt>
                <c:pt idx="409">
                  <c:v>356.36897126008517</c:v>
                </c:pt>
                <c:pt idx="410">
                  <c:v>356.50238132581569</c:v>
                </c:pt>
                <c:pt idx="411">
                  <c:v>356.64042933432972</c:v>
                </c:pt>
                <c:pt idx="412">
                  <c:v>356.77420921703015</c:v>
                </c:pt>
                <c:pt idx="413">
                  <c:v>356.91263989903968</c:v>
                </c:pt>
                <c:pt idx="414">
                  <c:v>357.05126546080487</c:v>
                </c:pt>
                <c:pt idx="415">
                  <c:v>357.17664337712506</c:v>
                </c:pt>
                <c:pt idx="416">
                  <c:v>357.3156405973441</c:v>
                </c:pt>
                <c:pt idx="417">
                  <c:v>357.4503403443145</c:v>
                </c:pt>
                <c:pt idx="418">
                  <c:v>357.58972286927451</c:v>
                </c:pt>
                <c:pt idx="419">
                  <c:v>357.72479600825233</c:v>
                </c:pt>
                <c:pt idx="420">
                  <c:v>357.86456490603018</c:v>
                </c:pt>
                <c:pt idx="421">
                  <c:v>358.00453056747506</c:v>
                </c:pt>
                <c:pt idx="422">
                  <c:v>358.14016881370361</c:v>
                </c:pt>
                <c:pt idx="423">
                  <c:v>358.28052246443934</c:v>
                </c:pt>
                <c:pt idx="424">
                  <c:v>358.41653670422534</c:v>
                </c:pt>
                <c:pt idx="425">
                  <c:v>358.55727941977079</c:v>
                </c:pt>
                <c:pt idx="426">
                  <c:v>358.698220269903</c:v>
                </c:pt>
                <c:pt idx="427">
                  <c:v>358.82569221583412</c:v>
                </c:pt>
                <c:pt idx="428">
                  <c:v>358.96701093176404</c:v>
                </c:pt>
                <c:pt idx="429">
                  <c:v>359.10396039915571</c:v>
                </c:pt>
                <c:pt idx="430">
                  <c:v>359.24567085508676</c:v>
                </c:pt>
                <c:pt idx="431">
                  <c:v>359.38299995078302</c:v>
                </c:pt>
                <c:pt idx="432">
                  <c:v>359.52510323263107</c:v>
                </c:pt>
                <c:pt idx="433">
                  <c:v>359.66740656444222</c:v>
                </c:pt>
                <c:pt idx="434">
                  <c:v>359.80531020566468</c:v>
                </c:pt>
                <c:pt idx="435">
                  <c:v>359.94800800686369</c:v>
                </c:pt>
                <c:pt idx="436">
                  <c:v>360.0862939213909</c:v>
                </c:pt>
                <c:pt idx="437">
                  <c:v>360.22938728545961</c:v>
                </c:pt>
                <c:pt idx="438">
                  <c:v>360.37268209330807</c:v>
                </c:pt>
                <c:pt idx="439">
                  <c:v>360.50228304279227</c:v>
                </c:pt>
                <c:pt idx="440">
                  <c:v>360.64596202745537</c:v>
                </c:pt>
                <c:pt idx="441">
                  <c:v>360.78519878951852</c:v>
                </c:pt>
                <c:pt idx="442">
                  <c:v>360.92927605692319</c:v>
                </c:pt>
                <c:pt idx="443">
                  <c:v>361.06889878774473</c:v>
                </c:pt>
                <c:pt idx="444">
                  <c:v>361.21337544194353</c:v>
                </c:pt>
                <c:pt idx="445">
                  <c:v>361.35805548728837</c:v>
                </c:pt>
                <c:pt idx="446">
                  <c:v>361.49826235954725</c:v>
                </c:pt>
                <c:pt idx="447">
                  <c:v>361.64334346260586</c:v>
                </c:pt>
                <c:pt idx="448">
                  <c:v>361.78393899279979</c:v>
                </c:pt>
                <c:pt idx="449">
                  <c:v>361.92942226531704</c:v>
                </c:pt>
                <c:pt idx="450">
                  <c:v>362.07511034607603</c:v>
                </c:pt>
                <c:pt idx="451">
                  <c:v>362.21158486555055</c:v>
                </c:pt>
                <c:pt idx="452">
                  <c:v>362.35767016878765</c:v>
                </c:pt>
                <c:pt idx="453">
                  <c:v>362.49923885160808</c:v>
                </c:pt>
                <c:pt idx="454">
                  <c:v>362.64572910797892</c:v>
                </c:pt>
                <c:pt idx="455">
                  <c:v>362.78769022371677</c:v>
                </c:pt>
                <c:pt idx="456">
                  <c:v>362.93458655576421</c:v>
                </c:pt>
                <c:pt idx="457">
                  <c:v>363.08168968532834</c:v>
                </c:pt>
                <c:pt idx="458">
                  <c:v>363.22424472563495</c:v>
                </c:pt>
                <c:pt idx="459">
                  <c:v>363.37175562978001</c:v>
                </c:pt>
                <c:pt idx="460">
                  <c:v>363.51470583721851</c:v>
                </c:pt>
                <c:pt idx="461">
                  <c:v>363.66262564630858</c:v>
                </c:pt>
                <c:pt idx="462">
                  <c:v>363.81075369374435</c:v>
                </c:pt>
                <c:pt idx="463">
                  <c:v>363.9447259979832</c:v>
                </c:pt>
                <c:pt idx="464">
                  <c:v>364.09325118026487</c:v>
                </c:pt>
                <c:pt idx="465">
                  <c:v>364.23718430670112</c:v>
                </c:pt>
                <c:pt idx="466">
                  <c:v>364.38612120553921</c:v>
                </c:pt>
                <c:pt idx="467">
                  <c:v>364.53045331920612</c:v>
                </c:pt>
                <c:pt idx="468">
                  <c:v>364.67980307589221</c:v>
                </c:pt>
                <c:pt idx="469">
                  <c:v>364.8293630839737</c:v>
                </c:pt>
                <c:pt idx="470">
                  <c:v>364.97429904178426</c:v>
                </c:pt>
                <c:pt idx="471">
                  <c:v>365.12427363499239</c:v>
                </c:pt>
                <c:pt idx="472">
                  <c:v>365.26961135991445</c:v>
                </c:pt>
                <c:pt idx="473">
                  <c:v>365.42000168749246</c:v>
                </c:pt>
                <c:pt idx="474">
                  <c:v>365.57060373135948</c:v>
                </c:pt>
                <c:pt idx="475">
                  <c:v>365.70681360645892</c:v>
                </c:pt>
                <c:pt idx="476">
                  <c:v>365.85781941801554</c:v>
                </c:pt>
                <c:pt idx="477">
                  <c:v>366.00415647839463</c:v>
                </c:pt>
                <c:pt idx="478">
                  <c:v>366.1555808828914</c:v>
                </c:pt>
                <c:pt idx="479">
                  <c:v>366.30232359428311</c:v>
                </c:pt>
                <c:pt idx="480">
                  <c:v>366.45416775207298</c:v>
                </c:pt>
                <c:pt idx="481">
                  <c:v>366.60622567282292</c:v>
                </c:pt>
                <c:pt idx="482">
                  <c:v>366.75358231360747</c:v>
                </c:pt>
                <c:pt idx="483">
                  <c:v>366.90606174377785</c:v>
                </c:pt>
                <c:pt idx="484">
                  <c:v>367.05382686188432</c:v>
                </c:pt>
                <c:pt idx="485">
                  <c:v>367.20672896991283</c:v>
                </c:pt>
                <c:pt idx="486">
                  <c:v>367.35984633026118</c:v>
                </c:pt>
                <c:pt idx="487">
                  <c:v>367.49833114755234</c:v>
                </c:pt>
                <c:pt idx="488">
                  <c:v>367.6518590192141</c:v>
                </c:pt>
                <c:pt idx="489">
                  <c:v>367.80064016342067</c:v>
                </c:pt>
                <c:pt idx="490">
                  <c:v>367.95459361925373</c:v>
                </c:pt>
                <c:pt idx="491">
                  <c:v>368.10378718955138</c:v>
                </c:pt>
                <c:pt idx="492">
                  <c:v>368.25816740928883</c:v>
                </c:pt>
                <c:pt idx="493">
                  <c:v>368.4127649622003</c:v>
                </c:pt>
                <c:pt idx="494">
                  <c:v>368.56258271558102</c:v>
                </c:pt>
                <c:pt idx="495">
                  <c:v>368.71760881785451</c:v>
                </c:pt>
                <c:pt idx="496">
                  <c:v>368.86784187084015</c:v>
                </c:pt>
                <c:pt idx="497">
                  <c:v>369.02329771042815</c:v>
                </c:pt>
                <c:pt idx="498">
                  <c:v>369.17897239742467</c:v>
                </c:pt>
                <c:pt idx="499">
                  <c:v>369.32480195322302</c:v>
                </c:pt>
                <c:pt idx="500">
                  <c:v>369.48090109144869</c:v>
                </c:pt>
                <c:pt idx="501">
                  <c:v>369.63217400459138</c:v>
                </c:pt>
                <c:pt idx="502">
                  <c:v>369.7887058546217</c:v>
                </c:pt>
                <c:pt idx="503">
                  <c:v>369.94039810111866</c:v>
                </c:pt>
                <c:pt idx="504">
                  <c:v>370.09736386244441</c:v>
                </c:pt>
                <c:pt idx="505">
                  <c:v>370.25455059681423</c:v>
                </c:pt>
                <c:pt idx="506">
                  <c:v>370.40687748013846</c:v>
                </c:pt>
                <c:pt idx="507">
                  <c:v>370.56449994116423</c:v>
                </c:pt>
                <c:pt idx="508">
                  <c:v>370.7172490794818</c:v>
                </c:pt>
                <c:pt idx="509">
                  <c:v>370.87530847501176</c:v>
                </c:pt>
                <c:pt idx="510">
                  <c:v>371.03359038318047</c:v>
                </c:pt>
                <c:pt idx="511">
                  <c:v>371.17674620224227</c:v>
                </c:pt>
                <c:pt idx="512">
                  <c:v>371.33545246800088</c:v>
                </c:pt>
                <c:pt idx="513">
                  <c:v>371.48925190231051</c:v>
                </c:pt>
                <c:pt idx="514">
                  <c:v>371.64839810691467</c:v>
                </c:pt>
                <c:pt idx="515">
                  <c:v>371.80262387817601</c:v>
                </c:pt>
                <c:pt idx="516">
                  <c:v>371.96221124115033</c:v>
                </c:pt>
                <c:pt idx="517">
                  <c:v>372.12202326780334</c:v>
                </c:pt>
                <c:pt idx="518">
                  <c:v>372.27689427543248</c:v>
                </c:pt>
                <c:pt idx="519">
                  <c:v>372.43714930613561</c:v>
                </c:pt>
                <c:pt idx="520">
                  <c:v>372.59244962115218</c:v>
                </c:pt>
                <c:pt idx="521">
                  <c:v>372.75314888392677</c:v>
                </c:pt>
                <c:pt idx="522">
                  <c:v>372.91407437568898</c:v>
                </c:pt>
                <c:pt idx="523">
                  <c:v>373.05962114630654</c:v>
                </c:pt>
                <c:pt idx="524">
                  <c:v>373.22097808316965</c:v>
                </c:pt>
                <c:pt idx="525">
                  <c:v>373.37734623595077</c:v>
                </c:pt>
                <c:pt idx="526">
                  <c:v>373.53915045940442</c:v>
                </c:pt>
                <c:pt idx="527">
                  <c:v>373.69595206970718</c:v>
                </c:pt>
                <c:pt idx="528">
                  <c:v>373.85820481964424</c:v>
                </c:pt>
                <c:pt idx="529">
                  <c:v>374.02068598553484</c:v>
                </c:pt>
                <c:pt idx="530">
                  <c:v>374.17814360877674</c:v>
                </c:pt>
                <c:pt idx="531">
                  <c:v>374.34107517765688</c:v>
                </c:pt>
                <c:pt idx="532">
                  <c:v>374.4989692784672</c:v>
                </c:pt>
                <c:pt idx="533">
                  <c:v>374.66235249886819</c:v>
                </c:pt>
                <c:pt idx="534">
                  <c:v>374.82596572667507</c:v>
                </c:pt>
                <c:pt idx="535">
                  <c:v>374.97394338190435</c:v>
                </c:pt>
                <c:pt idx="536">
                  <c:v>375.13799526069687</c:v>
                </c:pt>
                <c:pt idx="537">
                  <c:v>375.29697503402269</c:v>
                </c:pt>
                <c:pt idx="538">
                  <c:v>375.46148166987098</c:v>
                </c:pt>
                <c:pt idx="539">
                  <c:v>375.62090214021407</c:v>
                </c:pt>
                <c:pt idx="540">
                  <c:v>375.78586479371938</c:v>
                </c:pt>
                <c:pt idx="541">
                  <c:v>375.95105967812253</c:v>
                </c:pt>
                <c:pt idx="542">
                  <c:v>376.11114711796364</c:v>
                </c:pt>
                <c:pt idx="543">
                  <c:v>376.27679992787091</c:v>
                </c:pt>
                <c:pt idx="544">
                  <c:v>376.43733113521625</c:v>
                </c:pt>
                <c:pt idx="545">
                  <c:v>376.60344314001151</c:v>
                </c:pt>
                <c:pt idx="546">
                  <c:v>376.76978899373682</c:v>
                </c:pt>
                <c:pt idx="547">
                  <c:v>376.92561485358408</c:v>
                </c:pt>
                <c:pt idx="548">
                  <c:v>377.09241425376217</c:v>
                </c:pt>
                <c:pt idx="549">
                  <c:v>377.25405660145361</c:v>
                </c:pt>
                <c:pt idx="550">
                  <c:v>377.42131837490484</c:v>
                </c:pt>
                <c:pt idx="551">
                  <c:v>377.58340880035485</c:v>
                </c:pt>
                <c:pt idx="552">
                  <c:v>377.75113422879247</c:v>
                </c:pt>
                <c:pt idx="553">
                  <c:v>377.91909577750357</c:v>
                </c:pt>
                <c:pt idx="554">
                  <c:v>378.08186434277764</c:v>
                </c:pt>
                <c:pt idx="555">
                  <c:v>378.25029148627459</c:v>
                </c:pt>
                <c:pt idx="556">
                  <c:v>378.41351125121832</c:v>
                </c:pt>
                <c:pt idx="557">
                  <c:v>378.582405280145</c:v>
                </c:pt>
                <c:pt idx="558">
                  <c:v>378.75153707447578</c:v>
                </c:pt>
                <c:pt idx="559">
                  <c:v>378.90450591865351</c:v>
                </c:pt>
                <c:pt idx="560">
                  <c:v>379.07409115937912</c:v>
                </c:pt>
                <c:pt idx="561">
                  <c:v>379.23843321585798</c:v>
                </c:pt>
                <c:pt idx="562">
                  <c:v>379.40848855229575</c:v>
                </c:pt>
                <c:pt idx="563">
                  <c:v>379.57328617021221</c:v>
                </c:pt>
                <c:pt idx="564">
                  <c:v>379.74381290548251</c:v>
                </c:pt>
                <c:pt idx="565">
                  <c:v>379.91457970464603</c:v>
                </c:pt>
                <c:pt idx="566">
                  <c:v>380.0800667885029</c:v>
                </c:pt>
                <c:pt idx="567">
                  <c:v>380.25130695869632</c:v>
                </c:pt>
                <c:pt idx="568">
                  <c:v>380.41725277804346</c:v>
                </c:pt>
                <c:pt idx="569">
                  <c:v>380.58896763146652</c:v>
                </c:pt>
                <c:pt idx="570">
                  <c:v>380.76092422139016</c:v>
                </c:pt>
                <c:pt idx="571">
                  <c:v>380.91644791173746</c:v>
                </c:pt>
                <c:pt idx="572">
                  <c:v>381.08886552140063</c:v>
                </c:pt>
                <c:pt idx="573">
                  <c:v>381.25595237650646</c:v>
                </c:pt>
                <c:pt idx="574">
                  <c:v>381.42884793329904</c:v>
                </c:pt>
                <c:pt idx="575">
                  <c:v>381.59639795851223</c:v>
                </c:pt>
                <c:pt idx="576">
                  <c:v>381.76977278731897</c:v>
                </c:pt>
                <c:pt idx="577">
                  <c:v>381.94339168950438</c:v>
                </c:pt>
                <c:pt idx="578">
                  <c:v>382.11164269594008</c:v>
                </c:pt>
                <c:pt idx="579">
                  <c:v>382.28574287527607</c:v>
                </c:pt>
                <c:pt idx="580">
                  <c:v>382.4544602788838</c:v>
                </c:pt>
                <c:pt idx="581">
                  <c:v>382.62904306948622</c:v>
                </c:pt>
                <c:pt idx="582">
                  <c:v>382.80387163401002</c:v>
                </c:pt>
                <c:pt idx="583">
                  <c:v>382.96199284090824</c:v>
                </c:pt>
                <c:pt idx="584">
                  <c:v>383.13729012500431</c:v>
                </c:pt>
                <c:pt idx="585">
                  <c:v>383.30716762165571</c:v>
                </c:pt>
                <c:pt idx="586">
                  <c:v>383.4829508354307</c:v>
                </c:pt>
                <c:pt idx="587">
                  <c:v>383.65329923793695</c:v>
                </c:pt>
                <c:pt idx="588">
                  <c:v>383.82956972840384</c:v>
                </c:pt>
                <c:pt idx="589">
                  <c:v>384.00608836869969</c:v>
                </c:pt>
                <c:pt idx="590">
                  <c:v>384.17714946003611</c:v>
                </c:pt>
                <c:pt idx="591">
                  <c:v>384.35415741564958</c:v>
                </c:pt>
                <c:pt idx="592">
                  <c:v>384.52569269380319</c:v>
                </c:pt>
                <c:pt idx="593">
                  <c:v>384.70319132113184</c:v>
                </c:pt>
                <c:pt idx="594">
                  <c:v>384.88093982723444</c:v>
                </c:pt>
                <c:pt idx="595">
                  <c:v>385.04744721638605</c:v>
                </c:pt>
                <c:pt idx="596">
                  <c:v>385.22568035858035</c:v>
                </c:pt>
                <c:pt idx="597">
                  <c:v>385.39840294337353</c:v>
                </c:pt>
                <c:pt idx="598">
                  <c:v>385.5771301535396</c:v>
                </c:pt>
                <c:pt idx="599">
                  <c:v>385.75033153086304</c:v>
                </c:pt>
                <c:pt idx="600">
                  <c:v>385.9295541785728</c:v>
                </c:pt>
                <c:pt idx="601">
                  <c:v>386.10902913209566</c:v>
                </c:pt>
                <c:pt idx="602">
                  <c:v>386.28295513427719</c:v>
                </c:pt>
                <c:pt idx="603">
                  <c:v>386.4629275981124</c:v>
                </c:pt>
                <c:pt idx="604">
                  <c:v>386.63733572873559</c:v>
                </c:pt>
                <c:pt idx="605">
                  <c:v>386.81780708199778</c:v>
                </c:pt>
                <c:pt idx="606">
                  <c:v>386.99853249897376</c:v>
                </c:pt>
                <c:pt idx="607">
                  <c:v>387.16198703014425</c:v>
                </c:pt>
                <c:pt idx="608">
                  <c:v>387.3431969762953</c:v>
                </c:pt>
                <c:pt idx="609">
                  <c:v>387.51880432913731</c:v>
                </c:pt>
                <c:pt idx="610">
                  <c:v>387.70051659505583</c:v>
                </c:pt>
                <c:pt idx="611">
                  <c:v>387.87661073709739</c:v>
                </c:pt>
                <c:pt idx="612">
                  <c:v>388.05882671522977</c:v>
                </c:pt>
                <c:pt idx="613">
                  <c:v>388.24129921312181</c:v>
                </c:pt>
                <c:pt idx="614">
                  <c:v>388.4181300825187</c:v>
                </c:pt>
                <c:pt idx="615">
                  <c:v>388.60110840001192</c:v>
                </c:pt>
                <c:pt idx="616">
                  <c:v>388.77842945023554</c:v>
                </c:pt>
                <c:pt idx="617">
                  <c:v>388.96191498947815</c:v>
                </c:pt>
                <c:pt idx="618">
                  <c:v>389.14565883574141</c:v>
                </c:pt>
                <c:pt idx="619">
                  <c:v>389.31184334232023</c:v>
                </c:pt>
                <c:pt idx="620">
                  <c:v>389.49607981023968</c:v>
                </c:pt>
                <c:pt idx="621">
                  <c:v>389.67462011178202</c:v>
                </c:pt>
                <c:pt idx="622">
                  <c:v>389.85936728908416</c:v>
                </c:pt>
                <c:pt idx="623">
                  <c:v>390.03840251005369</c:v>
                </c:pt>
                <c:pt idx="624">
                  <c:v>390.22366181244104</c:v>
                </c:pt>
                <c:pt idx="625">
                  <c:v>390.40918191891501</c:v>
                </c:pt>
                <c:pt idx="626">
                  <c:v>390.5889661718702</c:v>
                </c:pt>
                <c:pt idx="627">
                  <c:v>390.77500054601376</c:v>
                </c:pt>
                <c:pt idx="628">
                  <c:v>390.95528316666923</c:v>
                </c:pt>
                <c:pt idx="629">
                  <c:v>391.14183323404905</c:v>
                </c:pt>
                <c:pt idx="630">
                  <c:v>391.32864592262655</c:v>
                </c:pt>
                <c:pt idx="631">
                  <c:v>391.49760599995858</c:v>
                </c:pt>
                <c:pt idx="632">
                  <c:v>391.68491953783229</c:v>
                </c:pt>
                <c:pt idx="633">
                  <c:v>391.86644177342754</c:v>
                </c:pt>
                <c:pt idx="634">
                  <c:v>392.05427455042002</c:v>
                </c:pt>
                <c:pt idx="635">
                  <c:v>392.23629997145906</c:v>
                </c:pt>
                <c:pt idx="636">
                  <c:v>392.4246534269181</c:v>
                </c:pt>
                <c:pt idx="637">
                  <c:v>392.61327204234601</c:v>
                </c:pt>
                <c:pt idx="638">
                  <c:v>392.79605900550968</c:v>
                </c:pt>
                <c:pt idx="639">
                  <c:v>392.98520047777339</c:v>
                </c:pt>
                <c:pt idx="640">
                  <c:v>393.16849413224611</c:v>
                </c:pt>
                <c:pt idx="641">
                  <c:v>393.35815991072121</c:v>
                </c:pt>
                <c:pt idx="642">
                  <c:v>393.54809269662564</c:v>
                </c:pt>
                <c:pt idx="643">
                  <c:v>393.72601381106233</c:v>
                </c:pt>
                <c:pt idx="644">
                  <c:v>393.91646445382565</c:v>
                </c:pt>
                <c:pt idx="645">
                  <c:v>394.10102680226794</c:v>
                </c:pt>
                <c:pt idx="646">
                  <c:v>394.29200538030528</c:v>
                </c:pt>
                <c:pt idx="647">
                  <c:v>394.47707934148127</c:v>
                </c:pt>
                <c:pt idx="648">
                  <c:v>394.66858731824618</c:v>
                </c:pt>
                <c:pt idx="649">
                  <c:v>394.86036489584774</c:v>
                </c:pt>
                <c:pt idx="650">
                  <c:v>395.04621315336556</c:v>
                </c:pt>
                <c:pt idx="651">
                  <c:v>395.23852234454694</c:v>
                </c:pt>
                <c:pt idx="652">
                  <c:v>395.42488577937968</c:v>
                </c:pt>
                <c:pt idx="653">
                  <c:v>395.61772805779083</c:v>
                </c:pt>
                <c:pt idx="654">
                  <c:v>395.81084181543997</c:v>
                </c:pt>
                <c:pt idx="655">
                  <c:v>395.98550080501252</c:v>
                </c:pt>
                <c:pt idx="656">
                  <c:v>396.179132305275</c:v>
                </c:pt>
                <c:pt idx="657">
                  <c:v>396.36677716644385</c:v>
                </c:pt>
                <c:pt idx="658">
                  <c:v>396.56094541941906</c:v>
                </c:pt>
                <c:pt idx="659">
                  <c:v>396.74911043814558</c:v>
                </c:pt>
                <c:pt idx="660">
                  <c:v>396.94381693172932</c:v>
                </c:pt>
                <c:pt idx="661">
                  <c:v>397.13879752895332</c:v>
                </c:pt>
                <c:pt idx="662">
                  <c:v>397.32774977611916</c:v>
                </c:pt>
                <c:pt idx="663">
                  <c:v>397.52327086579589</c:v>
                </c:pt>
                <c:pt idx="664">
                  <c:v>397.71274689463536</c:v>
                </c:pt>
                <c:pt idx="665">
                  <c:v>397.90880997502717</c:v>
                </c:pt>
                <c:pt idx="666">
                  <c:v>398.10514906883333</c:v>
                </c:pt>
                <c:pt idx="667">
                  <c:v>398.28272516778765</c:v>
                </c:pt>
                <c:pt idx="668">
                  <c:v>398.47959065141049</c:v>
                </c:pt>
                <c:pt idx="669">
                  <c:v>398.67036950863803</c:v>
                </c:pt>
                <c:pt idx="670">
                  <c:v>398.86778070967915</c:v>
                </c:pt>
                <c:pt idx="671">
                  <c:v>399.05908841200164</c:v>
                </c:pt>
                <c:pt idx="672">
                  <c:v>399.25704684320692</c:v>
                </c:pt>
                <c:pt idx="673">
                  <c:v>399.45528395606084</c:v>
                </c:pt>
                <c:pt idx="674">
                  <c:v>399.6473920349091</c:v>
                </c:pt>
                <c:pt idx="675">
                  <c:v>399.8461786673812</c:v>
                </c:pt>
                <c:pt idx="676">
                  <c:v>400.03881927596933</c:v>
                </c:pt>
                <c:pt idx="677">
                  <c:v>400.23815695134567</c:v>
                </c:pt>
                <c:pt idx="678">
                  <c:v>400.43777525004089</c:v>
                </c:pt>
                <c:pt idx="679">
                  <c:v>400.6183171791854</c:v>
                </c:pt>
                <c:pt idx="680">
                  <c:v>400.81847065932442</c:v>
                </c:pt>
                <c:pt idx="681">
                  <c:v>401.01243585580437</c:v>
                </c:pt>
                <c:pt idx="682">
                  <c:v>401.21314416779296</c:v>
                </c:pt>
                <c:pt idx="683">
                  <c:v>401.40764704200228</c:v>
                </c:pt>
                <c:pt idx="684">
                  <c:v>401.60891172385232</c:v>
                </c:pt>
                <c:pt idx="685">
                  <c:v>401.81045974181973</c:v>
                </c:pt>
                <c:pt idx="686">
                  <c:v>402.00577636023718</c:v>
                </c:pt>
                <c:pt idx="687">
                  <c:v>402.20788307575776</c:v>
                </c:pt>
                <c:pt idx="688">
                  <c:v>402.40374111808921</c:v>
                </c:pt>
                <c:pt idx="689">
                  <c:v>402.6064080798904</c:v>
                </c:pt>
                <c:pt idx="690">
                  <c:v>402.80936035190888</c:v>
                </c:pt>
                <c:pt idx="691">
                  <c:v>402.99947757807939</c:v>
                </c:pt>
                <c:pt idx="692">
                  <c:v>403.20298320493652</c:v>
                </c:pt>
                <c:pt idx="693">
                  <c:v>403.40019690749477</c:v>
                </c:pt>
                <c:pt idx="694">
                  <c:v>403.60426665845955</c:v>
                </c:pt>
                <c:pt idx="695">
                  <c:v>403.80202704370981</c:v>
                </c:pt>
                <c:pt idx="696">
                  <c:v>404.00666248255214</c:v>
                </c:pt>
                <c:pt idx="697">
                  <c:v>404.21158600279171</c:v>
                </c:pt>
                <c:pt idx="698">
                  <c:v>404.41017376074149</c:v>
                </c:pt>
                <c:pt idx="699">
                  <c:v>404.61566533553446</c:v>
                </c:pt>
                <c:pt idx="700">
                  <c:v>404.8148035851018</c:v>
                </c:pt>
                <c:pt idx="701">
                  <c:v>405.02086478911355</c:v>
                </c:pt>
                <c:pt idx="702">
                  <c:v>405.22721608168422</c:v>
                </c:pt>
                <c:pt idx="703">
                  <c:v>405.41384757131044</c:v>
                </c:pt>
                <c:pt idx="704">
                  <c:v>405.62075209664295</c:v>
                </c:pt>
                <c:pt idx="705">
                  <c:v>405.8212596115801</c:v>
                </c:pt>
                <c:pt idx="706">
                  <c:v>406.02873768287532</c:v>
                </c:pt>
                <c:pt idx="707">
                  <c:v>406.22980101105804</c:v>
                </c:pt>
                <c:pt idx="708">
                  <c:v>406.43785421820388</c:v>
                </c:pt>
                <c:pt idx="709">
                  <c:v>406.64620031820817</c:v>
                </c:pt>
                <c:pt idx="710">
                  <c:v>406.8481048376554</c:v>
                </c:pt>
                <c:pt idx="711">
                  <c:v>407.05702847971384</c:v>
                </c:pt>
                <c:pt idx="712">
                  <c:v>407.25949268494765</c:v>
                </c:pt>
                <c:pt idx="713">
                  <c:v>407.46899547002488</c:v>
                </c:pt>
                <c:pt idx="714">
                  <c:v>407.6787931886455</c:v>
                </c:pt>
                <c:pt idx="715">
                  <c:v>407.86854174926054</c:v>
                </c:pt>
                <c:pt idx="716">
                  <c:v>408.0789019405936</c:v>
                </c:pt>
                <c:pt idx="717">
                  <c:v>408.28275828031423</c:v>
                </c:pt>
                <c:pt idx="718">
                  <c:v>408.49370159682701</c:v>
                </c:pt>
                <c:pt idx="719">
                  <c:v>408.69812303284243</c:v>
                </c:pt>
                <c:pt idx="720">
                  <c:v>408.9096510909763</c:v>
                </c:pt>
                <c:pt idx="721">
                  <c:v>409.12147693378961</c:v>
                </c:pt>
                <c:pt idx="722">
                  <c:v>409.32675361042925</c:v>
                </c:pt>
                <c:pt idx="723">
                  <c:v>409.53916664125484</c:v>
                </c:pt>
                <c:pt idx="724">
                  <c:v>409.74501235140866</c:v>
                </c:pt>
                <c:pt idx="725">
                  <c:v>409.95801419795066</c:v>
                </c:pt>
                <c:pt idx="726">
                  <c:v>410.17131590393967</c:v>
                </c:pt>
                <c:pt idx="727">
                  <c:v>410.36423359605908</c:v>
                </c:pt>
                <c:pt idx="728">
                  <c:v>410.57810716903481</c:v>
                </c:pt>
                <c:pt idx="729">
                  <c:v>410.78536826474647</c:v>
                </c:pt>
                <c:pt idx="730">
                  <c:v>410.99983470210805</c:v>
                </c:pt>
                <c:pt idx="731">
                  <c:v>411.20767033220704</c:v>
                </c:pt>
                <c:pt idx="732">
                  <c:v>411.42273127739372</c:v>
                </c:pt>
                <c:pt idx="733">
                  <c:v>411.63809498078245</c:v>
                </c:pt>
                <c:pt idx="734">
                  <c:v>411.84680013551406</c:v>
                </c:pt>
                <c:pt idx="735">
                  <c:v>412.06276083397779</c:v>
                </c:pt>
                <c:pt idx="736">
                  <c:v>412.27204452607441</c:v>
                </c:pt>
                <c:pt idx="737">
                  <c:v>412.4886038745027</c:v>
                </c:pt>
                <c:pt idx="738">
                  <c:v>412.70546809055327</c:v>
                </c:pt>
                <c:pt idx="739">
                  <c:v>412.90861744582344</c:v>
                </c:pt>
                <c:pt idx="740">
                  <c:v>413.12607294800296</c:v>
                </c:pt>
                <c:pt idx="741">
                  <c:v>413.33680522793452</c:v>
                </c:pt>
                <c:pt idx="742">
                  <c:v>413.55486352372225</c:v>
                </c:pt>
                <c:pt idx="743">
                  <c:v>413.76617996027466</c:v>
                </c:pt>
                <c:pt idx="744">
                  <c:v>413.98484272063376</c:v>
                </c:pt>
                <c:pt idx="745">
                  <c:v>414.20381330975351</c:v>
                </c:pt>
                <c:pt idx="746">
                  <c:v>414.41601383363377</c:v>
                </c:pt>
                <c:pt idx="747">
                  <c:v>414.63559141623119</c:v>
                </c:pt>
                <c:pt idx="748">
                  <c:v>414.84838016675178</c:v>
                </c:pt>
                <c:pt idx="749">
                  <c:v>415.06856642543215</c:v>
                </c:pt>
                <c:pt idx="750">
                  <c:v>415.28906265762157</c:v>
                </c:pt>
                <c:pt idx="751">
                  <c:v>415.48848733656507</c:v>
                </c:pt>
                <c:pt idx="752">
                  <c:v>415.70957472443843</c:v>
                </c:pt>
                <c:pt idx="753">
                  <c:v>415.92382660054039</c:v>
                </c:pt>
                <c:pt idx="754">
                  <c:v>416.14552684972546</c:v>
                </c:pt>
                <c:pt idx="755">
                  <c:v>416.36037263888147</c:v>
                </c:pt>
                <c:pt idx="756">
                  <c:v>416.58268744824903</c:v>
                </c:pt>
                <c:pt idx="757">
                  <c:v>416.80531522765375</c:v>
                </c:pt>
                <c:pt idx="758">
                  <c:v>417.02105986993604</c:v>
                </c:pt>
                <c:pt idx="759">
                  <c:v>417.24430478066688</c:v>
                </c:pt>
                <c:pt idx="760">
                  <c:v>417.46064747399907</c:v>
                </c:pt>
                <c:pt idx="761">
                  <c:v>417.68451122676402</c:v>
                </c:pt>
                <c:pt idx="762">
                  <c:v>417.90869013013537</c:v>
                </c:pt>
                <c:pt idx="763">
                  <c:v>418.111445548615</c:v>
                </c:pt>
                <c:pt idx="764">
                  <c:v>418.33622548100004</c:v>
                </c:pt>
                <c:pt idx="765">
                  <c:v>418.55405573665939</c:v>
                </c:pt>
                <c:pt idx="766">
                  <c:v>418.77945876620765</c:v>
                </c:pt>
                <c:pt idx="767">
                  <c:v>418.99789285430387</c:v>
                </c:pt>
                <c:pt idx="768">
                  <c:v>419.22392070826038</c:v>
                </c:pt>
                <c:pt idx="769">
                  <c:v>419.45026675939869</c:v>
                </c:pt>
                <c:pt idx="770">
                  <c:v>419.66961471303421</c:v>
                </c:pt>
                <c:pt idx="771">
                  <c:v>419.89658820266686</c:v>
                </c:pt>
                <c:pt idx="772">
                  <c:v>420.11654419584647</c:v>
                </c:pt>
                <c:pt idx="773">
                  <c:v>420.34414686325317</c:v>
                </c:pt>
                <c:pt idx="774">
                  <c:v>420.57206994483045</c:v>
                </c:pt>
                <c:pt idx="775">
                  <c:v>420.77821173199868</c:v>
                </c:pt>
                <c:pt idx="776">
                  <c:v>421.00674588082109</c:v>
                </c:pt>
                <c:pt idx="777">
                  <c:v>421.22821428121028</c:v>
                </c:pt>
                <c:pt idx="778">
                  <c:v>421.45738193400382</c:v>
                </c:pt>
                <c:pt idx="779">
                  <c:v>421.67946425188342</c:v>
                </c:pt>
                <c:pt idx="780">
                  <c:v>421.90926716474144</c:v>
                </c:pt>
                <c:pt idx="781">
                  <c:v>422.13939358922858</c:v>
                </c:pt>
                <c:pt idx="782">
                  <c:v>422.36240503579398</c:v>
                </c:pt>
                <c:pt idx="783">
                  <c:v>422.59316937809126</c:v>
                </c:pt>
                <c:pt idx="784">
                  <c:v>422.81679901952032</c:v>
                </c:pt>
                <c:pt idx="785">
                  <c:v>423.04820304795635</c:v>
                </c:pt>
                <c:pt idx="786">
                  <c:v>423.27993284203785</c:v>
                </c:pt>
                <c:pt idx="787">
                  <c:v>423.49700765097543</c:v>
                </c:pt>
                <c:pt idx="788">
                  <c:v>423.72936926258518</c:v>
                </c:pt>
                <c:pt idx="789">
                  <c:v>423.95454678944583</c:v>
                </c:pt>
                <c:pt idx="790">
                  <c:v>424.18755251487585</c:v>
                </c:pt>
                <c:pt idx="791">
                  <c:v>424.41335424104409</c:v>
                </c:pt>
                <c:pt idx="792">
                  <c:v>424.64700586579852</c:v>
                </c:pt>
                <c:pt idx="793">
                  <c:v>424.88098642031662</c:v>
                </c:pt>
                <c:pt idx="794">
                  <c:v>425.10773283610757</c:v>
                </c:pt>
                <c:pt idx="795">
                  <c:v>425.34236199220766</c:v>
                </c:pt>
                <c:pt idx="796">
                  <c:v>425.56973695631643</c:v>
                </c:pt>
                <c:pt idx="797">
                  <c:v>425.80501651194265</c:v>
                </c:pt>
                <c:pt idx="798">
                  <c:v>426.04062728909867</c:v>
                </c:pt>
                <c:pt idx="799">
                  <c:v>426.25372210311627</c:v>
                </c:pt>
                <c:pt idx="800">
                  <c:v>426.48996455841382</c:v>
                </c:pt>
                <c:pt idx="801">
                  <c:v>426.71890294223221</c:v>
                </c:pt>
                <c:pt idx="802">
                  <c:v>426.95580026917293</c:v>
                </c:pt>
                <c:pt idx="803">
                  <c:v>427.18537327751477</c:v>
                </c:pt>
                <c:pt idx="804">
                  <c:v>427.42292729142366</c:v>
                </c:pt>
                <c:pt idx="805">
                  <c:v>427.66081572879625</c:v>
                </c:pt>
                <c:pt idx="806">
                  <c:v>427.89134920472304</c:v>
                </c:pt>
                <c:pt idx="807">
                  <c:v>428.12989707645391</c:v>
                </c:pt>
                <c:pt idx="808">
                  <c:v>428.36106959855044</c:v>
                </c:pt>
                <c:pt idx="809">
                  <c:v>428.60027873261265</c:v>
                </c:pt>
                <c:pt idx="810">
                  <c:v>428.83982462018116</c:v>
                </c:pt>
                <c:pt idx="811">
                  <c:v>429.05647848880392</c:v>
                </c:pt>
                <c:pt idx="812">
                  <c:v>429.29666660463909</c:v>
                </c:pt>
                <c:pt idx="813">
                  <c:v>429.52942865827788</c:v>
                </c:pt>
                <c:pt idx="814">
                  <c:v>429.77028258325356</c:v>
                </c:pt>
                <c:pt idx="815">
                  <c:v>430.00368986075085</c:v>
                </c:pt>
                <c:pt idx="816">
                  <c:v>430.24521144051124</c:v>
                </c:pt>
                <c:pt idx="817">
                  <c:v>430.48707302918956</c:v>
                </c:pt>
                <c:pt idx="818">
                  <c:v>430.72145681575353</c:v>
                </c:pt>
                <c:pt idx="819">
                  <c:v>430.96398885249255</c:v>
                </c:pt>
                <c:pt idx="820">
                  <c:v>431.1990223584105</c:v>
                </c:pt>
                <c:pt idx="821">
                  <c:v>431.44222670171382</c:v>
                </c:pt>
                <c:pt idx="822">
                  <c:v>431.68577342289359</c:v>
                </c:pt>
                <c:pt idx="823">
                  <c:v>431.90604578853356</c:v>
                </c:pt>
                <c:pt idx="824">
                  <c:v>432.15024546431073</c:v>
                </c:pt>
                <c:pt idx="825">
                  <c:v>432.38689504971671</c:v>
                </c:pt>
                <c:pt idx="826">
                  <c:v>432.63177165480693</c:v>
                </c:pt>
                <c:pt idx="827">
                  <c:v>432.8690772404338</c:v>
                </c:pt>
                <c:pt idx="828">
                  <c:v>433.11463265130669</c:v>
                </c:pt>
                <c:pt idx="829">
                  <c:v>433.36053374983896</c:v>
                </c:pt>
                <c:pt idx="830">
                  <c:v>433.59883215393501</c:v>
                </c:pt>
                <c:pt idx="831">
                  <c:v>433.84541489817832</c:v>
                </c:pt>
                <c:pt idx="832">
                  <c:v>434.08437387307345</c:v>
                </c:pt>
                <c:pt idx="833">
                  <c:v>434.33164015257171</c:v>
                </c:pt>
                <c:pt idx="834">
                  <c:v>434.5792545282535</c:v>
                </c:pt>
                <c:pt idx="835">
                  <c:v>434.81120935091388</c:v>
                </c:pt>
                <c:pt idx="836">
                  <c:v>435.05949885386372</c:v>
                </c:pt>
                <c:pt idx="837">
                  <c:v>435.30011181842508</c:v>
                </c:pt>
                <c:pt idx="838">
                  <c:v>435.54908958781937</c:v>
                </c:pt>
                <c:pt idx="839">
                  <c:v>435.79036953921548</c:v>
                </c:pt>
                <c:pt idx="840">
                  <c:v>436.04003748295111</c:v>
                </c:pt>
                <c:pt idx="841">
                  <c:v>436.2900569038818</c:v>
                </c:pt>
                <c:pt idx="842">
                  <c:v>436.53234630135307</c:v>
                </c:pt>
                <c:pt idx="843">
                  <c:v>436.78305878411663</c:v>
                </c:pt>
                <c:pt idx="844">
                  <c:v>437.02601981554812</c:v>
                </c:pt>
                <c:pt idx="845">
                  <c:v>437.27742728133376</c:v>
                </c:pt>
                <c:pt idx="846">
                  <c:v>437.52918867317652</c:v>
                </c:pt>
                <c:pt idx="847">
                  <c:v>437.75689068078032</c:v>
                </c:pt>
                <c:pt idx="848">
                  <c:v>438.00932705094965</c:v>
                </c:pt>
                <c:pt idx="849">
                  <c:v>438.25395867116697</c:v>
                </c:pt>
                <c:pt idx="850">
                  <c:v>438.50709480302953</c:v>
                </c:pt>
                <c:pt idx="851">
                  <c:v>438.75240454992354</c:v>
                </c:pt>
                <c:pt idx="852">
                  <c:v>439.00624238324099</c:v>
                </c:pt>
                <c:pt idx="853">
                  <c:v>439.2604375640351</c:v>
                </c:pt>
                <c:pt idx="854">
                  <c:v>439.50677361651208</c:v>
                </c:pt>
                <c:pt idx="855">
                  <c:v>439.76167343447884</c:v>
                </c:pt>
                <c:pt idx="856">
                  <c:v>440.00869233837329</c:v>
                </c:pt>
                <c:pt idx="857">
                  <c:v>440.26429874678945</c:v>
                </c:pt>
                <c:pt idx="858">
                  <c:v>440.52026499244425</c:v>
                </c:pt>
                <c:pt idx="859">
                  <c:v>440.7517700202319</c:v>
                </c:pt>
                <c:pt idx="860">
                  <c:v>441.00842251752692</c:v>
                </c:pt>
                <c:pt idx="861">
                  <c:v>441.25713991195011</c:v>
                </c:pt>
                <c:pt idx="862">
                  <c:v>441.51450385817782</c:v>
                </c:pt>
                <c:pt idx="863">
                  <c:v>441.76391070517468</c:v>
                </c:pt>
                <c:pt idx="864">
                  <c:v>442.02198807249403</c:v>
                </c:pt>
                <c:pt idx="865">
                  <c:v>442.28042875561528</c:v>
                </c:pt>
                <c:pt idx="866">
                  <c:v>442.53087904928594</c:v>
                </c:pt>
                <c:pt idx="867">
                  <c:v>442.79003613824807</c:v>
                </c:pt>
                <c:pt idx="868">
                  <c:v>443.04118068814444</c:v>
                </c:pt>
                <c:pt idx="869">
                  <c:v>443.30105616884742</c:v>
                </c:pt>
                <c:pt idx="870">
                  <c:v>443.56129749669776</c:v>
                </c:pt>
                <c:pt idx="871">
                  <c:v>443.79666906173134</c:v>
                </c:pt>
                <c:pt idx="872">
                  <c:v>444.05760810281981</c:v>
                </c:pt>
                <c:pt idx="873">
                  <c:v>444.31047951099549</c:v>
                </c:pt>
                <c:pt idx="874">
                  <c:v>444.57214188345301</c:v>
                </c:pt>
                <c:pt idx="875">
                  <c:v>444.82571425926142</c:v>
                </c:pt>
                <c:pt idx="876">
                  <c:v>445.08810196818564</c:v>
                </c:pt>
                <c:pt idx="877">
                  <c:v>445.35085906091876</c:v>
                </c:pt>
                <c:pt idx="878">
                  <c:v>445.60549231077812</c:v>
                </c:pt>
                <c:pt idx="879">
                  <c:v>445.8689777745775</c:v>
                </c:pt>
                <c:pt idx="880">
                  <c:v>446.12431687595085</c:v>
                </c:pt>
                <c:pt idx="881">
                  <c:v>446.38853272988445</c:v>
                </c:pt>
                <c:pt idx="882">
                  <c:v>446.65312054125025</c:v>
                </c:pt>
                <c:pt idx="883">
                  <c:v>446.90097537073854</c:v>
                </c:pt>
                <c:pt idx="884">
                  <c:v>447.16628458790211</c:v>
                </c:pt>
                <c:pt idx="885">
                  <c:v>447.42339105639468</c:v>
                </c:pt>
                <c:pt idx="886">
                  <c:v>447.68943571919499</c:v>
                </c:pt>
                <c:pt idx="887">
                  <c:v>447.94725489504276</c:v>
                </c:pt>
                <c:pt idx="888">
                  <c:v>448.21403704215885</c:v>
                </c:pt>
                <c:pt idx="889">
                  <c:v>448.48119475947999</c:v>
                </c:pt>
                <c:pt idx="890">
                  <c:v>448.74009257677153</c:v>
                </c:pt>
                <c:pt idx="891">
                  <c:v>449.0079908638312</c:v>
                </c:pt>
                <c:pt idx="892">
                  <c:v>449.26760635415405</c:v>
                </c:pt>
                <c:pt idx="893">
                  <c:v>449.53624726383504</c:v>
                </c:pt>
                <c:pt idx="894">
                  <c:v>449.80526636044715</c:v>
                </c:pt>
                <c:pt idx="895">
                  <c:v>450.04857685350555</c:v>
                </c:pt>
                <c:pt idx="896">
                  <c:v>450.31831719676433</c:v>
                </c:pt>
                <c:pt idx="897">
                  <c:v>450.57971779116014</c:v>
                </c:pt>
                <c:pt idx="898">
                  <c:v>450.85020586327914</c:v>
                </c:pt>
                <c:pt idx="899">
                  <c:v>451.11233106848454</c:v>
                </c:pt>
                <c:pt idx="900">
                  <c:v>451.38356894219186</c:v>
                </c:pt>
                <c:pt idx="901">
                  <c:v>451.65518865878079</c:v>
                </c:pt>
                <c:pt idx="902">
                  <c:v>451.91841052062102</c:v>
                </c:pt>
                <c:pt idx="903">
                  <c:v>452.19078317575327</c:v>
                </c:pt>
                <c:pt idx="904">
                  <c:v>452.45473469701471</c:v>
                </c:pt>
                <c:pt idx="905">
                  <c:v>452.72786237785994</c:v>
                </c:pt>
                <c:pt idx="906">
                  <c:v>453.00137456201662</c:v>
                </c:pt>
                <c:pt idx="907">
                  <c:v>453.24874876415595</c:v>
                </c:pt>
                <c:pt idx="908">
                  <c:v>453.52299424103461</c:v>
                </c:pt>
                <c:pt idx="909">
                  <c:v>453.78876068071679</c:v>
                </c:pt>
                <c:pt idx="910">
                  <c:v>454.06376637483015</c:v>
                </c:pt>
                <c:pt idx="911">
                  <c:v>454.33026952758462</c:v>
                </c:pt>
                <c:pt idx="912">
                  <c:v>454.60603754627925</c:v>
                </c:pt>
                <c:pt idx="913">
                  <c:v>454.88219378529664</c:v>
                </c:pt>
                <c:pt idx="914">
                  <c:v>455.14981191076208</c:v>
                </c:pt>
                <c:pt idx="915">
                  <c:v>455.42673366370798</c:v>
                </c:pt>
                <c:pt idx="916">
                  <c:v>455.69509363517813</c:v>
                </c:pt>
                <c:pt idx="917">
                  <c:v>455.97278302408165</c:v>
                </c:pt>
                <c:pt idx="918">
                  <c:v>456.25086333817205</c:v>
                </c:pt>
                <c:pt idx="919">
                  <c:v>456.50236912041294</c:v>
                </c:pt>
                <c:pt idx="920">
                  <c:v>456.78119497449097</c:v>
                </c:pt>
                <c:pt idx="921">
                  <c:v>457.05140017668077</c:v>
                </c:pt>
                <c:pt idx="922">
                  <c:v>457.33099894494569</c:v>
                </c:pt>
                <c:pt idx="923">
                  <c:v>457.60195316459965</c:v>
                </c:pt>
                <c:pt idx="924">
                  <c:v>457.88232698959422</c:v>
                </c:pt>
                <c:pt idx="925">
                  <c:v>458.16309551886752</c:v>
                </c:pt>
                <c:pt idx="926">
                  <c:v>458.4351833332189</c:v>
                </c:pt>
                <c:pt idx="927">
                  <c:v>458.71673016183661</c:v>
                </c:pt>
                <c:pt idx="928">
                  <c:v>458.98957221231319</c:v>
                </c:pt>
                <c:pt idx="929">
                  <c:v>459.27189949774618</c:v>
                </c:pt>
                <c:pt idx="930">
                  <c:v>459.55462423749782</c:v>
                </c:pt>
                <c:pt idx="931">
                  <c:v>459.81946898526382</c:v>
                </c:pt>
                <c:pt idx="932">
                  <c:v>460.10296458163702</c:v>
                </c:pt>
                <c:pt idx="933">
                  <c:v>460.37769514846752</c:v>
                </c:pt>
                <c:pt idx="934">
                  <c:v>460.66197660370239</c:v>
                </c:pt>
                <c:pt idx="935">
                  <c:v>460.93746873245243</c:v>
                </c:pt>
                <c:pt idx="936">
                  <c:v>461.22253822497504</c:v>
                </c:pt>
                <c:pt idx="937">
                  <c:v>461.50800903223671</c:v>
                </c:pt>
                <c:pt idx="938">
                  <c:v>461.7846537409938</c:v>
                </c:pt>
                <c:pt idx="939">
                  <c:v>462.0709158824651</c:v>
                </c:pt>
                <c:pt idx="940">
                  <c:v>462.34832745920437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AD-42A2-9F38-67DBD5E8B4FB}"/>
            </c:ext>
          </c:extLst>
        </c:ser>
        <c:ser>
          <c:idx val="0"/>
          <c:order val="1"/>
          <c:tx>
            <c:strRef>
              <c:f>'指数+定数モデル'!$G$1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'指数+定数モデル'!$G$2:$G$942</c:f>
              <c:numCache>
                <c:formatCode>0.00_ ;[Red]\-0.00\ </c:formatCode>
                <c:ptCount val="9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AD-42A2-9F38-67DBD5E8B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765679"/>
        <c:axId val="1238716575"/>
      </c:scatterChart>
      <c:valAx>
        <c:axId val="1157765679"/>
        <c:scaling>
          <c:orientation val="minMax"/>
          <c:max val="50010"/>
          <c:min val="212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8716575"/>
        <c:crosses val="autoZero"/>
        <c:crossBetween val="midCat"/>
      </c:valAx>
      <c:valAx>
        <c:axId val="123871657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776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'指数+定数モデル'!$K$1</c:f>
              <c:strCache>
                <c:ptCount val="1"/>
                <c:pt idx="0">
                  <c:v>TS(d)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'指数+定数モデル'!$K$2:$K$942</c:f>
              <c:numCache>
                <c:formatCode>0.00_ ;[Red]\-0.00\ </c:formatCode>
                <c:ptCount val="941"/>
                <c:pt idx="0">
                  <c:v>315.10927326726323</c:v>
                </c:pt>
                <c:pt idx="1">
                  <c:v>316.42470534580968</c:v>
                </c:pt>
                <c:pt idx="2">
                  <c:v>316.96540669045248</c:v>
                </c:pt>
                <c:pt idx="3">
                  <c:v>314.76599394032087</c:v>
                </c:pt>
                <c:pt idx="4">
                  <c:v>312.71515029034248</c:v>
                </c:pt>
                <c:pt idx="5">
                  <c:v>310.99029851426224</c:v>
                </c:pt>
                <c:pt idx="6">
                  <c:v>312.27770177154861</c:v>
                </c:pt>
                <c:pt idx="7">
                  <c:v>313.52268290109458</c:v>
                </c:pt>
                <c:pt idx="8">
                  <c:v>314.45282636840147</c:v>
                </c:pt>
                <c:pt idx="9">
                  <c:v>315.24776513621453</c:v>
                </c:pt>
                <c:pt idx="10">
                  <c:v>316.0324423979074</c:v>
                </c:pt>
                <c:pt idx="11">
                  <c:v>317.34917409422553</c:v>
                </c:pt>
                <c:pt idx="12">
                  <c:v>317.89113487545791</c:v>
                </c:pt>
                <c:pt idx="13">
                  <c:v>317.19226512520453</c:v>
                </c:pt>
                <c:pt idx="14">
                  <c:v>315.6942882734682</c:v>
                </c:pt>
                <c:pt idx="15">
                  <c:v>313.644751456412</c:v>
                </c:pt>
                <c:pt idx="16">
                  <c:v>311.92120835298539</c:v>
                </c:pt>
                <c:pt idx="17">
                  <c:v>311.87298547478917</c:v>
                </c:pt>
                <c:pt idx="18">
                  <c:v>313.21119212212352</c:v>
                </c:pt>
                <c:pt idx="19">
                  <c:v>314.45744497870788</c:v>
                </c:pt>
                <c:pt idx="20">
                  <c:v>315.38890438408941</c:v>
                </c:pt>
                <c:pt idx="21">
                  <c:v>316.18516094252664</c:v>
                </c:pt>
                <c:pt idx="22">
                  <c:v>316.97362294855327</c:v>
                </c:pt>
                <c:pt idx="23">
                  <c:v>318.29167961873515</c:v>
                </c:pt>
                <c:pt idx="24">
                  <c:v>318.83492440869747</c:v>
                </c:pt>
                <c:pt idx="25">
                  <c:v>318.13738330517788</c:v>
                </c:pt>
                <c:pt idx="26">
                  <c:v>316.64069402148465</c:v>
                </c:pt>
                <c:pt idx="27">
                  <c:v>314.59248953421348</c:v>
                </c:pt>
                <c:pt idx="28">
                  <c:v>312.87028063619721</c:v>
                </c:pt>
                <c:pt idx="29">
                  <c:v>312.82335071285934</c:v>
                </c:pt>
                <c:pt idx="30">
                  <c:v>314.1628952640641</c:v>
                </c:pt>
                <c:pt idx="31">
                  <c:v>315.41044465961909</c:v>
                </c:pt>
                <c:pt idx="32">
                  <c:v>316.34324567758341</c:v>
                </c:pt>
                <c:pt idx="33">
                  <c:v>317.1408457372969</c:v>
                </c:pt>
                <c:pt idx="34">
                  <c:v>317.92792996657175</c:v>
                </c:pt>
                <c:pt idx="35">
                  <c:v>319.24733008977762</c:v>
                </c:pt>
                <c:pt idx="36">
                  <c:v>319.79187679629706</c:v>
                </c:pt>
                <c:pt idx="37">
                  <c:v>319.09568286989617</c:v>
                </c:pt>
                <c:pt idx="38">
                  <c:v>317.60029911171449</c:v>
                </c:pt>
                <c:pt idx="39">
                  <c:v>315.55344553598013</c:v>
                </c:pt>
                <c:pt idx="40">
                  <c:v>313.83258945128506</c:v>
                </c:pt>
                <c:pt idx="41">
                  <c:v>313.78697051540286</c:v>
                </c:pt>
                <c:pt idx="42">
                  <c:v>315.12787162997063</c:v>
                </c:pt>
                <c:pt idx="43">
                  <c:v>316.37673564708035</c:v>
                </c:pt>
                <c:pt idx="44">
                  <c:v>317.31089698884472</c:v>
                </c:pt>
                <c:pt idx="45">
                  <c:v>318.10985928739308</c:v>
                </c:pt>
                <c:pt idx="46">
                  <c:v>318.89817557419366</c:v>
                </c:pt>
                <c:pt idx="47">
                  <c:v>320.21894158842935</c:v>
                </c:pt>
                <c:pt idx="48">
                  <c:v>320.76481195578043</c:v>
                </c:pt>
                <c:pt idx="49">
                  <c:v>320.06998770670293</c:v>
                </c:pt>
                <c:pt idx="50">
                  <c:v>318.57593127858297</c:v>
                </c:pt>
                <c:pt idx="51">
                  <c:v>316.53045117696138</c:v>
                </c:pt>
                <c:pt idx="52">
                  <c:v>314.81097049992667</c:v>
                </c:pt>
                <c:pt idx="53">
                  <c:v>314.7666844472742</c:v>
                </c:pt>
                <c:pt idx="54">
                  <c:v>316.10896478217632</c:v>
                </c:pt>
                <c:pt idx="55">
                  <c:v>317.35916537731083</c:v>
                </c:pt>
                <c:pt idx="56">
                  <c:v>318.29470976265242</c:v>
                </c:pt>
                <c:pt idx="57">
                  <c:v>319.09505705179714</c:v>
                </c:pt>
                <c:pt idx="58">
                  <c:v>319.88462597363048</c:v>
                </c:pt>
                <c:pt idx="59">
                  <c:v>321.20678069165558</c:v>
                </c:pt>
                <c:pt idx="60">
                  <c:v>321.75399682727988</c:v>
                </c:pt>
                <c:pt idx="61">
                  <c:v>321.06056513152316</c:v>
                </c:pt>
                <c:pt idx="62">
                  <c:v>319.5678582021892</c:v>
                </c:pt>
                <c:pt idx="63">
                  <c:v>317.52377451409069</c:v>
                </c:pt>
                <c:pt idx="64">
                  <c:v>315.80569221642008</c:v>
                </c:pt>
                <c:pt idx="65">
                  <c:v>315.76276130846929</c:v>
                </c:pt>
                <c:pt idx="66">
                  <c:v>317.10644389908794</c:v>
                </c:pt>
                <c:pt idx="67">
                  <c:v>318.35800339542851</c:v>
                </c:pt>
                <c:pt idx="68">
                  <c:v>319.29495392358433</c:v>
                </c:pt>
                <c:pt idx="69">
                  <c:v>322.76248111379283</c:v>
                </c:pt>
                <c:pt idx="70">
                  <c:v>322.0704691406608</c:v>
                </c:pt>
                <c:pt idx="71">
                  <c:v>320.5791380394046</c:v>
                </c:pt>
                <c:pt idx="72">
                  <c:v>318.53647800944736</c:v>
                </c:pt>
                <c:pt idx="73">
                  <c:v>316.81982137411353</c:v>
                </c:pt>
                <c:pt idx="74">
                  <c:v>316.77827205031031</c:v>
                </c:pt>
                <c:pt idx="75">
                  <c:v>318.12338425524723</c:v>
                </c:pt>
                <c:pt idx="76">
                  <c:v>319.37632916553099</c:v>
                </c:pt>
                <c:pt idx="77">
                  <c:v>320.3147132709417</c:v>
                </c:pt>
                <c:pt idx="78">
                  <c:v>321.1179042778528</c:v>
                </c:pt>
                <c:pt idx="79">
                  <c:v>321.91004515974618</c:v>
                </c:pt>
                <c:pt idx="80">
                  <c:v>323.23505121961313</c:v>
                </c:pt>
                <c:pt idx="81">
                  <c:v>323.78503054017034</c:v>
                </c:pt>
                <c:pt idx="82">
                  <c:v>323.09445809026624</c:v>
                </c:pt>
                <c:pt idx="83">
                  <c:v>321.60452200550225</c:v>
                </c:pt>
                <c:pt idx="84">
                  <c:v>319.56330548917737</c:v>
                </c:pt>
                <c:pt idx="85">
                  <c:v>317.84809439962356</c:v>
                </c:pt>
                <c:pt idx="86">
                  <c:v>317.80794592866124</c:v>
                </c:pt>
                <c:pt idx="87">
                  <c:v>319.15450768647736</c:v>
                </c:pt>
                <c:pt idx="88">
                  <c:v>320.40885733281078</c:v>
                </c:pt>
                <c:pt idx="89">
                  <c:v>321.34869500930768</c:v>
                </c:pt>
                <c:pt idx="90">
                  <c:v>322.15334163361126</c:v>
                </c:pt>
                <c:pt idx="91">
                  <c:v>322.9467990279378</c:v>
                </c:pt>
                <c:pt idx="92">
                  <c:v>324.27326460774236</c:v>
                </c:pt>
                <c:pt idx="93">
                  <c:v>324.8246583232492</c:v>
                </c:pt>
                <c:pt idx="94">
                  <c:v>324.13554943911868</c:v>
                </c:pt>
                <c:pt idx="95">
                  <c:v>322.64703167005234</c:v>
                </c:pt>
                <c:pt idx="96">
                  <c:v>320.6072827765521</c:v>
                </c:pt>
                <c:pt idx="97">
                  <c:v>318.89354137591107</c:v>
                </c:pt>
                <c:pt idx="98">
                  <c:v>318.85481715447224</c:v>
                </c:pt>
                <c:pt idx="99">
                  <c:v>320.20285267522581</c:v>
                </c:pt>
                <c:pt idx="100">
                  <c:v>321.45863051914802</c:v>
                </c:pt>
                <c:pt idx="101">
                  <c:v>322.39994604390029</c:v>
                </c:pt>
                <c:pt idx="102">
                  <c:v>323.20607259694248</c:v>
                </c:pt>
                <c:pt idx="103">
                  <c:v>324.00086849175324</c:v>
                </c:pt>
                <c:pt idx="104">
                  <c:v>325.32881796802081</c:v>
                </c:pt>
                <c:pt idx="105">
                  <c:v>325.88164970133681</c:v>
                </c:pt>
                <c:pt idx="106">
                  <c:v>325.19402882707783</c:v>
                </c:pt>
                <c:pt idx="107">
                  <c:v>323.70695306205198</c:v>
                </c:pt>
                <c:pt idx="108">
                  <c:v>321.66869630323419</c:v>
                </c:pt>
                <c:pt idx="109">
                  <c:v>319.95644913787089</c:v>
                </c:pt>
                <c:pt idx="110">
                  <c:v>319.9191729534038</c:v>
                </c:pt>
                <c:pt idx="111">
                  <c:v>321.26870685150305</c:v>
                </c:pt>
                <c:pt idx="112">
                  <c:v>322.52593674640161</c:v>
                </c:pt>
                <c:pt idx="113">
                  <c:v>323.46875480204966</c:v>
                </c:pt>
                <c:pt idx="114">
                  <c:v>324.27638600121838</c:v>
                </c:pt>
                <c:pt idx="115">
                  <c:v>325.07550329640765</c:v>
                </c:pt>
                <c:pt idx="116">
                  <c:v>326.40496562058553</c:v>
                </c:pt>
                <c:pt idx="117">
                  <c:v>326.95926342804614</c:v>
                </c:pt>
                <c:pt idx="118">
                  <c:v>326.2731595953602</c:v>
                </c:pt>
                <c:pt idx="119">
                  <c:v>324.78755396848334</c:v>
                </c:pt>
                <c:pt idx="120">
                  <c:v>322.75081845652653</c:v>
                </c:pt>
                <c:pt idx="121">
                  <c:v>321.04009467960293</c:v>
                </c:pt>
                <c:pt idx="122">
                  <c:v>321.00429478392078</c:v>
                </c:pt>
                <c:pt idx="123">
                  <c:v>322.35535629334129</c:v>
                </c:pt>
                <c:pt idx="124">
                  <c:v>323.61406656934474</c:v>
                </c:pt>
                <c:pt idx="125">
                  <c:v>324.55841647090136</c:v>
                </c:pt>
                <c:pt idx="126">
                  <c:v>325.36758167247865</c:v>
                </c:pt>
                <c:pt idx="127">
                  <c:v>326.16512582970887</c:v>
                </c:pt>
                <c:pt idx="128">
                  <c:v>327.49612210120114</c:v>
                </c:pt>
                <c:pt idx="129">
                  <c:v>328.05190642986543</c:v>
                </c:pt>
                <c:pt idx="130">
                  <c:v>327.3673407966449</c:v>
                </c:pt>
                <c:pt idx="131">
                  <c:v>325.88322581165613</c:v>
                </c:pt>
                <c:pt idx="132">
                  <c:v>323.84803276310282</c:v>
                </c:pt>
                <c:pt idx="133">
                  <c:v>322.13885362102974</c:v>
                </c:pt>
                <c:pt idx="134">
                  <c:v>322.10455060365365</c:v>
                </c:pt>
                <c:pt idx="135">
                  <c:v>323.45716102970187</c:v>
                </c:pt>
                <c:pt idx="136">
                  <c:v>324.71737233340576</c:v>
                </c:pt>
                <c:pt idx="137">
                  <c:v>325.66327544523659</c:v>
                </c:pt>
                <c:pt idx="138">
                  <c:v>326.47399604366439</c:v>
                </c:pt>
                <c:pt idx="139">
                  <c:v>327.27294695743836</c:v>
                </c:pt>
                <c:pt idx="140">
                  <c:v>328.60550279583737</c:v>
                </c:pt>
                <c:pt idx="141">
                  <c:v>329.16279847319896</c:v>
                </c:pt>
                <c:pt idx="142">
                  <c:v>328.47979673005449</c:v>
                </c:pt>
                <c:pt idx="143">
                  <c:v>326.99719728326994</c:v>
                </c:pt>
                <c:pt idx="144">
                  <c:v>324.96357245994596</c:v>
                </c:pt>
                <c:pt idx="145">
                  <c:v>323.25596375081631</c:v>
                </c:pt>
                <c:pt idx="146">
                  <c:v>323.22318261222125</c:v>
                </c:pt>
                <c:pt idx="147">
                  <c:v>324.57736782450326</c:v>
                </c:pt>
                <c:pt idx="148">
                  <c:v>325.83910522568499</c:v>
                </c:pt>
                <c:pt idx="149">
                  <c:v>326.78658748910732</c:v>
                </c:pt>
                <c:pt idx="150">
                  <c:v>327.59888946222236</c:v>
                </c:pt>
                <c:pt idx="151">
                  <c:v>328.3992706278251</c:v>
                </c:pt>
                <c:pt idx="152">
                  <c:v>329.73341208061487</c:v>
                </c:pt>
                <c:pt idx="153">
                  <c:v>330.2922443488298</c:v>
                </c:pt>
                <c:pt idx="154">
                  <c:v>329.61083261545002</c:v>
                </c:pt>
                <c:pt idx="155">
                  <c:v>328.12977401899781</c:v>
                </c:pt>
                <c:pt idx="156">
                  <c:v>326.09774361299634</c:v>
                </c:pt>
                <c:pt idx="157">
                  <c:v>324.39173156577579</c:v>
                </c:pt>
                <c:pt idx="158">
                  <c:v>324.36049772398877</c:v>
                </c:pt>
                <c:pt idx="159">
                  <c:v>325.7162840241777</c:v>
                </c:pt>
                <c:pt idx="160">
                  <c:v>326.97957301132368</c:v>
                </c:pt>
                <c:pt idx="161">
                  <c:v>327.92866080092</c:v>
                </c:pt>
                <c:pt idx="162">
                  <c:v>328.74257056043444</c:v>
                </c:pt>
                <c:pt idx="163">
                  <c:v>329.547569349166</c:v>
                </c:pt>
                <c:pt idx="164">
                  <c:v>330.88332735235355</c:v>
                </c:pt>
                <c:pt idx="165">
                  <c:v>331.44372619095907</c:v>
                </c:pt>
                <c:pt idx="166">
                  <c:v>330.76393548910642</c:v>
                </c:pt>
                <c:pt idx="167">
                  <c:v>329.28444780562796</c:v>
                </c:pt>
                <c:pt idx="168">
                  <c:v>327.25404292470506</c:v>
                </c:pt>
                <c:pt idx="169">
                  <c:v>325.54965869094247</c:v>
                </c:pt>
                <c:pt idx="170">
                  <c:v>325.5200023343782</c:v>
                </c:pt>
                <c:pt idx="171">
                  <c:v>326.87742096037613</c:v>
                </c:pt>
                <c:pt idx="172">
                  <c:v>328.14229180558442</c:v>
                </c:pt>
                <c:pt idx="173">
                  <c:v>329.093016445849</c:v>
                </c:pt>
                <c:pt idx="174">
                  <c:v>329.90856536035517</c:v>
                </c:pt>
                <c:pt idx="175">
                  <c:v>330.71188317588621</c:v>
                </c:pt>
                <c:pt idx="176">
                  <c:v>332.04928027519475</c:v>
                </c:pt>
                <c:pt idx="177">
                  <c:v>332.61126753285203</c:v>
                </c:pt>
                <c:pt idx="178">
                  <c:v>331.93312047074721</c:v>
                </c:pt>
                <c:pt idx="179">
                  <c:v>330.4552256094691</c:v>
                </c:pt>
                <c:pt idx="180">
                  <c:v>328.42646892451586</c:v>
                </c:pt>
                <c:pt idx="181">
                  <c:v>326.72373520701819</c:v>
                </c:pt>
                <c:pt idx="182">
                  <c:v>326.69567833656515</c:v>
                </c:pt>
                <c:pt idx="183">
                  <c:v>328.05475205411176</c:v>
                </c:pt>
                <c:pt idx="184">
                  <c:v>329.3212268192579</c:v>
                </c:pt>
                <c:pt idx="185">
                  <c:v>330.27361113903788</c:v>
                </c:pt>
                <c:pt idx="186">
                  <c:v>331.09082206952087</c:v>
                </c:pt>
                <c:pt idx="187">
                  <c:v>331.89564307174709</c:v>
                </c:pt>
                <c:pt idx="188">
                  <c:v>333.23470664293711</c:v>
                </c:pt>
                <c:pt idx="189">
                  <c:v>333.79830884901145</c:v>
                </c:pt>
                <c:pt idx="190">
                  <c:v>333.1218328783014</c:v>
                </c:pt>
                <c:pt idx="191">
                  <c:v>331.6455574421289</c:v>
                </c:pt>
                <c:pt idx="192">
                  <c:v>329.6184764808894</c:v>
                </c:pt>
                <c:pt idx="193">
                  <c:v>327.91742084615328</c:v>
                </c:pt>
                <c:pt idx="194">
                  <c:v>327.8909901760158</c:v>
                </c:pt>
                <c:pt idx="195">
                  <c:v>329.25174662802323</c:v>
                </c:pt>
                <c:pt idx="196">
                  <c:v>330.51985210136428</c:v>
                </c:pt>
                <c:pt idx="197">
                  <c:v>331.47392382019876</c:v>
                </c:pt>
                <c:pt idx="198">
                  <c:v>332.29282452522051</c:v>
                </c:pt>
                <c:pt idx="199">
                  <c:v>333.09917381997832</c:v>
                </c:pt>
                <c:pt idx="200">
                  <c:v>334.43993169603317</c:v>
                </c:pt>
                <c:pt idx="201">
                  <c:v>335.0051758229763</c:v>
                </c:pt>
                <c:pt idx="202">
                  <c:v>334.3303988537985</c:v>
                </c:pt>
                <c:pt idx="203">
                  <c:v>332.855769889952</c:v>
                </c:pt>
                <c:pt idx="204">
                  <c:v>330.83039263993112</c:v>
                </c:pt>
                <c:pt idx="205">
                  <c:v>329.131043114862</c:v>
                </c:pt>
                <c:pt idx="206">
                  <c:v>329.10626580541833</c:v>
                </c:pt>
                <c:pt idx="207">
                  <c:v>330.46873309648328</c:v>
                </c:pt>
                <c:pt idx="208">
                  <c:v>331.73849651368675</c:v>
                </c:pt>
                <c:pt idx="209">
                  <c:v>332.69428381407943</c:v>
                </c:pt>
                <c:pt idx="210">
                  <c:v>333.51490251581839</c:v>
                </c:pt>
                <c:pt idx="211">
                  <c:v>334.3261859618911</c:v>
                </c:pt>
                <c:pt idx="212">
                  <c:v>335.66867119941492</c:v>
                </c:pt>
                <c:pt idx="213">
                  <c:v>336.23558928179722</c:v>
                </c:pt>
                <c:pt idx="214">
                  <c:v>335.56254446238967</c:v>
                </c:pt>
                <c:pt idx="215">
                  <c:v>334.08959409424034</c:v>
                </c:pt>
                <c:pt idx="216">
                  <c:v>332.06595379556433</c:v>
                </c:pt>
                <c:pt idx="217">
                  <c:v>330.36834366708297</c:v>
                </c:pt>
                <c:pt idx="218">
                  <c:v>330.34525197609906</c:v>
                </c:pt>
                <c:pt idx="219">
                  <c:v>331.7094634854148</c:v>
                </c:pt>
                <c:pt idx="220">
                  <c:v>332.98091719366647</c:v>
                </c:pt>
                <c:pt idx="221">
                  <c:v>333.93845354733867</c:v>
                </c:pt>
                <c:pt idx="222">
                  <c:v>334.76082376463705</c:v>
                </c:pt>
                <c:pt idx="223">
                  <c:v>335.57031101039291</c:v>
                </c:pt>
                <c:pt idx="224">
                  <c:v>336.91454770056993</c:v>
                </c:pt>
                <c:pt idx="225">
                  <c:v>337.48316308473159</c:v>
                </c:pt>
                <c:pt idx="226">
                  <c:v>336.81187457305992</c:v>
                </c:pt>
                <c:pt idx="227">
                  <c:v>335.34062621166487</c:v>
                </c:pt>
                <c:pt idx="228">
                  <c:v>333.31874708926603</c:v>
                </c:pt>
                <c:pt idx="229">
                  <c:v>331.62290061640829</c:v>
                </c:pt>
                <c:pt idx="230">
                  <c:v>331.60151805288649</c:v>
                </c:pt>
                <c:pt idx="231">
                  <c:v>332.96749810673549</c:v>
                </c:pt>
                <c:pt idx="232">
                  <c:v>334.24066568020515</c:v>
                </c:pt>
                <c:pt idx="233">
                  <c:v>335.19997548087269</c:v>
                </c:pt>
                <c:pt idx="234">
                  <c:v>336.02412164178725</c:v>
                </c:pt>
                <c:pt idx="235">
                  <c:v>336.83521511447015</c:v>
                </c:pt>
                <c:pt idx="236">
                  <c:v>338.18123250961071</c:v>
                </c:pt>
                <c:pt idx="237">
                  <c:v>338.75157354344822</c:v>
                </c:pt>
                <c:pt idx="238">
                  <c:v>338.08207067291119</c:v>
                </c:pt>
                <c:pt idx="239">
                  <c:v>336.61255274474803</c:v>
                </c:pt>
                <c:pt idx="240">
                  <c:v>334.59246421333825</c:v>
                </c:pt>
                <c:pt idx="241">
                  <c:v>332.89841085222514</c:v>
                </c:pt>
                <c:pt idx="242">
                  <c:v>332.87876596157133</c:v>
                </c:pt>
                <c:pt idx="243">
                  <c:v>334.24654409772825</c:v>
                </c:pt>
                <c:pt idx="244">
                  <c:v>335.52145416095067</c:v>
                </c:pt>
                <c:pt idx="245">
                  <c:v>336.48256702826774</c:v>
                </c:pt>
                <c:pt idx="246">
                  <c:v>337.30851879415036</c:v>
                </c:pt>
                <c:pt idx="247">
                  <c:v>338.12124532054816</c:v>
                </c:pt>
                <c:pt idx="248">
                  <c:v>339.46907316152709</c:v>
                </c:pt>
                <c:pt idx="249">
                  <c:v>340.04116866639617</c:v>
                </c:pt>
                <c:pt idx="250">
                  <c:v>339.37348126031134</c:v>
                </c:pt>
                <c:pt idx="251">
                  <c:v>337.90572266662946</c:v>
                </c:pt>
                <c:pt idx="252">
                  <c:v>335.88745463219738</c:v>
                </c:pt>
                <c:pt idx="253">
                  <c:v>334.19522433091868</c:v>
                </c:pt>
                <c:pt idx="254">
                  <c:v>334.17734613529683</c:v>
                </c:pt>
                <c:pt idx="255">
                  <c:v>335.54695238486829</c:v>
                </c:pt>
                <c:pt idx="256">
                  <c:v>336.82363404045788</c:v>
                </c:pt>
                <c:pt idx="257">
                  <c:v>337.78658008877841</c:v>
                </c:pt>
                <c:pt idx="258">
                  <c:v>338.61436761637759</c:v>
                </c:pt>
                <c:pt idx="259">
                  <c:v>339.43236651960632</c:v>
                </c:pt>
                <c:pt idx="260">
                  <c:v>340.78204012898726</c:v>
                </c:pt>
                <c:pt idx="261">
                  <c:v>341.35592433535942</c:v>
                </c:pt>
                <c:pt idx="262">
                  <c:v>340.69008781420564</c:v>
                </c:pt>
                <c:pt idx="263">
                  <c:v>339.22412288036469</c:v>
                </c:pt>
                <c:pt idx="264">
                  <c:v>337.20771086157589</c:v>
                </c:pt>
                <c:pt idx="265">
                  <c:v>335.51733918879972</c:v>
                </c:pt>
                <c:pt idx="266">
                  <c:v>335.50126215717665</c:v>
                </c:pt>
                <c:pt idx="267">
                  <c:v>336.87273218742831</c:v>
                </c:pt>
                <c:pt idx="268">
                  <c:v>338.15121999990095</c:v>
                </c:pt>
                <c:pt idx="269">
                  <c:v>339.1160349953613</c:v>
                </c:pt>
                <c:pt idx="270">
                  <c:v>339.94569410116424</c:v>
                </c:pt>
                <c:pt idx="271">
                  <c:v>340.76177367838727</c:v>
                </c:pt>
                <c:pt idx="272">
                  <c:v>342.11331879875354</c:v>
                </c:pt>
                <c:pt idx="273">
                  <c:v>342.68901665331066</c:v>
                </c:pt>
                <c:pt idx="274">
                  <c:v>342.02505683103061</c:v>
                </c:pt>
                <c:pt idx="275">
                  <c:v>340.56091057286545</c:v>
                </c:pt>
                <c:pt idx="276">
                  <c:v>338.54638045521961</c:v>
                </c:pt>
                <c:pt idx="277">
                  <c:v>336.85789333288665</c:v>
                </c:pt>
                <c:pt idx="278">
                  <c:v>336.84364258575653</c:v>
                </c:pt>
                <c:pt idx="279">
                  <c:v>338.21700239048545</c:v>
                </c:pt>
                <c:pt idx="280">
                  <c:v>339.49732154996997</c:v>
                </c:pt>
                <c:pt idx="281">
                  <c:v>340.46403155842302</c:v>
                </c:pt>
                <c:pt idx="282">
                  <c:v>341.29558834497726</c:v>
                </c:pt>
                <c:pt idx="283">
                  <c:v>342.11338425254667</c:v>
                </c:pt>
                <c:pt idx="284">
                  <c:v>343.46683214139199</c:v>
                </c:pt>
                <c:pt idx="285">
                  <c:v>344.04437393521823</c:v>
                </c:pt>
                <c:pt idx="286">
                  <c:v>343.38232215595218</c:v>
                </c:pt>
                <c:pt idx="287">
                  <c:v>341.92002494851471</c:v>
                </c:pt>
                <c:pt idx="288">
                  <c:v>339.90740816303929</c:v>
                </c:pt>
                <c:pt idx="289">
                  <c:v>338.22083706642479</c:v>
                </c:pt>
                <c:pt idx="290">
                  <c:v>338.20844310592003</c:v>
                </c:pt>
                <c:pt idx="291">
                  <c:v>339.58372424765201</c:v>
                </c:pt>
                <c:pt idx="292">
                  <c:v>340.86590534083388</c:v>
                </c:pt>
                <c:pt idx="293">
                  <c:v>341.8345420122975</c:v>
                </c:pt>
                <c:pt idx="294">
                  <c:v>342.66802817417738</c:v>
                </c:pt>
                <c:pt idx="295">
                  <c:v>343.4875690778</c:v>
                </c:pt>
                <c:pt idx="296">
                  <c:v>344.84295151467239</c:v>
                </c:pt>
                <c:pt idx="297">
                  <c:v>345.42236804476573</c:v>
                </c:pt>
                <c:pt idx="298">
                  <c:v>344.76225617615592</c:v>
                </c:pt>
                <c:pt idx="299">
                  <c:v>343.30183890181439</c:v>
                </c:pt>
                <c:pt idx="300">
                  <c:v>341.2911674044895</c:v>
                </c:pt>
                <c:pt idx="301">
                  <c:v>339.60654433456062</c:v>
                </c:pt>
                <c:pt idx="302">
                  <c:v>339.59603817225246</c:v>
                </c:pt>
                <c:pt idx="303">
                  <c:v>340.97327274066237</c:v>
                </c:pt>
                <c:pt idx="304">
                  <c:v>342.25734686507775</c:v>
                </c:pt>
                <c:pt idx="305">
                  <c:v>343.22794237818061</c:v>
                </c:pt>
                <c:pt idx="306">
                  <c:v>344.06339013931512</c:v>
                </c:pt>
                <c:pt idx="307">
                  <c:v>344.8885648299202</c:v>
                </c:pt>
                <c:pt idx="308">
                  <c:v>346.2459195586697</c:v>
                </c:pt>
                <c:pt idx="309">
                  <c:v>346.82724740192708</c:v>
                </c:pt>
                <c:pt idx="310">
                  <c:v>346.16911329245045</c:v>
                </c:pt>
                <c:pt idx="311">
                  <c:v>344.71061262949439</c:v>
                </c:pt>
                <c:pt idx="312">
                  <c:v>342.70192437371423</c:v>
                </c:pt>
                <c:pt idx="313">
                  <c:v>341.01928733729517</c:v>
                </c:pt>
                <c:pt idx="314">
                  <c:v>341.01070580492438</c:v>
                </c:pt>
                <c:pt idx="315">
                  <c:v>342.38993191219259</c:v>
                </c:pt>
                <c:pt idx="316">
                  <c:v>343.67593600168107</c:v>
                </c:pt>
                <c:pt idx="317">
                  <c:v>344.64852857425154</c:v>
                </c:pt>
                <c:pt idx="318">
                  <c:v>345.48597620627146</c:v>
                </c:pt>
                <c:pt idx="319">
                  <c:v>346.30910000517952</c:v>
                </c:pt>
                <c:pt idx="320">
                  <c:v>347.66845453298822</c:v>
                </c:pt>
                <c:pt idx="321">
                  <c:v>348.25172034613348</c:v>
                </c:pt>
                <c:pt idx="322">
                  <c:v>347.59559157922314</c:v>
                </c:pt>
                <c:pt idx="323">
                  <c:v>346.13903425826942</c:v>
                </c:pt>
                <c:pt idx="324">
                  <c:v>344.13235690392924</c:v>
                </c:pt>
                <c:pt idx="325">
                  <c:v>342.45173359985432</c:v>
                </c:pt>
                <c:pt idx="326">
                  <c:v>342.44510353987113</c:v>
                </c:pt>
                <c:pt idx="327">
                  <c:v>343.8263489616138</c:v>
                </c:pt>
                <c:pt idx="328">
                  <c:v>345.11430993303378</c:v>
                </c:pt>
                <c:pt idx="329">
                  <c:v>346.08892741768324</c:v>
                </c:pt>
                <c:pt idx="330">
                  <c:v>346.92840281240984</c:v>
                </c:pt>
                <c:pt idx="331">
                  <c:v>347.75336059243756</c:v>
                </c:pt>
                <c:pt idx="332">
                  <c:v>349.11474831943355</c:v>
                </c:pt>
                <c:pt idx="333">
                  <c:v>349.69998446993969</c:v>
                </c:pt>
                <c:pt idx="334">
                  <c:v>349.04589453830971</c:v>
                </c:pt>
                <c:pt idx="335">
                  <c:v>347.59131301655503</c:v>
                </c:pt>
                <c:pt idx="336">
                  <c:v>345.58668014921204</c:v>
                </c:pt>
                <c:pt idx="337">
                  <c:v>343.90810421031921</c:v>
                </c:pt>
                <c:pt idx="338">
                  <c:v>343.90345821571196</c:v>
                </c:pt>
                <c:pt idx="339">
                  <c:v>345.2867566779986</c:v>
                </c:pt>
                <c:pt idx="340">
                  <c:v>346.57670721468719</c:v>
                </c:pt>
                <c:pt idx="341">
                  <c:v>347.55338343097452</c:v>
                </c:pt>
                <c:pt idx="342">
                  <c:v>348.39492045557756</c:v>
                </c:pt>
                <c:pt idx="343">
                  <c:v>349.22174284740436</c:v>
                </c:pt>
                <c:pt idx="344">
                  <c:v>350.58519773155587</c:v>
                </c:pt>
                <c:pt idx="345">
                  <c:v>351.17243712748922</c:v>
                </c:pt>
                <c:pt idx="346">
                  <c:v>350.52042008324054</c:v>
                </c:pt>
                <c:pt idx="347">
                  <c:v>349.06784735997343</c:v>
                </c:pt>
                <c:pt idx="348">
                  <c:v>347.06529312612173</c:v>
                </c:pt>
                <c:pt idx="349">
                  <c:v>345.38879874697614</c:v>
                </c:pt>
                <c:pt idx="350">
                  <c:v>345.38616995509284</c:v>
                </c:pt>
                <c:pt idx="351">
                  <c:v>346.77155574727686</c:v>
                </c:pt>
                <c:pt idx="352">
                  <c:v>348.06352907843996</c:v>
                </c:pt>
                <c:pt idx="353">
                  <c:v>349.04229841076994</c:v>
                </c:pt>
                <c:pt idx="354">
                  <c:v>349.88593149805962</c:v>
                </c:pt>
                <c:pt idx="355">
                  <c:v>350.71877386091319</c:v>
                </c:pt>
                <c:pt idx="356">
                  <c:v>352.08433623333013</c:v>
                </c:pt>
                <c:pt idx="357">
                  <c:v>352.6736179588558</c:v>
                </c:pt>
                <c:pt idx="358">
                  <c:v>352.02371424489741</c:v>
                </c:pt>
                <c:pt idx="359">
                  <c:v>350.57318951262567</c:v>
                </c:pt>
                <c:pt idx="360">
                  <c:v>348.57275446728352</c:v>
                </c:pt>
                <c:pt idx="361">
                  <c:v>346.89838225999569</c:v>
                </c:pt>
                <c:pt idx="362">
                  <c:v>346.89781002731422</c:v>
                </c:pt>
                <c:pt idx="363">
                  <c:v>348.28532387408444</c:v>
                </c:pt>
                <c:pt idx="364">
                  <c:v>349.57935946529722</c:v>
                </c:pt>
                <c:pt idx="365">
                  <c:v>350.56026275124867</c:v>
                </c:pt>
                <c:pt idx="366">
                  <c:v>351.4060327962942</c:v>
                </c:pt>
                <c:pt idx="367">
                  <c:v>352.23668368321279</c:v>
                </c:pt>
                <c:pt idx="368">
                  <c:v>353.60438293663594</c:v>
                </c:pt>
                <c:pt idx="369">
                  <c:v>354.19573547573901</c:v>
                </c:pt>
                <c:pt idx="370">
                  <c:v>353.54797456628944</c:v>
                </c:pt>
                <c:pt idx="371">
                  <c:v>352.09952638795647</c:v>
                </c:pt>
                <c:pt idx="372">
                  <c:v>350.10124008704582</c:v>
                </c:pt>
                <c:pt idx="373">
                  <c:v>348.42901964914586</c:v>
                </c:pt>
                <c:pt idx="374">
                  <c:v>348.43053265810903</c:v>
                </c:pt>
                <c:pt idx="375">
                  <c:v>349.82020423904061</c:v>
                </c:pt>
                <c:pt idx="376">
                  <c:v>351.11633085225458</c:v>
                </c:pt>
                <c:pt idx="377">
                  <c:v>352.09939785367573</c:v>
                </c:pt>
                <c:pt idx="378">
                  <c:v>352.94733466022313</c:v>
                </c:pt>
                <c:pt idx="379">
                  <c:v>353.77994524374333</c:v>
                </c:pt>
                <c:pt idx="380">
                  <c:v>355.14981706780804</c:v>
                </c:pt>
                <c:pt idx="381">
                  <c:v>355.74327500668255</c:v>
                </c:pt>
                <c:pt idx="382">
                  <c:v>355.09769269030977</c:v>
                </c:pt>
                <c:pt idx="383">
                  <c:v>353.65135574798387</c:v>
                </c:pt>
                <c:pt idx="384">
                  <c:v>351.65525407927959</c:v>
                </c:pt>
                <c:pt idx="385">
                  <c:v>349.98522134906472</c:v>
                </c:pt>
                <c:pt idx="386">
                  <c:v>349.98885442684053</c:v>
                </c:pt>
                <c:pt idx="387">
                  <c:v>351.38071977985288</c:v>
                </c:pt>
                <c:pt idx="388">
                  <c:v>352.67897233877801</c:v>
                </c:pt>
                <c:pt idx="389">
                  <c:v>353.66423919348614</c:v>
                </c:pt>
                <c:pt idx="390">
                  <c:v>354.51437895022718</c:v>
                </c:pt>
                <c:pt idx="391">
                  <c:v>355.34898196069594</c:v>
                </c:pt>
                <c:pt idx="392">
                  <c:v>356.72106264111648</c:v>
                </c:pt>
                <c:pt idx="393">
                  <c:v>357.31666114360638</c:v>
                </c:pt>
                <c:pt idx="394">
                  <c:v>356.67329380660988</c:v>
                </c:pt>
                <c:pt idx="395">
                  <c:v>355.22910336161004</c:v>
                </c:pt>
                <c:pt idx="396">
                  <c:v>353.23522281227577</c:v>
                </c:pt>
                <c:pt idx="397">
                  <c:v>351.56741432827533</c:v>
                </c:pt>
                <c:pt idx="398">
                  <c:v>351.57320288370596</c:v>
                </c:pt>
                <c:pt idx="399">
                  <c:v>352.9672986486143</c:v>
                </c:pt>
                <c:pt idx="400">
                  <c:v>354.26771266024747</c:v>
                </c:pt>
                <c:pt idx="401">
                  <c:v>355.25521610962477</c:v>
                </c:pt>
                <c:pt idx="402">
                  <c:v>356.10759560966511</c:v>
                </c:pt>
                <c:pt idx="403">
                  <c:v>356.94863124729483</c:v>
                </c:pt>
                <c:pt idx="404">
                  <c:v>358.32296387979255</c:v>
                </c:pt>
                <c:pt idx="405">
                  <c:v>358.92074470919863</c:v>
                </c:pt>
                <c:pt idx="406">
                  <c:v>358.27963556676247</c:v>
                </c:pt>
                <c:pt idx="407">
                  <c:v>356.83763349815905</c:v>
                </c:pt>
                <c:pt idx="408">
                  <c:v>354.84601740317265</c:v>
                </c:pt>
                <c:pt idx="409">
                  <c:v>353.18047656137043</c:v>
                </c:pt>
                <c:pt idx="410">
                  <c:v>353.18846264873622</c:v>
                </c:pt>
                <c:pt idx="411">
                  <c:v>354.58483234181966</c:v>
                </c:pt>
                <c:pt idx="412">
                  <c:v>355.88744997701673</c:v>
                </c:pt>
                <c:pt idx="413">
                  <c:v>356.87723365797069</c:v>
                </c:pt>
                <c:pt idx="414">
                  <c:v>357.73189659964908</c:v>
                </c:pt>
                <c:pt idx="415">
                  <c:v>358.5705905403571</c:v>
                </c:pt>
                <c:pt idx="416">
                  <c:v>359.94720653248208</c:v>
                </c:pt>
                <c:pt idx="417">
                  <c:v>360.54720012530584</c:v>
                </c:pt>
                <c:pt idx="418">
                  <c:v>359.90838067204311</c:v>
                </c:pt>
                <c:pt idx="419">
                  <c:v>358.46859750070814</c:v>
                </c:pt>
                <c:pt idx="420">
                  <c:v>356.47927744198677</c:v>
                </c:pt>
                <c:pt idx="421">
                  <c:v>354.81603586876031</c:v>
                </c:pt>
                <c:pt idx="422">
                  <c:v>354.82625013662414</c:v>
                </c:pt>
                <c:pt idx="423">
                  <c:v>356.22492547192928</c:v>
                </c:pt>
                <c:pt idx="424">
                  <c:v>357.52977746421192</c:v>
                </c:pt>
                <c:pt idx="425">
                  <c:v>358.52187317870181</c:v>
                </c:pt>
                <c:pt idx="426">
                  <c:v>359.37885140874721</c:v>
                </c:pt>
                <c:pt idx="427">
                  <c:v>360.21963937906617</c:v>
                </c:pt>
                <c:pt idx="428">
                  <c:v>361.59857686690202</c:v>
                </c:pt>
                <c:pt idx="429">
                  <c:v>362.20082018014705</c:v>
                </c:pt>
                <c:pt idx="430">
                  <c:v>361.56432865785536</c:v>
                </c:pt>
                <c:pt idx="431">
                  <c:v>360.12680144323883</c:v>
                </c:pt>
                <c:pt idx="432">
                  <c:v>358.13981576858765</c:v>
                </c:pt>
                <c:pt idx="433">
                  <c:v>356.47891186572747</c:v>
                </c:pt>
                <c:pt idx="434">
                  <c:v>356.49139152858521</c:v>
                </c:pt>
                <c:pt idx="435">
                  <c:v>357.89241101435363</c:v>
                </c:pt>
                <c:pt idx="436">
                  <c:v>359.19953468137749</c:v>
                </c:pt>
                <c:pt idx="437">
                  <c:v>360.19398104439063</c:v>
                </c:pt>
                <c:pt idx="438">
                  <c:v>361.05331323215228</c:v>
                </c:pt>
                <c:pt idx="439">
                  <c:v>361.89623020602431</c:v>
                </c:pt>
                <c:pt idx="440">
                  <c:v>363.27752796259335</c:v>
                </c:pt>
                <c:pt idx="441">
                  <c:v>363.88205857050986</c:v>
                </c:pt>
                <c:pt idx="442">
                  <c:v>363.24793385969178</c:v>
                </c:pt>
                <c:pt idx="443">
                  <c:v>361.81270028020054</c:v>
                </c:pt>
                <c:pt idx="444">
                  <c:v>359.82808797790011</c:v>
                </c:pt>
                <c:pt idx="445">
                  <c:v>358.16956078857362</c:v>
                </c:pt>
                <c:pt idx="446">
                  <c:v>358.18434368246778</c:v>
                </c:pt>
                <c:pt idx="447">
                  <c:v>359.58774647009579</c:v>
                </c:pt>
                <c:pt idx="448">
                  <c:v>360.89717975278637</c:v>
                </c:pt>
                <c:pt idx="449">
                  <c:v>361.89401602424806</c:v>
                </c:pt>
                <c:pt idx="450">
                  <c:v>362.75574148492024</c:v>
                </c:pt>
                <c:pt idx="451">
                  <c:v>363.60553202878259</c:v>
                </c:pt>
                <c:pt idx="452">
                  <c:v>364.98923610392563</c:v>
                </c:pt>
                <c:pt idx="453">
                  <c:v>365.59609863259942</c:v>
                </c:pt>
                <c:pt idx="454">
                  <c:v>364.96438691074752</c:v>
                </c:pt>
                <c:pt idx="455">
                  <c:v>363.53149171617258</c:v>
                </c:pt>
                <c:pt idx="456">
                  <c:v>361.5492990917208</c:v>
                </c:pt>
                <c:pt idx="457">
                  <c:v>359.89319498661359</c:v>
                </c:pt>
                <c:pt idx="458">
                  <c:v>359.91032604855548</c:v>
                </c:pt>
                <c:pt idx="459">
                  <c:v>361.31615863726995</c:v>
                </c:pt>
                <c:pt idx="460">
                  <c:v>362.6279465972051</c:v>
                </c:pt>
                <c:pt idx="461">
                  <c:v>363.6272194052396</c:v>
                </c:pt>
                <c:pt idx="462">
                  <c:v>364.49138483258855</c:v>
                </c:pt>
                <c:pt idx="463">
                  <c:v>365.33867316121524</c:v>
                </c:pt>
                <c:pt idx="464">
                  <c:v>366.72481711540286</c:v>
                </c:pt>
                <c:pt idx="465">
                  <c:v>367.33404408769246</c:v>
                </c:pt>
                <c:pt idx="466">
                  <c:v>366.70477900830781</c:v>
                </c:pt>
                <c:pt idx="467">
                  <c:v>365.27425481166193</c:v>
                </c:pt>
                <c:pt idx="468">
                  <c:v>363.29451561184879</c:v>
                </c:pt>
                <c:pt idx="469">
                  <c:v>361.64086838525895</c:v>
                </c:pt>
                <c:pt idx="470">
                  <c:v>361.66038036470479</c:v>
                </c:pt>
                <c:pt idx="471">
                  <c:v>363.06867664248233</c:v>
                </c:pt>
                <c:pt idx="472">
                  <c:v>364.38285211990103</c:v>
                </c:pt>
                <c:pt idx="473">
                  <c:v>365.38459544642348</c:v>
                </c:pt>
                <c:pt idx="474">
                  <c:v>366.25123487020369</c:v>
                </c:pt>
                <c:pt idx="475">
                  <c:v>367.10076076969096</c:v>
                </c:pt>
                <c:pt idx="476">
                  <c:v>368.48938535315352</c:v>
                </c:pt>
                <c:pt idx="477">
                  <c:v>369.10101625938597</c:v>
                </c:pt>
                <c:pt idx="478">
                  <c:v>368.47423868566</c:v>
                </c:pt>
                <c:pt idx="479">
                  <c:v>367.04612508673893</c:v>
                </c:pt>
                <c:pt idx="480">
                  <c:v>365.06888028802956</c:v>
                </c:pt>
                <c:pt idx="481">
                  <c:v>363.41773097410817</c:v>
                </c:pt>
                <c:pt idx="482">
                  <c:v>363.439663636528</c:v>
                </c:pt>
                <c:pt idx="483">
                  <c:v>364.85046475126779</c:v>
                </c:pt>
                <c:pt idx="484">
                  <c:v>366.1670676218709</c:v>
                </c:pt>
                <c:pt idx="485">
                  <c:v>367.17132272884385</c:v>
                </c:pt>
                <c:pt idx="486">
                  <c:v>368.04047746910538</c:v>
                </c:pt>
                <c:pt idx="487">
                  <c:v>368.89227831078438</c:v>
                </c:pt>
                <c:pt idx="488">
                  <c:v>370.28342495435209</c:v>
                </c:pt>
                <c:pt idx="489">
                  <c:v>370.897499944412</c:v>
                </c:pt>
                <c:pt idx="490">
                  <c:v>370.27325142202233</c:v>
                </c:pt>
                <c:pt idx="491">
                  <c:v>368.8475886820072</c:v>
                </c:pt>
                <c:pt idx="492">
                  <c:v>366.87287994524542</c:v>
                </c:pt>
                <c:pt idx="493">
                  <c:v>365.22427026348555</c:v>
                </c:pt>
                <c:pt idx="494">
                  <c:v>365.24866403850154</c:v>
                </c:pt>
                <c:pt idx="495">
                  <c:v>366.66201182534445</c:v>
                </c:pt>
                <c:pt idx="496">
                  <c:v>367.98108263082673</c:v>
                </c:pt>
                <c:pt idx="497">
                  <c:v>368.98789146935917</c:v>
                </c:pt>
                <c:pt idx="498">
                  <c:v>369.85960353626888</c:v>
                </c:pt>
                <c:pt idx="499">
                  <c:v>370.71874911645506</c:v>
                </c:pt>
                <c:pt idx="500">
                  <c:v>372.11246702658667</c:v>
                </c:pt>
                <c:pt idx="501">
                  <c:v>372.72903378558271</c:v>
                </c:pt>
                <c:pt idx="502">
                  <c:v>372.10736365739029</c:v>
                </c:pt>
                <c:pt idx="503">
                  <c:v>370.68419959357448</c:v>
                </c:pt>
                <c:pt idx="504">
                  <c:v>368.712076398401</c:v>
                </c:pt>
                <c:pt idx="505">
                  <c:v>367.06605589809948</c:v>
                </c:pt>
                <c:pt idx="506">
                  <c:v>367.09295880305899</c:v>
                </c:pt>
                <c:pt idx="507">
                  <c:v>368.50890294865417</c:v>
                </c:pt>
                <c:pt idx="508">
                  <c:v>369.83048983946838</c:v>
                </c:pt>
                <c:pt idx="509">
                  <c:v>370.83990223394278</c:v>
                </c:pt>
                <c:pt idx="510">
                  <c:v>371.71422152202467</c:v>
                </c:pt>
                <c:pt idx="511">
                  <c:v>372.57069336547431</c:v>
                </c:pt>
                <c:pt idx="512">
                  <c:v>373.96701840313887</c:v>
                </c:pt>
                <c:pt idx="513">
                  <c:v>374.58611168330185</c:v>
                </c:pt>
                <c:pt idx="514">
                  <c:v>373.96705590968327</c:v>
                </c:pt>
                <c:pt idx="515">
                  <c:v>372.54642537063182</c:v>
                </c:pt>
                <c:pt idx="516">
                  <c:v>370.57692377710691</c:v>
                </c:pt>
                <c:pt idx="517">
                  <c:v>368.93352856908859</c:v>
                </c:pt>
                <c:pt idx="518">
                  <c:v>368.96297559835301</c:v>
                </c:pt>
                <c:pt idx="519">
                  <c:v>370.38155231362555</c:v>
                </c:pt>
                <c:pt idx="520">
                  <c:v>371.70569038113877</c:v>
                </c:pt>
                <c:pt idx="521">
                  <c:v>372.71774264285779</c:v>
                </c:pt>
                <c:pt idx="522">
                  <c:v>373.59470551453319</c:v>
                </c:pt>
                <c:pt idx="523">
                  <c:v>374.45356830953858</c:v>
                </c:pt>
                <c:pt idx="524">
                  <c:v>375.85254401830764</c:v>
                </c:pt>
                <c:pt idx="525">
                  <c:v>376.47420601694211</c:v>
                </c:pt>
                <c:pt idx="526">
                  <c:v>375.85780826217302</c:v>
                </c:pt>
                <c:pt idx="527">
                  <c:v>374.43975356216299</c:v>
                </c:pt>
                <c:pt idx="528">
                  <c:v>372.47291735560083</c:v>
                </c:pt>
                <c:pt idx="529">
                  <c:v>370.83219128682009</c:v>
                </c:pt>
                <c:pt idx="530">
                  <c:v>370.86422493169727</c:v>
                </c:pt>
                <c:pt idx="531">
                  <c:v>372.28547818514681</c:v>
                </c:pt>
                <c:pt idx="532">
                  <c:v>373.61221003845378</c:v>
                </c:pt>
                <c:pt idx="533">
                  <c:v>374.6269462577992</c:v>
                </c:pt>
                <c:pt idx="534">
                  <c:v>375.50659686551927</c:v>
                </c:pt>
                <c:pt idx="535">
                  <c:v>376.36789054513639</c:v>
                </c:pt>
                <c:pt idx="536">
                  <c:v>377.76956119583485</c:v>
                </c:pt>
                <c:pt idx="537">
                  <c:v>378.39383481501403</c:v>
                </c:pt>
                <c:pt idx="538">
                  <c:v>377.78013947263958</c:v>
                </c:pt>
                <c:pt idx="539">
                  <c:v>376.36470363266989</c:v>
                </c:pt>
                <c:pt idx="540">
                  <c:v>374.40057732967597</c:v>
                </c:pt>
                <c:pt idx="541">
                  <c:v>372.76256497940778</c:v>
                </c:pt>
                <c:pt idx="542">
                  <c:v>372.79722844088417</c:v>
                </c:pt>
                <c:pt idx="543">
                  <c:v>374.22120293536085</c:v>
                </c:pt>
                <c:pt idx="544">
                  <c:v>375.55057189520284</c:v>
                </c:pt>
                <c:pt idx="545">
                  <c:v>376.56803689894252</c:v>
                </c:pt>
                <c:pt idx="546">
                  <c:v>377.45042013258103</c:v>
                </c:pt>
                <c:pt idx="547">
                  <c:v>378.31956201681612</c:v>
                </c:pt>
                <c:pt idx="548">
                  <c:v>379.72398018890016</c:v>
                </c:pt>
                <c:pt idx="549">
                  <c:v>380.35091638244495</c:v>
                </c:pt>
                <c:pt idx="550">
                  <c:v>379.73997617767344</c:v>
                </c:pt>
                <c:pt idx="551">
                  <c:v>378.32721029281066</c:v>
                </c:pt>
                <c:pt idx="552">
                  <c:v>376.36584676474905</c:v>
                </c:pt>
                <c:pt idx="553">
                  <c:v>374.73060107878882</c:v>
                </c:pt>
                <c:pt idx="554">
                  <c:v>374.76794566569816</c:v>
                </c:pt>
                <c:pt idx="555">
                  <c:v>376.19469449376453</c:v>
                </c:pt>
                <c:pt idx="556">
                  <c:v>377.52675201120491</c:v>
                </c:pt>
                <c:pt idx="557">
                  <c:v>378.54699903907601</c:v>
                </c:pt>
                <c:pt idx="558">
                  <c:v>379.43216821331998</c:v>
                </c:pt>
                <c:pt idx="559">
                  <c:v>380.29845308188555</c:v>
                </c:pt>
                <c:pt idx="560">
                  <c:v>381.70565709451711</c:v>
                </c:pt>
                <c:pt idx="561">
                  <c:v>382.33529299684932</c:v>
                </c:pt>
                <c:pt idx="562">
                  <c:v>381.72714635506435</c:v>
                </c:pt>
                <c:pt idx="563">
                  <c:v>380.31708766266803</c:v>
                </c:pt>
                <c:pt idx="564">
                  <c:v>378.3585254414391</c:v>
                </c:pt>
                <c:pt idx="565">
                  <c:v>376.72608500593128</c:v>
                </c:pt>
                <c:pt idx="566">
                  <c:v>376.76614811142343</c:v>
                </c:pt>
                <c:pt idx="567">
                  <c:v>378.19570996618626</c:v>
                </c:pt>
                <c:pt idx="568">
                  <c:v>379.53049353803004</c:v>
                </c:pt>
                <c:pt idx="569">
                  <c:v>380.55356139039753</c:v>
                </c:pt>
                <c:pt idx="570">
                  <c:v>381.44155536023436</c:v>
                </c:pt>
                <c:pt idx="571">
                  <c:v>382.31039507496951</c:v>
                </c:pt>
                <c:pt idx="572">
                  <c:v>383.72043145653862</c:v>
                </c:pt>
                <c:pt idx="573">
                  <c:v>384.35281215749779</c:v>
                </c:pt>
                <c:pt idx="574">
                  <c:v>383.74750573606764</c:v>
                </c:pt>
                <c:pt idx="575">
                  <c:v>382.34019945096804</c:v>
                </c:pt>
                <c:pt idx="576">
                  <c:v>380.38448532327556</c:v>
                </c:pt>
                <c:pt idx="577">
                  <c:v>378.75489699078963</c:v>
                </c:pt>
                <c:pt idx="578">
                  <c:v>378.79772401886061</c:v>
                </c:pt>
                <c:pt idx="579">
                  <c:v>380.23014588276601</c:v>
                </c:pt>
                <c:pt idx="580">
                  <c:v>381.56770103887038</c:v>
                </c:pt>
                <c:pt idx="581">
                  <c:v>382.59363682841723</c:v>
                </c:pt>
                <c:pt idx="582">
                  <c:v>383.48450277285423</c:v>
                </c:pt>
                <c:pt idx="583">
                  <c:v>384.35594000414028</c:v>
                </c:pt>
                <c:pt idx="584">
                  <c:v>385.7688560601423</c:v>
                </c:pt>
                <c:pt idx="585">
                  <c:v>386.40402740264705</c:v>
                </c:pt>
                <c:pt idx="586">
                  <c:v>385.8016086381993</c:v>
                </c:pt>
                <c:pt idx="587">
                  <c:v>384.39710073039276</c:v>
                </c:pt>
                <c:pt idx="588">
                  <c:v>382.44428226436042</c:v>
                </c:pt>
                <c:pt idx="589">
                  <c:v>380.81759366998494</c:v>
                </c:pt>
                <c:pt idx="590">
                  <c:v>380.86323078295663</c:v>
                </c:pt>
                <c:pt idx="591">
                  <c:v>382.29856042313952</c:v>
                </c:pt>
                <c:pt idx="592">
                  <c:v>383.63893345378978</c:v>
                </c:pt>
                <c:pt idx="593">
                  <c:v>384.66778508006286</c:v>
                </c:pt>
                <c:pt idx="594">
                  <c:v>385.56157096607865</c:v>
                </c:pt>
                <c:pt idx="595">
                  <c:v>386.44139437961809</c:v>
                </c:pt>
                <c:pt idx="596">
                  <c:v>387.85724629371833</c:v>
                </c:pt>
                <c:pt idx="597">
                  <c:v>388.49526272436486</c:v>
                </c:pt>
                <c:pt idx="598">
                  <c:v>387.8957879563082</c:v>
                </c:pt>
                <c:pt idx="599">
                  <c:v>386.49413302331885</c:v>
                </c:pt>
                <c:pt idx="600">
                  <c:v>384.54426671452939</c:v>
                </c:pt>
                <c:pt idx="601">
                  <c:v>382.92053443338091</c:v>
                </c:pt>
                <c:pt idx="602">
                  <c:v>382.96903645719772</c:v>
                </c:pt>
                <c:pt idx="603">
                  <c:v>384.40733060560234</c:v>
                </c:pt>
                <c:pt idx="604">
                  <c:v>385.75057648872217</c:v>
                </c:pt>
                <c:pt idx="605">
                  <c:v>386.7824008409288</c:v>
                </c:pt>
                <c:pt idx="606">
                  <c:v>387.67916363781796</c:v>
                </c:pt>
                <c:pt idx="607">
                  <c:v>388.55593419337629</c:v>
                </c:pt>
                <c:pt idx="608">
                  <c:v>389.97476291143329</c:v>
                </c:pt>
                <c:pt idx="609">
                  <c:v>390.61566411012865</c:v>
                </c:pt>
                <c:pt idx="610">
                  <c:v>390.01917439782443</c:v>
                </c:pt>
                <c:pt idx="611">
                  <c:v>388.62041222955321</c:v>
                </c:pt>
                <c:pt idx="612">
                  <c:v>386.67353925118636</c:v>
                </c:pt>
                <c:pt idx="613">
                  <c:v>385.05280451440706</c:v>
                </c:pt>
                <c:pt idx="614">
                  <c:v>385.10421140543923</c:v>
                </c:pt>
                <c:pt idx="615">
                  <c:v>386.54551140750186</c:v>
                </c:pt>
                <c:pt idx="616">
                  <c:v>387.89167021022212</c:v>
                </c:pt>
                <c:pt idx="617">
                  <c:v>388.92650874840916</c:v>
                </c:pt>
                <c:pt idx="618">
                  <c:v>389.82628997458562</c:v>
                </c:pt>
                <c:pt idx="619">
                  <c:v>390.70579050555227</c:v>
                </c:pt>
                <c:pt idx="620">
                  <c:v>392.12764574537766</c:v>
                </c:pt>
                <c:pt idx="621">
                  <c:v>392.77147989277336</c:v>
                </c:pt>
                <c:pt idx="622">
                  <c:v>392.17802509185276</c:v>
                </c:pt>
                <c:pt idx="623">
                  <c:v>390.7822040025095</c:v>
                </c:pt>
                <c:pt idx="624">
                  <c:v>388.83837434839762</c:v>
                </c:pt>
                <c:pt idx="625">
                  <c:v>387.22068722020026</c:v>
                </c:pt>
                <c:pt idx="626">
                  <c:v>387.27504749479073</c:v>
                </c:pt>
                <c:pt idx="627">
                  <c:v>388.7194035535037</c:v>
                </c:pt>
                <c:pt idx="628">
                  <c:v>390.06852392665581</c:v>
                </c:pt>
                <c:pt idx="629">
                  <c:v>391.10642699298006</c:v>
                </c:pt>
                <c:pt idx="630">
                  <c:v>392.00927706147075</c:v>
                </c:pt>
                <c:pt idx="631">
                  <c:v>392.89155316319062</c:v>
                </c:pt>
                <c:pt idx="632">
                  <c:v>394.31648547297027</c:v>
                </c:pt>
                <c:pt idx="633">
                  <c:v>394.96330155441888</c:v>
                </c:pt>
                <c:pt idx="634">
                  <c:v>394.37293235318862</c:v>
                </c:pt>
                <c:pt idx="635">
                  <c:v>392.98010146391488</c:v>
                </c:pt>
                <c:pt idx="636">
                  <c:v>391.03936596287468</c:v>
                </c:pt>
                <c:pt idx="637">
                  <c:v>389.42477734363126</c:v>
                </c:pt>
                <c:pt idx="638">
                  <c:v>389.48214032843021</c:v>
                </c:pt>
                <c:pt idx="639">
                  <c:v>390.92960348526333</c:v>
                </c:pt>
                <c:pt idx="640">
                  <c:v>392.28173489223269</c:v>
                </c:pt>
                <c:pt idx="641">
                  <c:v>393.32275366965223</c:v>
                </c:pt>
                <c:pt idx="642">
                  <c:v>394.22872383546985</c:v>
                </c:pt>
                <c:pt idx="643">
                  <c:v>395.11996097429437</c:v>
                </c:pt>
                <c:pt idx="644">
                  <c:v>396.54803038896364</c:v>
                </c:pt>
                <c:pt idx="645">
                  <c:v>397.19788658325928</c:v>
                </c:pt>
                <c:pt idx="646">
                  <c:v>396.61066318307388</c:v>
                </c:pt>
                <c:pt idx="647">
                  <c:v>395.22088083393709</c:v>
                </c:pt>
                <c:pt idx="648">
                  <c:v>393.28329985420277</c:v>
                </c:pt>
                <c:pt idx="649">
                  <c:v>391.67187019713299</c:v>
                </c:pt>
                <c:pt idx="650">
                  <c:v>391.73229447628609</c:v>
                </c:pt>
                <c:pt idx="651">
                  <c:v>393.18292535203688</c:v>
                </c:pt>
                <c:pt idx="652">
                  <c:v>394.53812653936626</c:v>
                </c:pt>
                <c:pt idx="653">
                  <c:v>395.58232181672184</c:v>
                </c:pt>
                <c:pt idx="654">
                  <c:v>396.49147295428418</c:v>
                </c:pt>
                <c:pt idx="655">
                  <c:v>397.37944796824456</c:v>
                </c:pt>
                <c:pt idx="656">
                  <c:v>398.81069824041299</c:v>
                </c:pt>
                <c:pt idx="657">
                  <c:v>399.46363694743519</c:v>
                </c:pt>
                <c:pt idx="658">
                  <c:v>398.87960322218765</c:v>
                </c:pt>
                <c:pt idx="659">
                  <c:v>397.49291193060139</c:v>
                </c:pt>
                <c:pt idx="660">
                  <c:v>395.5585294676859</c:v>
                </c:pt>
                <c:pt idx="661">
                  <c:v>393.95030283023857</c:v>
                </c:pt>
                <c:pt idx="662">
                  <c:v>394.01383109903969</c:v>
                </c:pt>
                <c:pt idx="663">
                  <c:v>395.46767387328583</c:v>
                </c:pt>
                <c:pt idx="664">
                  <c:v>396.82598765462194</c:v>
                </c:pt>
                <c:pt idx="665">
                  <c:v>397.87340373395818</c:v>
                </c:pt>
                <c:pt idx="666">
                  <c:v>398.78578020767753</c:v>
                </c:pt>
                <c:pt idx="667">
                  <c:v>399.67667233101969</c:v>
                </c:pt>
                <c:pt idx="668">
                  <c:v>401.11115658654847</c:v>
                </c:pt>
                <c:pt idx="669">
                  <c:v>401.76722928962937</c:v>
                </c:pt>
                <c:pt idx="670">
                  <c:v>401.18643851244775</c:v>
                </c:pt>
                <c:pt idx="671">
                  <c:v>399.80288990445746</c:v>
                </c:pt>
                <c:pt idx="672">
                  <c:v>397.87175937916351</c:v>
                </c:pt>
                <c:pt idx="673">
                  <c:v>396.26678925734609</c:v>
                </c:pt>
                <c:pt idx="674">
                  <c:v>396.33347335782963</c:v>
                </c:pt>
                <c:pt idx="675">
                  <c:v>397.79058167487113</c:v>
                </c:pt>
                <c:pt idx="676">
                  <c:v>399.15206003595591</c:v>
                </c:pt>
                <c:pt idx="677">
                  <c:v>400.20275071027669</c:v>
                </c:pt>
                <c:pt idx="678">
                  <c:v>401.11840638888509</c:v>
                </c:pt>
                <c:pt idx="679">
                  <c:v>402.01226434241744</c:v>
                </c:pt>
                <c:pt idx="680">
                  <c:v>403.4500365944624</c:v>
                </c:pt>
                <c:pt idx="681">
                  <c:v>404.10929563679571</c:v>
                </c:pt>
                <c:pt idx="682">
                  <c:v>403.53180197056156</c:v>
                </c:pt>
                <c:pt idx="683">
                  <c:v>402.1514485344581</c:v>
                </c:pt>
                <c:pt idx="684">
                  <c:v>400.2236242598089</c:v>
                </c:pt>
                <c:pt idx="685">
                  <c:v>398.62196504310498</c:v>
                </c:pt>
                <c:pt idx="686">
                  <c:v>398.69185768315771</c:v>
                </c:pt>
                <c:pt idx="687">
                  <c:v>400.1522860832477</c:v>
                </c:pt>
                <c:pt idx="688">
                  <c:v>401.5169818780758</c:v>
                </c:pt>
                <c:pt idx="689">
                  <c:v>402.57100183882142</c:v>
                </c:pt>
                <c:pt idx="690">
                  <c:v>403.48999149075308</c:v>
                </c:pt>
                <c:pt idx="691">
                  <c:v>404.39342474131143</c:v>
                </c:pt>
                <c:pt idx="692">
                  <c:v>405.8345491400745</c:v>
                </c:pt>
                <c:pt idx="693">
                  <c:v>406.49705668848611</c:v>
                </c:pt>
                <c:pt idx="694">
                  <c:v>405.92292446122815</c:v>
                </c:pt>
                <c:pt idx="695">
                  <c:v>404.54582853616563</c:v>
                </c:pt>
                <c:pt idx="696">
                  <c:v>402.62137501850873</c:v>
                </c:pt>
                <c:pt idx="697">
                  <c:v>401.02309130407696</c:v>
                </c:pt>
                <c:pt idx="698">
                  <c:v>401.09625508366202</c:v>
                </c:pt>
                <c:pt idx="699">
                  <c:v>402.5600683430244</c:v>
                </c:pt>
                <c:pt idx="700">
                  <c:v>403.92804434508838</c:v>
                </c:pt>
                <c:pt idx="701">
                  <c:v>404.98545854804456</c:v>
                </c:pt>
                <c:pt idx="702">
                  <c:v>405.90784722052842</c:v>
                </c:pt>
                <c:pt idx="703">
                  <c:v>406.80779473454248</c:v>
                </c:pt>
                <c:pt idx="704">
                  <c:v>408.25231803178093</c:v>
                </c:pt>
                <c:pt idx="705">
                  <c:v>408.91811939257144</c:v>
                </c:pt>
                <c:pt idx="706">
                  <c:v>408.34739548564391</c:v>
                </c:pt>
                <c:pt idx="707">
                  <c:v>406.97360250351386</c:v>
                </c:pt>
                <c:pt idx="708">
                  <c:v>405.05256675416047</c:v>
                </c:pt>
                <c:pt idx="709">
                  <c:v>403.45770561949342</c:v>
                </c:pt>
                <c:pt idx="710">
                  <c:v>403.53418616057593</c:v>
                </c:pt>
                <c:pt idx="711">
                  <c:v>405.00143148720377</c:v>
                </c:pt>
                <c:pt idx="712">
                  <c:v>406.37273344493423</c:v>
                </c:pt>
                <c:pt idx="713">
                  <c:v>407.4335892289559</c:v>
                </c:pt>
                <c:pt idx="714">
                  <c:v>408.35942432748971</c:v>
                </c:pt>
                <c:pt idx="715">
                  <c:v>409.26248891249259</c:v>
                </c:pt>
                <c:pt idx="716">
                  <c:v>410.71046787573158</c:v>
                </c:pt>
                <c:pt idx="717">
                  <c:v>411.37961806130556</c:v>
                </c:pt>
                <c:pt idx="718">
                  <c:v>410.81235939959561</c:v>
                </c:pt>
                <c:pt idx="719">
                  <c:v>409.44192452529825</c:v>
                </c:pt>
                <c:pt idx="720">
                  <c:v>407.52436362693288</c:v>
                </c:pt>
                <c:pt idx="721">
                  <c:v>405.93298223507486</c:v>
                </c:pt>
                <c:pt idx="722">
                  <c:v>406.01283493334978</c:v>
                </c:pt>
                <c:pt idx="723">
                  <c:v>407.48356964874478</c:v>
                </c:pt>
                <c:pt idx="724">
                  <c:v>408.85825311139524</c:v>
                </c:pt>
                <c:pt idx="725">
                  <c:v>409.92260795688168</c:v>
                </c:pt>
                <c:pt idx="726">
                  <c:v>410.85194704278388</c:v>
                </c:pt>
                <c:pt idx="727">
                  <c:v>411.75818075929112</c:v>
                </c:pt>
                <c:pt idx="728">
                  <c:v>413.20967310417279</c:v>
                </c:pt>
                <c:pt idx="729">
                  <c:v>413.8822280457378</c:v>
                </c:pt>
                <c:pt idx="730">
                  <c:v>413.31849250487664</c:v>
                </c:pt>
                <c:pt idx="731">
                  <c:v>411.95147182466286</c:v>
                </c:pt>
                <c:pt idx="732">
                  <c:v>410.03744381335031</c:v>
                </c:pt>
                <c:pt idx="733">
                  <c:v>408.44960028206771</c:v>
                </c:pt>
                <c:pt idx="734">
                  <c:v>408.53288145843459</c:v>
                </c:pt>
                <c:pt idx="735">
                  <c:v>410.00716384146773</c:v>
                </c:pt>
                <c:pt idx="736">
                  <c:v>411.38528528606099</c:v>
                </c:pt>
                <c:pt idx="737">
                  <c:v>412.45319763343372</c:v>
                </c:pt>
                <c:pt idx="738">
                  <c:v>413.38609922939747</c:v>
                </c:pt>
                <c:pt idx="739">
                  <c:v>414.30256460905548</c:v>
                </c:pt>
                <c:pt idx="740">
                  <c:v>415.75763888314094</c:v>
                </c:pt>
                <c:pt idx="741">
                  <c:v>416.43366500892586</c:v>
                </c:pt>
                <c:pt idx="742">
                  <c:v>415.87352132649085</c:v>
                </c:pt>
                <c:pt idx="743">
                  <c:v>414.50998145273047</c:v>
                </c:pt>
                <c:pt idx="744">
                  <c:v>412.59955525659035</c:v>
                </c:pt>
                <c:pt idx="745">
                  <c:v>411.01531861103877</c:v>
                </c:pt>
                <c:pt idx="746">
                  <c:v>411.1020951565543</c:v>
                </c:pt>
                <c:pt idx="747">
                  <c:v>412.57999442372113</c:v>
                </c:pt>
                <c:pt idx="748">
                  <c:v>413.96162092673836</c:v>
                </c:pt>
                <c:pt idx="749">
                  <c:v>415.03316018436317</c:v>
                </c:pt>
                <c:pt idx="750">
                  <c:v>415.96969379646578</c:v>
                </c:pt>
                <c:pt idx="751">
                  <c:v>416.88243449979711</c:v>
                </c:pt>
                <c:pt idx="752">
                  <c:v>418.34114065957641</c:v>
                </c:pt>
                <c:pt idx="753">
                  <c:v>419.02068638153173</c:v>
                </c:pt>
                <c:pt idx="754">
                  <c:v>418.46418465249405</c:v>
                </c:pt>
                <c:pt idx="755">
                  <c:v>417.10417413133729</c:v>
                </c:pt>
                <c:pt idx="756">
                  <c:v>415.19739998420562</c:v>
                </c:pt>
                <c:pt idx="757">
                  <c:v>413.616820528939</c:v>
                </c:pt>
                <c:pt idx="758">
                  <c:v>413.70714119285657</c:v>
                </c:pt>
                <c:pt idx="759">
                  <c:v>415.18870778815682</c:v>
                </c:pt>
                <c:pt idx="760">
                  <c:v>416.57388823398566</c:v>
                </c:pt>
                <c:pt idx="761">
                  <c:v>417.64910498569503</c:v>
                </c:pt>
                <c:pt idx="762">
                  <c:v>418.58932126897957</c:v>
                </c:pt>
                <c:pt idx="763">
                  <c:v>419.50539271184704</c:v>
                </c:pt>
                <c:pt idx="764">
                  <c:v>420.96779141613803</c:v>
                </c:pt>
                <c:pt idx="765">
                  <c:v>421.65091551765073</c:v>
                </c:pt>
                <c:pt idx="766">
                  <c:v>421.09811656897625</c:v>
                </c:pt>
                <c:pt idx="767">
                  <c:v>419.74169434675969</c:v>
                </c:pt>
                <c:pt idx="768">
                  <c:v>417.83863324421696</c:v>
                </c:pt>
                <c:pt idx="769">
                  <c:v>416.26177206068394</c:v>
                </c:pt>
                <c:pt idx="770">
                  <c:v>416.35569603595474</c:v>
                </c:pt>
                <c:pt idx="771">
                  <c:v>417.8409912101568</c:v>
                </c:pt>
                <c:pt idx="772">
                  <c:v>419.22978495583305</c:v>
                </c:pt>
                <c:pt idx="773">
                  <c:v>420.30874062218419</c:v>
                </c:pt>
                <c:pt idx="774">
                  <c:v>421.25270108367465</c:v>
                </c:pt>
                <c:pt idx="775">
                  <c:v>422.17215889523072</c:v>
                </c:pt>
                <c:pt idx="776">
                  <c:v>423.63831181595907</c:v>
                </c:pt>
                <c:pt idx="777">
                  <c:v>424.32507406220162</c:v>
                </c:pt>
                <c:pt idx="778">
                  <c:v>423.77603973677242</c:v>
                </c:pt>
                <c:pt idx="779">
                  <c:v>422.42326574433923</c:v>
                </c:pt>
                <c:pt idx="780">
                  <c:v>420.52397970069802</c:v>
                </c:pt>
                <c:pt idx="781">
                  <c:v>418.95089889051383</c:v>
                </c:pt>
                <c:pt idx="782">
                  <c:v>419.04848635871451</c:v>
                </c:pt>
                <c:pt idx="783">
                  <c:v>420.5375723855812</c:v>
                </c:pt>
                <c:pt idx="784">
                  <c:v>421.9300397795069</c:v>
                </c:pt>
                <c:pt idx="785">
                  <c:v>423.01279680688737</c:v>
                </c:pt>
                <c:pt idx="786">
                  <c:v>423.96056398088206</c:v>
                </c:pt>
                <c:pt idx="787">
                  <c:v>424.89095481420748</c:v>
                </c:pt>
                <c:pt idx="788">
                  <c:v>426.36093519772317</c:v>
                </c:pt>
                <c:pt idx="789">
                  <c:v>427.05140657043717</c:v>
                </c:pt>
                <c:pt idx="790">
                  <c:v>426.50621031764445</c:v>
                </c:pt>
                <c:pt idx="791">
                  <c:v>425.15715573349991</c:v>
                </c:pt>
                <c:pt idx="792">
                  <c:v>423.2617184017551</c:v>
                </c:pt>
                <c:pt idx="793">
                  <c:v>421.69249172160187</c:v>
                </c:pt>
                <c:pt idx="794">
                  <c:v>421.7938141590281</c:v>
                </c:pt>
                <c:pt idx="795">
                  <c:v>423.2867649996976</c:v>
                </c:pt>
                <c:pt idx="796">
                  <c:v>424.68297771630301</c:v>
                </c:pt>
                <c:pt idx="797">
                  <c:v>425.76961027087367</c:v>
                </c:pt>
                <c:pt idx="798">
                  <c:v>426.72125842794287</c:v>
                </c:pt>
                <c:pt idx="799">
                  <c:v>427.64766926634832</c:v>
                </c:pt>
                <c:pt idx="800">
                  <c:v>429.1215304935518</c:v>
                </c:pt>
                <c:pt idx="801">
                  <c:v>429.81576272322354</c:v>
                </c:pt>
                <c:pt idx="802">
                  <c:v>429.27445807194152</c:v>
                </c:pt>
                <c:pt idx="803">
                  <c:v>427.92917476997059</c:v>
                </c:pt>
                <c:pt idx="804">
                  <c:v>426.03763982738025</c:v>
                </c:pt>
                <c:pt idx="805">
                  <c:v>424.4723210300815</c:v>
                </c:pt>
                <c:pt idx="806">
                  <c:v>424.57743052764357</c:v>
                </c:pt>
                <c:pt idx="807">
                  <c:v>426.07430008394385</c:v>
                </c:pt>
                <c:pt idx="808">
                  <c:v>427.47431035853702</c:v>
                </c:pt>
                <c:pt idx="809">
                  <c:v>428.56487249154367</c:v>
                </c:pt>
                <c:pt idx="810">
                  <c:v>429.52045575902537</c:v>
                </c:pt>
                <c:pt idx="811">
                  <c:v>430.45042565203596</c:v>
                </c:pt>
                <c:pt idx="812">
                  <c:v>431.92823253977707</c:v>
                </c:pt>
                <c:pt idx="813">
                  <c:v>432.62628843926922</c:v>
                </c:pt>
                <c:pt idx="814">
                  <c:v>432.08894038602216</c:v>
                </c:pt>
                <c:pt idx="815">
                  <c:v>430.74749135320667</c:v>
                </c:pt>
                <c:pt idx="816">
                  <c:v>428.85992397646783</c:v>
                </c:pt>
                <c:pt idx="817">
                  <c:v>427.29857833047481</c:v>
                </c:pt>
                <c:pt idx="818">
                  <c:v>427.40753813867406</c:v>
                </c:pt>
                <c:pt idx="819">
                  <c:v>428.90839185998249</c:v>
                </c:pt>
                <c:pt idx="820">
                  <c:v>430.31226311839708</c:v>
                </c:pt>
                <c:pt idx="821">
                  <c:v>431.40682046064484</c:v>
                </c:pt>
                <c:pt idx="822">
                  <c:v>432.3664045617378</c:v>
                </c:pt>
                <c:pt idx="823">
                  <c:v>433.2999929517656</c:v>
                </c:pt>
                <c:pt idx="824">
                  <c:v>434.78181139944871</c:v>
                </c:pt>
                <c:pt idx="825">
                  <c:v>435.48375483070805</c:v>
                </c:pt>
                <c:pt idx="826">
                  <c:v>434.95042945757552</c:v>
                </c:pt>
                <c:pt idx="827">
                  <c:v>433.61287873288961</c:v>
                </c:pt>
                <c:pt idx="828">
                  <c:v>431.72934518726328</c:v>
                </c:pt>
                <c:pt idx="829">
                  <c:v>430.17203905112422</c:v>
                </c:pt>
                <c:pt idx="830">
                  <c:v>430.28491347685554</c:v>
                </c:pt>
                <c:pt idx="831">
                  <c:v>431.78981790566826</c:v>
                </c:pt>
                <c:pt idx="832">
                  <c:v>433.19761463306003</c:v>
                </c:pt>
                <c:pt idx="833">
                  <c:v>434.29623391150272</c:v>
                </c:pt>
                <c:pt idx="834">
                  <c:v>435.25988566709771</c:v>
                </c:pt>
                <c:pt idx="835">
                  <c:v>436.20515651414593</c:v>
                </c:pt>
                <c:pt idx="836">
                  <c:v>437.6910647890017</c:v>
                </c:pt>
                <c:pt idx="837">
                  <c:v>438.39697159941642</c:v>
                </c:pt>
                <c:pt idx="838">
                  <c:v>437.86774739058797</c:v>
                </c:pt>
                <c:pt idx="839">
                  <c:v>436.53417103167129</c:v>
                </c:pt>
                <c:pt idx="840">
                  <c:v>434.65475001890769</c:v>
                </c:pt>
                <c:pt idx="841">
                  <c:v>433.10156220516706</c:v>
                </c:pt>
                <c:pt idx="842">
                  <c:v>433.2184276242736</c:v>
                </c:pt>
                <c:pt idx="843">
                  <c:v>434.72746179160657</c:v>
                </c:pt>
                <c:pt idx="844">
                  <c:v>436.13926057553471</c:v>
                </c:pt>
                <c:pt idx="845">
                  <c:v>437.24202104026477</c:v>
                </c:pt>
                <c:pt idx="846">
                  <c:v>438.20981981202073</c:v>
                </c:pt>
                <c:pt idx="847">
                  <c:v>439.15083784401236</c:v>
                </c:pt>
                <c:pt idx="848">
                  <c:v>440.64089298608764</c:v>
                </c:pt>
                <c:pt idx="849">
                  <c:v>441.35081845215831</c:v>
                </c:pt>
                <c:pt idx="850">
                  <c:v>440.82575260579813</c:v>
                </c:pt>
                <c:pt idx="851">
                  <c:v>439.49620604237936</c:v>
                </c:pt>
                <c:pt idx="852">
                  <c:v>437.62095491919757</c:v>
                </c:pt>
                <c:pt idx="853">
                  <c:v>436.07194286532035</c:v>
                </c:pt>
                <c:pt idx="854">
                  <c:v>436.19285493943261</c:v>
                </c:pt>
                <c:pt idx="855">
                  <c:v>437.70607644196878</c:v>
                </c:pt>
                <c:pt idx="856">
                  <c:v>439.12193309835988</c:v>
                </c:pt>
                <c:pt idx="857">
                  <c:v>440.22889250572047</c:v>
                </c:pt>
                <c:pt idx="858">
                  <c:v>441.20089613128846</c:v>
                </c:pt>
                <c:pt idx="859">
                  <c:v>442.14571718346394</c:v>
                </c:pt>
                <c:pt idx="860">
                  <c:v>443.63998845266491</c:v>
                </c:pt>
                <c:pt idx="861">
                  <c:v>444.35399969294144</c:v>
                </c:pt>
                <c:pt idx="862">
                  <c:v>443.83316166094642</c:v>
                </c:pt>
                <c:pt idx="863">
                  <c:v>442.5077121976305</c:v>
                </c:pt>
                <c:pt idx="864">
                  <c:v>440.63670060845061</c:v>
                </c:pt>
                <c:pt idx="865">
                  <c:v>439.09193405690053</c:v>
                </c:pt>
                <c:pt idx="866">
                  <c:v>439.21696037220647</c:v>
                </c:pt>
                <c:pt idx="867">
                  <c:v>440.73443914573801</c:v>
                </c:pt>
                <c:pt idx="868">
                  <c:v>442.15442144813102</c:v>
                </c:pt>
                <c:pt idx="869">
                  <c:v>443.26564992777844</c:v>
                </c:pt>
                <c:pt idx="870">
                  <c:v>444.24192863554197</c:v>
                </c:pt>
                <c:pt idx="871">
                  <c:v>445.19061622496338</c:v>
                </c:pt>
                <c:pt idx="872">
                  <c:v>446.6891740379578</c:v>
                </c:pt>
                <c:pt idx="873">
                  <c:v>447.40733929198683</c:v>
                </c:pt>
                <c:pt idx="874">
                  <c:v>446.89079968622161</c:v>
                </c:pt>
                <c:pt idx="875">
                  <c:v>445.56951575171723</c:v>
                </c:pt>
                <c:pt idx="876">
                  <c:v>443.70281450414222</c:v>
                </c:pt>
                <c:pt idx="877">
                  <c:v>442.16236436220402</c:v>
                </c:pt>
                <c:pt idx="878">
                  <c:v>442.29157363369865</c:v>
                </c:pt>
                <c:pt idx="879">
                  <c:v>443.81338078206744</c:v>
                </c:pt>
                <c:pt idx="880">
                  <c:v>445.23755763593743</c:v>
                </c:pt>
                <c:pt idx="881">
                  <c:v>446.35312648881546</c:v>
                </c:pt>
                <c:pt idx="882">
                  <c:v>447.33375168009445</c:v>
                </c:pt>
                <c:pt idx="883">
                  <c:v>448.29492253397058</c:v>
                </c:pt>
                <c:pt idx="884">
                  <c:v>449.7978505230401</c:v>
                </c:pt>
                <c:pt idx="885">
                  <c:v>450.52025083738602</c:v>
                </c:pt>
                <c:pt idx="886">
                  <c:v>450.00809352196359</c:v>
                </c:pt>
                <c:pt idx="887">
                  <c:v>448.69105638749858</c:v>
                </c:pt>
                <c:pt idx="888">
                  <c:v>446.82874957811543</c:v>
                </c:pt>
                <c:pt idx="889">
                  <c:v>445.29270006076524</c:v>
                </c:pt>
                <c:pt idx="890">
                  <c:v>445.42617389969206</c:v>
                </c:pt>
                <c:pt idx="891">
                  <c:v>446.95239387132114</c:v>
                </c:pt>
                <c:pt idx="892">
                  <c:v>448.38084711414064</c:v>
                </c:pt>
                <c:pt idx="893">
                  <c:v>449.50084102276605</c:v>
                </c:pt>
                <c:pt idx="894">
                  <c:v>450.48589749929135</c:v>
                </c:pt>
                <c:pt idx="895">
                  <c:v>451.44252401673759</c:v>
                </c:pt>
                <c:pt idx="896">
                  <c:v>452.94988313190231</c:v>
                </c:pt>
                <c:pt idx="897">
                  <c:v>453.67657757215147</c:v>
                </c:pt>
                <c:pt idx="898">
                  <c:v>453.16886366604774</c:v>
                </c:pt>
                <c:pt idx="899">
                  <c:v>451.85613256094035</c:v>
                </c:pt>
                <c:pt idx="900">
                  <c:v>449.99828147814844</c:v>
                </c:pt>
                <c:pt idx="901">
                  <c:v>448.46669396006604</c:v>
                </c:pt>
                <c:pt idx="902">
                  <c:v>448.60449184354155</c:v>
                </c:pt>
                <c:pt idx="903">
                  <c:v>450.13518618324321</c:v>
                </c:pt>
                <c:pt idx="904">
                  <c:v>451.5679754570013</c:v>
                </c:pt>
                <c:pt idx="905">
                  <c:v>452.69245613679095</c:v>
                </c:pt>
                <c:pt idx="906">
                  <c:v>453.68200570086083</c:v>
                </c:pt>
                <c:pt idx="907">
                  <c:v>454.64269592738799</c:v>
                </c:pt>
                <c:pt idx="908">
                  <c:v>456.15456017617259</c:v>
                </c:pt>
                <c:pt idx="909">
                  <c:v>456.88562046170813</c:v>
                </c:pt>
                <c:pt idx="910">
                  <c:v>456.38242417759875</c:v>
                </c:pt>
                <c:pt idx="911">
                  <c:v>455.07407102004044</c:v>
                </c:pt>
                <c:pt idx="912">
                  <c:v>453.22075008223584</c:v>
                </c:pt>
                <c:pt idx="913">
                  <c:v>451.69369908658189</c:v>
                </c:pt>
                <c:pt idx="914">
                  <c:v>451.83589323368261</c:v>
                </c:pt>
                <c:pt idx="915">
                  <c:v>453.37113667119792</c:v>
                </c:pt>
                <c:pt idx="916">
                  <c:v>454.80833439516471</c:v>
                </c:pt>
                <c:pt idx="917">
                  <c:v>455.93737678301267</c:v>
                </c:pt>
                <c:pt idx="918">
                  <c:v>456.93149447701626</c:v>
                </c:pt>
                <c:pt idx="919">
                  <c:v>457.89631628364498</c:v>
                </c:pt>
                <c:pt idx="920">
                  <c:v>459.41276090962896</c:v>
                </c:pt>
                <c:pt idx="921">
                  <c:v>460.14825995767211</c:v>
                </c:pt>
                <c:pt idx="922">
                  <c:v>459.64965674771429</c:v>
                </c:pt>
                <c:pt idx="923">
                  <c:v>458.34575465705547</c:v>
                </c:pt>
                <c:pt idx="924">
                  <c:v>456.4970395255508</c:v>
                </c:pt>
                <c:pt idx="925">
                  <c:v>454.97460082015277</c:v>
                </c:pt>
                <c:pt idx="926">
                  <c:v>455.12126465613943</c:v>
                </c:pt>
                <c:pt idx="927">
                  <c:v>456.66113316932655</c:v>
                </c:pt>
                <c:pt idx="928">
                  <c:v>458.10281297229977</c:v>
                </c:pt>
                <c:pt idx="929">
                  <c:v>459.23649325667719</c:v>
                </c:pt>
                <c:pt idx="930">
                  <c:v>460.23525537634202</c:v>
                </c:pt>
                <c:pt idx="931">
                  <c:v>461.21341614849587</c:v>
                </c:pt>
                <c:pt idx="932">
                  <c:v>462.73453051677501</c:v>
                </c:pt>
                <c:pt idx="933">
                  <c:v>463.47455492945886</c:v>
                </c:pt>
                <c:pt idx="934">
                  <c:v>462.98063440647098</c:v>
                </c:pt>
                <c:pt idx="935">
                  <c:v>461.68127022490825</c:v>
                </c:pt>
                <c:pt idx="936">
                  <c:v>459.83725076093162</c:v>
                </c:pt>
                <c:pt idx="937">
                  <c:v>458.31951433352197</c:v>
                </c:pt>
                <c:pt idx="938">
                  <c:v>458.47073506391433</c:v>
                </c:pt>
                <c:pt idx="939">
                  <c:v>460.01531888995504</c:v>
                </c:pt>
                <c:pt idx="940">
                  <c:v>461.46156821919095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97-4306-B8AD-23626BE2D846}"/>
            </c:ext>
          </c:extLst>
        </c:ser>
        <c:ser>
          <c:idx val="0"/>
          <c:order val="1"/>
          <c:tx>
            <c:strRef>
              <c:f>'指数+定数モデル'!$G$1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xVal>
          <c:yVal>
            <c:numRef>
              <c:f>'指数+定数モデル'!$G$2:$G$942</c:f>
              <c:numCache>
                <c:formatCode>0.00_ ;[Red]\-0.00\ </c:formatCode>
                <c:ptCount val="9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97-4306-B8AD-23626BE2D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221791"/>
        <c:axId val="1251637631"/>
      </c:scatterChart>
      <c:valAx>
        <c:axId val="1248221791"/>
        <c:scaling>
          <c:orientation val="minMax"/>
          <c:max val="50010"/>
          <c:min val="212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1637631"/>
        <c:crosses val="autoZero"/>
        <c:crossBetween val="midCat"/>
      </c:valAx>
      <c:valAx>
        <c:axId val="125163763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221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'指数+定数モデル'!$B$11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'指数+定数モデル'!$A$12:$A$24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'指数+定数モデル'!$B$12:$B$24</c:f>
              <c:numCache>
                <c:formatCode>General</c:formatCode>
                <c:ptCount val="13"/>
                <c:pt idx="0">
                  <c:v>-3.5406241068958691E-2</c:v>
                </c:pt>
                <c:pt idx="1">
                  <c:v>0.68063113884422577</c:v>
                </c:pt>
                <c:pt idx="2">
                  <c:v>1.3939471632320417</c:v>
                </c:pt>
                <c:pt idx="3">
                  <c:v>2.6315659351379859</c:v>
                </c:pt>
                <c:pt idx="4">
                  <c:v>3.0968597809913625</c:v>
                </c:pt>
                <c:pt idx="5">
                  <c:v>2.3186578027685911</c:v>
                </c:pt>
                <c:pt idx="6">
                  <c:v>0.74380149245581328</c:v>
                </c:pt>
                <c:pt idx="7">
                  <c:v>-1.3852874640433905</c:v>
                </c:pt>
                <c:pt idx="8">
                  <c:v>-3.188494698714738</c:v>
                </c:pt>
                <c:pt idx="9">
                  <c:v>-3.3139186770794531</c:v>
                </c:pt>
                <c:pt idx="10">
                  <c:v>-2.0555969925100759</c:v>
                </c:pt>
                <c:pt idx="11">
                  <c:v>-0.88675924001340456</c:v>
                </c:pt>
                <c:pt idx="12">
                  <c:v>-3.5406241068958691E-2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A0-4C9B-A851-8B654CEFA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268591"/>
        <c:axId val="1251637631"/>
      </c:scatterChart>
      <c:valAx>
        <c:axId val="12482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1637631"/>
        <c:crosses val="autoZero"/>
        <c:crossBetween val="midCat"/>
      </c:valAx>
      <c:valAx>
        <c:axId val="125163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26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'指数+定数モデル'!$L$1</c:f>
              <c:strCache>
                <c:ptCount val="1"/>
                <c:pt idx="0">
                  <c:v>残差(I)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numRef>
              <c:f>'指数+定数モデル'!$F$2:$F$942</c:f>
              <c:numCache>
                <c:formatCode>m/d/yyyy</c:formatCode>
                <c:ptCount val="9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</c:numCache>
            </c:numRef>
          </c:cat>
          <c:val>
            <c:numRef>
              <c:f>'指数+定数モデル'!$L$2:$L$942</c:f>
              <c:numCache>
                <c:formatCode>0.00_ ;[Red]\-0.00\ </c:formatCode>
                <c:ptCount val="941"/>
                <c:pt idx="0">
                  <c:v>0.59072673273675491</c:v>
                </c:pt>
                <c:pt idx="1">
                  <c:v>1.0352946541902952</c:v>
                </c:pt>
                <c:pt idx="2">
                  <c:v>0.5445933095475084</c:v>
                </c:pt>
                <c:pt idx="3">
                  <c:v>1.0940060596791454</c:v>
                </c:pt>
                <c:pt idx="4">
                  <c:v>2.2148497096575284</c:v>
                </c:pt>
                <c:pt idx="5">
                  <c:v>2.219701485737744</c:v>
                </c:pt>
                <c:pt idx="6">
                  <c:v>1.0522982284513773</c:v>
                </c:pt>
                <c:pt idx="7">
                  <c:v>1.1473170989054324</c:v>
                </c:pt>
                <c:pt idx="8">
                  <c:v>1.1271736315985095</c:v>
                </c:pt>
                <c:pt idx="9">
                  <c:v>1.2422348637854839</c:v>
                </c:pt>
                <c:pt idx="10">
                  <c:v>0.6175576020925746</c:v>
                </c:pt>
                <c:pt idx="11">
                  <c:v>0.37082590577449537</c:v>
                </c:pt>
                <c:pt idx="12">
                  <c:v>0.39886512454211243</c:v>
                </c:pt>
                <c:pt idx="13">
                  <c:v>0.95773487479544883</c:v>
                </c:pt>
                <c:pt idx="14">
                  <c:v>0.84571172653181748</c:v>
                </c:pt>
                <c:pt idx="15">
                  <c:v>1.1552485435880158</c:v>
                </c:pt>
                <c:pt idx="16">
                  <c:v>1.9187916470145865</c:v>
                </c:pt>
                <c:pt idx="17">
                  <c:v>1.4570145252108091</c:v>
                </c:pt>
                <c:pt idx="18">
                  <c:v>1.5988078778764816</c:v>
                </c:pt>
                <c:pt idx="19">
                  <c:v>1.1225550212921007</c:v>
                </c:pt>
                <c:pt idx="20">
                  <c:v>1.0410956159105922</c:v>
                </c:pt>
                <c:pt idx="21">
                  <c:v>0.79483905747338213</c:v>
                </c:pt>
                <c:pt idx="22">
                  <c:v>0.60637705144671372</c:v>
                </c:pt>
                <c:pt idx="23">
                  <c:v>0.73832038126482757</c:v>
                </c:pt>
                <c:pt idx="24">
                  <c:v>1.2050755913025455</c:v>
                </c:pt>
                <c:pt idx="25">
                  <c:v>1.4426166948221066</c:v>
                </c:pt>
                <c:pt idx="26">
                  <c:v>1.5393059785153582</c:v>
                </c:pt>
                <c:pt idx="27">
                  <c:v>1.3075104657864927</c:v>
                </c:pt>
                <c:pt idx="28">
                  <c:v>1.2997193638028079</c:v>
                </c:pt>
                <c:pt idx="29">
                  <c:v>1.0066492871406467</c:v>
                </c:pt>
                <c:pt idx="30">
                  <c:v>0.83710473593589541</c:v>
                </c:pt>
                <c:pt idx="31">
                  <c:v>0.77955534038090946</c:v>
                </c:pt>
                <c:pt idx="32">
                  <c:v>0.55675432241656608</c:v>
                </c:pt>
                <c:pt idx="33">
                  <c:v>0.55915426270308899</c:v>
                </c:pt>
                <c:pt idx="34">
                  <c:v>0.61207003342826738</c:v>
                </c:pt>
                <c:pt idx="35">
                  <c:v>0.23266991022239836</c:v>
                </c:pt>
                <c:pt idx="36">
                  <c:v>0.78812320370292355</c:v>
                </c:pt>
                <c:pt idx="37">
                  <c:v>0.674317130103816</c:v>
                </c:pt>
                <c:pt idx="38">
                  <c:v>0.96970088828550161</c:v>
                </c:pt>
                <c:pt idx="39">
                  <c:v>1.2365544640198891</c:v>
                </c:pt>
                <c:pt idx="40">
                  <c:v>1.1574105487149495</c:v>
                </c:pt>
                <c:pt idx="41">
                  <c:v>1.5230294845971457</c:v>
                </c:pt>
                <c:pt idx="42">
                  <c:v>0.97212837002939523</c:v>
                </c:pt>
                <c:pt idx="43">
                  <c:v>0.6332643529196389</c:v>
                </c:pt>
                <c:pt idx="44">
                  <c:v>0.62910301115528</c:v>
                </c:pt>
                <c:pt idx="45">
                  <c:v>0.44014071260693299</c:v>
                </c:pt>
                <c:pt idx="46">
                  <c:v>0.7818244258063487</c:v>
                </c:pt>
                <c:pt idx="47">
                  <c:v>0.35105841157064788</c:v>
                </c:pt>
                <c:pt idx="48">
                  <c:v>0.2551880442195511</c:v>
                </c:pt>
                <c:pt idx="49">
                  <c:v>0.55001229329707257</c:v>
                </c:pt>
                <c:pt idx="50">
                  <c:v>1.034068721417043</c:v>
                </c:pt>
                <c:pt idx="51">
                  <c:v>0.86954882303859904</c:v>
                </c:pt>
                <c:pt idx="52">
                  <c:v>1.4390295000733317</c:v>
                </c:pt>
                <c:pt idx="53">
                  <c:v>0.65331555272581454</c:v>
                </c:pt>
                <c:pt idx="54">
                  <c:v>0.58103521782368261</c:v>
                </c:pt>
                <c:pt idx="55">
                  <c:v>0.3408346226891581</c:v>
                </c:pt>
                <c:pt idx="56">
                  <c:v>0.44529023734759221</c:v>
                </c:pt>
                <c:pt idx="57">
                  <c:v>-2.5057051797148233E-2</c:v>
                </c:pt>
                <c:pt idx="58">
                  <c:v>-2.4625973630463704E-2</c:v>
                </c:pt>
                <c:pt idx="59">
                  <c:v>0.17321930834441446</c:v>
                </c:pt>
                <c:pt idx="60">
                  <c:v>0.49600317272012262</c:v>
                </c:pt>
                <c:pt idx="61">
                  <c:v>0.41943486847685563</c:v>
                </c:pt>
                <c:pt idx="62">
                  <c:v>0.17214179781080929</c:v>
                </c:pt>
                <c:pt idx="63">
                  <c:v>0.24622548590929227</c:v>
                </c:pt>
                <c:pt idx="64">
                  <c:v>0.40430778357989539</c:v>
                </c:pt>
                <c:pt idx="65">
                  <c:v>0.22723869153071519</c:v>
                </c:pt>
                <c:pt idx="66">
                  <c:v>-3.64438990879421E-2</c:v>
                </c:pt>
                <c:pt idx="67">
                  <c:v>-8.0033954284886022E-3</c:v>
                </c:pt>
                <c:pt idx="68">
                  <c:v>0.27504607641566281</c:v>
                </c:pt>
                <c:pt idx="69">
                  <c:v>-0.50248111379283955</c:v>
                </c:pt>
                <c:pt idx="70">
                  <c:v>-0.18046914066081854</c:v>
                </c:pt>
                <c:pt idx="71">
                  <c:v>-0.13913803940459957</c:v>
                </c:pt>
                <c:pt idx="72">
                  <c:v>0.15352199055263327</c:v>
                </c:pt>
                <c:pt idx="73">
                  <c:v>-0.11982137411354188</c:v>
                </c:pt>
                <c:pt idx="74">
                  <c:v>9.1727949689698107E-2</c:v>
                </c:pt>
                <c:pt idx="75">
                  <c:v>-0.44338425524722425</c:v>
                </c:pt>
                <c:pt idx="76">
                  <c:v>-0.6663291655310104</c:v>
                </c:pt>
                <c:pt idx="77">
                  <c:v>-0.87471327094169737</c:v>
                </c:pt>
                <c:pt idx="78">
                  <c:v>-0.67790427785280372</c:v>
                </c:pt>
                <c:pt idx="79">
                  <c:v>-1.0200451597461893</c:v>
                </c:pt>
                <c:pt idx="80">
                  <c:v>-1.0950512196131399</c:v>
                </c:pt>
                <c:pt idx="81">
                  <c:v>-1.6150305401703235</c:v>
                </c:pt>
                <c:pt idx="82">
                  <c:v>-1.2244580902662392</c:v>
                </c:pt>
                <c:pt idx="83">
                  <c:v>-0.39452200550226735</c:v>
                </c:pt>
                <c:pt idx="84">
                  <c:v>-0.69330548917736223</c:v>
                </c:pt>
                <c:pt idx="85">
                  <c:v>-3.8094399623560093E-2</c:v>
                </c:pt>
                <c:pt idx="86">
                  <c:v>-0.50794592866122912</c:v>
                </c:pt>
                <c:pt idx="87">
                  <c:v>-0.28450768647735458</c:v>
                </c:pt>
                <c:pt idx="88">
                  <c:v>-0.98885733281076682</c:v>
                </c:pt>
                <c:pt idx="89">
                  <c:v>-0.72869500930767117</c:v>
                </c:pt>
                <c:pt idx="90">
                  <c:v>-0.55334163361123956</c:v>
                </c:pt>
                <c:pt idx="91">
                  <c:v>-0.55679902793781366</c:v>
                </c:pt>
                <c:pt idx="92">
                  <c:v>-0.57326460774237376</c:v>
                </c:pt>
                <c:pt idx="93">
                  <c:v>-0.74465832324921166</c:v>
                </c:pt>
                <c:pt idx="94">
                  <c:v>-0.38554943911867667</c:v>
                </c:pt>
                <c:pt idx="95">
                  <c:v>-0.26703167005234718</c:v>
                </c:pt>
                <c:pt idx="96">
                  <c:v>-0.24728277655208331</c:v>
                </c:pt>
                <c:pt idx="97">
                  <c:v>-0.25354137591108383</c:v>
                </c:pt>
                <c:pt idx="98">
                  <c:v>-0.75481715447222086</c:v>
                </c:pt>
                <c:pt idx="99">
                  <c:v>-0.42285267522584036</c:v>
                </c:pt>
                <c:pt idx="100">
                  <c:v>-0.42863051914804373</c:v>
                </c:pt>
                <c:pt idx="101">
                  <c:v>-6.9946043900301902E-2</c:v>
                </c:pt>
                <c:pt idx="102">
                  <c:v>-0.70607259694247659</c:v>
                </c:pt>
                <c:pt idx="103">
                  <c:v>-0.96086849175321731</c:v>
                </c:pt>
                <c:pt idx="104">
                  <c:v>-0.90881796802079862</c:v>
                </c:pt>
                <c:pt idx="105">
                  <c:v>-0.88164970133681209</c:v>
                </c:pt>
                <c:pt idx="106">
                  <c:v>-1.1040288270778547</c:v>
                </c:pt>
                <c:pt idx="107">
                  <c:v>-1.1669530620519595</c:v>
                </c:pt>
                <c:pt idx="108">
                  <c:v>-0.74869630323416914</c:v>
                </c:pt>
                <c:pt idx="109">
                  <c:v>-0.70644913787089081</c:v>
                </c:pt>
                <c:pt idx="110">
                  <c:v>-0.52917295340381543</c:v>
                </c:pt>
                <c:pt idx="111">
                  <c:v>-0.53870685150303643</c:v>
                </c:pt>
                <c:pt idx="112">
                  <c:v>-0.56593674640163272</c:v>
                </c:pt>
                <c:pt idx="113">
                  <c:v>-0.89875480204966607</c:v>
                </c:pt>
                <c:pt idx="114">
                  <c:v>-1.1263860012184068</c:v>
                </c:pt>
                <c:pt idx="115">
                  <c:v>-1.1855032964076599</c:v>
                </c:pt>
                <c:pt idx="116">
                  <c:v>-1.3849656205855467</c:v>
                </c:pt>
                <c:pt idx="117">
                  <c:v>-1.3892634280461493</c:v>
                </c:pt>
                <c:pt idx="118">
                  <c:v>-0.91315959536018454</c:v>
                </c:pt>
                <c:pt idx="119">
                  <c:v>-0.64755396848335067</c:v>
                </c:pt>
                <c:pt idx="120">
                  <c:v>-0.64081845652651737</c:v>
                </c:pt>
                <c:pt idx="121">
                  <c:v>-0.71009467960294614</c:v>
                </c:pt>
                <c:pt idx="122">
                  <c:v>-0.75429478392078408</c:v>
                </c:pt>
                <c:pt idx="123">
                  <c:v>-1.0353562933412945</c:v>
                </c:pt>
                <c:pt idx="124">
                  <c:v>-0.72406656934475677</c:v>
                </c:pt>
                <c:pt idx="125">
                  <c:v>-0.55841647090136348</c:v>
                </c:pt>
                <c:pt idx="126">
                  <c:v>-0.95758167247862502</c:v>
                </c:pt>
                <c:pt idx="127">
                  <c:v>-0.53512582970887479</c:v>
                </c:pt>
                <c:pt idx="128">
                  <c:v>-0.83612210120111286</c:v>
                </c:pt>
                <c:pt idx="129">
                  <c:v>-0.67190642986543025</c:v>
                </c:pt>
                <c:pt idx="130">
                  <c:v>-0.65734079664491674</c:v>
                </c:pt>
                <c:pt idx="131">
                  <c:v>-3.2258116561365568E-3</c:v>
                </c:pt>
                <c:pt idx="132">
                  <c:v>-0.18803276310279671</c:v>
                </c:pt>
                <c:pt idx="133">
                  <c:v>0.24114637897025659</c:v>
                </c:pt>
                <c:pt idx="134">
                  <c:v>-0.32455060365367672</c:v>
                </c:pt>
                <c:pt idx="135">
                  <c:v>-0.60716102970184238</c:v>
                </c:pt>
                <c:pt idx="136">
                  <c:v>-0.59737233340575813</c:v>
                </c:pt>
                <c:pt idx="137">
                  <c:v>-0.60327544523659071</c:v>
                </c:pt>
                <c:pt idx="138">
                  <c:v>-0.49399604366436733</c:v>
                </c:pt>
                <c:pt idx="139">
                  <c:v>-0.34294695743835746</c:v>
                </c:pt>
                <c:pt idx="140">
                  <c:v>-0.47550279583737165</c:v>
                </c:pt>
                <c:pt idx="141">
                  <c:v>-1.0827984731989773</c:v>
                </c:pt>
                <c:pt idx="142">
                  <c:v>-0.80979673005447239</c:v>
                </c:pt>
                <c:pt idx="143">
                  <c:v>-0.65719728326996574</c:v>
                </c:pt>
                <c:pt idx="144">
                  <c:v>-0.27357245994596724</c:v>
                </c:pt>
                <c:pt idx="145">
                  <c:v>-0.15596375081628366</c:v>
                </c:pt>
                <c:pt idx="146">
                  <c:v>-0.16318261222124875</c:v>
                </c:pt>
                <c:pt idx="147">
                  <c:v>-0.56736782450326473</c:v>
                </c:pt>
                <c:pt idx="148">
                  <c:v>-0.70910522568499346</c:v>
                </c:pt>
                <c:pt idx="149">
                  <c:v>-0.6165874891073031</c:v>
                </c:pt>
                <c:pt idx="150">
                  <c:v>-0.9188894622223529</c:v>
                </c:pt>
                <c:pt idx="151">
                  <c:v>-1.2292706278250876</c:v>
                </c:pt>
                <c:pt idx="152">
                  <c:v>-1.9434120806148485</c:v>
                </c:pt>
                <c:pt idx="153">
                  <c:v>-1.3622443488297904</c:v>
                </c:pt>
                <c:pt idx="154">
                  <c:v>-1.0408326154500287</c:v>
                </c:pt>
                <c:pt idx="155">
                  <c:v>-0.76977401899779352</c:v>
                </c:pt>
                <c:pt idx="156">
                  <c:v>-0.66774361299633256</c:v>
                </c:pt>
                <c:pt idx="157">
                  <c:v>-1.0317315657757717</c:v>
                </c:pt>
                <c:pt idx="158">
                  <c:v>-0.80049772398876939</c:v>
                </c:pt>
                <c:pt idx="159">
                  <c:v>-0.91628402417768484</c:v>
                </c:pt>
                <c:pt idx="160">
                  <c:v>-0.96957301132368912</c:v>
                </c:pt>
                <c:pt idx="161">
                  <c:v>-1.1586608009200177</c:v>
                </c:pt>
                <c:pt idx="162">
                  <c:v>-1.1125705604344489</c:v>
                </c:pt>
                <c:pt idx="163">
                  <c:v>-1.7975693491659968</c:v>
                </c:pt>
                <c:pt idx="164">
                  <c:v>-1.1633273523535195</c:v>
                </c:pt>
                <c:pt idx="165">
                  <c:v>-1.3737261909590757</c:v>
                </c:pt>
                <c:pt idx="166">
                  <c:v>-1.6739354891064409</c:v>
                </c:pt>
                <c:pt idx="167">
                  <c:v>-1.2444478056279422</c:v>
                </c:pt>
                <c:pt idx="168">
                  <c:v>-0.93404292470506789</c:v>
                </c:pt>
                <c:pt idx="169">
                  <c:v>-0.70965869094249001</c:v>
                </c:pt>
                <c:pt idx="170">
                  <c:v>-0.32000233437821635</c:v>
                </c:pt>
                <c:pt idx="171">
                  <c:v>-0.37742096037612782</c:v>
                </c:pt>
                <c:pt idx="172">
                  <c:v>-0.5922918055844093</c:v>
                </c:pt>
                <c:pt idx="173">
                  <c:v>-0.54301644584899122</c:v>
                </c:pt>
                <c:pt idx="174">
                  <c:v>-0.34856536035516683</c:v>
                </c:pt>
                <c:pt idx="175">
                  <c:v>-0.41188317588620293</c:v>
                </c:pt>
                <c:pt idx="176">
                  <c:v>-0.54928027519474654</c:v>
                </c:pt>
                <c:pt idx="177">
                  <c:v>-0.13126753285200721</c:v>
                </c:pt>
                <c:pt idx="178">
                  <c:v>0.13687952925278069</c:v>
                </c:pt>
                <c:pt idx="179">
                  <c:v>0.41477439053090848</c:v>
                </c:pt>
                <c:pt idx="180">
                  <c:v>0.883531075484143</c:v>
                </c:pt>
                <c:pt idx="181">
                  <c:v>0.78626479298179675</c:v>
                </c:pt>
                <c:pt idx="182">
                  <c:v>0.48432166343485505</c:v>
                </c:pt>
                <c:pt idx="183">
                  <c:v>0.1052479458882658</c:v>
                </c:pt>
                <c:pt idx="184">
                  <c:v>-0.68122681925791539</c:v>
                </c:pt>
                <c:pt idx="185">
                  <c:v>-0.92361113903785963</c:v>
                </c:pt>
                <c:pt idx="186">
                  <c:v>-0.38082206952088882</c:v>
                </c:pt>
                <c:pt idx="187">
                  <c:v>-0.41564307174706983</c:v>
                </c:pt>
                <c:pt idx="188">
                  <c:v>-0.58470664293713526</c:v>
                </c:pt>
                <c:pt idx="189">
                  <c:v>-0.70830884901147328</c:v>
                </c:pt>
                <c:pt idx="190">
                  <c:v>-0.87183287830140443</c:v>
                </c:pt>
                <c:pt idx="191">
                  <c:v>-0.46555744212889749</c:v>
                </c:pt>
                <c:pt idx="192">
                  <c:v>-0.22847648088941241</c:v>
                </c:pt>
                <c:pt idx="193">
                  <c:v>-0.4874208461532703</c:v>
                </c:pt>
                <c:pt idx="194">
                  <c:v>-0.52099017601580044</c:v>
                </c:pt>
                <c:pt idx="195">
                  <c:v>-0.79174662802324747</c:v>
                </c:pt>
                <c:pt idx="196">
                  <c:v>-0.94985210136428577</c:v>
                </c:pt>
                <c:pt idx="197">
                  <c:v>-1.073923820198786</c:v>
                </c:pt>
                <c:pt idx="198">
                  <c:v>-0.89282452522053291</c:v>
                </c:pt>
                <c:pt idx="199">
                  <c:v>-1.0591738199782981</c:v>
                </c:pt>
                <c:pt idx="200">
                  <c:v>-1.129931696033168</c:v>
                </c:pt>
                <c:pt idx="201">
                  <c:v>-1.0351758229762709</c:v>
                </c:pt>
                <c:pt idx="202">
                  <c:v>-0.73039885379847647</c:v>
                </c:pt>
                <c:pt idx="203">
                  <c:v>-0.95576988995202328</c:v>
                </c:pt>
                <c:pt idx="204">
                  <c:v>-0.77039263993111717</c:v>
                </c:pt>
                <c:pt idx="205">
                  <c:v>-0.57104311486199322</c:v>
                </c:pt>
                <c:pt idx="206">
                  <c:v>-0.76626580541835665</c:v>
                </c:pt>
                <c:pt idx="207">
                  <c:v>-0.97873309648326767</c:v>
                </c:pt>
                <c:pt idx="208">
                  <c:v>-0.97849651368676405</c:v>
                </c:pt>
                <c:pt idx="209">
                  <c:v>-0.94428381407942652</c:v>
                </c:pt>
                <c:pt idx="210">
                  <c:v>-0.94490251581839857</c:v>
                </c:pt>
                <c:pt idx="211">
                  <c:v>-0.82618596189109894</c:v>
                </c:pt>
                <c:pt idx="212">
                  <c:v>-1.0886711994149323</c:v>
                </c:pt>
                <c:pt idx="213">
                  <c:v>-1.3555892817972222</c:v>
                </c:pt>
                <c:pt idx="214">
                  <c:v>-1.2325444623896828</c:v>
                </c:pt>
                <c:pt idx="215">
                  <c:v>-1.0395940942403286</c:v>
                </c:pt>
                <c:pt idx="216">
                  <c:v>-1.1259537955643282</c:v>
                </c:pt>
                <c:pt idx="217">
                  <c:v>-1.0683436670829565</c:v>
                </c:pt>
                <c:pt idx="218">
                  <c:v>-1.4052519760990663</c:v>
                </c:pt>
                <c:pt idx="219">
                  <c:v>-1.3994634854147989</c:v>
                </c:pt>
                <c:pt idx="220">
                  <c:v>-1.3009171936664643</c:v>
                </c:pt>
                <c:pt idx="221">
                  <c:v>-1.0084535473386609</c:v>
                </c:pt>
                <c:pt idx="222">
                  <c:v>-1.3408237646370367</c:v>
                </c:pt>
                <c:pt idx="223">
                  <c:v>-0.8703110103929248</c:v>
                </c:pt>
                <c:pt idx="224">
                  <c:v>-0.84454770056993311</c:v>
                </c:pt>
                <c:pt idx="225">
                  <c:v>-0.73316308473158642</c:v>
                </c:pt>
                <c:pt idx="226">
                  <c:v>-0.54187457305994258</c:v>
                </c:pt>
                <c:pt idx="227">
                  <c:v>-0.42062621166485314</c:v>
                </c:pt>
                <c:pt idx="228">
                  <c:v>-0.5687470892660258</c:v>
                </c:pt>
                <c:pt idx="229">
                  <c:v>-3.2900616408312544E-2</c:v>
                </c:pt>
                <c:pt idx="230">
                  <c:v>-0.44151805288646528</c:v>
                </c:pt>
                <c:pt idx="231">
                  <c:v>-0.56749810673551337</c:v>
                </c:pt>
                <c:pt idx="232">
                  <c:v>-0.39066568020513159</c:v>
                </c:pt>
                <c:pt idx="233">
                  <c:v>-0.2299754808726675</c:v>
                </c:pt>
                <c:pt idx="234">
                  <c:v>-0.63412164178726016</c:v>
                </c:pt>
                <c:pt idx="235">
                  <c:v>-0.19521511447015882</c:v>
                </c:pt>
                <c:pt idx="236">
                  <c:v>-0.4212325096107179</c:v>
                </c:pt>
                <c:pt idx="237">
                  <c:v>-0.74157354344822579</c:v>
                </c:pt>
                <c:pt idx="238">
                  <c:v>-0.18207067291120893</c:v>
                </c:pt>
                <c:pt idx="239">
                  <c:v>-7.255274474800899E-2</c:v>
                </c:pt>
                <c:pt idx="240">
                  <c:v>8.753578666176054E-2</c:v>
                </c:pt>
                <c:pt idx="241">
                  <c:v>-0.13841085222514948</c:v>
                </c:pt>
                <c:pt idx="242">
                  <c:v>-0.32876596157132099</c:v>
                </c:pt>
                <c:pt idx="243">
                  <c:v>-0.32654409772823101</c:v>
                </c:pt>
                <c:pt idx="244">
                  <c:v>-0.57145416095067958</c:v>
                </c:pt>
                <c:pt idx="245">
                  <c:v>-0.25256702826771971</c:v>
                </c:pt>
                <c:pt idx="246">
                  <c:v>-0.54851879415036819</c:v>
                </c:pt>
                <c:pt idx="247">
                  <c:v>-0.16124532054817564</c:v>
                </c:pt>
                <c:pt idx="248">
                  <c:v>-0.58907316152709654</c:v>
                </c:pt>
                <c:pt idx="249">
                  <c:v>-0.57116866639614727</c:v>
                </c:pt>
                <c:pt idx="250">
                  <c:v>-8.3481260311316419E-2</c:v>
                </c:pt>
                <c:pt idx="251">
                  <c:v>-0.17572266662944003</c:v>
                </c:pt>
                <c:pt idx="252">
                  <c:v>0.20254536780259969</c:v>
                </c:pt>
                <c:pt idx="253">
                  <c:v>-0.27522433091866105</c:v>
                </c:pt>
                <c:pt idx="254">
                  <c:v>-0.3173461352968161</c:v>
                </c:pt>
                <c:pt idx="255">
                  <c:v>-0.25695238486827066</c:v>
                </c:pt>
                <c:pt idx="256">
                  <c:v>-9.3634040457857282E-2</c:v>
                </c:pt>
                <c:pt idx="257">
                  <c:v>0.22341991122158333</c:v>
                </c:pt>
                <c:pt idx="258">
                  <c:v>-0.25436761637757854</c:v>
                </c:pt>
                <c:pt idx="259">
                  <c:v>0.63763348039367429</c:v>
                </c:pt>
                <c:pt idx="260">
                  <c:v>-2.2040128987271146E-2</c:v>
                </c:pt>
                <c:pt idx="261">
                  <c:v>0.11407566464060892</c:v>
                </c:pt>
                <c:pt idx="262">
                  <c:v>0.479912185794376</c:v>
                </c:pt>
                <c:pt idx="263">
                  <c:v>0.33587711963531319</c:v>
                </c:pt>
                <c:pt idx="264">
                  <c:v>0.39228913842413249</c:v>
                </c:pt>
                <c:pt idx="265">
                  <c:v>0.36266081120027138</c:v>
                </c:pt>
                <c:pt idx="266">
                  <c:v>0.51873784282332736</c:v>
                </c:pt>
                <c:pt idx="267">
                  <c:v>0.22726781257171069</c:v>
                </c:pt>
                <c:pt idx="268">
                  <c:v>5.8780000099034169E-2</c:v>
                </c:pt>
                <c:pt idx="269">
                  <c:v>0.12396500463870552</c:v>
                </c:pt>
                <c:pt idx="270">
                  <c:v>0.5343058988357825</c:v>
                </c:pt>
                <c:pt idx="271">
                  <c:v>0.61822632161272395</c:v>
                </c:pt>
                <c:pt idx="272">
                  <c:v>0.38668120124646066</c:v>
                </c:pt>
                <c:pt idx="273">
                  <c:v>0.22098334668936559</c:v>
                </c:pt>
                <c:pt idx="274">
                  <c:v>0.22494316896938926</c:v>
                </c:pt>
                <c:pt idx="275">
                  <c:v>-7.0910572865443555E-2</c:v>
                </c:pt>
                <c:pt idx="276">
                  <c:v>-0.11638045521959839</c:v>
                </c:pt>
                <c:pt idx="277">
                  <c:v>-0.1678933328866492</c:v>
                </c:pt>
                <c:pt idx="278">
                  <c:v>1.6357414243486801E-2</c:v>
                </c:pt>
                <c:pt idx="279">
                  <c:v>0.14299760951456619</c:v>
                </c:pt>
                <c:pt idx="280">
                  <c:v>0.11267845003004595</c:v>
                </c:pt>
                <c:pt idx="281">
                  <c:v>0.28596844157698342</c:v>
                </c:pt>
                <c:pt idx="282">
                  <c:v>0.31441165502275226</c:v>
                </c:pt>
                <c:pt idx="283">
                  <c:v>0.58661574745332246</c:v>
                </c:pt>
                <c:pt idx="284">
                  <c:v>0.10316785860800337</c:v>
                </c:pt>
                <c:pt idx="285">
                  <c:v>9.5626064781754394E-2</c:v>
                </c:pt>
                <c:pt idx="286">
                  <c:v>-3.2322155952158482E-2</c:v>
                </c:pt>
                <c:pt idx="287">
                  <c:v>0.13997505148529399</c:v>
                </c:pt>
                <c:pt idx="288">
                  <c:v>-9.740816303929023E-2</c:v>
                </c:pt>
                <c:pt idx="289">
                  <c:v>-0.24083706642477409</c:v>
                </c:pt>
                <c:pt idx="290">
                  <c:v>-0.34844310592001193</c:v>
                </c:pt>
                <c:pt idx="291">
                  <c:v>-0.32372424765202368</c:v>
                </c:pt>
                <c:pt idx="292">
                  <c:v>-0.37590534083386729</c:v>
                </c:pt>
                <c:pt idx="293">
                  <c:v>-0.45454201229750879</c:v>
                </c:pt>
                <c:pt idx="294">
                  <c:v>-0.14802817417739789</c:v>
                </c:pt>
                <c:pt idx="295">
                  <c:v>-0.38756907779998073</c:v>
                </c:pt>
                <c:pt idx="296">
                  <c:v>9.7048485327604794E-2</c:v>
                </c:pt>
                <c:pt idx="297">
                  <c:v>0.33763195523425793</c:v>
                </c:pt>
                <c:pt idx="298">
                  <c:v>0.55774382384407772</c:v>
                </c:pt>
                <c:pt idx="299">
                  <c:v>0.67816109818562609</c:v>
                </c:pt>
                <c:pt idx="300">
                  <c:v>1.088832595510496</c:v>
                </c:pt>
                <c:pt idx="301">
                  <c:v>0.26345566543938048</c:v>
                </c:pt>
                <c:pt idx="302">
                  <c:v>0.39396182774754607</c:v>
                </c:pt>
                <c:pt idx="303">
                  <c:v>0.17672725933761058</c:v>
                </c:pt>
                <c:pt idx="304">
                  <c:v>0.73265313492225914</c:v>
                </c:pt>
                <c:pt idx="305">
                  <c:v>0.47205762181937416</c:v>
                </c:pt>
                <c:pt idx="306">
                  <c:v>0.43660986068488228</c:v>
                </c:pt>
                <c:pt idx="307">
                  <c:v>0.3914351700797738</c:v>
                </c:pt>
                <c:pt idx="308">
                  <c:v>0.80408044133031353</c:v>
                </c:pt>
                <c:pt idx="309">
                  <c:v>0.60275259807292514</c:v>
                </c:pt>
                <c:pt idx="310">
                  <c:v>0.63088670754956411</c:v>
                </c:pt>
                <c:pt idx="311">
                  <c:v>0.67938737050559439</c:v>
                </c:pt>
                <c:pt idx="312">
                  <c:v>0.57807562628573805</c:v>
                </c:pt>
                <c:pt idx="313">
                  <c:v>5.0712662704825107E-2</c:v>
                </c:pt>
                <c:pt idx="314">
                  <c:v>0.33929419507563807</c:v>
                </c:pt>
                <c:pt idx="315">
                  <c:v>0.59006808780742404</c:v>
                </c:pt>
                <c:pt idx="316">
                  <c:v>0.54406399831896124</c:v>
                </c:pt>
                <c:pt idx="317">
                  <c:v>0.32147142574848431</c:v>
                </c:pt>
                <c:pt idx="318">
                  <c:v>0.50402379372854966</c:v>
                </c:pt>
                <c:pt idx="319">
                  <c:v>1.1108999948204996</c:v>
                </c:pt>
                <c:pt idx="320">
                  <c:v>0.68154546701180152</c:v>
                </c:pt>
                <c:pt idx="321">
                  <c:v>0.67827965386652522</c:v>
                </c:pt>
                <c:pt idx="322">
                  <c:v>0.65440842077686057</c:v>
                </c:pt>
                <c:pt idx="323">
                  <c:v>0.42096574173058343</c:v>
                </c:pt>
                <c:pt idx="324">
                  <c:v>0.53764309607078076</c:v>
                </c:pt>
                <c:pt idx="325">
                  <c:v>0.63826640014565328</c:v>
                </c:pt>
                <c:pt idx="326">
                  <c:v>0.35489646012888443</c:v>
                </c:pt>
                <c:pt idx="327">
                  <c:v>0.41365103838620598</c:v>
                </c:pt>
                <c:pt idx="328">
                  <c:v>0.44569006696622182</c:v>
                </c:pt>
                <c:pt idx="329">
                  <c:v>0.21107258231677406</c:v>
                </c:pt>
                <c:pt idx="330">
                  <c:v>2.159718759014595E-2</c:v>
                </c:pt>
                <c:pt idx="331">
                  <c:v>9.6639407562463475E-2</c:v>
                </c:pt>
                <c:pt idx="332">
                  <c:v>0.43525168056646635</c:v>
                </c:pt>
                <c:pt idx="333">
                  <c:v>0.52001553006033419</c:v>
                </c:pt>
                <c:pt idx="334">
                  <c:v>0.50410546169030113</c:v>
                </c:pt>
                <c:pt idx="335">
                  <c:v>0.34868698344496352</c:v>
                </c:pt>
                <c:pt idx="336">
                  <c:v>0.31331985078793423</c:v>
                </c:pt>
                <c:pt idx="337">
                  <c:v>0.94189578968081378</c:v>
                </c:pt>
                <c:pt idx="338">
                  <c:v>0.26654178428805153</c:v>
                </c:pt>
                <c:pt idx="339">
                  <c:v>0.37324332200142862</c:v>
                </c:pt>
                <c:pt idx="340">
                  <c:v>0.3232927853127876</c:v>
                </c:pt>
                <c:pt idx="341">
                  <c:v>0.46661656902546156</c:v>
                </c:pt>
                <c:pt idx="342">
                  <c:v>8.5079544422455911E-2</c:v>
                </c:pt>
                <c:pt idx="343">
                  <c:v>0.19825715259565868</c:v>
                </c:pt>
                <c:pt idx="344">
                  <c:v>0.39480226844415256</c:v>
                </c:pt>
                <c:pt idx="345">
                  <c:v>0.67756287251080494</c:v>
                </c:pt>
                <c:pt idx="346">
                  <c:v>0.73957991675945323</c:v>
                </c:pt>
                <c:pt idx="347">
                  <c:v>0.4421526400265634</c:v>
                </c:pt>
                <c:pt idx="348">
                  <c:v>1.0347068738782923</c:v>
                </c:pt>
                <c:pt idx="349">
                  <c:v>1.061201253023853</c:v>
                </c:pt>
                <c:pt idx="350">
                  <c:v>0.9738300449071744</c:v>
                </c:pt>
                <c:pt idx="351">
                  <c:v>1.0384442527231386</c:v>
                </c:pt>
                <c:pt idx="352">
                  <c:v>0.89647092156002373</c:v>
                </c:pt>
                <c:pt idx="353">
                  <c:v>1.3877015892300619</c:v>
                </c:pt>
                <c:pt idx="354">
                  <c:v>1.8440685019403986</c:v>
                </c:pt>
                <c:pt idx="355">
                  <c:v>1.5012261390868389</c:v>
                </c:pt>
                <c:pt idx="356">
                  <c:v>1.5056637666698407</c:v>
                </c:pt>
                <c:pt idx="357">
                  <c:v>1.5463820411442271</c:v>
                </c:pt>
                <c:pt idx="358">
                  <c:v>1.7762857551026059</c:v>
                </c:pt>
                <c:pt idx="359">
                  <c:v>1.8068104873743209</c:v>
                </c:pt>
                <c:pt idx="360">
                  <c:v>1.8572455327164903</c:v>
                </c:pt>
                <c:pt idx="361">
                  <c:v>1.831617740004333</c:v>
                </c:pt>
                <c:pt idx="362">
                  <c:v>1.9821899726857737</c:v>
                </c:pt>
                <c:pt idx="363">
                  <c:v>1.7846761259155528</c:v>
                </c:pt>
                <c:pt idx="364">
                  <c:v>1.7606405347027589</c:v>
                </c:pt>
                <c:pt idx="365">
                  <c:v>2.1997372487513189</c:v>
                </c:pt>
                <c:pt idx="366">
                  <c:v>1.6639672037057949</c:v>
                </c:pt>
                <c:pt idx="367">
                  <c:v>1.4433163167872181</c:v>
                </c:pt>
                <c:pt idx="368">
                  <c:v>1.8156170633640727</c:v>
                </c:pt>
                <c:pt idx="369">
                  <c:v>1.4742645242610024</c:v>
                </c:pt>
                <c:pt idx="370">
                  <c:v>1.5720254337105644</c:v>
                </c:pt>
                <c:pt idx="371">
                  <c:v>1.8004736120435041</c:v>
                </c:pt>
                <c:pt idx="372">
                  <c:v>1.5687599129541923</c:v>
                </c:pt>
                <c:pt idx="373">
                  <c:v>1.3809803508541449</c:v>
                </c:pt>
                <c:pt idx="374">
                  <c:v>1.5594673418909792</c:v>
                </c:pt>
                <c:pt idx="375">
                  <c:v>1.479795760959405</c:v>
                </c:pt>
                <c:pt idx="376">
                  <c:v>1.4036691477454042</c:v>
                </c:pt>
                <c:pt idx="377">
                  <c:v>1.5606021463242996</c:v>
                </c:pt>
                <c:pt idx="378">
                  <c:v>1.7526653397768541</c:v>
                </c:pt>
                <c:pt idx="379">
                  <c:v>1.600054756256668</c:v>
                </c:pt>
                <c:pt idx="380">
                  <c:v>1.0501829321919445</c:v>
                </c:pt>
                <c:pt idx="381">
                  <c:v>1.416724993317473</c:v>
                </c:pt>
                <c:pt idx="382">
                  <c:v>1.1323073096902476</c:v>
                </c:pt>
                <c:pt idx="383">
                  <c:v>1.1586442520161313</c:v>
                </c:pt>
                <c:pt idx="384">
                  <c:v>1.2547459207204383</c:v>
                </c:pt>
                <c:pt idx="385">
                  <c:v>0.97477865093526361</c:v>
                </c:pt>
                <c:pt idx="386">
                  <c:v>1.1911455731594742</c:v>
                </c:pt>
                <c:pt idx="387">
                  <c:v>1.4492802201471022</c:v>
                </c:pt>
                <c:pt idx="388">
                  <c:v>1.5310276612219695</c:v>
                </c:pt>
                <c:pt idx="389">
                  <c:v>1.0557608065138879</c:v>
                </c:pt>
                <c:pt idx="390">
                  <c:v>1.2356210497728171</c:v>
                </c:pt>
                <c:pt idx="391">
                  <c:v>1.8110180393040878</c:v>
                </c:pt>
                <c:pt idx="392">
                  <c:v>1.8789373588835474</c:v>
                </c:pt>
                <c:pt idx="393">
                  <c:v>2.0233388563935932</c:v>
                </c:pt>
                <c:pt idx="394">
                  <c:v>1.5667061933901323</c:v>
                </c:pt>
                <c:pt idx="395">
                  <c:v>0.9408966383899724</c:v>
                </c:pt>
                <c:pt idx="396">
                  <c:v>0.77477718772422577</c:v>
                </c:pt>
                <c:pt idx="397">
                  <c:v>0.58258567172464382</c:v>
                </c:pt>
                <c:pt idx="398">
                  <c:v>0.63679711629401936</c:v>
                </c:pt>
                <c:pt idx="399">
                  <c:v>0.78270135138569685</c:v>
                </c:pt>
                <c:pt idx="400">
                  <c:v>0.72228733975254045</c:v>
                </c:pt>
                <c:pt idx="401">
                  <c:v>0.73478389037524039</c:v>
                </c:pt>
                <c:pt idx="402">
                  <c:v>0.61240439033491612</c:v>
                </c:pt>
                <c:pt idx="403">
                  <c:v>0.86136875270517521</c:v>
                </c:pt>
                <c:pt idx="404">
                  <c:v>0.82703612020742412</c:v>
                </c:pt>
                <c:pt idx="405">
                  <c:v>0.7392552908013954</c:v>
                </c:pt>
                <c:pt idx="406">
                  <c:v>0.97036443323753474</c:v>
                </c:pt>
                <c:pt idx="407">
                  <c:v>0.18236650184093151</c:v>
                </c:pt>
                <c:pt idx="408">
                  <c:v>0.15398259682734761</c:v>
                </c:pt>
                <c:pt idx="409">
                  <c:v>-0.17047656137043532</c:v>
                </c:pt>
                <c:pt idx="410">
                  <c:v>0.12153735126378251</c:v>
                </c:pt>
                <c:pt idx="411">
                  <c:v>-0.4248323418196378</c:v>
                </c:pt>
                <c:pt idx="412">
                  <c:v>-0.48744997701675175</c:v>
                </c:pt>
                <c:pt idx="413">
                  <c:v>-0.17723365797070301</c:v>
                </c:pt>
                <c:pt idx="414">
                  <c:v>-0.56189659964906014</c:v>
                </c:pt>
                <c:pt idx="415">
                  <c:v>-0.19059054035710687</c:v>
                </c:pt>
                <c:pt idx="416">
                  <c:v>-0.4872065324821051</c:v>
                </c:pt>
                <c:pt idx="417">
                  <c:v>-0.26720012530586246</c:v>
                </c:pt>
                <c:pt idx="418">
                  <c:v>-0.30838067204308572</c:v>
                </c:pt>
                <c:pt idx="419">
                  <c:v>-0.89859750070814925</c:v>
                </c:pt>
                <c:pt idx="420">
                  <c:v>-0.95927744198678511</c:v>
                </c:pt>
                <c:pt idx="421">
                  <c:v>-1.1260358687603116</c:v>
                </c:pt>
                <c:pt idx="422">
                  <c:v>-0.83625013662413039</c:v>
                </c:pt>
                <c:pt idx="423">
                  <c:v>-0.88492547192930715</c:v>
                </c:pt>
                <c:pt idx="424">
                  <c:v>-0.72977746421190659</c:v>
                </c:pt>
                <c:pt idx="425">
                  <c:v>-0.1518731787018055</c:v>
                </c:pt>
                <c:pt idx="426">
                  <c:v>-0.46885140874718445</c:v>
                </c:pt>
                <c:pt idx="427">
                  <c:v>-0.24963937906613864</c:v>
                </c:pt>
                <c:pt idx="428">
                  <c:v>-0.33857686690203082</c:v>
                </c:pt>
                <c:pt idx="429">
                  <c:v>-0.51082018014705</c:v>
                </c:pt>
                <c:pt idx="430">
                  <c:v>-0.62432865785535796</c:v>
                </c:pt>
                <c:pt idx="431">
                  <c:v>-0.57680144323882132</c:v>
                </c:pt>
                <c:pt idx="432">
                  <c:v>-0.65981576858763447</c:v>
                </c:pt>
                <c:pt idx="433">
                  <c:v>-0.63891186572749348</c:v>
                </c:pt>
                <c:pt idx="434">
                  <c:v>-0.49139152858521129</c:v>
                </c:pt>
                <c:pt idx="435">
                  <c:v>-0.31241101435364271</c:v>
                </c:pt>
                <c:pt idx="436">
                  <c:v>-0.1595346813774654</c:v>
                </c:pt>
                <c:pt idx="437">
                  <c:v>-0.22398104439059807</c:v>
                </c:pt>
                <c:pt idx="438">
                  <c:v>-5.3313232152277124E-2</c:v>
                </c:pt>
                <c:pt idx="439">
                  <c:v>-0.26623020602431779</c:v>
                </c:pt>
                <c:pt idx="440">
                  <c:v>0.17247203740663508</c:v>
                </c:pt>
                <c:pt idx="441">
                  <c:v>-8.2058570509843776E-2</c:v>
                </c:pt>
                <c:pt idx="442">
                  <c:v>1.2066140308206741E-2</c:v>
                </c:pt>
                <c:pt idx="443">
                  <c:v>7.7299719799441391E-2</c:v>
                </c:pt>
                <c:pt idx="444">
                  <c:v>-0.3780879779001225</c:v>
                </c:pt>
                <c:pt idx="445">
                  <c:v>-0.11956078857360808</c:v>
                </c:pt>
                <c:pt idx="446">
                  <c:v>-0.43434368246778376</c:v>
                </c:pt>
                <c:pt idx="447">
                  <c:v>-2.774647009579212E-2</c:v>
                </c:pt>
                <c:pt idx="448">
                  <c:v>-0.19717975278638278</c:v>
                </c:pt>
                <c:pt idx="449">
                  <c:v>0.15598397575195122</c:v>
                </c:pt>
                <c:pt idx="450">
                  <c:v>0.48425851507977313</c:v>
                </c:pt>
                <c:pt idx="451">
                  <c:v>0.4144679712173911</c:v>
                </c:pt>
                <c:pt idx="452">
                  <c:v>-0.27923610392565479</c:v>
                </c:pt>
                <c:pt idx="453">
                  <c:v>-0.17609863259940539</c:v>
                </c:pt>
                <c:pt idx="454">
                  <c:v>5.6130892525061427E-3</c:v>
                </c:pt>
                <c:pt idx="455">
                  <c:v>0.11850828382739564</c:v>
                </c:pt>
                <c:pt idx="456">
                  <c:v>-6.9299091720779415E-2</c:v>
                </c:pt>
                <c:pt idx="457">
                  <c:v>-0.44319498661360512</c:v>
                </c:pt>
                <c:pt idx="458">
                  <c:v>-0.30032604855546197</c:v>
                </c:pt>
                <c:pt idx="459">
                  <c:v>-0.5561586372699594</c:v>
                </c:pt>
                <c:pt idx="460">
                  <c:v>-0.29794659720511163</c:v>
                </c:pt>
                <c:pt idx="461">
                  <c:v>-0.43721940523960257</c:v>
                </c:pt>
                <c:pt idx="462">
                  <c:v>-0.50138483258854194</c:v>
                </c:pt>
                <c:pt idx="463">
                  <c:v>-0.778673161215238</c:v>
                </c:pt>
                <c:pt idx="464">
                  <c:v>-0.36481711540284323</c:v>
                </c:pt>
                <c:pt idx="465">
                  <c:v>-0.53404408769245038</c:v>
                </c:pt>
                <c:pt idx="466">
                  <c:v>-1.0747790083078144</c:v>
                </c:pt>
                <c:pt idx="467">
                  <c:v>-0.80425481166190593</c:v>
                </c:pt>
                <c:pt idx="468">
                  <c:v>-0.79451561184879438</c:v>
                </c:pt>
                <c:pt idx="469">
                  <c:v>-1.450868385258957</c:v>
                </c:pt>
                <c:pt idx="470">
                  <c:v>-0.88038036470481984</c:v>
                </c:pt>
                <c:pt idx="471">
                  <c:v>-0.63867664248232359</c:v>
                </c:pt>
                <c:pt idx="472">
                  <c:v>-0.10285211990105836</c:v>
                </c:pt>
                <c:pt idx="473">
                  <c:v>-5.4595446423491012E-2</c:v>
                </c:pt>
                <c:pt idx="474">
                  <c:v>-0.10123487020371158</c:v>
                </c:pt>
                <c:pt idx="475">
                  <c:v>0.20923923030903779</c:v>
                </c:pt>
                <c:pt idx="476">
                  <c:v>0.12061464684649081</c:v>
                </c:pt>
                <c:pt idx="477">
                  <c:v>0.19898374061403956</c:v>
                </c:pt>
                <c:pt idx="478">
                  <c:v>0.40576131433999763</c:v>
                </c:pt>
                <c:pt idx="479">
                  <c:v>0.59387491326106101</c:v>
                </c:pt>
                <c:pt idx="480">
                  <c:v>0.71111971197041157</c:v>
                </c:pt>
                <c:pt idx="481">
                  <c:v>0.48226902589181009</c:v>
                </c:pt>
                <c:pt idx="482">
                  <c:v>0.79033636347202219</c:v>
                </c:pt>
                <c:pt idx="483">
                  <c:v>0.60953524873218612</c:v>
                </c:pt>
                <c:pt idx="484">
                  <c:v>0.80293237812912821</c:v>
                </c:pt>
                <c:pt idx="485">
                  <c:v>0.97867727115612979</c:v>
                </c:pt>
                <c:pt idx="486">
                  <c:v>0.82952253089462147</c:v>
                </c:pt>
                <c:pt idx="487">
                  <c:v>0.69772168921559796</c:v>
                </c:pt>
                <c:pt idx="488">
                  <c:v>0.85657504564790088</c:v>
                </c:pt>
                <c:pt idx="489">
                  <c:v>0.10250005558799558</c:v>
                </c:pt>
                <c:pt idx="490">
                  <c:v>7.6748577977696186E-2</c:v>
                </c:pt>
                <c:pt idx="491">
                  <c:v>0.42241131799278264</c:v>
                </c:pt>
                <c:pt idx="492">
                  <c:v>5.7120054754591365E-2</c:v>
                </c:pt>
                <c:pt idx="493">
                  <c:v>-0.5842702634855641</c:v>
                </c:pt>
                <c:pt idx="494">
                  <c:v>-0.11866403850154938</c:v>
                </c:pt>
                <c:pt idx="495">
                  <c:v>1.7988174655556577E-2</c:v>
                </c:pt>
                <c:pt idx="496">
                  <c:v>1.8917369173266252E-2</c:v>
                </c:pt>
                <c:pt idx="497">
                  <c:v>0.15210853064081675</c:v>
                </c:pt>
                <c:pt idx="498">
                  <c:v>-0.39960353626889855</c:v>
                </c:pt>
                <c:pt idx="499">
                  <c:v>-0.208749116455067</c:v>
                </c:pt>
                <c:pt idx="500">
                  <c:v>-0.45246702658664617</c:v>
                </c:pt>
                <c:pt idx="501">
                  <c:v>-0.89903378558273062</c:v>
                </c:pt>
                <c:pt idx="502">
                  <c:v>-0.41736365739029679</c:v>
                </c:pt>
                <c:pt idx="503">
                  <c:v>-0.56419959357447169</c:v>
                </c:pt>
                <c:pt idx="504">
                  <c:v>-0.59207639840099091</c:v>
                </c:pt>
                <c:pt idx="505">
                  <c:v>-0.44605589809947332</c:v>
                </c:pt>
                <c:pt idx="506">
                  <c:v>-0.36295880305897299</c:v>
                </c:pt>
                <c:pt idx="507">
                  <c:v>-0.21890294865414717</c:v>
                </c:pt>
                <c:pt idx="508">
                  <c:v>-0.31048983946840281</c:v>
                </c:pt>
                <c:pt idx="509">
                  <c:v>-0.55990223394280747</c:v>
                </c:pt>
                <c:pt idx="510">
                  <c:v>-0.21422152202467259</c:v>
                </c:pt>
                <c:pt idx="511">
                  <c:v>-0.45069336547430794</c:v>
                </c:pt>
                <c:pt idx="512">
                  <c:v>-1.1070184031388521</c:v>
                </c:pt>
                <c:pt idx="513">
                  <c:v>-0.56611168330186956</c:v>
                </c:pt>
                <c:pt idx="514">
                  <c:v>-0.65705590968326533</c:v>
                </c:pt>
                <c:pt idx="515">
                  <c:v>-0.92642537063181862</c:v>
                </c:pt>
                <c:pt idx="516">
                  <c:v>-1.0269237771069015</c:v>
                </c:pt>
                <c:pt idx="517">
                  <c:v>-0.9735285690886144</c:v>
                </c:pt>
                <c:pt idx="518">
                  <c:v>-0.87297559835303673</c:v>
                </c:pt>
                <c:pt idx="519">
                  <c:v>-0.70155231362554105</c:v>
                </c:pt>
                <c:pt idx="520">
                  <c:v>-0.46569038113875649</c:v>
                </c:pt>
                <c:pt idx="521">
                  <c:v>-0.27774264285778827</c:v>
                </c:pt>
                <c:pt idx="522">
                  <c:v>-0.51470551453320468</c:v>
                </c:pt>
                <c:pt idx="523">
                  <c:v>-0.93356830953860026</c:v>
                </c:pt>
                <c:pt idx="524">
                  <c:v>-1.0025440183076171</c:v>
                </c:pt>
                <c:pt idx="525">
                  <c:v>-0.92420601694209381</c:v>
                </c:pt>
                <c:pt idx="526">
                  <c:v>-0.45780826217304593</c:v>
                </c:pt>
                <c:pt idx="527">
                  <c:v>-0.41975356216300952</c:v>
                </c:pt>
                <c:pt idx="528">
                  <c:v>-0.99291735560080951</c:v>
                </c:pt>
                <c:pt idx="529">
                  <c:v>-0.1321912868201025</c:v>
                </c:pt>
                <c:pt idx="530">
                  <c:v>-0.61422493169726522</c:v>
                </c:pt>
                <c:pt idx="531">
                  <c:v>-0.20547818514683058</c:v>
                </c:pt>
                <c:pt idx="532">
                  <c:v>0.16778996154619108</c:v>
                </c:pt>
                <c:pt idx="533">
                  <c:v>5.305374220080239E-2</c:v>
                </c:pt>
                <c:pt idx="534">
                  <c:v>0.11340313448073402</c:v>
                </c:pt>
                <c:pt idx="535">
                  <c:v>-0.25789054513637666</c:v>
                </c:pt>
                <c:pt idx="536">
                  <c:v>-0.11956119583487634</c:v>
                </c:pt>
                <c:pt idx="537">
                  <c:v>-4.3834815014008655E-2</c:v>
                </c:pt>
                <c:pt idx="538">
                  <c:v>0.34986052736041984</c:v>
                </c:pt>
                <c:pt idx="539">
                  <c:v>0.23529636733013604</c:v>
                </c:pt>
                <c:pt idx="540">
                  <c:v>7.9422670324049705E-2</c:v>
                </c:pt>
                <c:pt idx="541">
                  <c:v>0.21743502059223374</c:v>
                </c:pt>
                <c:pt idx="542">
                  <c:v>0.20277155911583122</c:v>
                </c:pt>
                <c:pt idx="543">
                  <c:v>0.12879706463917273</c:v>
                </c:pt>
                <c:pt idx="544">
                  <c:v>0.13942810479716172</c:v>
                </c:pt>
                <c:pt idx="545">
                  <c:v>0.22196310105749717</c:v>
                </c:pt>
                <c:pt idx="546">
                  <c:v>-8.0420132581025427E-2</c:v>
                </c:pt>
                <c:pt idx="547">
                  <c:v>7.0437983183865072E-2</c:v>
                </c:pt>
                <c:pt idx="548">
                  <c:v>0.77601981109984308</c:v>
                </c:pt>
                <c:pt idx="549">
                  <c:v>0.26908361755505439</c:v>
                </c:pt>
                <c:pt idx="550">
                  <c:v>-0.18997617767342945</c:v>
                </c:pt>
                <c:pt idx="551">
                  <c:v>-0.56721029281067104</c:v>
                </c:pt>
                <c:pt idx="552">
                  <c:v>-0.53584676474906701</c:v>
                </c:pt>
                <c:pt idx="553">
                  <c:v>-0.68060107878881126</c:v>
                </c:pt>
                <c:pt idx="554">
                  <c:v>-0.54794566569813696</c:v>
                </c:pt>
                <c:pt idx="555">
                  <c:v>-0.35469449376455486</c:v>
                </c:pt>
                <c:pt idx="556">
                  <c:v>-8.6752011204907831E-2</c:v>
                </c:pt>
                <c:pt idx="557">
                  <c:v>-0.20699903907603812</c:v>
                </c:pt>
                <c:pt idx="558">
                  <c:v>0.17783178668003075</c:v>
                </c:pt>
                <c:pt idx="559">
                  <c:v>-0.21845308188557055</c:v>
                </c:pt>
                <c:pt idx="560">
                  <c:v>0.34434290548290392</c:v>
                </c:pt>
                <c:pt idx="561">
                  <c:v>-9.5292996849309475E-2</c:v>
                </c:pt>
                <c:pt idx="562">
                  <c:v>0.3528536449356352</c:v>
                </c:pt>
                <c:pt idx="563">
                  <c:v>0.34291233733199533</c:v>
                </c:pt>
                <c:pt idx="564">
                  <c:v>0.3114745585609171</c:v>
                </c:pt>
                <c:pt idx="565">
                  <c:v>-0.30608500593126564</c:v>
                </c:pt>
                <c:pt idx="566">
                  <c:v>3.3851888576577949E-2</c:v>
                </c:pt>
                <c:pt idx="567">
                  <c:v>0.11429003381374514</c:v>
                </c:pt>
                <c:pt idx="568">
                  <c:v>0.42950646196993603</c:v>
                </c:pt>
                <c:pt idx="569">
                  <c:v>0.81643860960247139</c:v>
                </c:pt>
                <c:pt idx="570">
                  <c:v>0.5784446397656211</c:v>
                </c:pt>
                <c:pt idx="571">
                  <c:v>0.24960492503049636</c:v>
                </c:pt>
                <c:pt idx="572">
                  <c:v>0.6395685434613938</c:v>
                </c:pt>
                <c:pt idx="573">
                  <c:v>0.56718784250222143</c:v>
                </c:pt>
                <c:pt idx="574">
                  <c:v>0.28249426393233534</c:v>
                </c:pt>
                <c:pt idx="575">
                  <c:v>-6.0199450968070778E-2</c:v>
                </c:pt>
                <c:pt idx="576">
                  <c:v>9.5514676724462788E-2</c:v>
                </c:pt>
                <c:pt idx="577">
                  <c:v>5.5103009210370146E-2</c:v>
                </c:pt>
                <c:pt idx="578">
                  <c:v>0.26227598113939621</c:v>
                </c:pt>
                <c:pt idx="579">
                  <c:v>-9.0145882766023533E-2</c:v>
                </c:pt>
                <c:pt idx="580">
                  <c:v>9.2298961129642976E-2</c:v>
                </c:pt>
                <c:pt idx="581">
                  <c:v>-1.3636828417247671E-2</c:v>
                </c:pt>
                <c:pt idx="582">
                  <c:v>0.22549722714575182</c:v>
                </c:pt>
                <c:pt idx="583">
                  <c:v>-1.5940004140304609E-2</c:v>
                </c:pt>
                <c:pt idx="584">
                  <c:v>0.4611439398577204</c:v>
                </c:pt>
                <c:pt idx="585">
                  <c:v>5.9725973529793919E-3</c:v>
                </c:pt>
                <c:pt idx="586">
                  <c:v>6.8391361800706818E-2</c:v>
                </c:pt>
                <c:pt idx="587">
                  <c:v>4.2899269607232782E-2</c:v>
                </c:pt>
                <c:pt idx="588">
                  <c:v>-0.60428226436044952</c:v>
                </c:pt>
                <c:pt idx="589">
                  <c:v>4.2406330015069216E-2</c:v>
                </c:pt>
                <c:pt idx="590">
                  <c:v>-3.2307829566207147E-3</c:v>
                </c:pt>
                <c:pt idx="591">
                  <c:v>6.1439576860493617E-2</c:v>
                </c:pt>
                <c:pt idx="592">
                  <c:v>-2.8933453789761643E-2</c:v>
                </c:pt>
                <c:pt idx="593">
                  <c:v>0.40221491993713698</c:v>
                </c:pt>
                <c:pt idx="594">
                  <c:v>0.27842903392132712</c:v>
                </c:pt>
                <c:pt idx="595">
                  <c:v>-0.61139437961810472</c:v>
                </c:pt>
                <c:pt idx="596">
                  <c:v>-1.0872462937183514</c:v>
                </c:pt>
                <c:pt idx="597">
                  <c:v>1.4737275635127389E-2</c:v>
                </c:pt>
                <c:pt idx="598">
                  <c:v>0.15421204369181396</c:v>
                </c:pt>
                <c:pt idx="599">
                  <c:v>-0.24413302331885234</c:v>
                </c:pt>
                <c:pt idx="600">
                  <c:v>-0.46426671452940127</c:v>
                </c:pt>
                <c:pt idx="601">
                  <c:v>0.16946556661906698</c:v>
                </c:pt>
                <c:pt idx="602">
                  <c:v>-0.18903645719774431</c:v>
                </c:pt>
                <c:pt idx="603">
                  <c:v>-0.3973306056023489</c:v>
                </c:pt>
                <c:pt idx="604">
                  <c:v>-0.64057648872216078</c:v>
                </c:pt>
                <c:pt idx="605">
                  <c:v>-0.13240084092882398</c:v>
                </c:pt>
                <c:pt idx="606">
                  <c:v>-0.55916363781796008</c:v>
                </c:pt>
                <c:pt idx="607">
                  <c:v>-3.5934193376306212E-2</c:v>
                </c:pt>
                <c:pt idx="608">
                  <c:v>-0.4047629114332949</c:v>
                </c:pt>
                <c:pt idx="609">
                  <c:v>-0.44566411012863227</c:v>
                </c:pt>
                <c:pt idx="610">
                  <c:v>-0.39917439782442443</c:v>
                </c:pt>
                <c:pt idx="611">
                  <c:v>-0.550412229553217</c:v>
                </c:pt>
                <c:pt idx="612">
                  <c:v>-0.59353925118637108</c:v>
                </c:pt>
                <c:pt idx="613">
                  <c:v>-0.40280451440708021</c:v>
                </c:pt>
                <c:pt idx="614">
                  <c:v>-0.77421140543924594</c:v>
                </c:pt>
                <c:pt idx="615">
                  <c:v>-0.49551140750185141</c:v>
                </c:pt>
                <c:pt idx="616">
                  <c:v>-0.40167021022210747</c:v>
                </c:pt>
                <c:pt idx="617">
                  <c:v>-0.37650874840915094</c:v>
                </c:pt>
                <c:pt idx="618">
                  <c:v>0.25371002541436383</c:v>
                </c:pt>
                <c:pt idx="619">
                  <c:v>0.3042094944477185</c:v>
                </c:pt>
                <c:pt idx="620">
                  <c:v>0.25235425462233252</c:v>
                </c:pt>
                <c:pt idx="621">
                  <c:v>0.44852010722667046</c:v>
                </c:pt>
                <c:pt idx="622">
                  <c:v>6.1974908147249153E-2</c:v>
                </c:pt>
                <c:pt idx="623">
                  <c:v>-0.45220400250951798</c:v>
                </c:pt>
                <c:pt idx="624">
                  <c:v>-0.31837434839764001</c:v>
                </c:pt>
                <c:pt idx="625">
                  <c:v>-0.38068722020028645</c:v>
                </c:pt>
                <c:pt idx="626">
                  <c:v>-0.11504749479070142</c:v>
                </c:pt>
                <c:pt idx="627">
                  <c:v>-4.9403553503680087E-2</c:v>
                </c:pt>
                <c:pt idx="628">
                  <c:v>-0.25852392665581192</c:v>
                </c:pt>
                <c:pt idx="629">
                  <c:v>0.19357300701994973</c:v>
                </c:pt>
                <c:pt idx="630">
                  <c:v>-8.9277061470738772E-2</c:v>
                </c:pt>
                <c:pt idx="631">
                  <c:v>-0.44155316319063331</c:v>
                </c:pt>
                <c:pt idx="632">
                  <c:v>-0.94648547297026653</c:v>
                </c:pt>
                <c:pt idx="633">
                  <c:v>-0.68330155441890383</c:v>
                </c:pt>
                <c:pt idx="634">
                  <c:v>-0.68293235318861889</c:v>
                </c:pt>
                <c:pt idx="635">
                  <c:v>-0.39010146391490252</c:v>
                </c:pt>
                <c:pt idx="636">
                  <c:v>-0.82936596287470365</c:v>
                </c:pt>
                <c:pt idx="637">
                  <c:v>-0.42477734363126274</c:v>
                </c:pt>
                <c:pt idx="638">
                  <c:v>-0.55214032843019822</c:v>
                </c:pt>
                <c:pt idx="639">
                  <c:v>-0.68960348526331927</c:v>
                </c:pt>
                <c:pt idx="640">
                  <c:v>-0.48173489223268007</c:v>
                </c:pt>
                <c:pt idx="641">
                  <c:v>-0.25275366965223611</c:v>
                </c:pt>
                <c:pt idx="642">
                  <c:v>-0.87872383546982746</c:v>
                </c:pt>
                <c:pt idx="643">
                  <c:v>-0.75996097429435849</c:v>
                </c:pt>
                <c:pt idx="644">
                  <c:v>-0.11803038896363205</c:v>
                </c:pt>
                <c:pt idx="645">
                  <c:v>-0.32788658325927145</c:v>
                </c:pt>
                <c:pt idx="646">
                  <c:v>-0.73066318307388656</c:v>
                </c:pt>
                <c:pt idx="647">
                  <c:v>-0.70088083393710576</c:v>
                </c:pt>
                <c:pt idx="648">
                  <c:v>-0.74329985420274625</c:v>
                </c:pt>
                <c:pt idx="649">
                  <c:v>-0.54187019713299378</c:v>
                </c:pt>
                <c:pt idx="650">
                  <c:v>-0.72229447628609478</c:v>
                </c:pt>
                <c:pt idx="651">
                  <c:v>-0.23292535203688658</c:v>
                </c:pt>
                <c:pt idx="652">
                  <c:v>-0.20812653936627612</c:v>
                </c:pt>
                <c:pt idx="653">
                  <c:v>2.7678183278169399E-2</c:v>
                </c:pt>
                <c:pt idx="654">
                  <c:v>0.35852704571584582</c:v>
                </c:pt>
                <c:pt idx="655">
                  <c:v>-0.11944796824457171</c:v>
                </c:pt>
                <c:pt idx="656">
                  <c:v>-0.4606982404129667</c:v>
                </c:pt>
                <c:pt idx="657">
                  <c:v>0.51636305256482729</c:v>
                </c:pt>
                <c:pt idx="658">
                  <c:v>-9.6032221876498625E-3</c:v>
                </c:pt>
                <c:pt idx="659">
                  <c:v>-0.12291193060138994</c:v>
                </c:pt>
                <c:pt idx="660">
                  <c:v>-0.14852946768587572</c:v>
                </c:pt>
                <c:pt idx="661">
                  <c:v>-0.56030283023858374</c:v>
                </c:pt>
                <c:pt idx="662">
                  <c:v>-0.31383109903970308</c:v>
                </c:pt>
                <c:pt idx="663">
                  <c:v>-0.27767387328583482</c:v>
                </c:pt>
                <c:pt idx="664">
                  <c:v>-5.9876546219470583E-3</c:v>
                </c:pt>
                <c:pt idx="665">
                  <c:v>5.6596266041822219E-2</c:v>
                </c:pt>
                <c:pt idx="666">
                  <c:v>-0.68578020767751013</c:v>
                </c:pt>
                <c:pt idx="667">
                  <c:v>-0.20667233101966076</c:v>
                </c:pt>
                <c:pt idx="668">
                  <c:v>0.21884341345150915</c:v>
                </c:pt>
                <c:pt idx="669">
                  <c:v>0.11277071037062569</c:v>
                </c:pt>
                <c:pt idx="670">
                  <c:v>0.12356148755225149</c:v>
                </c:pt>
                <c:pt idx="671">
                  <c:v>-0.73288990445746549</c:v>
                </c:pt>
                <c:pt idx="672">
                  <c:v>-0.66175937916352723</c:v>
                </c:pt>
                <c:pt idx="673">
                  <c:v>-0.86678925734611312</c:v>
                </c:pt>
                <c:pt idx="674">
                  <c:v>-0.68347335782965501</c:v>
                </c:pt>
                <c:pt idx="675">
                  <c:v>-0.56058167487111632</c:v>
                </c:pt>
                <c:pt idx="676">
                  <c:v>-0.36206003595589209</c:v>
                </c:pt>
                <c:pt idx="677">
                  <c:v>-0.35275071027666627</c:v>
                </c:pt>
                <c:pt idx="678">
                  <c:v>-0.8084063888850892</c:v>
                </c:pt>
                <c:pt idx="679">
                  <c:v>-0.50226434241744755</c:v>
                </c:pt>
                <c:pt idx="680">
                  <c:v>-3.6594462414996087E-5</c:v>
                </c:pt>
                <c:pt idx="681">
                  <c:v>-9.2956367956844588E-3</c:v>
                </c:pt>
                <c:pt idx="682">
                  <c:v>-0.6518019705615643</c:v>
                </c:pt>
                <c:pt idx="683">
                  <c:v>-0.54144853445808394</c:v>
                </c:pt>
                <c:pt idx="684">
                  <c:v>-1.2236242598089007</c:v>
                </c:pt>
                <c:pt idx="685">
                  <c:v>-1.1219650431049786</c:v>
                </c:pt>
                <c:pt idx="686">
                  <c:v>-0.4118576831577343</c:v>
                </c:pt>
                <c:pt idx="687">
                  <c:v>8.7713916752306886E-2</c:v>
                </c:pt>
                <c:pt idx="688">
                  <c:v>0.37301812192418993</c:v>
                </c:pt>
                <c:pt idx="689">
                  <c:v>7.8998161178560622E-2</c:v>
                </c:pt>
                <c:pt idx="690">
                  <c:v>0.67000850924694078</c:v>
                </c:pt>
                <c:pt idx="691">
                  <c:v>0.45657525868858784</c:v>
                </c:pt>
                <c:pt idx="692">
                  <c:v>1.7354508599254928</c:v>
                </c:pt>
                <c:pt idx="693">
                  <c:v>1.1629433115139136</c:v>
                </c:pt>
                <c:pt idx="694">
                  <c:v>1.0770755387718509</c:v>
                </c:pt>
                <c:pt idx="695">
                  <c:v>-4.582853616562943E-2</c:v>
                </c:pt>
                <c:pt idx="696">
                  <c:v>-0.38137501850872013</c:v>
                </c:pt>
                <c:pt idx="697">
                  <c:v>-1.3091304076965571E-2</c:v>
                </c:pt>
                <c:pt idx="698">
                  <c:v>0.40374491633798471</c:v>
                </c:pt>
                <c:pt idx="699">
                  <c:v>1.0799316569755888</c:v>
                </c:pt>
                <c:pt idx="700">
                  <c:v>0.62195565491163052</c:v>
                </c:pt>
                <c:pt idx="701">
                  <c:v>1.0845414519554311</c:v>
                </c:pt>
                <c:pt idx="702">
                  <c:v>0.7321527794715621</c:v>
                </c:pt>
                <c:pt idx="703">
                  <c:v>0.24220526545752818</c:v>
                </c:pt>
                <c:pt idx="704">
                  <c:v>0.69768196821905804</c:v>
                </c:pt>
                <c:pt idx="705">
                  <c:v>0.99188060742858397</c:v>
                </c:pt>
                <c:pt idx="706">
                  <c:v>0.77260451435608957</c:v>
                </c:pt>
                <c:pt idx="707">
                  <c:v>0.22639749648612906</c:v>
                </c:pt>
                <c:pt idx="708">
                  <c:v>0.18743324583954291</c:v>
                </c:pt>
                <c:pt idx="709">
                  <c:v>-0.18770561949344255</c:v>
                </c:pt>
                <c:pt idx="710">
                  <c:v>0.10581383942405864</c:v>
                </c:pt>
                <c:pt idx="711">
                  <c:v>0.16856851279624152</c:v>
                </c:pt>
                <c:pt idx="712">
                  <c:v>0.37726655506577345</c:v>
                </c:pt>
                <c:pt idx="713">
                  <c:v>0.61641077104411579</c:v>
                </c:pt>
                <c:pt idx="714">
                  <c:v>-1.9424327489730331E-2</c:v>
                </c:pt>
                <c:pt idx="715">
                  <c:v>-1.2488912492585769E-2</c:v>
                </c:pt>
                <c:pt idx="716">
                  <c:v>-0.41046787573156962</c:v>
                </c:pt>
                <c:pt idx="717">
                  <c:v>-7.9618061305552601E-2</c:v>
                </c:pt>
                <c:pt idx="718">
                  <c:v>6.7640600404388351E-2</c:v>
                </c:pt>
                <c:pt idx="719">
                  <c:v>-0.54192452529827051</c:v>
                </c:pt>
                <c:pt idx="720">
                  <c:v>-0.42436362693285901</c:v>
                </c:pt>
                <c:pt idx="721">
                  <c:v>-0.34298223507488501</c:v>
                </c:pt>
                <c:pt idx="722">
                  <c:v>-2.2834933349770381E-2</c:v>
                </c:pt>
                <c:pt idx="723">
                  <c:v>0.63643035125522829</c:v>
                </c:pt>
                <c:pt idx="724">
                  <c:v>0.37174688860477545</c:v>
                </c:pt>
                <c:pt idx="725">
                  <c:v>0.99739204311833873</c:v>
                </c:pt>
                <c:pt idx="726">
                  <c:v>0.80805295721614812</c:v>
                </c:pt>
                <c:pt idx="727">
                  <c:v>0.24181924070887817</c:v>
                </c:pt>
                <c:pt idx="728">
                  <c:v>0.31032689582718831</c:v>
                </c:pt>
                <c:pt idx="729">
                  <c:v>0.94777195426217986</c:v>
                </c:pt>
                <c:pt idx="730">
                  <c:v>0.64150749512333505</c:v>
                </c:pt>
                <c:pt idx="731">
                  <c:v>-0.10147182466283766</c:v>
                </c:pt>
                <c:pt idx="732">
                  <c:v>4.255618664967642E-2</c:v>
                </c:pt>
                <c:pt idx="733">
                  <c:v>0.10039971793230507</c:v>
                </c:pt>
                <c:pt idx="734">
                  <c:v>-0.10288145843458096</c:v>
                </c:pt>
                <c:pt idx="735">
                  <c:v>0.28283615853229094</c:v>
                </c:pt>
                <c:pt idx="736">
                  <c:v>0.4647147139390313</c:v>
                </c:pt>
                <c:pt idx="737">
                  <c:v>0.91680236656628722</c:v>
                </c:pt>
                <c:pt idx="738">
                  <c:v>0.70390077060250178</c:v>
                </c:pt>
                <c:pt idx="739">
                  <c:v>0.2074353909445108</c:v>
                </c:pt>
                <c:pt idx="740">
                  <c:v>0.42236111685906508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E79-492A-BB2C-20BCDCC5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14191"/>
        <c:axId val="1159680575"/>
      </c:barChart>
      <c:dateAx>
        <c:axId val="1248314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680575"/>
        <c:crosses val="autoZero"/>
        <c:auto val="1"/>
        <c:lblOffset val="100"/>
        <c:baseTimeUnit val="months"/>
      </c:dateAx>
      <c:valAx>
        <c:axId val="11596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31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A2AC17-36AA-4126-9916-0F8284C3F375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E4415E-6ACD-4AEB-A804-5850C0236446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396C0-8C7C-4715-AB34-966A09D5F6EF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47502B-9552-41C3-988B-102B18DE9604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28A869-19BF-4BB6-AA5A-8E098886D09F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5D4FB6-E962-4DEB-BCA1-C37BFFBD59E9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2BF4AB-F589-467A-B060-9ED5B2F64FDE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82619A-2F6C-4C23-A97C-E662ACC81228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BA8A85-EC94-46F5-8DAE-B79D006DA528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AF18E76-FCE2-46E1-B34F-B85CA3F00E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C0CA00-50F8-480C-BB12-9625BE3C1C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381C74-821C-46D4-BF9B-8498224C57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A2A1F3-069F-468E-BA6B-C8019CA035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F4F201-E400-4830-B85C-A743D3A006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50D6A48-3E99-4E7F-AE87-7FFBAD5F4A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1A80EF-168E-4ABD-8E9A-CB2BE91915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C13E9E4-142D-4A7D-8D50-22BF221BCC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36A36E0-0437-4CF8-BDE0-E7570F74FF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0657A-5902-4111-89B0-11FFF23CC2CA}" name="テーブル1" displayName="テーブル1" ref="A1:E947" totalsRowShown="0" dataDxfId="0">
  <autoFilter ref="A1:E947" xr:uid="{D19A6972-7D46-41DA-B24A-C0652014B7DE}"/>
  <tableColumns count="5">
    <tableColumn id="1" xr3:uid="{2D35B4C3-A935-480E-ABE2-F47921893286}" name="Date" dataDxfId="4"/>
    <tableColumn id="2" xr3:uid="{0C13EBCC-1A32-48DF-AA7D-C6764C20AF09}" name="CO2"/>
    <tableColumn id="3" xr3:uid="{07EF4630-605D-4254-93EC-E67587D58EC9}" name="予測(CO2)" dataDxfId="3">
      <calculatedColumnFormula>_xlfn.FORECAST.ETS(A2,$B$2:$B$747,$A$2:$A$747,1,1)</calculatedColumnFormula>
    </tableColumn>
    <tableColumn id="4" xr3:uid="{79053728-F621-45B0-8867-8589CD53EDBA}" name="信頼下限(CO2)" dataDxfId="2">
      <calculatedColumnFormula>C2-_xlfn.FORECAST.ETS.CONFINT(A2,$B$2:$B$747,$A$2:$A$747,0.95,1,1)</calculatedColumnFormula>
    </tableColumn>
    <tableColumn id="5" xr3:uid="{B06AB0DA-98BE-49FA-9B22-79E71E49BB74}" name="信頼上限(CO2)" dataDxfId="1">
      <calculatedColumnFormula>C2+_xlfn.FORECAST.ETS.CONFINT(A2,$B$2:$B$747,$A$2:$A$747,0.95,1,1)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789D-CF6D-4B5B-9CEF-A963A372A3EB}">
  <dimension ref="A1:E947"/>
  <sheetViews>
    <sheetView workbookViewId="0"/>
  </sheetViews>
  <sheetFormatPr defaultRowHeight="18.75" x14ac:dyDescent="0.4"/>
  <cols>
    <col min="1" max="1" width="10.25" bestFit="1" customWidth="1"/>
    <col min="2" max="2" width="9.125" bestFit="1" customWidth="1"/>
    <col min="3" max="3" width="11.875" customWidth="1"/>
    <col min="4" max="5" width="15.625" customWidth="1"/>
  </cols>
  <sheetData>
    <row r="1" spans="1:5" x14ac:dyDescent="0.4">
      <c r="A1" t="s">
        <v>0</v>
      </c>
      <c r="B1" t="s">
        <v>1</v>
      </c>
      <c r="C1" t="s">
        <v>59</v>
      </c>
      <c r="D1" t="s">
        <v>60</v>
      </c>
      <c r="E1" t="s">
        <v>61</v>
      </c>
    </row>
    <row r="2" spans="1:5" x14ac:dyDescent="0.4">
      <c r="A2" s="25">
        <v>21245</v>
      </c>
      <c r="B2" s="26">
        <v>315.7</v>
      </c>
    </row>
    <row r="3" spans="1:5" x14ac:dyDescent="0.4">
      <c r="A3" s="25">
        <v>21276</v>
      </c>
      <c r="B3" s="26">
        <v>317.45999999999998</v>
      </c>
    </row>
    <row r="4" spans="1:5" x14ac:dyDescent="0.4">
      <c r="A4" s="25">
        <v>21306</v>
      </c>
      <c r="B4" s="26">
        <v>317.51</v>
      </c>
    </row>
    <row r="5" spans="1:5" x14ac:dyDescent="0.4">
      <c r="A5" s="25">
        <v>21337</v>
      </c>
      <c r="B5" s="26">
        <v>316.685</v>
      </c>
    </row>
    <row r="6" spans="1:5" x14ac:dyDescent="0.4">
      <c r="A6" s="25">
        <v>21367</v>
      </c>
      <c r="B6" s="26">
        <v>315.86</v>
      </c>
    </row>
    <row r="7" spans="1:5" x14ac:dyDescent="0.4">
      <c r="A7" s="25">
        <v>21398</v>
      </c>
      <c r="B7" s="26">
        <v>314.93</v>
      </c>
    </row>
    <row r="8" spans="1:5" x14ac:dyDescent="0.4">
      <c r="A8" s="25">
        <v>21429</v>
      </c>
      <c r="B8" s="26">
        <v>313.20999999999998</v>
      </c>
    </row>
    <row r="9" spans="1:5" x14ac:dyDescent="0.4">
      <c r="A9" s="25">
        <v>21459</v>
      </c>
      <c r="B9" s="26">
        <v>313.27</v>
      </c>
    </row>
    <row r="10" spans="1:5" x14ac:dyDescent="0.4">
      <c r="A10" s="25">
        <v>21490</v>
      </c>
      <c r="B10" s="26">
        <v>313.33</v>
      </c>
    </row>
    <row r="11" spans="1:5" x14ac:dyDescent="0.4">
      <c r="A11" s="25">
        <v>21520</v>
      </c>
      <c r="B11" s="26">
        <v>314.67</v>
      </c>
    </row>
    <row r="12" spans="1:5" x14ac:dyDescent="0.4">
      <c r="A12" s="25">
        <v>21551</v>
      </c>
      <c r="B12" s="26">
        <v>315.58</v>
      </c>
    </row>
    <row r="13" spans="1:5" x14ac:dyDescent="0.4">
      <c r="A13" s="25">
        <v>21582</v>
      </c>
      <c r="B13" s="26">
        <v>316.49</v>
      </c>
    </row>
    <row r="14" spans="1:5" x14ac:dyDescent="0.4">
      <c r="A14" s="25">
        <v>21610</v>
      </c>
      <c r="B14" s="26">
        <v>316.64999999999998</v>
      </c>
    </row>
    <row r="15" spans="1:5" x14ac:dyDescent="0.4">
      <c r="A15" s="25">
        <v>21641</v>
      </c>
      <c r="B15" s="26">
        <v>317.72000000000003</v>
      </c>
    </row>
    <row r="16" spans="1:5" x14ac:dyDescent="0.4">
      <c r="A16" s="25">
        <v>21671</v>
      </c>
      <c r="B16" s="26">
        <v>318.29000000000002</v>
      </c>
    </row>
    <row r="17" spans="1:2" x14ac:dyDescent="0.4">
      <c r="A17" s="25">
        <v>21702</v>
      </c>
      <c r="B17" s="26">
        <v>318.14999999999998</v>
      </c>
    </row>
    <row r="18" spans="1:2" x14ac:dyDescent="0.4">
      <c r="A18" s="25">
        <v>21732</v>
      </c>
      <c r="B18" s="26">
        <v>316.54000000000002</v>
      </c>
    </row>
    <row r="19" spans="1:2" x14ac:dyDescent="0.4">
      <c r="A19" s="25">
        <v>21763</v>
      </c>
      <c r="B19" s="26">
        <v>314.8</v>
      </c>
    </row>
    <row r="20" spans="1:2" x14ac:dyDescent="0.4">
      <c r="A20" s="25">
        <v>21794</v>
      </c>
      <c r="B20" s="26">
        <v>313.83999999999997</v>
      </c>
    </row>
    <row r="21" spans="1:2" x14ac:dyDescent="0.4">
      <c r="A21" s="25">
        <v>21824</v>
      </c>
      <c r="B21" s="26">
        <v>313.33</v>
      </c>
    </row>
    <row r="22" spans="1:2" x14ac:dyDescent="0.4">
      <c r="A22" s="25">
        <v>21855</v>
      </c>
      <c r="B22" s="26">
        <v>314.81</v>
      </c>
    </row>
    <row r="23" spans="1:2" x14ac:dyDescent="0.4">
      <c r="A23" s="25">
        <v>21885</v>
      </c>
      <c r="B23" s="26">
        <v>315.58</v>
      </c>
    </row>
    <row r="24" spans="1:2" x14ac:dyDescent="0.4">
      <c r="A24" s="25">
        <v>21916</v>
      </c>
      <c r="B24" s="26">
        <v>316.43</v>
      </c>
    </row>
    <row r="25" spans="1:2" x14ac:dyDescent="0.4">
      <c r="A25" s="25">
        <v>21947</v>
      </c>
      <c r="B25" s="26">
        <v>316.98</v>
      </c>
    </row>
    <row r="26" spans="1:2" x14ac:dyDescent="0.4">
      <c r="A26" s="25">
        <v>21976</v>
      </c>
      <c r="B26" s="26">
        <v>317.58</v>
      </c>
    </row>
    <row r="27" spans="1:2" x14ac:dyDescent="0.4">
      <c r="A27" s="25">
        <v>22007</v>
      </c>
      <c r="B27" s="26">
        <v>319.02999999999997</v>
      </c>
    </row>
    <row r="28" spans="1:2" x14ac:dyDescent="0.4">
      <c r="A28" s="25">
        <v>22037</v>
      </c>
      <c r="B28" s="26">
        <v>320.04000000000002</v>
      </c>
    </row>
    <row r="29" spans="1:2" x14ac:dyDescent="0.4">
      <c r="A29" s="25">
        <v>22068</v>
      </c>
      <c r="B29" s="26">
        <v>319.58</v>
      </c>
    </row>
    <row r="30" spans="1:2" x14ac:dyDescent="0.4">
      <c r="A30" s="25">
        <v>22098</v>
      </c>
      <c r="B30" s="26">
        <v>318.18</v>
      </c>
    </row>
    <row r="31" spans="1:2" x14ac:dyDescent="0.4">
      <c r="A31" s="25">
        <v>22129</v>
      </c>
      <c r="B31" s="26">
        <v>315.89999999999998</v>
      </c>
    </row>
    <row r="32" spans="1:2" x14ac:dyDescent="0.4">
      <c r="A32" s="25">
        <v>22160</v>
      </c>
      <c r="B32" s="26">
        <v>314.17</v>
      </c>
    </row>
    <row r="33" spans="1:2" x14ac:dyDescent="0.4">
      <c r="A33" s="25">
        <v>22190</v>
      </c>
      <c r="B33" s="26">
        <v>313.83</v>
      </c>
    </row>
    <row r="34" spans="1:2" x14ac:dyDescent="0.4">
      <c r="A34" s="25">
        <v>22221</v>
      </c>
      <c r="B34" s="26">
        <v>315</v>
      </c>
    </row>
    <row r="35" spans="1:2" x14ac:dyDescent="0.4">
      <c r="A35" s="25">
        <v>22251</v>
      </c>
      <c r="B35" s="26">
        <v>316.19</v>
      </c>
    </row>
    <row r="36" spans="1:2" x14ac:dyDescent="0.4">
      <c r="A36" s="25">
        <v>22282</v>
      </c>
      <c r="B36" s="26">
        <v>316.89999999999998</v>
      </c>
    </row>
    <row r="37" spans="1:2" x14ac:dyDescent="0.4">
      <c r="A37" s="25">
        <v>22313</v>
      </c>
      <c r="B37" s="26">
        <v>317.7</v>
      </c>
    </row>
    <row r="38" spans="1:2" x14ac:dyDescent="0.4">
      <c r="A38" s="25">
        <v>22341</v>
      </c>
      <c r="B38" s="26">
        <v>318.54000000000002</v>
      </c>
    </row>
    <row r="39" spans="1:2" x14ac:dyDescent="0.4">
      <c r="A39" s="25">
        <v>22372</v>
      </c>
      <c r="B39" s="26">
        <v>319.48</v>
      </c>
    </row>
    <row r="40" spans="1:2" x14ac:dyDescent="0.4">
      <c r="A40" s="25">
        <v>22402</v>
      </c>
      <c r="B40" s="26">
        <v>320.58</v>
      </c>
    </row>
    <row r="41" spans="1:2" x14ac:dyDescent="0.4">
      <c r="A41" s="25">
        <v>22433</v>
      </c>
      <c r="B41" s="26">
        <v>319.77</v>
      </c>
    </row>
    <row r="42" spans="1:2" x14ac:dyDescent="0.4">
      <c r="A42" s="25">
        <v>22463</v>
      </c>
      <c r="B42" s="26">
        <v>318.57</v>
      </c>
    </row>
    <row r="43" spans="1:2" x14ac:dyDescent="0.4">
      <c r="A43" s="25">
        <v>22494</v>
      </c>
      <c r="B43" s="26">
        <v>316.79000000000002</v>
      </c>
    </row>
    <row r="44" spans="1:2" x14ac:dyDescent="0.4">
      <c r="A44" s="25">
        <v>22525</v>
      </c>
      <c r="B44" s="26">
        <v>314.99</v>
      </c>
    </row>
    <row r="45" spans="1:2" x14ac:dyDescent="0.4">
      <c r="A45" s="25">
        <v>22555</v>
      </c>
      <c r="B45" s="26">
        <v>315.31</v>
      </c>
    </row>
    <row r="46" spans="1:2" x14ac:dyDescent="0.4">
      <c r="A46" s="25">
        <v>22586</v>
      </c>
      <c r="B46" s="26">
        <v>316.10000000000002</v>
      </c>
    </row>
    <row r="47" spans="1:2" x14ac:dyDescent="0.4">
      <c r="A47" s="25">
        <v>22616</v>
      </c>
      <c r="B47" s="26">
        <v>317.01</v>
      </c>
    </row>
    <row r="48" spans="1:2" x14ac:dyDescent="0.4">
      <c r="A48" s="25">
        <v>22647</v>
      </c>
      <c r="B48" s="26">
        <v>317.94</v>
      </c>
    </row>
    <row r="49" spans="1:2" x14ac:dyDescent="0.4">
      <c r="A49" s="25">
        <v>22678</v>
      </c>
      <c r="B49" s="26">
        <v>318.55</v>
      </c>
    </row>
    <row r="50" spans="1:2" x14ac:dyDescent="0.4">
      <c r="A50" s="25">
        <v>22706</v>
      </c>
      <c r="B50" s="26">
        <v>319.68</v>
      </c>
    </row>
    <row r="51" spans="1:2" x14ac:dyDescent="0.4">
      <c r="A51" s="25">
        <v>22737</v>
      </c>
      <c r="B51" s="26">
        <v>320.57</v>
      </c>
    </row>
    <row r="52" spans="1:2" x14ac:dyDescent="0.4">
      <c r="A52" s="25">
        <v>22767</v>
      </c>
      <c r="B52" s="26">
        <v>321.02</v>
      </c>
    </row>
    <row r="53" spans="1:2" x14ac:dyDescent="0.4">
      <c r="A53" s="25">
        <v>22798</v>
      </c>
      <c r="B53" s="26">
        <v>320.62</v>
      </c>
    </row>
    <row r="54" spans="1:2" x14ac:dyDescent="0.4">
      <c r="A54" s="25">
        <v>22828</v>
      </c>
      <c r="B54" s="26">
        <v>319.61</v>
      </c>
    </row>
    <row r="55" spans="1:2" x14ac:dyDescent="0.4">
      <c r="A55" s="25">
        <v>22859</v>
      </c>
      <c r="B55" s="26">
        <v>317.39999999999998</v>
      </c>
    </row>
    <row r="56" spans="1:2" x14ac:dyDescent="0.4">
      <c r="A56" s="25">
        <v>22890</v>
      </c>
      <c r="B56" s="26">
        <v>316.25</v>
      </c>
    </row>
    <row r="57" spans="1:2" x14ac:dyDescent="0.4">
      <c r="A57" s="25">
        <v>22920</v>
      </c>
      <c r="B57" s="26">
        <v>315.42</v>
      </c>
    </row>
    <row r="58" spans="1:2" x14ac:dyDescent="0.4">
      <c r="A58" s="25">
        <v>22951</v>
      </c>
      <c r="B58" s="26">
        <v>316.69</v>
      </c>
    </row>
    <row r="59" spans="1:2" x14ac:dyDescent="0.4">
      <c r="A59" s="25">
        <v>22981</v>
      </c>
      <c r="B59" s="26">
        <v>317.7</v>
      </c>
    </row>
    <row r="60" spans="1:2" x14ac:dyDescent="0.4">
      <c r="A60" s="25">
        <v>23012</v>
      </c>
      <c r="B60" s="26">
        <v>318.74</v>
      </c>
    </row>
    <row r="61" spans="1:2" x14ac:dyDescent="0.4">
      <c r="A61" s="25">
        <v>23043</v>
      </c>
      <c r="B61" s="26">
        <v>319.07</v>
      </c>
    </row>
    <row r="62" spans="1:2" x14ac:dyDescent="0.4">
      <c r="A62" s="25">
        <v>23071</v>
      </c>
      <c r="B62" s="26">
        <v>319.86</v>
      </c>
    </row>
    <row r="63" spans="1:2" x14ac:dyDescent="0.4">
      <c r="A63" s="25">
        <v>23102</v>
      </c>
      <c r="B63" s="26">
        <v>321.38</v>
      </c>
    </row>
    <row r="64" spans="1:2" x14ac:dyDescent="0.4">
      <c r="A64" s="25">
        <v>23132</v>
      </c>
      <c r="B64" s="26">
        <v>322.25</v>
      </c>
    </row>
    <row r="65" spans="1:2" x14ac:dyDescent="0.4">
      <c r="A65" s="25">
        <v>23163</v>
      </c>
      <c r="B65" s="26">
        <v>321.48</v>
      </c>
    </row>
    <row r="66" spans="1:2" x14ac:dyDescent="0.4">
      <c r="A66" s="25">
        <v>23193</v>
      </c>
      <c r="B66" s="26">
        <v>319.74</v>
      </c>
    </row>
    <row r="67" spans="1:2" x14ac:dyDescent="0.4">
      <c r="A67" s="25">
        <v>23224</v>
      </c>
      <c r="B67" s="26">
        <v>317.77</v>
      </c>
    </row>
    <row r="68" spans="1:2" x14ac:dyDescent="0.4">
      <c r="A68" s="25">
        <v>23255</v>
      </c>
      <c r="B68" s="26">
        <v>316.20999999999998</v>
      </c>
    </row>
    <row r="69" spans="1:2" x14ac:dyDescent="0.4">
      <c r="A69" s="25">
        <v>23285</v>
      </c>
      <c r="B69" s="26">
        <v>315.99</v>
      </c>
    </row>
    <row r="70" spans="1:2" x14ac:dyDescent="0.4">
      <c r="A70" s="25">
        <v>23316</v>
      </c>
      <c r="B70" s="26">
        <v>317.07</v>
      </c>
    </row>
    <row r="71" spans="1:2" x14ac:dyDescent="0.4">
      <c r="A71" s="25">
        <v>23346</v>
      </c>
      <c r="B71" s="26">
        <v>318.35000000000002</v>
      </c>
    </row>
    <row r="72" spans="1:2" x14ac:dyDescent="0.4">
      <c r="A72" s="25">
        <v>23377</v>
      </c>
      <c r="B72" s="26">
        <v>319.57</v>
      </c>
    </row>
    <row r="73" spans="1:2" x14ac:dyDescent="0.4">
      <c r="A73" s="25">
        <v>23408</v>
      </c>
      <c r="B73" s="26">
        <v>320.24250000000001</v>
      </c>
    </row>
    <row r="74" spans="1:2" x14ac:dyDescent="0.4">
      <c r="A74" s="25">
        <v>23437</v>
      </c>
      <c r="B74" s="26">
        <v>320.91499999999996</v>
      </c>
    </row>
    <row r="75" spans="1:2" x14ac:dyDescent="0.4">
      <c r="A75" s="25">
        <v>23468</v>
      </c>
      <c r="B75" s="26">
        <v>321.58749999999998</v>
      </c>
    </row>
    <row r="76" spans="1:2" x14ac:dyDescent="0.4">
      <c r="A76" s="25">
        <v>23498</v>
      </c>
      <c r="B76" s="26">
        <v>322.26</v>
      </c>
    </row>
    <row r="77" spans="1:2" x14ac:dyDescent="0.4">
      <c r="A77" s="25">
        <v>23529</v>
      </c>
      <c r="B77" s="26">
        <v>321.89</v>
      </c>
    </row>
    <row r="78" spans="1:2" x14ac:dyDescent="0.4">
      <c r="A78" s="25">
        <v>23559</v>
      </c>
      <c r="B78" s="26">
        <v>320.44</v>
      </c>
    </row>
    <row r="79" spans="1:2" x14ac:dyDescent="0.4">
      <c r="A79" s="25">
        <v>23590</v>
      </c>
      <c r="B79" s="26">
        <v>318.69</v>
      </c>
    </row>
    <row r="80" spans="1:2" x14ac:dyDescent="0.4">
      <c r="A80" s="25">
        <v>23621</v>
      </c>
      <c r="B80" s="26">
        <v>316.7</v>
      </c>
    </row>
    <row r="81" spans="1:2" x14ac:dyDescent="0.4">
      <c r="A81" s="25">
        <v>23651</v>
      </c>
      <c r="B81" s="26">
        <v>316.87</v>
      </c>
    </row>
    <row r="82" spans="1:2" x14ac:dyDescent="0.4">
      <c r="A82" s="25">
        <v>23682</v>
      </c>
      <c r="B82" s="26">
        <v>317.68</v>
      </c>
    </row>
    <row r="83" spans="1:2" x14ac:dyDescent="0.4">
      <c r="A83" s="25">
        <v>23712</v>
      </c>
      <c r="B83" s="26">
        <v>318.70999999999998</v>
      </c>
    </row>
    <row r="84" spans="1:2" x14ac:dyDescent="0.4">
      <c r="A84" s="25">
        <v>23743</v>
      </c>
      <c r="B84" s="26">
        <v>319.44</v>
      </c>
    </row>
    <row r="85" spans="1:2" x14ac:dyDescent="0.4">
      <c r="A85" s="25">
        <v>23774</v>
      </c>
      <c r="B85" s="26">
        <v>320.44</v>
      </c>
    </row>
    <row r="86" spans="1:2" x14ac:dyDescent="0.4">
      <c r="A86" s="25">
        <v>23802</v>
      </c>
      <c r="B86" s="26">
        <v>320.89</v>
      </c>
    </row>
    <row r="87" spans="1:2" x14ac:dyDescent="0.4">
      <c r="A87" s="25">
        <v>23833</v>
      </c>
      <c r="B87" s="26">
        <v>322.14</v>
      </c>
    </row>
    <row r="88" spans="1:2" x14ac:dyDescent="0.4">
      <c r="A88" s="25">
        <v>23863</v>
      </c>
      <c r="B88" s="26">
        <v>322.17</v>
      </c>
    </row>
    <row r="89" spans="1:2" x14ac:dyDescent="0.4">
      <c r="A89" s="25">
        <v>23894</v>
      </c>
      <c r="B89" s="26">
        <v>321.87</v>
      </c>
    </row>
    <row r="90" spans="1:2" x14ac:dyDescent="0.4">
      <c r="A90" s="25">
        <v>23924</v>
      </c>
      <c r="B90" s="26">
        <v>321.20999999999998</v>
      </c>
    </row>
    <row r="91" spans="1:2" x14ac:dyDescent="0.4">
      <c r="A91" s="25">
        <v>23955</v>
      </c>
      <c r="B91" s="26">
        <v>318.87</v>
      </c>
    </row>
    <row r="92" spans="1:2" x14ac:dyDescent="0.4">
      <c r="A92" s="25">
        <v>23986</v>
      </c>
      <c r="B92" s="26">
        <v>317.81</v>
      </c>
    </row>
    <row r="93" spans="1:2" x14ac:dyDescent="0.4">
      <c r="A93" s="25">
        <v>24016</v>
      </c>
      <c r="B93" s="26">
        <v>317.3</v>
      </c>
    </row>
    <row r="94" spans="1:2" x14ac:dyDescent="0.4">
      <c r="A94" s="25">
        <v>24047</v>
      </c>
      <c r="B94" s="26">
        <v>318.87</v>
      </c>
    </row>
    <row r="95" spans="1:2" x14ac:dyDescent="0.4">
      <c r="A95" s="25">
        <v>24077</v>
      </c>
      <c r="B95" s="26">
        <v>319.42</v>
      </c>
    </row>
    <row r="96" spans="1:2" x14ac:dyDescent="0.4">
      <c r="A96" s="25">
        <v>24108</v>
      </c>
      <c r="B96" s="26">
        <v>320.62</v>
      </c>
    </row>
    <row r="97" spans="1:2" x14ac:dyDescent="0.4">
      <c r="A97" s="25">
        <v>24139</v>
      </c>
      <c r="B97" s="26">
        <v>321.60000000000002</v>
      </c>
    </row>
    <row r="98" spans="1:2" x14ac:dyDescent="0.4">
      <c r="A98" s="25">
        <v>24167</v>
      </c>
      <c r="B98" s="26">
        <v>322.39</v>
      </c>
    </row>
    <row r="99" spans="1:2" x14ac:dyDescent="0.4">
      <c r="A99" s="25">
        <v>24198</v>
      </c>
      <c r="B99" s="26">
        <v>323.7</v>
      </c>
    </row>
    <row r="100" spans="1:2" x14ac:dyDescent="0.4">
      <c r="A100" s="25">
        <v>24228</v>
      </c>
      <c r="B100" s="26">
        <v>324.08</v>
      </c>
    </row>
    <row r="101" spans="1:2" x14ac:dyDescent="0.4">
      <c r="A101" s="25">
        <v>24259</v>
      </c>
      <c r="B101" s="26">
        <v>323.75</v>
      </c>
    </row>
    <row r="102" spans="1:2" x14ac:dyDescent="0.4">
      <c r="A102" s="25">
        <v>24289</v>
      </c>
      <c r="B102" s="26">
        <v>322.38</v>
      </c>
    </row>
    <row r="103" spans="1:2" x14ac:dyDescent="0.4">
      <c r="A103" s="25">
        <v>24320</v>
      </c>
      <c r="B103" s="26">
        <v>320.36</v>
      </c>
    </row>
    <row r="104" spans="1:2" x14ac:dyDescent="0.4">
      <c r="A104" s="25">
        <v>24351</v>
      </c>
      <c r="B104" s="26">
        <v>318.64</v>
      </c>
    </row>
    <row r="105" spans="1:2" x14ac:dyDescent="0.4">
      <c r="A105" s="25">
        <v>24381</v>
      </c>
      <c r="B105" s="26">
        <v>318.10000000000002</v>
      </c>
    </row>
    <row r="106" spans="1:2" x14ac:dyDescent="0.4">
      <c r="A106" s="25">
        <v>24412</v>
      </c>
      <c r="B106" s="26">
        <v>319.77999999999997</v>
      </c>
    </row>
    <row r="107" spans="1:2" x14ac:dyDescent="0.4">
      <c r="A107" s="25">
        <v>24442</v>
      </c>
      <c r="B107" s="26">
        <v>321.02999999999997</v>
      </c>
    </row>
    <row r="108" spans="1:2" x14ac:dyDescent="0.4">
      <c r="A108" s="25">
        <v>24473</v>
      </c>
      <c r="B108" s="26">
        <v>322.33</v>
      </c>
    </row>
    <row r="109" spans="1:2" x14ac:dyDescent="0.4">
      <c r="A109" s="25">
        <v>24504</v>
      </c>
      <c r="B109" s="26">
        <v>322.5</v>
      </c>
    </row>
    <row r="110" spans="1:2" x14ac:dyDescent="0.4">
      <c r="A110" s="25">
        <v>24532</v>
      </c>
      <c r="B110" s="26">
        <v>323.04000000000002</v>
      </c>
    </row>
    <row r="111" spans="1:2" x14ac:dyDescent="0.4">
      <c r="A111" s="25">
        <v>24563</v>
      </c>
      <c r="B111" s="26">
        <v>324.42</v>
      </c>
    </row>
    <row r="112" spans="1:2" x14ac:dyDescent="0.4">
      <c r="A112" s="25">
        <v>24593</v>
      </c>
      <c r="B112" s="26">
        <v>325</v>
      </c>
    </row>
    <row r="113" spans="1:2" x14ac:dyDescent="0.4">
      <c r="A113" s="25">
        <v>24624</v>
      </c>
      <c r="B113" s="26">
        <v>324.08999999999997</v>
      </c>
    </row>
    <row r="114" spans="1:2" x14ac:dyDescent="0.4">
      <c r="A114" s="25">
        <v>24654</v>
      </c>
      <c r="B114" s="26">
        <v>322.54000000000002</v>
      </c>
    </row>
    <row r="115" spans="1:2" x14ac:dyDescent="0.4">
      <c r="A115" s="25">
        <v>24685</v>
      </c>
      <c r="B115" s="26">
        <v>320.92</v>
      </c>
    </row>
    <row r="116" spans="1:2" x14ac:dyDescent="0.4">
      <c r="A116" s="25">
        <v>24716</v>
      </c>
      <c r="B116" s="26">
        <v>319.25</v>
      </c>
    </row>
    <row r="117" spans="1:2" x14ac:dyDescent="0.4">
      <c r="A117" s="25">
        <v>24746</v>
      </c>
      <c r="B117" s="26">
        <v>319.39</v>
      </c>
    </row>
    <row r="118" spans="1:2" x14ac:dyDescent="0.4">
      <c r="A118" s="25">
        <v>24777</v>
      </c>
      <c r="B118" s="26">
        <v>320.73</v>
      </c>
    </row>
    <row r="119" spans="1:2" x14ac:dyDescent="0.4">
      <c r="A119" s="25">
        <v>24807</v>
      </c>
      <c r="B119" s="26">
        <v>321.95999999999998</v>
      </c>
    </row>
    <row r="120" spans="1:2" x14ac:dyDescent="0.4">
      <c r="A120" s="25">
        <v>24838</v>
      </c>
      <c r="B120" s="26">
        <v>322.57</v>
      </c>
    </row>
    <row r="121" spans="1:2" x14ac:dyDescent="0.4">
      <c r="A121" s="25">
        <v>24869</v>
      </c>
      <c r="B121" s="26">
        <v>323.14999999999998</v>
      </c>
    </row>
    <row r="122" spans="1:2" x14ac:dyDescent="0.4">
      <c r="A122" s="25">
        <v>24898</v>
      </c>
      <c r="B122" s="26">
        <v>323.89</v>
      </c>
    </row>
    <row r="123" spans="1:2" x14ac:dyDescent="0.4">
      <c r="A123" s="25">
        <v>24929</v>
      </c>
      <c r="B123" s="26">
        <v>325.02</v>
      </c>
    </row>
    <row r="124" spans="1:2" x14ac:dyDescent="0.4">
      <c r="A124" s="25">
        <v>24959</v>
      </c>
      <c r="B124" s="26">
        <v>325.57</v>
      </c>
    </row>
    <row r="125" spans="1:2" x14ac:dyDescent="0.4">
      <c r="A125" s="25">
        <v>24990</v>
      </c>
      <c r="B125" s="26">
        <v>325.36</v>
      </c>
    </row>
    <row r="126" spans="1:2" x14ac:dyDescent="0.4">
      <c r="A126" s="25">
        <v>25020</v>
      </c>
      <c r="B126" s="26">
        <v>324.14</v>
      </c>
    </row>
    <row r="127" spans="1:2" x14ac:dyDescent="0.4">
      <c r="A127" s="25">
        <v>25051</v>
      </c>
      <c r="B127" s="26">
        <v>322.11</v>
      </c>
    </row>
    <row r="128" spans="1:2" x14ac:dyDescent="0.4">
      <c r="A128" s="25">
        <v>25082</v>
      </c>
      <c r="B128" s="26">
        <v>320.33</v>
      </c>
    </row>
    <row r="129" spans="1:2" x14ac:dyDescent="0.4">
      <c r="A129" s="25">
        <v>25112</v>
      </c>
      <c r="B129" s="26">
        <v>320.25</v>
      </c>
    </row>
    <row r="130" spans="1:2" x14ac:dyDescent="0.4">
      <c r="A130" s="25">
        <v>25143</v>
      </c>
      <c r="B130" s="26">
        <v>321.32</v>
      </c>
    </row>
    <row r="131" spans="1:2" x14ac:dyDescent="0.4">
      <c r="A131" s="25">
        <v>25173</v>
      </c>
      <c r="B131" s="26">
        <v>322.89</v>
      </c>
    </row>
    <row r="132" spans="1:2" x14ac:dyDescent="0.4">
      <c r="A132" s="25">
        <v>25204</v>
      </c>
      <c r="B132" s="26">
        <v>324</v>
      </c>
    </row>
    <row r="133" spans="1:2" x14ac:dyDescent="0.4">
      <c r="A133" s="25">
        <v>25235</v>
      </c>
      <c r="B133" s="26">
        <v>324.41000000000003</v>
      </c>
    </row>
    <row r="134" spans="1:2" x14ac:dyDescent="0.4">
      <c r="A134" s="25">
        <v>25263</v>
      </c>
      <c r="B134" s="26">
        <v>325.63</v>
      </c>
    </row>
    <row r="135" spans="1:2" x14ac:dyDescent="0.4">
      <c r="A135" s="25">
        <v>25294</v>
      </c>
      <c r="B135" s="26">
        <v>326.66000000000003</v>
      </c>
    </row>
    <row r="136" spans="1:2" x14ac:dyDescent="0.4">
      <c r="A136" s="25">
        <v>25324</v>
      </c>
      <c r="B136" s="26">
        <v>327.38</v>
      </c>
    </row>
    <row r="137" spans="1:2" x14ac:dyDescent="0.4">
      <c r="A137" s="25">
        <v>25355</v>
      </c>
      <c r="B137" s="26">
        <v>326.70999999999998</v>
      </c>
    </row>
    <row r="138" spans="1:2" x14ac:dyDescent="0.4">
      <c r="A138" s="25">
        <v>25385</v>
      </c>
      <c r="B138" s="26">
        <v>325.88</v>
      </c>
    </row>
    <row r="139" spans="1:2" x14ac:dyDescent="0.4">
      <c r="A139" s="25">
        <v>25416</v>
      </c>
      <c r="B139" s="26">
        <v>323.66000000000003</v>
      </c>
    </row>
    <row r="140" spans="1:2" x14ac:dyDescent="0.4">
      <c r="A140" s="25">
        <v>25447</v>
      </c>
      <c r="B140" s="26">
        <v>322.38</v>
      </c>
    </row>
    <row r="141" spans="1:2" x14ac:dyDescent="0.4">
      <c r="A141" s="25">
        <v>25477</v>
      </c>
      <c r="B141" s="26">
        <v>321.77999999999997</v>
      </c>
    </row>
    <row r="142" spans="1:2" x14ac:dyDescent="0.4">
      <c r="A142" s="25">
        <v>25508</v>
      </c>
      <c r="B142" s="26">
        <v>322.85000000000002</v>
      </c>
    </row>
    <row r="143" spans="1:2" x14ac:dyDescent="0.4">
      <c r="A143" s="25">
        <v>25538</v>
      </c>
      <c r="B143" s="26">
        <v>324.12</v>
      </c>
    </row>
    <row r="144" spans="1:2" x14ac:dyDescent="0.4">
      <c r="A144" s="25">
        <v>25569</v>
      </c>
      <c r="B144" s="26">
        <v>325.06</v>
      </c>
    </row>
    <row r="145" spans="1:2" x14ac:dyDescent="0.4">
      <c r="A145" s="25">
        <v>25600</v>
      </c>
      <c r="B145" s="26">
        <v>325.98</v>
      </c>
    </row>
    <row r="146" spans="1:2" x14ac:dyDescent="0.4">
      <c r="A146" s="25">
        <v>25628</v>
      </c>
      <c r="B146" s="26">
        <v>326.93</v>
      </c>
    </row>
    <row r="147" spans="1:2" x14ac:dyDescent="0.4">
      <c r="A147" s="25">
        <v>25659</v>
      </c>
      <c r="B147" s="26">
        <v>328.13</v>
      </c>
    </row>
    <row r="148" spans="1:2" x14ac:dyDescent="0.4">
      <c r="A148" s="25">
        <v>25689</v>
      </c>
      <c r="B148" s="26">
        <v>328.08</v>
      </c>
    </row>
    <row r="149" spans="1:2" x14ac:dyDescent="0.4">
      <c r="A149" s="25">
        <v>25720</v>
      </c>
      <c r="B149" s="26">
        <v>327.67</v>
      </c>
    </row>
    <row r="150" spans="1:2" x14ac:dyDescent="0.4">
      <c r="A150" s="25">
        <v>25750</v>
      </c>
      <c r="B150" s="26">
        <v>326.33999999999997</v>
      </c>
    </row>
    <row r="151" spans="1:2" x14ac:dyDescent="0.4">
      <c r="A151" s="25">
        <v>25781</v>
      </c>
      <c r="B151" s="26">
        <v>324.69</v>
      </c>
    </row>
    <row r="152" spans="1:2" x14ac:dyDescent="0.4">
      <c r="A152" s="25">
        <v>25812</v>
      </c>
      <c r="B152" s="26">
        <v>323.10000000000002</v>
      </c>
    </row>
    <row r="153" spans="1:2" x14ac:dyDescent="0.4">
      <c r="A153" s="25">
        <v>25842</v>
      </c>
      <c r="B153" s="26">
        <v>323.06</v>
      </c>
    </row>
    <row r="154" spans="1:2" x14ac:dyDescent="0.4">
      <c r="A154" s="25">
        <v>25873</v>
      </c>
      <c r="B154" s="26">
        <v>324.01</v>
      </c>
    </row>
    <row r="155" spans="1:2" x14ac:dyDescent="0.4">
      <c r="A155" s="25">
        <v>25903</v>
      </c>
      <c r="B155" s="26">
        <v>325.13</v>
      </c>
    </row>
    <row r="156" spans="1:2" x14ac:dyDescent="0.4">
      <c r="A156" s="25">
        <v>25934</v>
      </c>
      <c r="B156" s="26">
        <v>326.17</v>
      </c>
    </row>
    <row r="157" spans="1:2" x14ac:dyDescent="0.4">
      <c r="A157" s="25">
        <v>25965</v>
      </c>
      <c r="B157" s="26">
        <v>326.68</v>
      </c>
    </row>
    <row r="158" spans="1:2" x14ac:dyDescent="0.4">
      <c r="A158" s="25">
        <v>25993</v>
      </c>
      <c r="B158" s="26">
        <v>327.17</v>
      </c>
    </row>
    <row r="159" spans="1:2" x14ac:dyDescent="0.4">
      <c r="A159" s="25">
        <v>26024</v>
      </c>
      <c r="B159" s="26">
        <v>327.79</v>
      </c>
    </row>
    <row r="160" spans="1:2" x14ac:dyDescent="0.4">
      <c r="A160" s="25">
        <v>26054</v>
      </c>
      <c r="B160" s="26">
        <v>328.93</v>
      </c>
    </row>
    <row r="161" spans="1:2" x14ac:dyDescent="0.4">
      <c r="A161" s="25">
        <v>26085</v>
      </c>
      <c r="B161" s="26">
        <v>328.57</v>
      </c>
    </row>
    <row r="162" spans="1:2" x14ac:dyDescent="0.4">
      <c r="A162" s="25">
        <v>26115</v>
      </c>
      <c r="B162" s="26">
        <v>327.36</v>
      </c>
    </row>
    <row r="163" spans="1:2" x14ac:dyDescent="0.4">
      <c r="A163" s="25">
        <v>26146</v>
      </c>
      <c r="B163" s="26">
        <v>325.43</v>
      </c>
    </row>
    <row r="164" spans="1:2" x14ac:dyDescent="0.4">
      <c r="A164" s="25">
        <v>26177</v>
      </c>
      <c r="B164" s="26">
        <v>323.36</v>
      </c>
    </row>
    <row r="165" spans="1:2" x14ac:dyDescent="0.4">
      <c r="A165" s="25">
        <v>26207</v>
      </c>
      <c r="B165" s="26">
        <v>323.56</v>
      </c>
    </row>
    <row r="166" spans="1:2" x14ac:dyDescent="0.4">
      <c r="A166" s="25">
        <v>26238</v>
      </c>
      <c r="B166" s="26">
        <v>324.8</v>
      </c>
    </row>
    <row r="167" spans="1:2" x14ac:dyDescent="0.4">
      <c r="A167" s="25">
        <v>26268</v>
      </c>
      <c r="B167" s="26">
        <v>326.01</v>
      </c>
    </row>
    <row r="168" spans="1:2" x14ac:dyDescent="0.4">
      <c r="A168" s="25">
        <v>26299</v>
      </c>
      <c r="B168" s="26">
        <v>326.77</v>
      </c>
    </row>
    <row r="169" spans="1:2" x14ac:dyDescent="0.4">
      <c r="A169" s="25">
        <v>26330</v>
      </c>
      <c r="B169" s="26">
        <v>327.63</v>
      </c>
    </row>
    <row r="170" spans="1:2" x14ac:dyDescent="0.4">
      <c r="A170" s="25">
        <v>26359</v>
      </c>
      <c r="B170" s="26">
        <v>327.75</v>
      </c>
    </row>
    <row r="171" spans="1:2" x14ac:dyDescent="0.4">
      <c r="A171" s="25">
        <v>26390</v>
      </c>
      <c r="B171" s="26">
        <v>329.72</v>
      </c>
    </row>
    <row r="172" spans="1:2" x14ac:dyDescent="0.4">
      <c r="A172" s="25">
        <v>26420</v>
      </c>
      <c r="B172" s="26">
        <v>330.07</v>
      </c>
    </row>
    <row r="173" spans="1:2" x14ac:dyDescent="0.4">
      <c r="A173" s="25">
        <v>26451</v>
      </c>
      <c r="B173" s="26">
        <v>329.09</v>
      </c>
    </row>
    <row r="174" spans="1:2" x14ac:dyDescent="0.4">
      <c r="A174" s="25">
        <v>26481</v>
      </c>
      <c r="B174" s="26">
        <v>328.04</v>
      </c>
    </row>
    <row r="175" spans="1:2" x14ac:dyDescent="0.4">
      <c r="A175" s="25">
        <v>26512</v>
      </c>
      <c r="B175" s="26">
        <v>326.32</v>
      </c>
    </row>
    <row r="176" spans="1:2" x14ac:dyDescent="0.4">
      <c r="A176" s="25">
        <v>26543</v>
      </c>
      <c r="B176" s="26">
        <v>324.83999999999997</v>
      </c>
    </row>
    <row r="177" spans="1:2" x14ac:dyDescent="0.4">
      <c r="A177" s="25">
        <v>26573</v>
      </c>
      <c r="B177" s="26">
        <v>325.2</v>
      </c>
    </row>
    <row r="178" spans="1:2" x14ac:dyDescent="0.4">
      <c r="A178" s="25">
        <v>26604</v>
      </c>
      <c r="B178" s="26">
        <v>326.5</v>
      </c>
    </row>
    <row r="179" spans="1:2" x14ac:dyDescent="0.4">
      <c r="A179" s="25">
        <v>26634</v>
      </c>
      <c r="B179" s="26">
        <v>327.55</v>
      </c>
    </row>
    <row r="180" spans="1:2" x14ac:dyDescent="0.4">
      <c r="A180" s="25">
        <v>26665</v>
      </c>
      <c r="B180" s="26">
        <v>328.55</v>
      </c>
    </row>
    <row r="181" spans="1:2" x14ac:dyDescent="0.4">
      <c r="A181" s="25">
        <v>26696</v>
      </c>
      <c r="B181" s="26">
        <v>329.56</v>
      </c>
    </row>
    <row r="182" spans="1:2" x14ac:dyDescent="0.4">
      <c r="A182" s="25">
        <v>26724</v>
      </c>
      <c r="B182" s="26">
        <v>330.3</v>
      </c>
    </row>
    <row r="183" spans="1:2" x14ac:dyDescent="0.4">
      <c r="A183" s="25">
        <v>26755</v>
      </c>
      <c r="B183" s="26">
        <v>331.5</v>
      </c>
    </row>
    <row r="184" spans="1:2" x14ac:dyDescent="0.4">
      <c r="A184" s="25">
        <v>26785</v>
      </c>
      <c r="B184" s="26">
        <v>332.48</v>
      </c>
    </row>
    <row r="185" spans="1:2" x14ac:dyDescent="0.4">
      <c r="A185" s="25">
        <v>26816</v>
      </c>
      <c r="B185" s="26">
        <v>332.07</v>
      </c>
    </row>
    <row r="186" spans="1:2" x14ac:dyDescent="0.4">
      <c r="A186" s="25">
        <v>26846</v>
      </c>
      <c r="B186" s="26">
        <v>330.87</v>
      </c>
    </row>
    <row r="187" spans="1:2" x14ac:dyDescent="0.4">
      <c r="A187" s="25">
        <v>26877</v>
      </c>
      <c r="B187" s="26">
        <v>329.31</v>
      </c>
    </row>
    <row r="188" spans="1:2" x14ac:dyDescent="0.4">
      <c r="A188" s="25">
        <v>26908</v>
      </c>
      <c r="B188" s="26">
        <v>327.51</v>
      </c>
    </row>
    <row r="189" spans="1:2" x14ac:dyDescent="0.4">
      <c r="A189" s="25">
        <v>26938</v>
      </c>
      <c r="B189" s="26">
        <v>327.18</v>
      </c>
    </row>
    <row r="190" spans="1:2" x14ac:dyDescent="0.4">
      <c r="A190" s="25">
        <v>26969</v>
      </c>
      <c r="B190" s="26">
        <v>328.16</v>
      </c>
    </row>
    <row r="191" spans="1:2" x14ac:dyDescent="0.4">
      <c r="A191" s="25">
        <v>26999</v>
      </c>
      <c r="B191" s="26">
        <v>328.64</v>
      </c>
    </row>
    <row r="192" spans="1:2" x14ac:dyDescent="0.4">
      <c r="A192" s="25">
        <v>27030</v>
      </c>
      <c r="B192" s="26">
        <v>329.35</v>
      </c>
    </row>
    <row r="193" spans="1:2" x14ac:dyDescent="0.4">
      <c r="A193" s="25">
        <v>27061</v>
      </c>
      <c r="B193" s="26">
        <v>330.71</v>
      </c>
    </row>
    <row r="194" spans="1:2" x14ac:dyDescent="0.4">
      <c r="A194" s="25">
        <v>27089</v>
      </c>
      <c r="B194" s="26">
        <v>331.48</v>
      </c>
    </row>
    <row r="195" spans="1:2" x14ac:dyDescent="0.4">
      <c r="A195" s="25">
        <v>27120</v>
      </c>
      <c r="B195" s="26">
        <v>332.65</v>
      </c>
    </row>
    <row r="196" spans="1:2" x14ac:dyDescent="0.4">
      <c r="A196" s="25">
        <v>27150</v>
      </c>
      <c r="B196" s="26">
        <v>333.09</v>
      </c>
    </row>
    <row r="197" spans="1:2" x14ac:dyDescent="0.4">
      <c r="A197" s="25">
        <v>27181</v>
      </c>
      <c r="B197" s="26">
        <v>332.25</v>
      </c>
    </row>
    <row r="198" spans="1:2" x14ac:dyDescent="0.4">
      <c r="A198" s="25">
        <v>27211</v>
      </c>
      <c r="B198" s="26">
        <v>331.18</v>
      </c>
    </row>
    <row r="199" spans="1:2" x14ac:dyDescent="0.4">
      <c r="A199" s="25">
        <v>27242</v>
      </c>
      <c r="B199" s="26">
        <v>329.39</v>
      </c>
    </row>
    <row r="200" spans="1:2" x14ac:dyDescent="0.4">
      <c r="A200" s="25">
        <v>27273</v>
      </c>
      <c r="B200" s="26">
        <v>327.43</v>
      </c>
    </row>
    <row r="201" spans="1:2" x14ac:dyDescent="0.4">
      <c r="A201" s="25">
        <v>27303</v>
      </c>
      <c r="B201" s="26">
        <v>327.37</v>
      </c>
    </row>
    <row r="202" spans="1:2" x14ac:dyDescent="0.4">
      <c r="A202" s="25">
        <v>27334</v>
      </c>
      <c r="B202" s="26">
        <v>328.46</v>
      </c>
    </row>
    <row r="203" spans="1:2" x14ac:dyDescent="0.4">
      <c r="A203" s="25">
        <v>27364</v>
      </c>
      <c r="B203" s="26">
        <v>329.57</v>
      </c>
    </row>
    <row r="204" spans="1:2" x14ac:dyDescent="0.4">
      <c r="A204" s="25">
        <v>27395</v>
      </c>
      <c r="B204" s="26">
        <v>330.4</v>
      </c>
    </row>
    <row r="205" spans="1:2" x14ac:dyDescent="0.4">
      <c r="A205" s="25">
        <v>27426</v>
      </c>
      <c r="B205" s="26">
        <v>331.4</v>
      </c>
    </row>
    <row r="206" spans="1:2" x14ac:dyDescent="0.4">
      <c r="A206" s="25">
        <v>27454</v>
      </c>
      <c r="B206" s="26">
        <v>332.04</v>
      </c>
    </row>
    <row r="207" spans="1:2" x14ac:dyDescent="0.4">
      <c r="A207" s="25">
        <v>27485</v>
      </c>
      <c r="B207" s="26">
        <v>333.31</v>
      </c>
    </row>
    <row r="208" spans="1:2" x14ac:dyDescent="0.4">
      <c r="A208" s="25">
        <v>27515</v>
      </c>
      <c r="B208" s="26">
        <v>333.97</v>
      </c>
    </row>
    <row r="209" spans="1:2" x14ac:dyDescent="0.4">
      <c r="A209" s="25">
        <v>27546</v>
      </c>
      <c r="B209" s="26">
        <v>333.6</v>
      </c>
    </row>
    <row r="210" spans="1:2" x14ac:dyDescent="0.4">
      <c r="A210" s="25">
        <v>27576</v>
      </c>
      <c r="B210" s="26">
        <v>331.9</v>
      </c>
    </row>
    <row r="211" spans="1:2" x14ac:dyDescent="0.4">
      <c r="A211" s="25">
        <v>27607</v>
      </c>
      <c r="B211" s="26">
        <v>330.06</v>
      </c>
    </row>
    <row r="212" spans="1:2" x14ac:dyDescent="0.4">
      <c r="A212" s="25">
        <v>27638</v>
      </c>
      <c r="B212" s="26">
        <v>328.56</v>
      </c>
    </row>
    <row r="213" spans="1:2" x14ac:dyDescent="0.4">
      <c r="A213" s="25">
        <v>27668</v>
      </c>
      <c r="B213" s="26">
        <v>328.34</v>
      </c>
    </row>
    <row r="214" spans="1:2" x14ac:dyDescent="0.4">
      <c r="A214" s="25">
        <v>27699</v>
      </c>
      <c r="B214" s="26">
        <v>329.49</v>
      </c>
    </row>
    <row r="215" spans="1:2" x14ac:dyDescent="0.4">
      <c r="A215" s="25">
        <v>27729</v>
      </c>
      <c r="B215" s="26">
        <v>330.76</v>
      </c>
    </row>
    <row r="216" spans="1:2" x14ac:dyDescent="0.4">
      <c r="A216" s="25">
        <v>27760</v>
      </c>
      <c r="B216" s="26">
        <v>331.75</v>
      </c>
    </row>
    <row r="217" spans="1:2" x14ac:dyDescent="0.4">
      <c r="A217" s="25">
        <v>27791</v>
      </c>
      <c r="B217" s="26">
        <v>332.57</v>
      </c>
    </row>
    <row r="218" spans="1:2" x14ac:dyDescent="0.4">
      <c r="A218" s="25">
        <v>27820</v>
      </c>
      <c r="B218" s="26">
        <v>333.5</v>
      </c>
    </row>
    <row r="219" spans="1:2" x14ac:dyDescent="0.4">
      <c r="A219" s="25">
        <v>27851</v>
      </c>
      <c r="B219" s="26">
        <v>334.58</v>
      </c>
    </row>
    <row r="220" spans="1:2" x14ac:dyDescent="0.4">
      <c r="A220" s="25">
        <v>27881</v>
      </c>
      <c r="B220" s="26">
        <v>334.88</v>
      </c>
    </row>
    <row r="221" spans="1:2" x14ac:dyDescent="0.4">
      <c r="A221" s="25">
        <v>27912</v>
      </c>
      <c r="B221" s="26">
        <v>334.33</v>
      </c>
    </row>
    <row r="222" spans="1:2" x14ac:dyDescent="0.4">
      <c r="A222" s="25">
        <v>27942</v>
      </c>
      <c r="B222" s="26">
        <v>333.05</v>
      </c>
    </row>
    <row r="223" spans="1:2" x14ac:dyDescent="0.4">
      <c r="A223" s="25">
        <v>27973</v>
      </c>
      <c r="B223" s="26">
        <v>330.94</v>
      </c>
    </row>
    <row r="224" spans="1:2" x14ac:dyDescent="0.4">
      <c r="A224" s="25">
        <v>28004</v>
      </c>
      <c r="B224" s="26">
        <v>329.3</v>
      </c>
    </row>
    <row r="225" spans="1:2" x14ac:dyDescent="0.4">
      <c r="A225" s="25">
        <v>28034</v>
      </c>
      <c r="B225" s="26">
        <v>328.94</v>
      </c>
    </row>
    <row r="226" spans="1:2" x14ac:dyDescent="0.4">
      <c r="A226" s="25">
        <v>28065</v>
      </c>
      <c r="B226" s="26">
        <v>330.31</v>
      </c>
    </row>
    <row r="227" spans="1:2" x14ac:dyDescent="0.4">
      <c r="A227" s="25">
        <v>28095</v>
      </c>
      <c r="B227" s="26">
        <v>331.68</v>
      </c>
    </row>
    <row r="228" spans="1:2" x14ac:dyDescent="0.4">
      <c r="A228" s="25">
        <v>28126</v>
      </c>
      <c r="B228" s="26">
        <v>332.93</v>
      </c>
    </row>
    <row r="229" spans="1:2" x14ac:dyDescent="0.4">
      <c r="A229" s="25">
        <v>28157</v>
      </c>
      <c r="B229" s="26">
        <v>333.42</v>
      </c>
    </row>
    <row r="230" spans="1:2" x14ac:dyDescent="0.4">
      <c r="A230" s="25">
        <v>28185</v>
      </c>
      <c r="B230" s="26">
        <v>334.7</v>
      </c>
    </row>
    <row r="231" spans="1:2" x14ac:dyDescent="0.4">
      <c r="A231" s="25">
        <v>28216</v>
      </c>
      <c r="B231" s="26">
        <v>336.07</v>
      </c>
    </row>
    <row r="232" spans="1:2" x14ac:dyDescent="0.4">
      <c r="A232" s="25">
        <v>28246</v>
      </c>
      <c r="B232" s="26">
        <v>336.75</v>
      </c>
    </row>
    <row r="233" spans="1:2" x14ac:dyDescent="0.4">
      <c r="A233" s="25">
        <v>28277</v>
      </c>
      <c r="B233" s="26">
        <v>336.27</v>
      </c>
    </row>
    <row r="234" spans="1:2" x14ac:dyDescent="0.4">
      <c r="A234" s="25">
        <v>28307</v>
      </c>
      <c r="B234" s="26">
        <v>334.92</v>
      </c>
    </row>
    <row r="235" spans="1:2" x14ac:dyDescent="0.4">
      <c r="A235" s="25">
        <v>28338</v>
      </c>
      <c r="B235" s="26">
        <v>332.75</v>
      </c>
    </row>
    <row r="236" spans="1:2" x14ac:dyDescent="0.4">
      <c r="A236" s="25">
        <v>28369</v>
      </c>
      <c r="B236" s="26">
        <v>331.59</v>
      </c>
    </row>
    <row r="237" spans="1:2" x14ac:dyDescent="0.4">
      <c r="A237" s="25">
        <v>28399</v>
      </c>
      <c r="B237" s="26">
        <v>331.16</v>
      </c>
    </row>
    <row r="238" spans="1:2" x14ac:dyDescent="0.4">
      <c r="A238" s="25">
        <v>28430</v>
      </c>
      <c r="B238" s="26">
        <v>332.4</v>
      </c>
    </row>
    <row r="239" spans="1:2" x14ac:dyDescent="0.4">
      <c r="A239" s="25">
        <v>28460</v>
      </c>
      <c r="B239" s="26">
        <v>333.85</v>
      </c>
    </row>
    <row r="240" spans="1:2" x14ac:dyDescent="0.4">
      <c r="A240" s="25">
        <v>28491</v>
      </c>
      <c r="B240" s="26">
        <v>334.97</v>
      </c>
    </row>
    <row r="241" spans="1:2" x14ac:dyDescent="0.4">
      <c r="A241" s="25">
        <v>28522</v>
      </c>
      <c r="B241" s="26">
        <v>335.39</v>
      </c>
    </row>
    <row r="242" spans="1:2" x14ac:dyDescent="0.4">
      <c r="A242" s="25">
        <v>28550</v>
      </c>
      <c r="B242" s="26">
        <v>336.64</v>
      </c>
    </row>
    <row r="243" spans="1:2" x14ac:dyDescent="0.4">
      <c r="A243" s="25">
        <v>28581</v>
      </c>
      <c r="B243" s="26">
        <v>337.76</v>
      </c>
    </row>
    <row r="244" spans="1:2" x14ac:dyDescent="0.4">
      <c r="A244" s="25">
        <v>28611</v>
      </c>
      <c r="B244" s="26">
        <v>338.01</v>
      </c>
    </row>
    <row r="245" spans="1:2" x14ac:dyDescent="0.4">
      <c r="A245" s="25">
        <v>28642</v>
      </c>
      <c r="B245" s="26">
        <v>337.9</v>
      </c>
    </row>
    <row r="246" spans="1:2" x14ac:dyDescent="0.4">
      <c r="A246" s="25">
        <v>28672</v>
      </c>
      <c r="B246" s="26">
        <v>336.54</v>
      </c>
    </row>
    <row r="247" spans="1:2" x14ac:dyDescent="0.4">
      <c r="A247" s="25">
        <v>28703</v>
      </c>
      <c r="B247" s="26">
        <v>334.68</v>
      </c>
    </row>
    <row r="248" spans="1:2" x14ac:dyDescent="0.4">
      <c r="A248" s="25">
        <v>28734</v>
      </c>
      <c r="B248" s="26">
        <v>332.76</v>
      </c>
    </row>
    <row r="249" spans="1:2" x14ac:dyDescent="0.4">
      <c r="A249" s="25">
        <v>28764</v>
      </c>
      <c r="B249" s="26">
        <v>332.55</v>
      </c>
    </row>
    <row r="250" spans="1:2" x14ac:dyDescent="0.4">
      <c r="A250" s="25">
        <v>28795</v>
      </c>
      <c r="B250" s="26">
        <v>333.92</v>
      </c>
    </row>
    <row r="251" spans="1:2" x14ac:dyDescent="0.4">
      <c r="A251" s="25">
        <v>28825</v>
      </c>
      <c r="B251" s="26">
        <v>334.95</v>
      </c>
    </row>
    <row r="252" spans="1:2" x14ac:dyDescent="0.4">
      <c r="A252" s="25">
        <v>28856</v>
      </c>
      <c r="B252" s="26">
        <v>336.23</v>
      </c>
    </row>
    <row r="253" spans="1:2" x14ac:dyDescent="0.4">
      <c r="A253" s="25">
        <v>28887</v>
      </c>
      <c r="B253" s="26">
        <v>336.76</v>
      </c>
    </row>
    <row r="254" spans="1:2" x14ac:dyDescent="0.4">
      <c r="A254" s="25">
        <v>28915</v>
      </c>
      <c r="B254" s="26">
        <v>337.96</v>
      </c>
    </row>
    <row r="255" spans="1:2" x14ac:dyDescent="0.4">
      <c r="A255" s="25">
        <v>28946</v>
      </c>
      <c r="B255" s="26">
        <v>338.88</v>
      </c>
    </row>
    <row r="256" spans="1:2" x14ac:dyDescent="0.4">
      <c r="A256" s="25">
        <v>28976</v>
      </c>
      <c r="B256" s="26">
        <v>339.47</v>
      </c>
    </row>
    <row r="257" spans="1:2" x14ac:dyDescent="0.4">
      <c r="A257" s="25">
        <v>29007</v>
      </c>
      <c r="B257" s="26">
        <v>339.29</v>
      </c>
    </row>
    <row r="258" spans="1:2" x14ac:dyDescent="0.4">
      <c r="A258" s="25">
        <v>29037</v>
      </c>
      <c r="B258" s="26">
        <v>337.73</v>
      </c>
    </row>
    <row r="259" spans="1:2" x14ac:dyDescent="0.4">
      <c r="A259" s="25">
        <v>29068</v>
      </c>
      <c r="B259" s="26">
        <v>336.09</v>
      </c>
    </row>
    <row r="260" spans="1:2" x14ac:dyDescent="0.4">
      <c r="A260" s="25">
        <v>29099</v>
      </c>
      <c r="B260" s="26">
        <v>333.92</v>
      </c>
    </row>
    <row r="261" spans="1:2" x14ac:dyDescent="0.4">
      <c r="A261" s="25">
        <v>29129</v>
      </c>
      <c r="B261" s="26">
        <v>333.86</v>
      </c>
    </row>
    <row r="262" spans="1:2" x14ac:dyDescent="0.4">
      <c r="A262" s="25">
        <v>29160</v>
      </c>
      <c r="B262" s="26">
        <v>335.29</v>
      </c>
    </row>
    <row r="263" spans="1:2" x14ac:dyDescent="0.4">
      <c r="A263" s="25">
        <v>29190</v>
      </c>
      <c r="B263" s="26">
        <v>336.73</v>
      </c>
    </row>
    <row r="264" spans="1:2" x14ac:dyDescent="0.4">
      <c r="A264" s="25">
        <v>29221</v>
      </c>
      <c r="B264" s="26">
        <v>338.01</v>
      </c>
    </row>
    <row r="265" spans="1:2" x14ac:dyDescent="0.4">
      <c r="A265" s="25">
        <v>29252</v>
      </c>
      <c r="B265" s="26">
        <v>338.36</v>
      </c>
    </row>
    <row r="266" spans="1:2" x14ac:dyDescent="0.4">
      <c r="A266" s="25">
        <v>29281</v>
      </c>
      <c r="B266" s="26">
        <v>340.07</v>
      </c>
    </row>
    <row r="267" spans="1:2" x14ac:dyDescent="0.4">
      <c r="A267" s="25">
        <v>29312</v>
      </c>
      <c r="B267" s="26">
        <v>340.76</v>
      </c>
    </row>
    <row r="268" spans="1:2" x14ac:dyDescent="0.4">
      <c r="A268" s="25">
        <v>29342</v>
      </c>
      <c r="B268" s="26">
        <v>341.47</v>
      </c>
    </row>
    <row r="269" spans="1:2" x14ac:dyDescent="0.4">
      <c r="A269" s="25">
        <v>29373</v>
      </c>
      <c r="B269" s="26">
        <v>341.17</v>
      </c>
    </row>
    <row r="270" spans="1:2" x14ac:dyDescent="0.4">
      <c r="A270" s="25">
        <v>29403</v>
      </c>
      <c r="B270" s="26">
        <v>339.56</v>
      </c>
    </row>
    <row r="271" spans="1:2" x14ac:dyDescent="0.4">
      <c r="A271" s="25">
        <v>29434</v>
      </c>
      <c r="B271" s="26">
        <v>337.6</v>
      </c>
    </row>
    <row r="272" spans="1:2" x14ac:dyDescent="0.4">
      <c r="A272" s="25">
        <v>29465</v>
      </c>
      <c r="B272" s="26">
        <v>335.88</v>
      </c>
    </row>
    <row r="273" spans="1:2" x14ac:dyDescent="0.4">
      <c r="A273" s="25">
        <v>29495</v>
      </c>
      <c r="B273" s="26">
        <v>336.02</v>
      </c>
    </row>
    <row r="274" spans="1:2" x14ac:dyDescent="0.4">
      <c r="A274" s="25">
        <v>29526</v>
      </c>
      <c r="B274" s="26">
        <v>337.1</v>
      </c>
    </row>
    <row r="275" spans="1:2" x14ac:dyDescent="0.4">
      <c r="A275" s="25">
        <v>29556</v>
      </c>
      <c r="B275" s="26">
        <v>338.21</v>
      </c>
    </row>
    <row r="276" spans="1:2" x14ac:dyDescent="0.4">
      <c r="A276" s="25">
        <v>29587</v>
      </c>
      <c r="B276" s="26">
        <v>339.24</v>
      </c>
    </row>
    <row r="277" spans="1:2" x14ac:dyDescent="0.4">
      <c r="A277" s="25">
        <v>29618</v>
      </c>
      <c r="B277" s="26">
        <v>340.48</v>
      </c>
    </row>
    <row r="278" spans="1:2" x14ac:dyDescent="0.4">
      <c r="A278" s="25">
        <v>29646</v>
      </c>
      <c r="B278" s="26">
        <v>341.38</v>
      </c>
    </row>
    <row r="279" spans="1:2" x14ac:dyDescent="0.4">
      <c r="A279" s="25">
        <v>29677</v>
      </c>
      <c r="B279" s="26">
        <v>342.5</v>
      </c>
    </row>
    <row r="280" spans="1:2" x14ac:dyDescent="0.4">
      <c r="A280" s="25">
        <v>29707</v>
      </c>
      <c r="B280" s="26">
        <v>342.91</v>
      </c>
    </row>
    <row r="281" spans="1:2" x14ac:dyDescent="0.4">
      <c r="A281" s="25">
        <v>29738</v>
      </c>
      <c r="B281" s="26">
        <v>342.25</v>
      </c>
    </row>
    <row r="282" spans="1:2" x14ac:dyDescent="0.4">
      <c r="A282" s="25">
        <v>29768</v>
      </c>
      <c r="B282" s="26">
        <v>340.49</v>
      </c>
    </row>
    <row r="283" spans="1:2" x14ac:dyDescent="0.4">
      <c r="A283" s="25">
        <v>29799</v>
      </c>
      <c r="B283" s="26">
        <v>338.43</v>
      </c>
    </row>
    <row r="284" spans="1:2" x14ac:dyDescent="0.4">
      <c r="A284" s="25">
        <v>29830</v>
      </c>
      <c r="B284" s="26">
        <v>336.69</v>
      </c>
    </row>
    <row r="285" spans="1:2" x14ac:dyDescent="0.4">
      <c r="A285" s="25">
        <v>29860</v>
      </c>
      <c r="B285" s="26">
        <v>336.86</v>
      </c>
    </row>
    <row r="286" spans="1:2" x14ac:dyDescent="0.4">
      <c r="A286" s="25">
        <v>29891</v>
      </c>
      <c r="B286" s="26">
        <v>338.36</v>
      </c>
    </row>
    <row r="287" spans="1:2" x14ac:dyDescent="0.4">
      <c r="A287" s="25">
        <v>29921</v>
      </c>
      <c r="B287" s="26">
        <v>339.61</v>
      </c>
    </row>
    <row r="288" spans="1:2" x14ac:dyDescent="0.4">
      <c r="A288" s="25">
        <v>29952</v>
      </c>
      <c r="B288" s="26">
        <v>340.75</v>
      </c>
    </row>
    <row r="289" spans="1:2" x14ac:dyDescent="0.4">
      <c r="A289" s="25">
        <v>29983</v>
      </c>
      <c r="B289" s="26">
        <v>341.61</v>
      </c>
    </row>
    <row r="290" spans="1:2" x14ac:dyDescent="0.4">
      <c r="A290" s="25">
        <v>30011</v>
      </c>
      <c r="B290" s="26">
        <v>342.7</v>
      </c>
    </row>
    <row r="291" spans="1:2" x14ac:dyDescent="0.4">
      <c r="A291" s="25">
        <v>30042</v>
      </c>
      <c r="B291" s="26">
        <v>343.57</v>
      </c>
    </row>
    <row r="292" spans="1:2" x14ac:dyDescent="0.4">
      <c r="A292" s="25">
        <v>30072</v>
      </c>
      <c r="B292" s="26">
        <v>344.14</v>
      </c>
    </row>
    <row r="293" spans="1:2" x14ac:dyDescent="0.4">
      <c r="A293" s="25">
        <v>30103</v>
      </c>
      <c r="B293" s="26">
        <v>343.35</v>
      </c>
    </row>
    <row r="294" spans="1:2" x14ac:dyDescent="0.4">
      <c r="A294" s="25">
        <v>30133</v>
      </c>
      <c r="B294" s="26">
        <v>342.06</v>
      </c>
    </row>
    <row r="295" spans="1:2" x14ac:dyDescent="0.4">
      <c r="A295" s="25">
        <v>30164</v>
      </c>
      <c r="B295" s="26">
        <v>339.81</v>
      </c>
    </row>
    <row r="296" spans="1:2" x14ac:dyDescent="0.4">
      <c r="A296" s="25">
        <v>30195</v>
      </c>
      <c r="B296" s="26">
        <v>337.98</v>
      </c>
    </row>
    <row r="297" spans="1:2" x14ac:dyDescent="0.4">
      <c r="A297" s="25">
        <v>30225</v>
      </c>
      <c r="B297" s="26">
        <v>337.86</v>
      </c>
    </row>
    <row r="298" spans="1:2" x14ac:dyDescent="0.4">
      <c r="A298" s="25">
        <v>30256</v>
      </c>
      <c r="B298" s="26">
        <v>339.26</v>
      </c>
    </row>
    <row r="299" spans="1:2" x14ac:dyDescent="0.4">
      <c r="A299" s="25">
        <v>30286</v>
      </c>
      <c r="B299" s="26">
        <v>340.49</v>
      </c>
    </row>
    <row r="300" spans="1:2" x14ac:dyDescent="0.4">
      <c r="A300" s="25">
        <v>30317</v>
      </c>
      <c r="B300" s="26">
        <v>341.38</v>
      </c>
    </row>
    <row r="301" spans="1:2" x14ac:dyDescent="0.4">
      <c r="A301" s="25">
        <v>30348</v>
      </c>
      <c r="B301" s="26">
        <v>342.52</v>
      </c>
    </row>
    <row r="302" spans="1:2" x14ac:dyDescent="0.4">
      <c r="A302" s="25">
        <v>30376</v>
      </c>
      <c r="B302" s="26">
        <v>343.1</v>
      </c>
    </row>
    <row r="303" spans="1:2" x14ac:dyDescent="0.4">
      <c r="A303" s="25">
        <v>30407</v>
      </c>
      <c r="B303" s="26">
        <v>344.94</v>
      </c>
    </row>
    <row r="304" spans="1:2" x14ac:dyDescent="0.4">
      <c r="A304" s="25">
        <v>30437</v>
      </c>
      <c r="B304" s="26">
        <v>345.76</v>
      </c>
    </row>
    <row r="305" spans="1:2" x14ac:dyDescent="0.4">
      <c r="A305" s="25">
        <v>30468</v>
      </c>
      <c r="B305" s="26">
        <v>345.32</v>
      </c>
    </row>
    <row r="306" spans="1:2" x14ac:dyDescent="0.4">
      <c r="A306" s="25">
        <v>30498</v>
      </c>
      <c r="B306" s="26">
        <v>343.98</v>
      </c>
    </row>
    <row r="307" spans="1:2" x14ac:dyDescent="0.4">
      <c r="A307" s="25">
        <v>30529</v>
      </c>
      <c r="B307" s="26">
        <v>342.38</v>
      </c>
    </row>
    <row r="308" spans="1:2" x14ac:dyDescent="0.4">
      <c r="A308" s="25">
        <v>30560</v>
      </c>
      <c r="B308" s="26">
        <v>339.87</v>
      </c>
    </row>
    <row r="309" spans="1:2" x14ac:dyDescent="0.4">
      <c r="A309" s="25">
        <v>30590</v>
      </c>
      <c r="B309" s="26">
        <v>339.99</v>
      </c>
    </row>
    <row r="310" spans="1:2" x14ac:dyDescent="0.4">
      <c r="A310" s="25">
        <v>30621</v>
      </c>
      <c r="B310" s="26">
        <v>341.15</v>
      </c>
    </row>
    <row r="311" spans="1:2" x14ac:dyDescent="0.4">
      <c r="A311" s="25">
        <v>30651</v>
      </c>
      <c r="B311" s="26">
        <v>342.99</v>
      </c>
    </row>
    <row r="312" spans="1:2" x14ac:dyDescent="0.4">
      <c r="A312" s="25">
        <v>30682</v>
      </c>
      <c r="B312" s="26">
        <v>343.7</v>
      </c>
    </row>
    <row r="313" spans="1:2" x14ac:dyDescent="0.4">
      <c r="A313" s="25">
        <v>30713</v>
      </c>
      <c r="B313" s="26">
        <v>344.5</v>
      </c>
    </row>
    <row r="314" spans="1:2" x14ac:dyDescent="0.4">
      <c r="A314" s="25">
        <v>30742</v>
      </c>
      <c r="B314" s="26">
        <v>345.28</v>
      </c>
    </row>
    <row r="315" spans="1:2" x14ac:dyDescent="0.4">
      <c r="A315" s="25">
        <v>30773</v>
      </c>
      <c r="B315" s="26">
        <v>347.05</v>
      </c>
    </row>
    <row r="316" spans="1:2" x14ac:dyDescent="0.4">
      <c r="A316" s="25">
        <v>30803</v>
      </c>
      <c r="B316" s="26">
        <v>347.43</v>
      </c>
    </row>
    <row r="317" spans="1:2" x14ac:dyDescent="0.4">
      <c r="A317" s="25">
        <v>30834</v>
      </c>
      <c r="B317" s="26">
        <v>346.8</v>
      </c>
    </row>
    <row r="318" spans="1:2" x14ac:dyDescent="0.4">
      <c r="A318" s="25">
        <v>30864</v>
      </c>
      <c r="B318" s="26">
        <v>345.39</v>
      </c>
    </row>
    <row r="319" spans="1:2" x14ac:dyDescent="0.4">
      <c r="A319" s="25">
        <v>30895</v>
      </c>
      <c r="B319" s="26">
        <v>343.28</v>
      </c>
    </row>
    <row r="320" spans="1:2" x14ac:dyDescent="0.4">
      <c r="A320" s="25">
        <v>30926</v>
      </c>
      <c r="B320" s="26">
        <v>341.07</v>
      </c>
    </row>
    <row r="321" spans="1:2" x14ac:dyDescent="0.4">
      <c r="A321" s="25">
        <v>30956</v>
      </c>
      <c r="B321" s="26">
        <v>341.35</v>
      </c>
    </row>
    <row r="322" spans="1:2" x14ac:dyDescent="0.4">
      <c r="A322" s="25">
        <v>30987</v>
      </c>
      <c r="B322" s="26">
        <v>342.98</v>
      </c>
    </row>
    <row r="323" spans="1:2" x14ac:dyDescent="0.4">
      <c r="A323" s="25">
        <v>31017</v>
      </c>
      <c r="B323" s="26">
        <v>344.22</v>
      </c>
    </row>
    <row r="324" spans="1:2" x14ac:dyDescent="0.4">
      <c r="A324" s="25">
        <v>31048</v>
      </c>
      <c r="B324" s="26">
        <v>344.97</v>
      </c>
    </row>
    <row r="325" spans="1:2" x14ac:dyDescent="0.4">
      <c r="A325" s="25">
        <v>31079</v>
      </c>
      <c r="B325" s="26">
        <v>345.99</v>
      </c>
    </row>
    <row r="326" spans="1:2" x14ac:dyDescent="0.4">
      <c r="A326" s="25">
        <v>31107</v>
      </c>
      <c r="B326" s="26">
        <v>347.42</v>
      </c>
    </row>
    <row r="327" spans="1:2" x14ac:dyDescent="0.4">
      <c r="A327" s="25">
        <v>31138</v>
      </c>
      <c r="B327" s="26">
        <v>348.35</v>
      </c>
    </row>
    <row r="328" spans="1:2" x14ac:dyDescent="0.4">
      <c r="A328" s="25">
        <v>31168</v>
      </c>
      <c r="B328" s="26">
        <v>348.93</v>
      </c>
    </row>
    <row r="329" spans="1:2" x14ac:dyDescent="0.4">
      <c r="A329" s="25">
        <v>31199</v>
      </c>
      <c r="B329" s="26">
        <v>348.25</v>
      </c>
    </row>
    <row r="330" spans="1:2" x14ac:dyDescent="0.4">
      <c r="A330" s="25">
        <v>31229</v>
      </c>
      <c r="B330" s="26">
        <v>346.56</v>
      </c>
    </row>
    <row r="331" spans="1:2" x14ac:dyDescent="0.4">
      <c r="A331" s="25">
        <v>31260</v>
      </c>
      <c r="B331" s="26">
        <v>344.67</v>
      </c>
    </row>
    <row r="332" spans="1:2" x14ac:dyDescent="0.4">
      <c r="A332" s="25">
        <v>31291</v>
      </c>
      <c r="B332" s="26">
        <v>343.09</v>
      </c>
    </row>
    <row r="333" spans="1:2" x14ac:dyDescent="0.4">
      <c r="A333" s="25">
        <v>31321</v>
      </c>
      <c r="B333" s="26">
        <v>342.8</v>
      </c>
    </row>
    <row r="334" spans="1:2" x14ac:dyDescent="0.4">
      <c r="A334" s="25">
        <v>31352</v>
      </c>
      <c r="B334" s="26">
        <v>344.24</v>
      </c>
    </row>
    <row r="335" spans="1:2" x14ac:dyDescent="0.4">
      <c r="A335" s="25">
        <v>31382</v>
      </c>
      <c r="B335" s="26">
        <v>345.56</v>
      </c>
    </row>
    <row r="336" spans="1:2" x14ac:dyDescent="0.4">
      <c r="A336" s="25">
        <v>31413</v>
      </c>
      <c r="B336" s="26">
        <v>346.3</v>
      </c>
    </row>
    <row r="337" spans="1:2" x14ac:dyDescent="0.4">
      <c r="A337" s="25">
        <v>31444</v>
      </c>
      <c r="B337" s="26">
        <v>346.95</v>
      </c>
    </row>
    <row r="338" spans="1:2" x14ac:dyDescent="0.4">
      <c r="A338" s="25">
        <v>31472</v>
      </c>
      <c r="B338" s="26">
        <v>347.85</v>
      </c>
    </row>
    <row r="339" spans="1:2" x14ac:dyDescent="0.4">
      <c r="A339" s="25">
        <v>31503</v>
      </c>
      <c r="B339" s="26">
        <v>349.55</v>
      </c>
    </row>
    <row r="340" spans="1:2" x14ac:dyDescent="0.4">
      <c r="A340" s="25">
        <v>31533</v>
      </c>
      <c r="B340" s="26">
        <v>350.22</v>
      </c>
    </row>
    <row r="341" spans="1:2" x14ac:dyDescent="0.4">
      <c r="A341" s="25">
        <v>31564</v>
      </c>
      <c r="B341" s="26">
        <v>349.55</v>
      </c>
    </row>
    <row r="342" spans="1:2" x14ac:dyDescent="0.4">
      <c r="A342" s="25">
        <v>31594</v>
      </c>
      <c r="B342" s="26">
        <v>347.94</v>
      </c>
    </row>
    <row r="343" spans="1:2" x14ac:dyDescent="0.4">
      <c r="A343" s="25">
        <v>31625</v>
      </c>
      <c r="B343" s="26">
        <v>345.9</v>
      </c>
    </row>
    <row r="344" spans="1:2" x14ac:dyDescent="0.4">
      <c r="A344" s="25">
        <v>31656</v>
      </c>
      <c r="B344" s="26">
        <v>344.85</v>
      </c>
    </row>
    <row r="345" spans="1:2" x14ac:dyDescent="0.4">
      <c r="A345" s="25">
        <v>31686</v>
      </c>
      <c r="B345" s="26">
        <v>344.17</v>
      </c>
    </row>
    <row r="346" spans="1:2" x14ac:dyDescent="0.4">
      <c r="A346" s="25">
        <v>31717</v>
      </c>
      <c r="B346" s="26">
        <v>345.66</v>
      </c>
    </row>
    <row r="347" spans="1:2" x14ac:dyDescent="0.4">
      <c r="A347" s="25">
        <v>31747</v>
      </c>
      <c r="B347" s="26">
        <v>346.9</v>
      </c>
    </row>
    <row r="348" spans="1:2" x14ac:dyDescent="0.4">
      <c r="A348" s="25">
        <v>31778</v>
      </c>
      <c r="B348" s="26">
        <v>348.02</v>
      </c>
    </row>
    <row r="349" spans="1:2" x14ac:dyDescent="0.4">
      <c r="A349" s="25">
        <v>31809</v>
      </c>
      <c r="B349" s="26">
        <v>348.48</v>
      </c>
    </row>
    <row r="350" spans="1:2" x14ac:dyDescent="0.4">
      <c r="A350" s="25">
        <v>31837</v>
      </c>
      <c r="B350" s="26">
        <v>349.42</v>
      </c>
    </row>
    <row r="351" spans="1:2" x14ac:dyDescent="0.4">
      <c r="A351" s="25">
        <v>31868</v>
      </c>
      <c r="B351" s="26">
        <v>350.98</v>
      </c>
    </row>
    <row r="352" spans="1:2" x14ac:dyDescent="0.4">
      <c r="A352" s="25">
        <v>31898</v>
      </c>
      <c r="B352" s="26">
        <v>351.85</v>
      </c>
    </row>
    <row r="353" spans="1:2" x14ac:dyDescent="0.4">
      <c r="A353" s="25">
        <v>31929</v>
      </c>
      <c r="B353" s="26">
        <v>351.26</v>
      </c>
    </row>
    <row r="354" spans="1:2" x14ac:dyDescent="0.4">
      <c r="A354" s="25">
        <v>31959</v>
      </c>
      <c r="B354" s="26">
        <v>349.51</v>
      </c>
    </row>
    <row r="355" spans="1:2" x14ac:dyDescent="0.4">
      <c r="A355" s="25">
        <v>31990</v>
      </c>
      <c r="B355" s="26">
        <v>348.1</v>
      </c>
    </row>
    <row r="356" spans="1:2" x14ac:dyDescent="0.4">
      <c r="A356" s="25">
        <v>32021</v>
      </c>
      <c r="B356" s="26">
        <v>346.45</v>
      </c>
    </row>
    <row r="357" spans="1:2" x14ac:dyDescent="0.4">
      <c r="A357" s="25">
        <v>32051</v>
      </c>
      <c r="B357" s="26">
        <v>346.36</v>
      </c>
    </row>
    <row r="358" spans="1:2" x14ac:dyDescent="0.4">
      <c r="A358" s="25">
        <v>32082</v>
      </c>
      <c r="B358" s="26">
        <v>347.81</v>
      </c>
    </row>
    <row r="359" spans="1:2" x14ac:dyDescent="0.4">
      <c r="A359" s="25">
        <v>32112</v>
      </c>
      <c r="B359" s="26">
        <v>348.96</v>
      </c>
    </row>
    <row r="360" spans="1:2" x14ac:dyDescent="0.4">
      <c r="A360" s="25">
        <v>32143</v>
      </c>
      <c r="B360" s="26">
        <v>350.43</v>
      </c>
    </row>
    <row r="361" spans="1:2" x14ac:dyDescent="0.4">
      <c r="A361" s="25">
        <v>32174</v>
      </c>
      <c r="B361" s="26">
        <v>351.73</v>
      </c>
    </row>
    <row r="362" spans="1:2" x14ac:dyDescent="0.4">
      <c r="A362" s="25">
        <v>32203</v>
      </c>
      <c r="B362" s="26">
        <v>352.22</v>
      </c>
    </row>
    <row r="363" spans="1:2" x14ac:dyDescent="0.4">
      <c r="A363" s="25">
        <v>32234</v>
      </c>
      <c r="B363" s="26">
        <v>353.59</v>
      </c>
    </row>
    <row r="364" spans="1:2" x14ac:dyDescent="0.4">
      <c r="A364" s="25">
        <v>32264</v>
      </c>
      <c r="B364" s="26">
        <v>354.22</v>
      </c>
    </row>
    <row r="365" spans="1:2" x14ac:dyDescent="0.4">
      <c r="A365" s="25">
        <v>32295</v>
      </c>
      <c r="B365" s="26">
        <v>353.8</v>
      </c>
    </row>
    <row r="366" spans="1:2" x14ac:dyDescent="0.4">
      <c r="A366" s="25">
        <v>32325</v>
      </c>
      <c r="B366" s="26">
        <v>352.38</v>
      </c>
    </row>
    <row r="367" spans="1:2" x14ac:dyDescent="0.4">
      <c r="A367" s="25">
        <v>32356</v>
      </c>
      <c r="B367" s="26">
        <v>350.43</v>
      </c>
    </row>
    <row r="368" spans="1:2" x14ac:dyDescent="0.4">
      <c r="A368" s="25">
        <v>32387</v>
      </c>
      <c r="B368" s="26">
        <v>348.73</v>
      </c>
    </row>
    <row r="369" spans="1:2" x14ac:dyDescent="0.4">
      <c r="A369" s="25">
        <v>32417</v>
      </c>
      <c r="B369" s="26">
        <v>348.88</v>
      </c>
    </row>
    <row r="370" spans="1:2" x14ac:dyDescent="0.4">
      <c r="A370" s="25">
        <v>32448</v>
      </c>
      <c r="B370" s="26">
        <v>350.07</v>
      </c>
    </row>
    <row r="371" spans="1:2" x14ac:dyDescent="0.4">
      <c r="A371" s="25">
        <v>32478</v>
      </c>
      <c r="B371" s="26">
        <v>351.34</v>
      </c>
    </row>
    <row r="372" spans="1:2" x14ac:dyDescent="0.4">
      <c r="A372" s="25">
        <v>32509</v>
      </c>
      <c r="B372" s="26">
        <v>352.76</v>
      </c>
    </row>
    <row r="373" spans="1:2" x14ac:dyDescent="0.4">
      <c r="A373" s="25">
        <v>32540</v>
      </c>
      <c r="B373" s="26">
        <v>353.07</v>
      </c>
    </row>
    <row r="374" spans="1:2" x14ac:dyDescent="0.4">
      <c r="A374" s="25">
        <v>32568</v>
      </c>
      <c r="B374" s="26">
        <v>353.68</v>
      </c>
    </row>
    <row r="375" spans="1:2" x14ac:dyDescent="0.4">
      <c r="A375" s="25">
        <v>32599</v>
      </c>
      <c r="B375" s="26">
        <v>355.42</v>
      </c>
    </row>
    <row r="376" spans="1:2" x14ac:dyDescent="0.4">
      <c r="A376" s="25">
        <v>32629</v>
      </c>
      <c r="B376" s="26">
        <v>355.67</v>
      </c>
    </row>
    <row r="377" spans="1:2" x14ac:dyDescent="0.4">
      <c r="A377" s="25">
        <v>32660</v>
      </c>
      <c r="B377" s="26">
        <v>355.12</v>
      </c>
    </row>
    <row r="378" spans="1:2" x14ac:dyDescent="0.4">
      <c r="A378" s="25">
        <v>32690</v>
      </c>
      <c r="B378" s="26">
        <v>353.9</v>
      </c>
    </row>
    <row r="379" spans="1:2" x14ac:dyDescent="0.4">
      <c r="A379" s="25">
        <v>32721</v>
      </c>
      <c r="B379" s="26">
        <v>351.67</v>
      </c>
    </row>
    <row r="380" spans="1:2" x14ac:dyDescent="0.4">
      <c r="A380" s="25">
        <v>32752</v>
      </c>
      <c r="B380" s="26">
        <v>349.81</v>
      </c>
    </row>
    <row r="381" spans="1:2" x14ac:dyDescent="0.4">
      <c r="A381" s="25">
        <v>32782</v>
      </c>
      <c r="B381" s="26">
        <v>349.99</v>
      </c>
    </row>
    <row r="382" spans="1:2" x14ac:dyDescent="0.4">
      <c r="A382" s="25">
        <v>32813</v>
      </c>
      <c r="B382" s="26">
        <v>351.3</v>
      </c>
    </row>
    <row r="383" spans="1:2" x14ac:dyDescent="0.4">
      <c r="A383" s="25">
        <v>32843</v>
      </c>
      <c r="B383" s="26">
        <v>352.52</v>
      </c>
    </row>
    <row r="384" spans="1:2" x14ac:dyDescent="0.4">
      <c r="A384" s="25">
        <v>32874</v>
      </c>
      <c r="B384" s="26">
        <v>353.66</v>
      </c>
    </row>
    <row r="385" spans="1:2" x14ac:dyDescent="0.4">
      <c r="A385" s="25">
        <v>32905</v>
      </c>
      <c r="B385" s="26">
        <v>354.7</v>
      </c>
    </row>
    <row r="386" spans="1:2" x14ac:dyDescent="0.4">
      <c r="A386" s="25">
        <v>32933</v>
      </c>
      <c r="B386" s="26">
        <v>355.38</v>
      </c>
    </row>
    <row r="387" spans="1:2" x14ac:dyDescent="0.4">
      <c r="A387" s="25">
        <v>32964</v>
      </c>
      <c r="B387" s="26">
        <v>356.2</v>
      </c>
    </row>
    <row r="388" spans="1:2" x14ac:dyDescent="0.4">
      <c r="A388" s="25">
        <v>32994</v>
      </c>
      <c r="B388" s="26">
        <v>357.16</v>
      </c>
    </row>
    <row r="389" spans="1:2" x14ac:dyDescent="0.4">
      <c r="A389" s="25">
        <v>33025</v>
      </c>
      <c r="B389" s="26">
        <v>356.23</v>
      </c>
    </row>
    <row r="390" spans="1:2" x14ac:dyDescent="0.4">
      <c r="A390" s="25">
        <v>33055</v>
      </c>
      <c r="B390" s="26">
        <v>354.81</v>
      </c>
    </row>
    <row r="391" spans="1:2" x14ac:dyDescent="0.4">
      <c r="A391" s="25">
        <v>33086</v>
      </c>
      <c r="B391" s="26">
        <v>352.91</v>
      </c>
    </row>
    <row r="392" spans="1:2" x14ac:dyDescent="0.4">
      <c r="A392" s="25">
        <v>33117</v>
      </c>
      <c r="B392" s="26">
        <v>350.96</v>
      </c>
    </row>
    <row r="393" spans="1:2" x14ac:dyDescent="0.4">
      <c r="A393" s="25">
        <v>33147</v>
      </c>
      <c r="B393" s="26">
        <v>351.18</v>
      </c>
    </row>
    <row r="394" spans="1:2" x14ac:dyDescent="0.4">
      <c r="A394" s="25">
        <v>33178</v>
      </c>
      <c r="B394" s="26">
        <v>352.83</v>
      </c>
    </row>
    <row r="395" spans="1:2" x14ac:dyDescent="0.4">
      <c r="A395" s="25">
        <v>33208</v>
      </c>
      <c r="B395" s="26">
        <v>354.21</v>
      </c>
    </row>
    <row r="396" spans="1:2" x14ac:dyDescent="0.4">
      <c r="A396" s="25">
        <v>33239</v>
      </c>
      <c r="B396" s="26">
        <v>354.72</v>
      </c>
    </row>
    <row r="397" spans="1:2" x14ac:dyDescent="0.4">
      <c r="A397" s="25">
        <v>33270</v>
      </c>
      <c r="B397" s="26">
        <v>355.75</v>
      </c>
    </row>
    <row r="398" spans="1:2" x14ac:dyDescent="0.4">
      <c r="A398" s="25">
        <v>33298</v>
      </c>
      <c r="B398" s="26">
        <v>357.16</v>
      </c>
    </row>
    <row r="399" spans="1:2" x14ac:dyDescent="0.4">
      <c r="A399" s="25">
        <v>33329</v>
      </c>
      <c r="B399" s="26">
        <v>358.6</v>
      </c>
    </row>
    <row r="400" spans="1:2" x14ac:dyDescent="0.4">
      <c r="A400" s="25">
        <v>33359</v>
      </c>
      <c r="B400" s="26">
        <v>359.34</v>
      </c>
    </row>
    <row r="401" spans="1:2" x14ac:dyDescent="0.4">
      <c r="A401" s="25">
        <v>33390</v>
      </c>
      <c r="B401" s="26">
        <v>358.24</v>
      </c>
    </row>
    <row r="402" spans="1:2" x14ac:dyDescent="0.4">
      <c r="A402" s="25">
        <v>33420</v>
      </c>
      <c r="B402" s="26">
        <v>356.17</v>
      </c>
    </row>
    <row r="403" spans="1:2" x14ac:dyDescent="0.4">
      <c r="A403" s="25">
        <v>33451</v>
      </c>
      <c r="B403" s="26">
        <v>354.01</v>
      </c>
    </row>
    <row r="404" spans="1:2" x14ac:dyDescent="0.4">
      <c r="A404" s="25">
        <v>33482</v>
      </c>
      <c r="B404" s="26">
        <v>352.15</v>
      </c>
    </row>
    <row r="405" spans="1:2" x14ac:dyDescent="0.4">
      <c r="A405" s="25">
        <v>33512</v>
      </c>
      <c r="B405" s="26">
        <v>352.21</v>
      </c>
    </row>
    <row r="406" spans="1:2" x14ac:dyDescent="0.4">
      <c r="A406" s="25">
        <v>33543</v>
      </c>
      <c r="B406" s="26">
        <v>353.75</v>
      </c>
    </row>
    <row r="407" spans="1:2" x14ac:dyDescent="0.4">
      <c r="A407" s="25">
        <v>33573</v>
      </c>
      <c r="B407" s="26">
        <v>354.99</v>
      </c>
    </row>
    <row r="408" spans="1:2" x14ac:dyDescent="0.4">
      <c r="A408" s="25">
        <v>33604</v>
      </c>
      <c r="B408" s="26">
        <v>355.99</v>
      </c>
    </row>
    <row r="409" spans="1:2" x14ac:dyDescent="0.4">
      <c r="A409" s="25">
        <v>33635</v>
      </c>
      <c r="B409" s="26">
        <v>356.72</v>
      </c>
    </row>
    <row r="410" spans="1:2" x14ac:dyDescent="0.4">
      <c r="A410" s="25">
        <v>33664</v>
      </c>
      <c r="B410" s="26">
        <v>357.81</v>
      </c>
    </row>
    <row r="411" spans="1:2" x14ac:dyDescent="0.4">
      <c r="A411" s="25">
        <v>33695</v>
      </c>
      <c r="B411" s="26">
        <v>359.15</v>
      </c>
    </row>
    <row r="412" spans="1:2" x14ac:dyDescent="0.4">
      <c r="A412" s="25">
        <v>33725</v>
      </c>
      <c r="B412" s="26">
        <v>359.66</v>
      </c>
    </row>
    <row r="413" spans="1:2" x14ac:dyDescent="0.4">
      <c r="A413" s="25">
        <v>33756</v>
      </c>
      <c r="B413" s="26">
        <v>359.25</v>
      </c>
    </row>
    <row r="414" spans="1:2" x14ac:dyDescent="0.4">
      <c r="A414" s="25">
        <v>33786</v>
      </c>
      <c r="B414" s="26">
        <v>357.02</v>
      </c>
    </row>
    <row r="415" spans="1:2" x14ac:dyDescent="0.4">
      <c r="A415" s="25">
        <v>33817</v>
      </c>
      <c r="B415" s="26">
        <v>355</v>
      </c>
    </row>
    <row r="416" spans="1:2" x14ac:dyDescent="0.4">
      <c r="A416" s="25">
        <v>33848</v>
      </c>
      <c r="B416" s="26">
        <v>353.01</v>
      </c>
    </row>
    <row r="417" spans="1:2" x14ac:dyDescent="0.4">
      <c r="A417" s="25">
        <v>33878</v>
      </c>
      <c r="B417" s="26">
        <v>353.31</v>
      </c>
    </row>
    <row r="418" spans="1:2" x14ac:dyDescent="0.4">
      <c r="A418" s="25">
        <v>33909</v>
      </c>
      <c r="B418" s="26">
        <v>354.16</v>
      </c>
    </row>
    <row r="419" spans="1:2" x14ac:dyDescent="0.4">
      <c r="A419" s="25">
        <v>33939</v>
      </c>
      <c r="B419" s="26">
        <v>355.4</v>
      </c>
    </row>
    <row r="420" spans="1:2" x14ac:dyDescent="0.4">
      <c r="A420" s="25">
        <v>33970</v>
      </c>
      <c r="B420" s="26">
        <v>356.7</v>
      </c>
    </row>
    <row r="421" spans="1:2" x14ac:dyDescent="0.4">
      <c r="A421" s="25">
        <v>34001</v>
      </c>
      <c r="B421" s="26">
        <v>357.17</v>
      </c>
    </row>
    <row r="422" spans="1:2" x14ac:dyDescent="0.4">
      <c r="A422" s="25">
        <v>34029</v>
      </c>
      <c r="B422" s="26">
        <v>358.38</v>
      </c>
    </row>
    <row r="423" spans="1:2" x14ac:dyDescent="0.4">
      <c r="A423" s="25">
        <v>34060</v>
      </c>
      <c r="B423" s="26">
        <v>359.46</v>
      </c>
    </row>
    <row r="424" spans="1:2" x14ac:dyDescent="0.4">
      <c r="A424" s="25">
        <v>34090</v>
      </c>
      <c r="B424" s="26">
        <v>360.28</v>
      </c>
    </row>
    <row r="425" spans="1:2" x14ac:dyDescent="0.4">
      <c r="A425" s="25">
        <v>34121</v>
      </c>
      <c r="B425" s="26">
        <v>359.6</v>
      </c>
    </row>
    <row r="426" spans="1:2" x14ac:dyDescent="0.4">
      <c r="A426" s="25">
        <v>34151</v>
      </c>
      <c r="B426" s="26">
        <v>357.57</v>
      </c>
    </row>
    <row r="427" spans="1:2" x14ac:dyDescent="0.4">
      <c r="A427" s="25">
        <v>34182</v>
      </c>
      <c r="B427" s="26">
        <v>355.52</v>
      </c>
    </row>
    <row r="428" spans="1:2" x14ac:dyDescent="0.4">
      <c r="A428" s="25">
        <v>34213</v>
      </c>
      <c r="B428" s="26">
        <v>353.69</v>
      </c>
    </row>
    <row r="429" spans="1:2" x14ac:dyDescent="0.4">
      <c r="A429" s="25">
        <v>34243</v>
      </c>
      <c r="B429" s="26">
        <v>353.99</v>
      </c>
    </row>
    <row r="430" spans="1:2" x14ac:dyDescent="0.4">
      <c r="A430" s="25">
        <v>34274</v>
      </c>
      <c r="B430" s="26">
        <v>355.34</v>
      </c>
    </row>
    <row r="431" spans="1:2" x14ac:dyDescent="0.4">
      <c r="A431" s="25">
        <v>34304</v>
      </c>
      <c r="B431" s="26">
        <v>356.8</v>
      </c>
    </row>
    <row r="432" spans="1:2" x14ac:dyDescent="0.4">
      <c r="A432" s="25">
        <v>34335</v>
      </c>
      <c r="B432" s="26">
        <v>358.37</v>
      </c>
    </row>
    <row r="433" spans="1:2" x14ac:dyDescent="0.4">
      <c r="A433" s="25">
        <v>34366</v>
      </c>
      <c r="B433" s="26">
        <v>358.91</v>
      </c>
    </row>
    <row r="434" spans="1:2" x14ac:dyDescent="0.4">
      <c r="A434" s="25">
        <v>34394</v>
      </c>
      <c r="B434" s="26">
        <v>359.97</v>
      </c>
    </row>
    <row r="435" spans="1:2" x14ac:dyDescent="0.4">
      <c r="A435" s="25">
        <v>34425</v>
      </c>
      <c r="B435" s="26">
        <v>361.26</v>
      </c>
    </row>
    <row r="436" spans="1:2" x14ac:dyDescent="0.4">
      <c r="A436" s="25">
        <v>34455</v>
      </c>
      <c r="B436" s="26">
        <v>361.69</v>
      </c>
    </row>
    <row r="437" spans="1:2" x14ac:dyDescent="0.4">
      <c r="A437" s="25">
        <v>34486</v>
      </c>
      <c r="B437" s="26">
        <v>360.94</v>
      </c>
    </row>
    <row r="438" spans="1:2" x14ac:dyDescent="0.4">
      <c r="A438" s="25">
        <v>34516</v>
      </c>
      <c r="B438" s="26">
        <v>359.55</v>
      </c>
    </row>
    <row r="439" spans="1:2" x14ac:dyDescent="0.4">
      <c r="A439" s="25">
        <v>34547</v>
      </c>
      <c r="B439" s="26">
        <v>357.48</v>
      </c>
    </row>
    <row r="440" spans="1:2" x14ac:dyDescent="0.4">
      <c r="A440" s="25">
        <v>34578</v>
      </c>
      <c r="B440" s="26">
        <v>355.84</v>
      </c>
    </row>
    <row r="441" spans="1:2" x14ac:dyDescent="0.4">
      <c r="A441" s="25">
        <v>34608</v>
      </c>
      <c r="B441" s="26">
        <v>356</v>
      </c>
    </row>
    <row r="442" spans="1:2" x14ac:dyDescent="0.4">
      <c r="A442" s="25">
        <v>34639</v>
      </c>
      <c r="B442" s="26">
        <v>357.58</v>
      </c>
    </row>
    <row r="443" spans="1:2" x14ac:dyDescent="0.4">
      <c r="A443" s="25">
        <v>34669</v>
      </c>
      <c r="B443" s="26">
        <v>359.04</v>
      </c>
    </row>
    <row r="444" spans="1:2" x14ac:dyDescent="0.4">
      <c r="A444" s="25">
        <v>34700</v>
      </c>
      <c r="B444" s="26">
        <v>359.97</v>
      </c>
    </row>
    <row r="445" spans="1:2" x14ac:dyDescent="0.4">
      <c r="A445" s="25">
        <v>34731</v>
      </c>
      <c r="B445" s="26">
        <v>361</v>
      </c>
    </row>
    <row r="446" spans="1:2" x14ac:dyDescent="0.4">
      <c r="A446" s="25">
        <v>34759</v>
      </c>
      <c r="B446" s="26">
        <v>361.63</v>
      </c>
    </row>
    <row r="447" spans="1:2" x14ac:dyDescent="0.4">
      <c r="A447" s="25">
        <v>34790</v>
      </c>
      <c r="B447" s="26">
        <v>363.45</v>
      </c>
    </row>
    <row r="448" spans="1:2" x14ac:dyDescent="0.4">
      <c r="A448" s="25">
        <v>34820</v>
      </c>
      <c r="B448" s="26">
        <v>363.8</v>
      </c>
    </row>
    <row r="449" spans="1:2" x14ac:dyDescent="0.4">
      <c r="A449" s="25">
        <v>34851</v>
      </c>
      <c r="B449" s="26">
        <v>363.26</v>
      </c>
    </row>
    <row r="450" spans="1:2" x14ac:dyDescent="0.4">
      <c r="A450" s="25">
        <v>34881</v>
      </c>
      <c r="B450" s="26">
        <v>361.89</v>
      </c>
    </row>
    <row r="451" spans="1:2" x14ac:dyDescent="0.4">
      <c r="A451" s="25">
        <v>34912</v>
      </c>
      <c r="B451" s="26">
        <v>359.45</v>
      </c>
    </row>
    <row r="452" spans="1:2" x14ac:dyDescent="0.4">
      <c r="A452" s="25">
        <v>34943</v>
      </c>
      <c r="B452" s="26">
        <v>358.05</v>
      </c>
    </row>
    <row r="453" spans="1:2" x14ac:dyDescent="0.4">
      <c r="A453" s="25">
        <v>34973</v>
      </c>
      <c r="B453" s="26">
        <v>357.75</v>
      </c>
    </row>
    <row r="454" spans="1:2" x14ac:dyDescent="0.4">
      <c r="A454" s="25">
        <v>35004</v>
      </c>
      <c r="B454" s="26">
        <v>359.56</v>
      </c>
    </row>
    <row r="455" spans="1:2" x14ac:dyDescent="0.4">
      <c r="A455" s="25">
        <v>35034</v>
      </c>
      <c r="B455" s="26">
        <v>360.7</v>
      </c>
    </row>
    <row r="456" spans="1:2" x14ac:dyDescent="0.4">
      <c r="A456" s="25">
        <v>35065</v>
      </c>
      <c r="B456" s="26">
        <v>362.05</v>
      </c>
    </row>
    <row r="457" spans="1:2" x14ac:dyDescent="0.4">
      <c r="A457" s="25">
        <v>35096</v>
      </c>
      <c r="B457" s="26">
        <v>363.24</v>
      </c>
    </row>
    <row r="458" spans="1:2" x14ac:dyDescent="0.4">
      <c r="A458" s="25">
        <v>35125</v>
      </c>
      <c r="B458" s="26">
        <v>364.02</v>
      </c>
    </row>
    <row r="459" spans="1:2" x14ac:dyDescent="0.4">
      <c r="A459" s="25">
        <v>35156</v>
      </c>
      <c r="B459" s="26">
        <v>364.71</v>
      </c>
    </row>
    <row r="460" spans="1:2" x14ac:dyDescent="0.4">
      <c r="A460" s="25">
        <v>35186</v>
      </c>
      <c r="B460" s="26">
        <v>365.42</v>
      </c>
    </row>
    <row r="461" spans="1:2" x14ac:dyDescent="0.4">
      <c r="A461" s="25">
        <v>35217</v>
      </c>
      <c r="B461" s="26">
        <v>364.97</v>
      </c>
    </row>
    <row r="462" spans="1:2" x14ac:dyDescent="0.4">
      <c r="A462" s="25">
        <v>35247</v>
      </c>
      <c r="B462" s="26">
        <v>363.65</v>
      </c>
    </row>
    <row r="463" spans="1:2" x14ac:dyDescent="0.4">
      <c r="A463" s="25">
        <v>35278</v>
      </c>
      <c r="B463" s="26">
        <v>361.48</v>
      </c>
    </row>
    <row r="464" spans="1:2" x14ac:dyDescent="0.4">
      <c r="A464" s="25">
        <v>35309</v>
      </c>
      <c r="B464" s="26">
        <v>359.45</v>
      </c>
    </row>
    <row r="465" spans="1:2" x14ac:dyDescent="0.4">
      <c r="A465" s="25">
        <v>35339</v>
      </c>
      <c r="B465" s="26">
        <v>359.61</v>
      </c>
    </row>
    <row r="466" spans="1:2" x14ac:dyDescent="0.4">
      <c r="A466" s="25">
        <v>35370</v>
      </c>
      <c r="B466" s="26">
        <v>360.76</v>
      </c>
    </row>
    <row r="467" spans="1:2" x14ac:dyDescent="0.4">
      <c r="A467" s="25">
        <v>35400</v>
      </c>
      <c r="B467" s="26">
        <v>362.33</v>
      </c>
    </row>
    <row r="468" spans="1:2" x14ac:dyDescent="0.4">
      <c r="A468" s="25">
        <v>35431</v>
      </c>
      <c r="B468" s="26">
        <v>363.19</v>
      </c>
    </row>
    <row r="469" spans="1:2" x14ac:dyDescent="0.4">
      <c r="A469" s="25">
        <v>35462</v>
      </c>
      <c r="B469" s="26">
        <v>363.99</v>
      </c>
    </row>
    <row r="470" spans="1:2" x14ac:dyDescent="0.4">
      <c r="A470" s="25">
        <v>35490</v>
      </c>
      <c r="B470" s="26">
        <v>364.56</v>
      </c>
    </row>
    <row r="471" spans="1:2" x14ac:dyDescent="0.4">
      <c r="A471" s="25">
        <v>35521</v>
      </c>
      <c r="B471" s="26">
        <v>366.36</v>
      </c>
    </row>
    <row r="472" spans="1:2" x14ac:dyDescent="0.4">
      <c r="A472" s="25">
        <v>35551</v>
      </c>
      <c r="B472" s="26">
        <v>366.8</v>
      </c>
    </row>
    <row r="473" spans="1:2" x14ac:dyDescent="0.4">
      <c r="A473" s="25">
        <v>35582</v>
      </c>
      <c r="B473" s="26">
        <v>365.63</v>
      </c>
    </row>
    <row r="474" spans="1:2" x14ac:dyDescent="0.4">
      <c r="A474" s="25">
        <v>35612</v>
      </c>
      <c r="B474" s="26">
        <v>364.47</v>
      </c>
    </row>
    <row r="475" spans="1:2" x14ac:dyDescent="0.4">
      <c r="A475" s="25">
        <v>35643</v>
      </c>
      <c r="B475" s="26">
        <v>362.5</v>
      </c>
    </row>
    <row r="476" spans="1:2" x14ac:dyDescent="0.4">
      <c r="A476" s="25">
        <v>35674</v>
      </c>
      <c r="B476" s="26">
        <v>360.19</v>
      </c>
    </row>
    <row r="477" spans="1:2" x14ac:dyDescent="0.4">
      <c r="A477" s="25">
        <v>35704</v>
      </c>
      <c r="B477" s="26">
        <v>360.78</v>
      </c>
    </row>
    <row r="478" spans="1:2" x14ac:dyDescent="0.4">
      <c r="A478" s="25">
        <v>35735</v>
      </c>
      <c r="B478" s="26">
        <v>362.43</v>
      </c>
    </row>
    <row r="479" spans="1:2" x14ac:dyDescent="0.4">
      <c r="A479" s="25">
        <v>35765</v>
      </c>
      <c r="B479" s="26">
        <v>364.28</v>
      </c>
    </row>
    <row r="480" spans="1:2" x14ac:dyDescent="0.4">
      <c r="A480" s="25">
        <v>35796</v>
      </c>
      <c r="B480" s="26">
        <v>365.33</v>
      </c>
    </row>
    <row r="481" spans="1:2" x14ac:dyDescent="0.4">
      <c r="A481" s="25">
        <v>35827</v>
      </c>
      <c r="B481" s="26">
        <v>366.15</v>
      </c>
    </row>
    <row r="482" spans="1:2" x14ac:dyDescent="0.4">
      <c r="A482" s="25">
        <v>35855</v>
      </c>
      <c r="B482" s="26">
        <v>367.31</v>
      </c>
    </row>
    <row r="483" spans="1:2" x14ac:dyDescent="0.4">
      <c r="A483" s="25">
        <v>35886</v>
      </c>
      <c r="B483" s="26">
        <v>368.61</v>
      </c>
    </row>
    <row r="484" spans="1:2" x14ac:dyDescent="0.4">
      <c r="A484" s="25">
        <v>35916</v>
      </c>
      <c r="B484" s="26">
        <v>369.3</v>
      </c>
    </row>
    <row r="485" spans="1:2" x14ac:dyDescent="0.4">
      <c r="A485" s="25">
        <v>35947</v>
      </c>
      <c r="B485" s="26">
        <v>368.88</v>
      </c>
    </row>
    <row r="486" spans="1:2" x14ac:dyDescent="0.4">
      <c r="A486" s="25">
        <v>35977</v>
      </c>
      <c r="B486" s="26">
        <v>367.64</v>
      </c>
    </row>
    <row r="487" spans="1:2" x14ac:dyDescent="0.4">
      <c r="A487" s="25">
        <v>36008</v>
      </c>
      <c r="B487" s="26">
        <v>365.78</v>
      </c>
    </row>
    <row r="488" spans="1:2" x14ac:dyDescent="0.4">
      <c r="A488" s="25">
        <v>36039</v>
      </c>
      <c r="B488" s="26">
        <v>363.9</v>
      </c>
    </row>
    <row r="489" spans="1:2" x14ac:dyDescent="0.4">
      <c r="A489" s="25">
        <v>36069</v>
      </c>
      <c r="B489" s="26">
        <v>364.23</v>
      </c>
    </row>
    <row r="490" spans="1:2" x14ac:dyDescent="0.4">
      <c r="A490" s="25">
        <v>36100</v>
      </c>
      <c r="B490" s="26">
        <v>365.46</v>
      </c>
    </row>
    <row r="491" spans="1:2" x14ac:dyDescent="0.4">
      <c r="A491" s="25">
        <v>36130</v>
      </c>
      <c r="B491" s="26">
        <v>366.97</v>
      </c>
    </row>
    <row r="492" spans="1:2" x14ac:dyDescent="0.4">
      <c r="A492" s="25">
        <v>36161</v>
      </c>
      <c r="B492" s="26">
        <v>368.15</v>
      </c>
    </row>
    <row r="493" spans="1:2" x14ac:dyDescent="0.4">
      <c r="A493" s="25">
        <v>36192</v>
      </c>
      <c r="B493" s="26">
        <v>368.87</v>
      </c>
    </row>
    <row r="494" spans="1:2" x14ac:dyDescent="0.4">
      <c r="A494" s="25">
        <v>36220</v>
      </c>
      <c r="B494" s="26">
        <v>369.59</v>
      </c>
    </row>
    <row r="495" spans="1:2" x14ac:dyDescent="0.4">
      <c r="A495" s="25">
        <v>36251</v>
      </c>
      <c r="B495" s="26">
        <v>371.14</v>
      </c>
    </row>
    <row r="496" spans="1:2" x14ac:dyDescent="0.4">
      <c r="A496" s="25">
        <v>36281</v>
      </c>
      <c r="B496" s="26">
        <v>371</v>
      </c>
    </row>
    <row r="497" spans="1:2" x14ac:dyDescent="0.4">
      <c r="A497" s="25">
        <v>36312</v>
      </c>
      <c r="B497" s="26">
        <v>370.35</v>
      </c>
    </row>
    <row r="498" spans="1:2" x14ac:dyDescent="0.4">
      <c r="A498" s="25">
        <v>36342</v>
      </c>
      <c r="B498" s="26">
        <v>369.27</v>
      </c>
    </row>
    <row r="499" spans="1:2" x14ac:dyDescent="0.4">
      <c r="A499" s="25">
        <v>36373</v>
      </c>
      <c r="B499" s="26">
        <v>366.93</v>
      </c>
    </row>
    <row r="500" spans="1:2" x14ac:dyDescent="0.4">
      <c r="A500" s="25">
        <v>36404</v>
      </c>
      <c r="B500" s="26">
        <v>364.64</v>
      </c>
    </row>
    <row r="501" spans="1:2" x14ac:dyDescent="0.4">
      <c r="A501" s="25">
        <v>36434</v>
      </c>
      <c r="B501" s="26">
        <v>365.13</v>
      </c>
    </row>
    <row r="502" spans="1:2" x14ac:dyDescent="0.4">
      <c r="A502" s="25">
        <v>36465</v>
      </c>
      <c r="B502" s="26">
        <v>366.68</v>
      </c>
    </row>
    <row r="503" spans="1:2" x14ac:dyDescent="0.4">
      <c r="A503" s="25">
        <v>36495</v>
      </c>
      <c r="B503" s="26">
        <v>368</v>
      </c>
    </row>
    <row r="504" spans="1:2" x14ac:dyDescent="0.4">
      <c r="A504" s="25">
        <v>36526</v>
      </c>
      <c r="B504" s="26">
        <v>369.14</v>
      </c>
    </row>
    <row r="505" spans="1:2" x14ac:dyDescent="0.4">
      <c r="A505" s="25">
        <v>36557</v>
      </c>
      <c r="B505" s="26">
        <v>369.46</v>
      </c>
    </row>
    <row r="506" spans="1:2" x14ac:dyDescent="0.4">
      <c r="A506" s="25">
        <v>36586</v>
      </c>
      <c r="B506" s="26">
        <v>370.51</v>
      </c>
    </row>
    <row r="507" spans="1:2" x14ac:dyDescent="0.4">
      <c r="A507" s="25">
        <v>36617</v>
      </c>
      <c r="B507" s="26">
        <v>371.66</v>
      </c>
    </row>
    <row r="508" spans="1:2" x14ac:dyDescent="0.4">
      <c r="A508" s="25">
        <v>36647</v>
      </c>
      <c r="B508" s="26">
        <v>371.83</v>
      </c>
    </row>
    <row r="509" spans="1:2" x14ac:dyDescent="0.4">
      <c r="A509" s="25">
        <v>36678</v>
      </c>
      <c r="B509" s="26">
        <v>371.69</v>
      </c>
    </row>
    <row r="510" spans="1:2" x14ac:dyDescent="0.4">
      <c r="A510" s="25">
        <v>36708</v>
      </c>
      <c r="B510" s="26">
        <v>370.12</v>
      </c>
    </row>
    <row r="511" spans="1:2" x14ac:dyDescent="0.4">
      <c r="A511" s="25">
        <v>36739</v>
      </c>
      <c r="B511" s="26">
        <v>368.12</v>
      </c>
    </row>
    <row r="512" spans="1:2" x14ac:dyDescent="0.4">
      <c r="A512" s="25">
        <v>36770</v>
      </c>
      <c r="B512" s="26">
        <v>366.62</v>
      </c>
    </row>
    <row r="513" spans="1:2" x14ac:dyDescent="0.4">
      <c r="A513" s="25">
        <v>36800</v>
      </c>
      <c r="B513" s="26">
        <v>366.73</v>
      </c>
    </row>
    <row r="514" spans="1:2" x14ac:dyDescent="0.4">
      <c r="A514" s="25">
        <v>36831</v>
      </c>
      <c r="B514" s="26">
        <v>368.29</v>
      </c>
    </row>
    <row r="515" spans="1:2" x14ac:dyDescent="0.4">
      <c r="A515" s="25">
        <v>36861</v>
      </c>
      <c r="B515" s="26">
        <v>369.52</v>
      </c>
    </row>
    <row r="516" spans="1:2" x14ac:dyDescent="0.4">
      <c r="A516" s="25">
        <v>36892</v>
      </c>
      <c r="B516" s="26">
        <v>370.28</v>
      </c>
    </row>
    <row r="517" spans="1:2" x14ac:dyDescent="0.4">
      <c r="A517" s="25">
        <v>36923</v>
      </c>
      <c r="B517" s="26">
        <v>371.5</v>
      </c>
    </row>
    <row r="518" spans="1:2" x14ac:dyDescent="0.4">
      <c r="A518" s="25">
        <v>36951</v>
      </c>
      <c r="B518" s="26">
        <v>372.12</v>
      </c>
    </row>
    <row r="519" spans="1:2" x14ac:dyDescent="0.4">
      <c r="A519" s="25">
        <v>36982</v>
      </c>
      <c r="B519" s="26">
        <v>372.86</v>
      </c>
    </row>
    <row r="520" spans="1:2" x14ac:dyDescent="0.4">
      <c r="A520" s="25">
        <v>37012</v>
      </c>
      <c r="B520" s="26">
        <v>374.02</v>
      </c>
    </row>
    <row r="521" spans="1:2" x14ac:dyDescent="0.4">
      <c r="A521" s="25">
        <v>37043</v>
      </c>
      <c r="B521" s="26">
        <v>373.31</v>
      </c>
    </row>
    <row r="522" spans="1:2" x14ac:dyDescent="0.4">
      <c r="A522" s="25">
        <v>37073</v>
      </c>
      <c r="B522" s="26">
        <v>371.62</v>
      </c>
    </row>
    <row r="523" spans="1:2" x14ac:dyDescent="0.4">
      <c r="A523" s="25">
        <v>37104</v>
      </c>
      <c r="B523" s="26">
        <v>369.55</v>
      </c>
    </row>
    <row r="524" spans="1:2" x14ac:dyDescent="0.4">
      <c r="A524" s="25">
        <v>37135</v>
      </c>
      <c r="B524" s="26">
        <v>367.96</v>
      </c>
    </row>
    <row r="525" spans="1:2" x14ac:dyDescent="0.4">
      <c r="A525" s="25">
        <v>37165</v>
      </c>
      <c r="B525" s="26">
        <v>368.09</v>
      </c>
    </row>
    <row r="526" spans="1:2" x14ac:dyDescent="0.4">
      <c r="A526" s="25">
        <v>37196</v>
      </c>
      <c r="B526" s="26">
        <v>369.68</v>
      </c>
    </row>
    <row r="527" spans="1:2" x14ac:dyDescent="0.4">
      <c r="A527" s="25">
        <v>37226</v>
      </c>
      <c r="B527" s="26">
        <v>371.24</v>
      </c>
    </row>
    <row r="528" spans="1:2" x14ac:dyDescent="0.4">
      <c r="A528" s="25">
        <v>37257</v>
      </c>
      <c r="B528" s="26">
        <v>372.44</v>
      </c>
    </row>
    <row r="529" spans="1:2" x14ac:dyDescent="0.4">
      <c r="A529" s="25">
        <v>37288</v>
      </c>
      <c r="B529" s="26">
        <v>373.08</v>
      </c>
    </row>
    <row r="530" spans="1:2" x14ac:dyDescent="0.4">
      <c r="A530" s="25">
        <v>37316</v>
      </c>
      <c r="B530" s="26">
        <v>373.52</v>
      </c>
    </row>
    <row r="531" spans="1:2" x14ac:dyDescent="0.4">
      <c r="A531" s="25">
        <v>37347</v>
      </c>
      <c r="B531" s="26">
        <v>374.85</v>
      </c>
    </row>
    <row r="532" spans="1:2" x14ac:dyDescent="0.4">
      <c r="A532" s="25">
        <v>37377</v>
      </c>
      <c r="B532" s="26">
        <v>375.55</v>
      </c>
    </row>
    <row r="533" spans="1:2" x14ac:dyDescent="0.4">
      <c r="A533" s="25">
        <v>37408</v>
      </c>
      <c r="B533" s="26">
        <v>375.4</v>
      </c>
    </row>
    <row r="534" spans="1:2" x14ac:dyDescent="0.4">
      <c r="A534" s="25">
        <v>37438</v>
      </c>
      <c r="B534" s="26">
        <v>374.02</v>
      </c>
    </row>
    <row r="535" spans="1:2" x14ac:dyDescent="0.4">
      <c r="A535" s="25">
        <v>37469</v>
      </c>
      <c r="B535" s="26">
        <v>371.48</v>
      </c>
    </row>
    <row r="536" spans="1:2" x14ac:dyDescent="0.4">
      <c r="A536" s="25">
        <v>37500</v>
      </c>
      <c r="B536" s="26">
        <v>370.7</v>
      </c>
    </row>
    <row r="537" spans="1:2" x14ac:dyDescent="0.4">
      <c r="A537" s="25">
        <v>37530</v>
      </c>
      <c r="B537" s="26">
        <v>370.25</v>
      </c>
    </row>
    <row r="538" spans="1:2" x14ac:dyDescent="0.4">
      <c r="A538" s="25">
        <v>37561</v>
      </c>
      <c r="B538" s="26">
        <v>372.08</v>
      </c>
    </row>
    <row r="539" spans="1:2" x14ac:dyDescent="0.4">
      <c r="A539" s="25">
        <v>37591</v>
      </c>
      <c r="B539" s="26">
        <v>373.78</v>
      </c>
    </row>
    <row r="540" spans="1:2" x14ac:dyDescent="0.4">
      <c r="A540" s="25">
        <v>37622</v>
      </c>
      <c r="B540" s="26">
        <v>374.68</v>
      </c>
    </row>
    <row r="541" spans="1:2" x14ac:dyDescent="0.4">
      <c r="A541" s="25">
        <v>37653</v>
      </c>
      <c r="B541" s="26">
        <v>375.62</v>
      </c>
    </row>
    <row r="542" spans="1:2" x14ac:dyDescent="0.4">
      <c r="A542" s="25">
        <v>37681</v>
      </c>
      <c r="B542" s="26">
        <v>376.11</v>
      </c>
    </row>
    <row r="543" spans="1:2" x14ac:dyDescent="0.4">
      <c r="A543" s="25">
        <v>37712</v>
      </c>
      <c r="B543" s="26">
        <v>377.65</v>
      </c>
    </row>
    <row r="544" spans="1:2" x14ac:dyDescent="0.4">
      <c r="A544" s="25">
        <v>37742</v>
      </c>
      <c r="B544" s="26">
        <v>378.35</v>
      </c>
    </row>
    <row r="545" spans="1:2" x14ac:dyDescent="0.4">
      <c r="A545" s="25">
        <v>37773</v>
      </c>
      <c r="B545" s="26">
        <v>378.13</v>
      </c>
    </row>
    <row r="546" spans="1:2" x14ac:dyDescent="0.4">
      <c r="A546" s="25">
        <v>37803</v>
      </c>
      <c r="B546" s="26">
        <v>376.6</v>
      </c>
    </row>
    <row r="547" spans="1:2" x14ac:dyDescent="0.4">
      <c r="A547" s="25">
        <v>37834</v>
      </c>
      <c r="B547" s="26">
        <v>374.48</v>
      </c>
    </row>
    <row r="548" spans="1:2" x14ac:dyDescent="0.4">
      <c r="A548" s="25">
        <v>37865</v>
      </c>
      <c r="B548" s="26">
        <v>372.98</v>
      </c>
    </row>
    <row r="549" spans="1:2" x14ac:dyDescent="0.4">
      <c r="A549" s="25">
        <v>37895</v>
      </c>
      <c r="B549" s="26">
        <v>373</v>
      </c>
    </row>
    <row r="550" spans="1:2" x14ac:dyDescent="0.4">
      <c r="A550" s="25">
        <v>37926</v>
      </c>
      <c r="B550" s="26">
        <v>374.35</v>
      </c>
    </row>
    <row r="551" spans="1:2" x14ac:dyDescent="0.4">
      <c r="A551" s="25">
        <v>37956</v>
      </c>
      <c r="B551" s="26">
        <v>375.69</v>
      </c>
    </row>
    <row r="552" spans="1:2" x14ac:dyDescent="0.4">
      <c r="A552" s="25">
        <v>37987</v>
      </c>
      <c r="B552" s="26">
        <v>376.79</v>
      </c>
    </row>
    <row r="553" spans="1:2" x14ac:dyDescent="0.4">
      <c r="A553" s="25">
        <v>38018</v>
      </c>
      <c r="B553" s="26">
        <v>377.37</v>
      </c>
    </row>
    <row r="554" spans="1:2" x14ac:dyDescent="0.4">
      <c r="A554" s="25">
        <v>38047</v>
      </c>
      <c r="B554" s="26">
        <v>378.39</v>
      </c>
    </row>
    <row r="555" spans="1:2" x14ac:dyDescent="0.4">
      <c r="A555" s="25">
        <v>38078</v>
      </c>
      <c r="B555" s="26">
        <v>380.5</v>
      </c>
    </row>
    <row r="556" spans="1:2" x14ac:dyDescent="0.4">
      <c r="A556" s="25">
        <v>38108</v>
      </c>
      <c r="B556" s="26">
        <v>380.62</v>
      </c>
    </row>
    <row r="557" spans="1:2" x14ac:dyDescent="0.4">
      <c r="A557" s="25">
        <v>38139</v>
      </c>
      <c r="B557" s="26">
        <v>379.55</v>
      </c>
    </row>
    <row r="558" spans="1:2" x14ac:dyDescent="0.4">
      <c r="A558" s="25">
        <v>38169</v>
      </c>
      <c r="B558" s="26">
        <v>377.76</v>
      </c>
    </row>
    <row r="559" spans="1:2" x14ac:dyDescent="0.4">
      <c r="A559" s="25">
        <v>38200</v>
      </c>
      <c r="B559" s="26">
        <v>375.83</v>
      </c>
    </row>
    <row r="560" spans="1:2" x14ac:dyDescent="0.4">
      <c r="A560" s="25">
        <v>38231</v>
      </c>
      <c r="B560" s="26">
        <v>374.05</v>
      </c>
    </row>
    <row r="561" spans="1:2" x14ac:dyDescent="0.4">
      <c r="A561" s="25">
        <v>38261</v>
      </c>
      <c r="B561" s="26">
        <v>374.22</v>
      </c>
    </row>
    <row r="562" spans="1:2" x14ac:dyDescent="0.4">
      <c r="A562" s="25">
        <v>38292</v>
      </c>
      <c r="B562" s="26">
        <v>375.84</v>
      </c>
    </row>
    <row r="563" spans="1:2" x14ac:dyDescent="0.4">
      <c r="A563" s="25">
        <v>38322</v>
      </c>
      <c r="B563" s="26">
        <v>377.44</v>
      </c>
    </row>
    <row r="564" spans="1:2" x14ac:dyDescent="0.4">
      <c r="A564" s="25">
        <v>38353</v>
      </c>
      <c r="B564" s="26">
        <v>378.34</v>
      </c>
    </row>
    <row r="565" spans="1:2" x14ac:dyDescent="0.4">
      <c r="A565" s="25">
        <v>38384</v>
      </c>
      <c r="B565" s="26">
        <v>379.61</v>
      </c>
    </row>
    <row r="566" spans="1:2" x14ac:dyDescent="0.4">
      <c r="A566" s="25">
        <v>38412</v>
      </c>
      <c r="B566" s="26">
        <v>380.08</v>
      </c>
    </row>
    <row r="567" spans="1:2" x14ac:dyDescent="0.4">
      <c r="A567" s="25">
        <v>38443</v>
      </c>
      <c r="B567" s="26">
        <v>382.05</v>
      </c>
    </row>
    <row r="568" spans="1:2" x14ac:dyDescent="0.4">
      <c r="A568" s="25">
        <v>38473</v>
      </c>
      <c r="B568" s="26">
        <v>382.24</v>
      </c>
    </row>
    <row r="569" spans="1:2" x14ac:dyDescent="0.4">
      <c r="A569" s="25">
        <v>38504</v>
      </c>
      <c r="B569" s="26">
        <v>382.08</v>
      </c>
    </row>
    <row r="570" spans="1:2" x14ac:dyDescent="0.4">
      <c r="A570" s="25">
        <v>38534</v>
      </c>
      <c r="B570" s="26">
        <v>380.66</v>
      </c>
    </row>
    <row r="571" spans="1:2" x14ac:dyDescent="0.4">
      <c r="A571" s="25">
        <v>38565</v>
      </c>
      <c r="B571" s="26">
        <v>378.67</v>
      </c>
    </row>
    <row r="572" spans="1:2" x14ac:dyDescent="0.4">
      <c r="A572" s="25">
        <v>38596</v>
      </c>
      <c r="B572" s="26">
        <v>376.42</v>
      </c>
    </row>
    <row r="573" spans="1:2" x14ac:dyDescent="0.4">
      <c r="A573" s="25">
        <v>38626</v>
      </c>
      <c r="B573" s="26">
        <v>376.8</v>
      </c>
    </row>
    <row r="574" spans="1:2" x14ac:dyDescent="0.4">
      <c r="A574" s="25">
        <v>38657</v>
      </c>
      <c r="B574" s="26">
        <v>378.31</v>
      </c>
    </row>
    <row r="575" spans="1:2" x14ac:dyDescent="0.4">
      <c r="A575" s="25">
        <v>38687</v>
      </c>
      <c r="B575" s="26">
        <v>379.96</v>
      </c>
    </row>
    <row r="576" spans="1:2" x14ac:dyDescent="0.4">
      <c r="A576" s="25">
        <v>38718</v>
      </c>
      <c r="B576" s="26">
        <v>381.37</v>
      </c>
    </row>
    <row r="577" spans="1:2" x14ac:dyDescent="0.4">
      <c r="A577" s="25">
        <v>38749</v>
      </c>
      <c r="B577" s="26">
        <v>382.02</v>
      </c>
    </row>
    <row r="578" spans="1:2" x14ac:dyDescent="0.4">
      <c r="A578" s="25">
        <v>38777</v>
      </c>
      <c r="B578" s="26">
        <v>382.56</v>
      </c>
    </row>
    <row r="579" spans="1:2" x14ac:dyDescent="0.4">
      <c r="A579" s="25">
        <v>38808</v>
      </c>
      <c r="B579" s="26">
        <v>384.36</v>
      </c>
    </row>
    <row r="580" spans="1:2" x14ac:dyDescent="0.4">
      <c r="A580" s="25">
        <v>38838</v>
      </c>
      <c r="B580" s="26">
        <v>384.92</v>
      </c>
    </row>
    <row r="581" spans="1:2" x14ac:dyDescent="0.4">
      <c r="A581" s="25">
        <v>38869</v>
      </c>
      <c r="B581" s="26">
        <v>384.03</v>
      </c>
    </row>
    <row r="582" spans="1:2" x14ac:dyDescent="0.4">
      <c r="A582" s="25">
        <v>38899</v>
      </c>
      <c r="B582" s="26">
        <v>382.28</v>
      </c>
    </row>
    <row r="583" spans="1:2" x14ac:dyDescent="0.4">
      <c r="A583" s="25">
        <v>38930</v>
      </c>
      <c r="B583" s="26">
        <v>380.48</v>
      </c>
    </row>
    <row r="584" spans="1:2" x14ac:dyDescent="0.4">
      <c r="A584" s="25">
        <v>38961</v>
      </c>
      <c r="B584" s="26">
        <v>378.81</v>
      </c>
    </row>
    <row r="585" spans="1:2" x14ac:dyDescent="0.4">
      <c r="A585" s="25">
        <v>38991</v>
      </c>
      <c r="B585" s="26">
        <v>379.06</v>
      </c>
    </row>
    <row r="586" spans="1:2" x14ac:dyDescent="0.4">
      <c r="A586" s="25">
        <v>39022</v>
      </c>
      <c r="B586" s="26">
        <v>380.14</v>
      </c>
    </row>
    <row r="587" spans="1:2" x14ac:dyDescent="0.4">
      <c r="A587" s="25">
        <v>39052</v>
      </c>
      <c r="B587" s="26">
        <v>381.66</v>
      </c>
    </row>
    <row r="588" spans="1:2" x14ac:dyDescent="0.4">
      <c r="A588" s="25">
        <v>39083</v>
      </c>
      <c r="B588" s="26">
        <v>382.58</v>
      </c>
    </row>
    <row r="589" spans="1:2" x14ac:dyDescent="0.4">
      <c r="A589" s="25">
        <v>39114</v>
      </c>
      <c r="B589" s="26">
        <v>383.71</v>
      </c>
    </row>
    <row r="590" spans="1:2" x14ac:dyDescent="0.4">
      <c r="A590" s="25">
        <v>39142</v>
      </c>
      <c r="B590" s="26">
        <v>384.34</v>
      </c>
    </row>
    <row r="591" spans="1:2" x14ac:dyDescent="0.4">
      <c r="A591" s="25">
        <v>39173</v>
      </c>
      <c r="B591" s="26">
        <v>386.23</v>
      </c>
    </row>
    <row r="592" spans="1:2" x14ac:dyDescent="0.4">
      <c r="A592" s="25">
        <v>39203</v>
      </c>
      <c r="B592" s="26">
        <v>386.41</v>
      </c>
    </row>
    <row r="593" spans="1:2" x14ac:dyDescent="0.4">
      <c r="A593" s="25">
        <v>39234</v>
      </c>
      <c r="B593" s="26">
        <v>385.87</v>
      </c>
    </row>
    <row r="594" spans="1:2" x14ac:dyDescent="0.4">
      <c r="A594" s="25">
        <v>39264</v>
      </c>
      <c r="B594" s="26">
        <v>384.44</v>
      </c>
    </row>
    <row r="595" spans="1:2" x14ac:dyDescent="0.4">
      <c r="A595" s="25">
        <v>39295</v>
      </c>
      <c r="B595" s="26">
        <v>381.84</v>
      </c>
    </row>
    <row r="596" spans="1:2" x14ac:dyDescent="0.4">
      <c r="A596" s="25">
        <v>39326</v>
      </c>
      <c r="B596" s="26">
        <v>380.86</v>
      </c>
    </row>
    <row r="597" spans="1:2" x14ac:dyDescent="0.4">
      <c r="A597" s="25">
        <v>39356</v>
      </c>
      <c r="B597" s="26">
        <v>380.86</v>
      </c>
    </row>
    <row r="598" spans="1:2" x14ac:dyDescent="0.4">
      <c r="A598" s="25">
        <v>39387</v>
      </c>
      <c r="B598" s="26">
        <v>382.36</v>
      </c>
    </row>
    <row r="599" spans="1:2" x14ac:dyDescent="0.4">
      <c r="A599" s="25">
        <v>39417</v>
      </c>
      <c r="B599" s="26">
        <v>383.61</v>
      </c>
    </row>
    <row r="600" spans="1:2" x14ac:dyDescent="0.4">
      <c r="A600" s="25">
        <v>39448</v>
      </c>
      <c r="B600" s="26">
        <v>385.07</v>
      </c>
    </row>
    <row r="601" spans="1:2" x14ac:dyDescent="0.4">
      <c r="A601" s="25">
        <v>39479</v>
      </c>
      <c r="B601" s="26">
        <v>385.84</v>
      </c>
    </row>
    <row r="602" spans="1:2" x14ac:dyDescent="0.4">
      <c r="A602" s="25">
        <v>39508</v>
      </c>
      <c r="B602" s="26">
        <v>385.83</v>
      </c>
    </row>
    <row r="603" spans="1:2" x14ac:dyDescent="0.4">
      <c r="A603" s="25">
        <v>39539</v>
      </c>
      <c r="B603" s="26">
        <v>386.77</v>
      </c>
    </row>
    <row r="604" spans="1:2" x14ac:dyDescent="0.4">
      <c r="A604" s="25">
        <v>39569</v>
      </c>
      <c r="B604" s="26">
        <v>388.51</v>
      </c>
    </row>
    <row r="605" spans="1:2" x14ac:dyDescent="0.4">
      <c r="A605" s="25">
        <v>39600</v>
      </c>
      <c r="B605" s="26">
        <v>388.05</v>
      </c>
    </row>
    <row r="606" spans="1:2" x14ac:dyDescent="0.4">
      <c r="A606" s="25">
        <v>39630</v>
      </c>
      <c r="B606" s="26">
        <v>386.25</v>
      </c>
    </row>
    <row r="607" spans="1:2" x14ac:dyDescent="0.4">
      <c r="A607" s="25">
        <v>39661</v>
      </c>
      <c r="B607" s="26">
        <v>384.08</v>
      </c>
    </row>
    <row r="608" spans="1:2" x14ac:dyDescent="0.4">
      <c r="A608" s="25">
        <v>39692</v>
      </c>
      <c r="B608" s="26">
        <v>383.09</v>
      </c>
    </row>
    <row r="609" spans="1:2" x14ac:dyDescent="0.4">
      <c r="A609" s="25">
        <v>39722</v>
      </c>
      <c r="B609" s="26">
        <v>382.78</v>
      </c>
    </row>
    <row r="610" spans="1:2" x14ac:dyDescent="0.4">
      <c r="A610" s="25">
        <v>39753</v>
      </c>
      <c r="B610" s="26">
        <v>384.01</v>
      </c>
    </row>
    <row r="611" spans="1:2" x14ac:dyDescent="0.4">
      <c r="A611" s="25">
        <v>39783</v>
      </c>
      <c r="B611" s="26">
        <v>385.11</v>
      </c>
    </row>
    <row r="612" spans="1:2" x14ac:dyDescent="0.4">
      <c r="A612" s="25">
        <v>39814</v>
      </c>
      <c r="B612" s="26">
        <v>386.65</v>
      </c>
    </row>
    <row r="613" spans="1:2" x14ac:dyDescent="0.4">
      <c r="A613" s="25">
        <v>39845</v>
      </c>
      <c r="B613" s="26">
        <v>387.12</v>
      </c>
    </row>
    <row r="614" spans="1:2" x14ac:dyDescent="0.4">
      <c r="A614" s="25">
        <v>39873</v>
      </c>
      <c r="B614" s="26">
        <v>388.52</v>
      </c>
    </row>
    <row r="615" spans="1:2" x14ac:dyDescent="0.4">
      <c r="A615" s="25">
        <v>39904</v>
      </c>
      <c r="B615" s="26">
        <v>389.57</v>
      </c>
    </row>
    <row r="616" spans="1:2" x14ac:dyDescent="0.4">
      <c r="A616" s="25">
        <v>39934</v>
      </c>
      <c r="B616" s="26">
        <v>390.17</v>
      </c>
    </row>
    <row r="617" spans="1:2" x14ac:dyDescent="0.4">
      <c r="A617" s="25">
        <v>39965</v>
      </c>
      <c r="B617" s="26">
        <v>389.62</v>
      </c>
    </row>
    <row r="618" spans="1:2" x14ac:dyDescent="0.4">
      <c r="A618" s="25">
        <v>39995</v>
      </c>
      <c r="B618" s="26">
        <v>388.07</v>
      </c>
    </row>
    <row r="619" spans="1:2" x14ac:dyDescent="0.4">
      <c r="A619" s="25">
        <v>40026</v>
      </c>
      <c r="B619" s="26">
        <v>386.08</v>
      </c>
    </row>
    <row r="620" spans="1:2" x14ac:dyDescent="0.4">
      <c r="A620" s="25">
        <v>40057</v>
      </c>
      <c r="B620" s="26">
        <v>384.65</v>
      </c>
    </row>
    <row r="621" spans="1:2" x14ac:dyDescent="0.4">
      <c r="A621" s="25">
        <v>40087</v>
      </c>
      <c r="B621" s="26">
        <v>384.33</v>
      </c>
    </row>
    <row r="622" spans="1:2" x14ac:dyDescent="0.4">
      <c r="A622" s="25">
        <v>40118</v>
      </c>
      <c r="B622" s="26">
        <v>386.05</v>
      </c>
    </row>
    <row r="623" spans="1:2" x14ac:dyDescent="0.4">
      <c r="A623" s="25">
        <v>40148</v>
      </c>
      <c r="B623" s="26">
        <v>387.49</v>
      </c>
    </row>
    <row r="624" spans="1:2" x14ac:dyDescent="0.4">
      <c r="A624" s="25">
        <v>40179</v>
      </c>
      <c r="B624" s="26">
        <v>388.55</v>
      </c>
    </row>
    <row r="625" spans="1:2" x14ac:dyDescent="0.4">
      <c r="A625" s="25">
        <v>40210</v>
      </c>
      <c r="B625" s="26">
        <v>390.08</v>
      </c>
    </row>
    <row r="626" spans="1:2" x14ac:dyDescent="0.4">
      <c r="A626" s="25">
        <v>40238</v>
      </c>
      <c r="B626" s="26">
        <v>391.01</v>
      </c>
    </row>
    <row r="627" spans="1:2" x14ac:dyDescent="0.4">
      <c r="A627" s="25">
        <v>40269</v>
      </c>
      <c r="B627" s="26">
        <v>392.38</v>
      </c>
    </row>
    <row r="628" spans="1:2" x14ac:dyDescent="0.4">
      <c r="A628" s="25">
        <v>40299</v>
      </c>
      <c r="B628" s="26">
        <v>393.22</v>
      </c>
    </row>
    <row r="629" spans="1:2" x14ac:dyDescent="0.4">
      <c r="A629" s="25">
        <v>40330</v>
      </c>
      <c r="B629" s="26">
        <v>392.24</v>
      </c>
    </row>
    <row r="630" spans="1:2" x14ac:dyDescent="0.4">
      <c r="A630" s="25">
        <v>40360</v>
      </c>
      <c r="B630" s="26">
        <v>390.33</v>
      </c>
    </row>
    <row r="631" spans="1:2" x14ac:dyDescent="0.4">
      <c r="A631" s="25">
        <v>40391</v>
      </c>
      <c r="B631" s="26">
        <v>388.52</v>
      </c>
    </row>
    <row r="632" spans="1:2" x14ac:dyDescent="0.4">
      <c r="A632" s="25">
        <v>40422</v>
      </c>
      <c r="B632" s="26">
        <v>386.84</v>
      </c>
    </row>
    <row r="633" spans="1:2" x14ac:dyDescent="0.4">
      <c r="A633" s="25">
        <v>40452</v>
      </c>
      <c r="B633" s="26">
        <v>387.16</v>
      </c>
    </row>
    <row r="634" spans="1:2" x14ac:dyDescent="0.4">
      <c r="A634" s="25">
        <v>40483</v>
      </c>
      <c r="B634" s="26">
        <v>388.67</v>
      </c>
    </row>
    <row r="635" spans="1:2" x14ac:dyDescent="0.4">
      <c r="A635" s="25">
        <v>40513</v>
      </c>
      <c r="B635" s="26">
        <v>389.81</v>
      </c>
    </row>
    <row r="636" spans="1:2" x14ac:dyDescent="0.4">
      <c r="A636" s="25">
        <v>40544</v>
      </c>
      <c r="B636" s="26">
        <v>391.3</v>
      </c>
    </row>
    <row r="637" spans="1:2" x14ac:dyDescent="0.4">
      <c r="A637" s="25">
        <v>40575</v>
      </c>
      <c r="B637" s="26">
        <v>391.92</v>
      </c>
    </row>
    <row r="638" spans="1:2" x14ac:dyDescent="0.4">
      <c r="A638" s="25">
        <v>40603</v>
      </c>
      <c r="B638" s="26">
        <v>392.45</v>
      </c>
    </row>
    <row r="639" spans="1:2" x14ac:dyDescent="0.4">
      <c r="A639" s="25">
        <v>40634</v>
      </c>
      <c r="B639" s="26">
        <v>393.37</v>
      </c>
    </row>
    <row r="640" spans="1:2" x14ac:dyDescent="0.4">
      <c r="A640" s="25">
        <v>40664</v>
      </c>
      <c r="B640" s="26">
        <v>394.28</v>
      </c>
    </row>
    <row r="641" spans="1:2" x14ac:dyDescent="0.4">
      <c r="A641" s="25">
        <v>40695</v>
      </c>
      <c r="B641" s="26">
        <v>393.69</v>
      </c>
    </row>
    <row r="642" spans="1:2" x14ac:dyDescent="0.4">
      <c r="A642" s="25">
        <v>40725</v>
      </c>
      <c r="B642" s="26">
        <v>392.59</v>
      </c>
    </row>
    <row r="643" spans="1:2" x14ac:dyDescent="0.4">
      <c r="A643" s="25">
        <v>40756</v>
      </c>
      <c r="B643" s="26">
        <v>390.21</v>
      </c>
    </row>
    <row r="644" spans="1:2" x14ac:dyDescent="0.4">
      <c r="A644" s="25">
        <v>40787</v>
      </c>
      <c r="B644" s="26">
        <v>389</v>
      </c>
    </row>
    <row r="645" spans="1:2" x14ac:dyDescent="0.4">
      <c r="A645" s="25">
        <v>40817</v>
      </c>
      <c r="B645" s="26">
        <v>388.93</v>
      </c>
    </row>
    <row r="646" spans="1:2" x14ac:dyDescent="0.4">
      <c r="A646" s="25">
        <v>40848</v>
      </c>
      <c r="B646" s="26">
        <v>390.24</v>
      </c>
    </row>
    <row r="647" spans="1:2" x14ac:dyDescent="0.4">
      <c r="A647" s="25">
        <v>40878</v>
      </c>
      <c r="B647" s="26">
        <v>391.8</v>
      </c>
    </row>
    <row r="648" spans="1:2" x14ac:dyDescent="0.4">
      <c r="A648" s="25">
        <v>40909</v>
      </c>
      <c r="B648" s="26">
        <v>393.07</v>
      </c>
    </row>
    <row r="649" spans="1:2" x14ac:dyDescent="0.4">
      <c r="A649" s="25">
        <v>40940</v>
      </c>
      <c r="B649" s="26">
        <v>393.35</v>
      </c>
    </row>
    <row r="650" spans="1:2" x14ac:dyDescent="0.4">
      <c r="A650" s="25">
        <v>40969</v>
      </c>
      <c r="B650" s="26">
        <v>394.36</v>
      </c>
    </row>
    <row r="651" spans="1:2" x14ac:dyDescent="0.4">
      <c r="A651" s="25">
        <v>41000</v>
      </c>
      <c r="B651" s="26">
        <v>396.43</v>
      </c>
    </row>
    <row r="652" spans="1:2" x14ac:dyDescent="0.4">
      <c r="A652" s="25">
        <v>41030</v>
      </c>
      <c r="B652" s="26">
        <v>396.87</v>
      </c>
    </row>
    <row r="653" spans="1:2" x14ac:dyDescent="0.4">
      <c r="A653" s="25">
        <v>41061</v>
      </c>
      <c r="B653" s="26">
        <v>395.88</v>
      </c>
    </row>
    <row r="654" spans="1:2" x14ac:dyDescent="0.4">
      <c r="A654" s="25">
        <v>41091</v>
      </c>
      <c r="B654" s="26">
        <v>394.52</v>
      </c>
    </row>
    <row r="655" spans="1:2" x14ac:dyDescent="0.4">
      <c r="A655" s="25">
        <v>41122</v>
      </c>
      <c r="B655" s="26">
        <v>392.54</v>
      </c>
    </row>
    <row r="656" spans="1:2" x14ac:dyDescent="0.4">
      <c r="A656" s="25">
        <v>41153</v>
      </c>
      <c r="B656" s="26">
        <v>391.13</v>
      </c>
    </row>
    <row r="657" spans="1:2" x14ac:dyDescent="0.4">
      <c r="A657" s="25">
        <v>41183</v>
      </c>
      <c r="B657" s="26">
        <v>391.01</v>
      </c>
    </row>
    <row r="658" spans="1:2" x14ac:dyDescent="0.4">
      <c r="A658" s="25">
        <v>41214</v>
      </c>
      <c r="B658" s="26">
        <v>392.95</v>
      </c>
    </row>
    <row r="659" spans="1:2" x14ac:dyDescent="0.4">
      <c r="A659" s="25">
        <v>41244</v>
      </c>
      <c r="B659" s="26">
        <v>394.33</v>
      </c>
    </row>
    <row r="660" spans="1:2" x14ac:dyDescent="0.4">
      <c r="A660" s="25">
        <v>41275</v>
      </c>
      <c r="B660" s="26">
        <v>395.61</v>
      </c>
    </row>
    <row r="661" spans="1:2" x14ac:dyDescent="0.4">
      <c r="A661" s="25">
        <v>41306</v>
      </c>
      <c r="B661" s="26">
        <v>396.85</v>
      </c>
    </row>
    <row r="662" spans="1:2" x14ac:dyDescent="0.4">
      <c r="A662" s="25">
        <v>41334</v>
      </c>
      <c r="B662" s="26">
        <v>397.26</v>
      </c>
    </row>
    <row r="663" spans="1:2" x14ac:dyDescent="0.4">
      <c r="A663" s="25">
        <v>41365</v>
      </c>
      <c r="B663" s="26">
        <v>398.35</v>
      </c>
    </row>
    <row r="664" spans="1:2" x14ac:dyDescent="0.4">
      <c r="A664" s="25">
        <v>41395</v>
      </c>
      <c r="B664" s="26">
        <v>399.98</v>
      </c>
    </row>
    <row r="665" spans="1:2" x14ac:dyDescent="0.4">
      <c r="A665" s="25">
        <v>41426</v>
      </c>
      <c r="B665" s="26">
        <v>398.87</v>
      </c>
    </row>
    <row r="666" spans="1:2" x14ac:dyDescent="0.4">
      <c r="A666" s="25">
        <v>41456</v>
      </c>
      <c r="B666" s="26">
        <v>397.37</v>
      </c>
    </row>
    <row r="667" spans="1:2" x14ac:dyDescent="0.4">
      <c r="A667" s="25">
        <v>41487</v>
      </c>
      <c r="B667" s="26">
        <v>395.41</v>
      </c>
    </row>
    <row r="668" spans="1:2" x14ac:dyDescent="0.4">
      <c r="A668" s="25">
        <v>41518</v>
      </c>
      <c r="B668" s="26">
        <v>393.39</v>
      </c>
    </row>
    <row r="669" spans="1:2" x14ac:dyDescent="0.4">
      <c r="A669" s="25">
        <v>41548</v>
      </c>
      <c r="B669" s="26">
        <v>393.7</v>
      </c>
    </row>
    <row r="670" spans="1:2" x14ac:dyDescent="0.4">
      <c r="A670" s="25">
        <v>41579</v>
      </c>
      <c r="B670" s="26">
        <v>395.19</v>
      </c>
    </row>
    <row r="671" spans="1:2" x14ac:dyDescent="0.4">
      <c r="A671" s="25">
        <v>41609</v>
      </c>
      <c r="B671" s="26">
        <v>396.82</v>
      </c>
    </row>
    <row r="672" spans="1:2" x14ac:dyDescent="0.4">
      <c r="A672" s="25">
        <v>41640</v>
      </c>
      <c r="B672" s="26">
        <v>397.93</v>
      </c>
    </row>
    <row r="673" spans="1:2" x14ac:dyDescent="0.4">
      <c r="A673" s="25">
        <v>41671</v>
      </c>
      <c r="B673" s="26">
        <v>398.1</v>
      </c>
    </row>
    <row r="674" spans="1:2" x14ac:dyDescent="0.4">
      <c r="A674" s="25">
        <v>41699</v>
      </c>
      <c r="B674" s="26">
        <v>399.47</v>
      </c>
    </row>
    <row r="675" spans="1:2" x14ac:dyDescent="0.4">
      <c r="A675" s="25">
        <v>41730</v>
      </c>
      <c r="B675" s="26">
        <v>401.33</v>
      </c>
    </row>
    <row r="676" spans="1:2" x14ac:dyDescent="0.4">
      <c r="A676" s="25">
        <v>41760</v>
      </c>
      <c r="B676" s="26">
        <v>401.88</v>
      </c>
    </row>
    <row r="677" spans="1:2" x14ac:dyDescent="0.4">
      <c r="A677" s="25">
        <v>41791</v>
      </c>
      <c r="B677" s="26">
        <v>401.31</v>
      </c>
    </row>
    <row r="678" spans="1:2" x14ac:dyDescent="0.4">
      <c r="A678" s="25">
        <v>41821</v>
      </c>
      <c r="B678" s="26">
        <v>399.07</v>
      </c>
    </row>
    <row r="679" spans="1:2" x14ac:dyDescent="0.4">
      <c r="A679" s="25">
        <v>41852</v>
      </c>
      <c r="B679" s="26">
        <v>397.21</v>
      </c>
    </row>
    <row r="680" spans="1:2" x14ac:dyDescent="0.4">
      <c r="A680" s="25">
        <v>41883</v>
      </c>
      <c r="B680" s="26">
        <v>395.4</v>
      </c>
    </row>
    <row r="681" spans="1:2" x14ac:dyDescent="0.4">
      <c r="A681" s="25">
        <v>41913</v>
      </c>
      <c r="B681" s="26">
        <v>395.65</v>
      </c>
    </row>
    <row r="682" spans="1:2" x14ac:dyDescent="0.4">
      <c r="A682" s="25">
        <v>41944</v>
      </c>
      <c r="B682" s="26">
        <v>397.23</v>
      </c>
    </row>
    <row r="683" spans="1:2" x14ac:dyDescent="0.4">
      <c r="A683" s="25">
        <v>41974</v>
      </c>
      <c r="B683" s="26">
        <v>398.79</v>
      </c>
    </row>
    <row r="684" spans="1:2" x14ac:dyDescent="0.4">
      <c r="A684" s="25">
        <v>42005</v>
      </c>
      <c r="B684" s="26">
        <v>399.85</v>
      </c>
    </row>
    <row r="685" spans="1:2" x14ac:dyDescent="0.4">
      <c r="A685" s="25">
        <v>42036</v>
      </c>
      <c r="B685" s="26">
        <v>400.31</v>
      </c>
    </row>
    <row r="686" spans="1:2" x14ac:dyDescent="0.4">
      <c r="A686" s="25">
        <v>42064</v>
      </c>
      <c r="B686" s="26">
        <v>401.51</v>
      </c>
    </row>
    <row r="687" spans="1:2" x14ac:dyDescent="0.4">
      <c r="A687" s="25">
        <v>42095</v>
      </c>
      <c r="B687" s="26">
        <v>403.45</v>
      </c>
    </row>
    <row r="688" spans="1:2" x14ac:dyDescent="0.4">
      <c r="A688" s="25">
        <v>42125</v>
      </c>
      <c r="B688" s="26">
        <v>404.1</v>
      </c>
    </row>
    <row r="689" spans="1:2" x14ac:dyDescent="0.4">
      <c r="A689" s="25">
        <v>42156</v>
      </c>
      <c r="B689" s="26">
        <v>402.88</v>
      </c>
    </row>
    <row r="690" spans="1:2" x14ac:dyDescent="0.4">
      <c r="A690" s="25">
        <v>42186</v>
      </c>
      <c r="B690" s="26">
        <v>401.61</v>
      </c>
    </row>
    <row r="691" spans="1:2" x14ac:dyDescent="0.4">
      <c r="A691" s="25">
        <v>42217</v>
      </c>
      <c r="B691" s="26">
        <v>399</v>
      </c>
    </row>
    <row r="692" spans="1:2" x14ac:dyDescent="0.4">
      <c r="A692" s="25">
        <v>42248</v>
      </c>
      <c r="B692" s="26">
        <v>397.5</v>
      </c>
    </row>
    <row r="693" spans="1:2" x14ac:dyDescent="0.4">
      <c r="A693" s="25">
        <v>42278</v>
      </c>
      <c r="B693" s="26">
        <v>398.28</v>
      </c>
    </row>
    <row r="694" spans="1:2" x14ac:dyDescent="0.4">
      <c r="A694" s="25">
        <v>42309</v>
      </c>
      <c r="B694" s="26">
        <v>400.24</v>
      </c>
    </row>
    <row r="695" spans="1:2" x14ac:dyDescent="0.4">
      <c r="A695" s="25">
        <v>42339</v>
      </c>
      <c r="B695" s="26">
        <v>401.89</v>
      </c>
    </row>
    <row r="696" spans="1:2" x14ac:dyDescent="0.4">
      <c r="A696" s="25">
        <v>42370</v>
      </c>
      <c r="B696" s="26">
        <v>402.65</v>
      </c>
    </row>
    <row r="697" spans="1:2" x14ac:dyDescent="0.4">
      <c r="A697" s="25">
        <v>42401</v>
      </c>
      <c r="B697" s="26">
        <v>404.16</v>
      </c>
    </row>
    <row r="698" spans="1:2" x14ac:dyDescent="0.4">
      <c r="A698" s="25">
        <v>42430</v>
      </c>
      <c r="B698" s="26">
        <v>404.85</v>
      </c>
    </row>
    <row r="699" spans="1:2" x14ac:dyDescent="0.4">
      <c r="A699" s="25">
        <v>42461</v>
      </c>
      <c r="B699" s="26">
        <v>407.57</v>
      </c>
    </row>
    <row r="700" spans="1:2" x14ac:dyDescent="0.4">
      <c r="A700" s="25">
        <v>42491</v>
      </c>
      <c r="B700" s="26">
        <v>407.66</v>
      </c>
    </row>
    <row r="701" spans="1:2" x14ac:dyDescent="0.4">
      <c r="A701" s="25">
        <v>42522</v>
      </c>
      <c r="B701" s="26">
        <v>407</v>
      </c>
    </row>
    <row r="702" spans="1:2" x14ac:dyDescent="0.4">
      <c r="A702" s="25">
        <v>42552</v>
      </c>
      <c r="B702" s="26">
        <v>404.5</v>
      </c>
    </row>
    <row r="703" spans="1:2" x14ac:dyDescent="0.4">
      <c r="A703" s="25">
        <v>42583</v>
      </c>
      <c r="B703" s="26">
        <v>402.24</v>
      </c>
    </row>
    <row r="704" spans="1:2" x14ac:dyDescent="0.4">
      <c r="A704" s="25">
        <v>42614</v>
      </c>
      <c r="B704" s="26">
        <v>401.01</v>
      </c>
    </row>
    <row r="705" spans="1:2" x14ac:dyDescent="0.4">
      <c r="A705" s="25">
        <v>42644</v>
      </c>
      <c r="B705" s="26">
        <v>401.5</v>
      </c>
    </row>
    <row r="706" spans="1:2" x14ac:dyDescent="0.4">
      <c r="A706" s="25">
        <v>42675</v>
      </c>
      <c r="B706" s="26">
        <v>403.64</v>
      </c>
    </row>
    <row r="707" spans="1:2" x14ac:dyDescent="0.4">
      <c r="A707" s="25">
        <v>42705</v>
      </c>
      <c r="B707" s="26">
        <v>404.55</v>
      </c>
    </row>
    <row r="708" spans="1:2" x14ac:dyDescent="0.4">
      <c r="A708" s="25">
        <v>42736</v>
      </c>
      <c r="B708" s="26">
        <v>406.07</v>
      </c>
    </row>
    <row r="709" spans="1:2" x14ac:dyDescent="0.4">
      <c r="A709" s="25">
        <v>42767</v>
      </c>
      <c r="B709" s="26">
        <v>406.64</v>
      </c>
    </row>
    <row r="710" spans="1:2" x14ac:dyDescent="0.4">
      <c r="A710" s="25">
        <v>42795</v>
      </c>
      <c r="B710" s="26">
        <v>407.05</v>
      </c>
    </row>
    <row r="711" spans="1:2" x14ac:dyDescent="0.4">
      <c r="A711" s="25">
        <v>42826</v>
      </c>
      <c r="B711" s="26">
        <v>408.95</v>
      </c>
    </row>
    <row r="712" spans="1:2" x14ac:dyDescent="0.4">
      <c r="A712" s="25">
        <v>42856</v>
      </c>
      <c r="B712" s="26">
        <v>409.91</v>
      </c>
    </row>
    <row r="713" spans="1:2" x14ac:dyDescent="0.4">
      <c r="A713" s="25">
        <v>42887</v>
      </c>
      <c r="B713" s="26">
        <v>409.12</v>
      </c>
    </row>
    <row r="714" spans="1:2" x14ac:dyDescent="0.4">
      <c r="A714" s="25">
        <v>42917</v>
      </c>
      <c r="B714" s="26">
        <v>407.2</v>
      </c>
    </row>
    <row r="715" spans="1:2" x14ac:dyDescent="0.4">
      <c r="A715" s="25">
        <v>42948</v>
      </c>
      <c r="B715" s="26">
        <v>405.24</v>
      </c>
    </row>
    <row r="716" spans="1:2" x14ac:dyDescent="0.4">
      <c r="A716" s="25">
        <v>42979</v>
      </c>
      <c r="B716" s="26">
        <v>403.27</v>
      </c>
    </row>
    <row r="717" spans="1:2" x14ac:dyDescent="0.4">
      <c r="A717" s="25">
        <v>43009</v>
      </c>
      <c r="B717" s="26">
        <v>403.64</v>
      </c>
    </row>
    <row r="718" spans="1:2" x14ac:dyDescent="0.4">
      <c r="A718" s="25">
        <v>43040</v>
      </c>
      <c r="B718" s="26">
        <v>405.17</v>
      </c>
    </row>
    <row r="719" spans="1:2" x14ac:dyDescent="0.4">
      <c r="A719" s="25">
        <v>43070</v>
      </c>
      <c r="B719" s="26">
        <v>406.75</v>
      </c>
    </row>
    <row r="720" spans="1:2" x14ac:dyDescent="0.4">
      <c r="A720" s="25">
        <v>43101</v>
      </c>
      <c r="B720" s="26">
        <v>408.05</v>
      </c>
    </row>
    <row r="721" spans="1:2" x14ac:dyDescent="0.4">
      <c r="A721" s="25">
        <v>43132</v>
      </c>
      <c r="B721" s="26">
        <v>408.34</v>
      </c>
    </row>
    <row r="722" spans="1:2" x14ac:dyDescent="0.4">
      <c r="A722" s="25">
        <v>43160</v>
      </c>
      <c r="B722" s="26">
        <v>409.25</v>
      </c>
    </row>
    <row r="723" spans="1:2" x14ac:dyDescent="0.4">
      <c r="A723" s="25">
        <v>43191</v>
      </c>
      <c r="B723" s="26">
        <v>410.3</v>
      </c>
    </row>
    <row r="724" spans="1:2" x14ac:dyDescent="0.4">
      <c r="A724" s="25">
        <v>43221</v>
      </c>
      <c r="B724" s="26">
        <v>411.3</v>
      </c>
    </row>
    <row r="725" spans="1:2" x14ac:dyDescent="0.4">
      <c r="A725" s="25">
        <v>43252</v>
      </c>
      <c r="B725" s="26">
        <v>410.88</v>
      </c>
    </row>
    <row r="726" spans="1:2" x14ac:dyDescent="0.4">
      <c r="A726" s="25">
        <v>43282</v>
      </c>
      <c r="B726" s="26">
        <v>408.9</v>
      </c>
    </row>
    <row r="727" spans="1:2" x14ac:dyDescent="0.4">
      <c r="A727" s="25">
        <v>43313</v>
      </c>
      <c r="B727" s="26">
        <v>407.1</v>
      </c>
    </row>
    <row r="728" spans="1:2" x14ac:dyDescent="0.4">
      <c r="A728" s="25">
        <v>43344</v>
      </c>
      <c r="B728" s="26">
        <v>405.59</v>
      </c>
    </row>
    <row r="729" spans="1:2" x14ac:dyDescent="0.4">
      <c r="A729" s="25">
        <v>43374</v>
      </c>
      <c r="B729" s="26">
        <v>405.99</v>
      </c>
    </row>
    <row r="730" spans="1:2" x14ac:dyDescent="0.4">
      <c r="A730" s="25">
        <v>43405</v>
      </c>
      <c r="B730" s="26">
        <v>408.12</v>
      </c>
    </row>
    <row r="731" spans="1:2" x14ac:dyDescent="0.4">
      <c r="A731" s="25">
        <v>43435</v>
      </c>
      <c r="B731" s="26">
        <v>409.23</v>
      </c>
    </row>
    <row r="732" spans="1:2" x14ac:dyDescent="0.4">
      <c r="A732" s="25">
        <v>43466</v>
      </c>
      <c r="B732" s="26">
        <v>410.92</v>
      </c>
    </row>
    <row r="733" spans="1:2" x14ac:dyDescent="0.4">
      <c r="A733" s="25">
        <v>43497</v>
      </c>
      <c r="B733" s="26">
        <v>411.66</v>
      </c>
    </row>
    <row r="734" spans="1:2" x14ac:dyDescent="0.4">
      <c r="A734" s="25">
        <v>43525</v>
      </c>
      <c r="B734" s="26">
        <v>412</v>
      </c>
    </row>
    <row r="735" spans="1:2" x14ac:dyDescent="0.4">
      <c r="A735" s="25">
        <v>43556</v>
      </c>
      <c r="B735" s="26">
        <v>413.52</v>
      </c>
    </row>
    <row r="736" spans="1:2" x14ac:dyDescent="0.4">
      <c r="A736" s="25">
        <v>43586</v>
      </c>
      <c r="B736" s="26">
        <v>414.83</v>
      </c>
    </row>
    <row r="737" spans="1:5" x14ac:dyDescent="0.4">
      <c r="A737" s="25">
        <v>43617</v>
      </c>
      <c r="B737" s="26">
        <v>413.96</v>
      </c>
    </row>
    <row r="738" spans="1:5" x14ac:dyDescent="0.4">
      <c r="A738" s="25">
        <v>43647</v>
      </c>
      <c r="B738" s="26">
        <v>411.85</v>
      </c>
    </row>
    <row r="739" spans="1:5" x14ac:dyDescent="0.4">
      <c r="A739" s="25">
        <v>43678</v>
      </c>
      <c r="B739" s="26">
        <v>410.08</v>
      </c>
    </row>
    <row r="740" spans="1:5" x14ac:dyDescent="0.4">
      <c r="A740" s="25">
        <v>43709</v>
      </c>
      <c r="B740" s="26">
        <v>408.55</v>
      </c>
    </row>
    <row r="741" spans="1:5" x14ac:dyDescent="0.4">
      <c r="A741" s="25">
        <v>43739</v>
      </c>
      <c r="B741" s="26">
        <v>408.43</v>
      </c>
    </row>
    <row r="742" spans="1:5" x14ac:dyDescent="0.4">
      <c r="A742" s="25">
        <v>43770</v>
      </c>
      <c r="B742" s="26">
        <v>410.29</v>
      </c>
    </row>
    <row r="743" spans="1:5" x14ac:dyDescent="0.4">
      <c r="A743" s="25">
        <v>43800</v>
      </c>
      <c r="B743" s="26">
        <v>411.85</v>
      </c>
    </row>
    <row r="744" spans="1:5" x14ac:dyDescent="0.4">
      <c r="A744" s="25">
        <v>43831</v>
      </c>
      <c r="B744" s="26">
        <v>413.37</v>
      </c>
    </row>
    <row r="745" spans="1:5" x14ac:dyDescent="0.4">
      <c r="A745" s="25">
        <v>43862</v>
      </c>
      <c r="B745" s="26">
        <v>414.09</v>
      </c>
    </row>
    <row r="746" spans="1:5" x14ac:dyDescent="0.4">
      <c r="A746" s="25">
        <v>43891</v>
      </c>
      <c r="B746" s="26">
        <v>414.51</v>
      </c>
    </row>
    <row r="747" spans="1:5" x14ac:dyDescent="0.4">
      <c r="A747" s="25">
        <v>43922</v>
      </c>
      <c r="B747" s="26">
        <v>416.18</v>
      </c>
      <c r="C747" s="26">
        <v>416.18</v>
      </c>
      <c r="D747" s="27">
        <v>416.18</v>
      </c>
      <c r="E747" s="27">
        <v>416.18</v>
      </c>
    </row>
    <row r="748" spans="1:5" x14ac:dyDescent="0.4">
      <c r="A748" s="25">
        <v>43952</v>
      </c>
      <c r="C748" s="26">
        <f>_xlfn.FORECAST.ETS(A748,$B$2:$B$747,$A$2:$A$747,1,1)</f>
        <v>417.11032671212882</v>
      </c>
      <c r="D748" s="27">
        <f>C748-_xlfn.FORECAST.ETS.CONFINT(A748,$B$2:$B$747,$A$2:$A$747,0.95,1,1)</f>
        <v>416.1827592283048</v>
      </c>
      <c r="E748" s="27">
        <f>C748+_xlfn.FORECAST.ETS.CONFINT(A748,$B$2:$B$747,$A$2:$A$747,0.95,1,1)</f>
        <v>418.03789419595284</v>
      </c>
    </row>
    <row r="749" spans="1:5" x14ac:dyDescent="0.4">
      <c r="A749" s="25">
        <v>43983</v>
      </c>
      <c r="C749" s="26">
        <f>_xlfn.FORECAST.ETS(A749,$B$2:$B$747,$A$2:$A$747,1,1)</f>
        <v>416.73157778725454</v>
      </c>
      <c r="D749" s="27">
        <f>C749-_xlfn.FORECAST.ETS.CONFINT(A749,$B$2:$B$747,$A$2:$A$747,0.95,1,1)</f>
        <v>415.4204549968178</v>
      </c>
      <c r="E749" s="27">
        <f>C749+_xlfn.FORECAST.ETS.CONFINT(A749,$B$2:$B$747,$A$2:$A$747,0.95,1,1)</f>
        <v>418.04270057769128</v>
      </c>
    </row>
    <row r="750" spans="1:5" x14ac:dyDescent="0.4">
      <c r="A750" s="25">
        <v>44013</v>
      </c>
      <c r="C750" s="26">
        <f>_xlfn.FORECAST.ETS(A750,$B$2:$B$747,$A$2:$A$747,1,1)</f>
        <v>415.40118764135411</v>
      </c>
      <c r="D750" s="27">
        <f>C750-_xlfn.FORECAST.ETS.CONFINT(A750,$B$2:$B$747,$A$2:$A$747,0.95,1,1)</f>
        <v>413.79512898468857</v>
      </c>
      <c r="E750" s="27">
        <f>C750+_xlfn.FORECAST.ETS.CONFINT(A750,$B$2:$B$747,$A$2:$A$747,0.95,1,1)</f>
        <v>417.00724629801965</v>
      </c>
    </row>
    <row r="751" spans="1:5" x14ac:dyDescent="0.4">
      <c r="A751" s="25">
        <v>44044</v>
      </c>
      <c r="C751" s="26">
        <f>_xlfn.FORECAST.ETS(A751,$B$2:$B$747,$A$2:$A$747,1,1)</f>
        <v>413.72510795279442</v>
      </c>
      <c r="D751" s="27">
        <f>C751-_xlfn.FORECAST.ETS.CONFINT(A751,$B$2:$B$747,$A$2:$A$747,0.95,1,1)</f>
        <v>411.86997252136263</v>
      </c>
      <c r="E751" s="27">
        <f>C751+_xlfn.FORECAST.ETS.CONFINT(A751,$B$2:$B$747,$A$2:$A$747,0.95,1,1)</f>
        <v>415.58024338422621</v>
      </c>
    </row>
    <row r="752" spans="1:5" x14ac:dyDescent="0.4">
      <c r="A752" s="25">
        <v>44075</v>
      </c>
      <c r="C752" s="26">
        <f>_xlfn.FORECAST.ETS(A752,$B$2:$B$747,$A$2:$A$747,1,1)</f>
        <v>412.3138759251774</v>
      </c>
      <c r="D752" s="27">
        <f>C752-_xlfn.FORECAST.ETS.CONFINT(A752,$B$2:$B$747,$A$2:$A$747,0.95,1,1)</f>
        <v>410.23894125794686</v>
      </c>
      <c r="E752" s="27">
        <f>C752+_xlfn.FORECAST.ETS.CONFINT(A752,$B$2:$B$747,$A$2:$A$747,0.95,1,1)</f>
        <v>414.38881059240794</v>
      </c>
    </row>
    <row r="753" spans="1:5" x14ac:dyDescent="0.4">
      <c r="A753" s="25">
        <v>44105</v>
      </c>
      <c r="C753" s="26">
        <f>_xlfn.FORECAST.ETS(A753,$B$2:$B$747,$A$2:$A$747,1,1)</f>
        <v>412.14191175935866</v>
      </c>
      <c r="D753" s="27">
        <f>C753-_xlfn.FORECAST.ETS.CONFINT(A753,$B$2:$B$747,$A$2:$A$747,0.95,1,1)</f>
        <v>409.86794928333182</v>
      </c>
      <c r="E753" s="27">
        <f>C753+_xlfn.FORECAST.ETS.CONFINT(A753,$B$2:$B$747,$A$2:$A$747,0.95,1,1)</f>
        <v>414.4158742353855</v>
      </c>
    </row>
    <row r="754" spans="1:5" x14ac:dyDescent="0.4">
      <c r="A754" s="25">
        <v>44136</v>
      </c>
      <c r="C754" s="26">
        <f>_xlfn.FORECAST.ETS(A754,$B$2:$B$747,$A$2:$A$747,1,1)</f>
        <v>413.09678718504614</v>
      </c>
      <c r="D754" s="27">
        <f>C754-_xlfn.FORECAST.ETS.CONFINT(A754,$B$2:$B$747,$A$2:$A$747,0.95,1,1)</f>
        <v>410.63951560928876</v>
      </c>
      <c r="E754" s="27">
        <f>C754+_xlfn.FORECAST.ETS.CONFINT(A754,$B$2:$B$747,$A$2:$A$747,0.95,1,1)</f>
        <v>415.55405876080351</v>
      </c>
    </row>
    <row r="755" spans="1:5" x14ac:dyDescent="0.4">
      <c r="A755" s="25">
        <v>44166</v>
      </c>
      <c r="C755" s="26">
        <f>_xlfn.FORECAST.ETS(A755,$B$2:$B$747,$A$2:$A$747,1,1)</f>
        <v>414.21962864491803</v>
      </c>
      <c r="D755" s="27">
        <f>C755-_xlfn.FORECAST.ETS.CONFINT(A755,$B$2:$B$747,$A$2:$A$747,0.95,1,1)</f>
        <v>411.5914752327331</v>
      </c>
      <c r="E755" s="27">
        <f>C755+_xlfn.FORECAST.ETS.CONFINT(A755,$B$2:$B$747,$A$2:$A$747,0.95,1,1)</f>
        <v>416.84778205710296</v>
      </c>
    </row>
    <row r="756" spans="1:5" x14ac:dyDescent="0.4">
      <c r="A756" s="25">
        <v>44197</v>
      </c>
      <c r="C756" s="26">
        <f>_xlfn.FORECAST.ETS(A756,$B$2:$B$747,$A$2:$A$747,1,1)</f>
        <v>415.09856158249903</v>
      </c>
      <c r="D756" s="27">
        <f>C756-_xlfn.FORECAST.ETS.CONFINT(A756,$B$2:$B$747,$A$2:$A$747,0.95,1,1)</f>
        <v>412.30966801228107</v>
      </c>
      <c r="E756" s="27">
        <f>C756+_xlfn.FORECAST.ETS.CONFINT(A756,$B$2:$B$747,$A$2:$A$747,0.95,1,1)</f>
        <v>417.887455152717</v>
      </c>
    </row>
    <row r="757" spans="1:5" x14ac:dyDescent="0.4">
      <c r="A757" s="25">
        <v>44228</v>
      </c>
      <c r="C757" s="26">
        <f>_xlfn.FORECAST.ETS(A757,$B$2:$B$747,$A$2:$A$747,1,1)</f>
        <v>415.90419379572876</v>
      </c>
      <c r="D757" s="27">
        <f>C757-_xlfn.FORECAST.ETS.CONFINT(A757,$B$2:$B$747,$A$2:$A$747,0.95,1,1)</f>
        <v>412.96303819259248</v>
      </c>
      <c r="E757" s="27">
        <f>C757+_xlfn.FORECAST.ETS.CONFINT(A757,$B$2:$B$747,$A$2:$A$747,0.95,1,1)</f>
        <v>418.84534939886504</v>
      </c>
    </row>
    <row r="758" spans="1:5" x14ac:dyDescent="0.4">
      <c r="A758" s="25">
        <v>44256</v>
      </c>
      <c r="C758" s="26">
        <f>_xlfn.FORECAST.ETS(A758,$B$2:$B$747,$A$2:$A$747,1,1)</f>
        <v>416.53263660752253</v>
      </c>
      <c r="D758" s="27">
        <f>C758-_xlfn.FORECAST.ETS.CONFINT(A758,$B$2:$B$747,$A$2:$A$747,0.95,1,1)</f>
        <v>413.44644171958817</v>
      </c>
      <c r="E758" s="27">
        <f>C758+_xlfn.FORECAST.ETS.CONFINT(A758,$B$2:$B$747,$A$2:$A$747,0.95,1,1)</f>
        <v>419.6188314954569</v>
      </c>
    </row>
    <row r="759" spans="1:5" x14ac:dyDescent="0.4">
      <c r="A759" s="25">
        <v>44287</v>
      </c>
      <c r="C759" s="26">
        <f>_xlfn.FORECAST.ETS(A759,$B$2:$B$747,$A$2:$A$747,1,1)</f>
        <v>417.75341513686556</v>
      </c>
      <c r="D759" s="27">
        <f>C759-_xlfn.FORECAST.ETS.CONFINT(A759,$B$2:$B$747,$A$2:$A$747,0.95,1,1)</f>
        <v>414.5284287988909</v>
      </c>
      <c r="E759" s="27">
        <f>C759+_xlfn.FORECAST.ETS.CONFINT(A759,$B$2:$B$747,$A$2:$A$747,0.95,1,1)</f>
        <v>420.97840147484021</v>
      </c>
    </row>
    <row r="760" spans="1:5" x14ac:dyDescent="0.4">
      <c r="A760" s="25">
        <v>44317</v>
      </c>
      <c r="C760" s="26">
        <f>_xlfn.FORECAST.ETS(A760,$B$2:$B$747,$A$2:$A$747,1,1)</f>
        <v>418.68374184899443</v>
      </c>
      <c r="D760" s="27">
        <f>C760-_xlfn.FORECAST.ETS.CONFINT(A760,$B$2:$B$747,$A$2:$A$747,0.95,1,1)</f>
        <v>415.32517804657232</v>
      </c>
      <c r="E760" s="27">
        <f>C760+_xlfn.FORECAST.ETS.CONFINT(A760,$B$2:$B$747,$A$2:$A$747,0.95,1,1)</f>
        <v>422.04230565141654</v>
      </c>
    </row>
    <row r="761" spans="1:5" x14ac:dyDescent="0.4">
      <c r="A761" s="25">
        <v>44348</v>
      </c>
      <c r="C761" s="26">
        <f>_xlfn.FORECAST.ETS(A761,$B$2:$B$747,$A$2:$A$747,1,1)</f>
        <v>418.30499292412009</v>
      </c>
      <c r="D761" s="27">
        <f>C761-_xlfn.FORECAST.ETS.CONFINT(A761,$B$2:$B$747,$A$2:$A$747,0.95,1,1)</f>
        <v>414.81796485572767</v>
      </c>
      <c r="E761" s="27">
        <f>C761+_xlfn.FORECAST.ETS.CONFINT(A761,$B$2:$B$747,$A$2:$A$747,0.95,1,1)</f>
        <v>421.79202099251251</v>
      </c>
    </row>
    <row r="762" spans="1:5" x14ac:dyDescent="0.4">
      <c r="A762" s="25">
        <v>44378</v>
      </c>
      <c r="C762" s="26">
        <f>_xlfn.FORECAST.ETS(A762,$B$2:$B$747,$A$2:$A$747,1,1)</f>
        <v>416.97460277821972</v>
      </c>
      <c r="D762" s="27">
        <f>C762-_xlfn.FORECAST.ETS.CONFINT(A762,$B$2:$B$747,$A$2:$A$747,0.95,1,1)</f>
        <v>413.3634368672956</v>
      </c>
      <c r="E762" s="27">
        <f>C762+_xlfn.FORECAST.ETS.CONFINT(A762,$B$2:$B$747,$A$2:$A$747,0.95,1,1)</f>
        <v>420.58576868914383</v>
      </c>
    </row>
    <row r="763" spans="1:5" x14ac:dyDescent="0.4">
      <c r="A763" s="25">
        <v>44409</v>
      </c>
      <c r="C763" s="26">
        <f>_xlfn.FORECAST.ETS(A763,$B$2:$B$747,$A$2:$A$747,1,1)</f>
        <v>415.29852308966002</v>
      </c>
      <c r="D763" s="27">
        <f>C763-_xlfn.FORECAST.ETS.CONFINT(A763,$B$2:$B$747,$A$2:$A$747,0.95,1,1)</f>
        <v>411.56711370511186</v>
      </c>
      <c r="E763" s="27">
        <f>C763+_xlfn.FORECAST.ETS.CONFINT(A763,$B$2:$B$747,$A$2:$A$747,0.95,1,1)</f>
        <v>419.02993247420818</v>
      </c>
    </row>
    <row r="764" spans="1:5" x14ac:dyDescent="0.4">
      <c r="A764" s="25">
        <v>44440</v>
      </c>
      <c r="C764" s="26">
        <f>_xlfn.FORECAST.ETS(A764,$B$2:$B$747,$A$2:$A$747,1,1)</f>
        <v>413.88729106204295</v>
      </c>
      <c r="D764" s="27">
        <f>C764-_xlfn.FORECAST.ETS.CONFINT(A764,$B$2:$B$747,$A$2:$A$747,0.95,1,1)</f>
        <v>410.03916726632889</v>
      </c>
      <c r="E764" s="27">
        <f>C764+_xlfn.FORECAST.ETS.CONFINT(A764,$B$2:$B$747,$A$2:$A$747,0.95,1,1)</f>
        <v>417.73541485775701</v>
      </c>
    </row>
    <row r="765" spans="1:5" x14ac:dyDescent="0.4">
      <c r="A765" s="25">
        <v>44470</v>
      </c>
      <c r="C765" s="26">
        <f>_xlfn.FORECAST.ETS(A765,$B$2:$B$747,$A$2:$A$747,1,1)</f>
        <v>413.71532689622427</v>
      </c>
      <c r="D765" s="27">
        <f>C765-_xlfn.FORECAST.ETS.CONFINT(A765,$B$2:$B$747,$A$2:$A$747,0.95,1,1)</f>
        <v>409.75370561029558</v>
      </c>
      <c r="E765" s="27">
        <f>C765+_xlfn.FORECAST.ETS.CONFINT(A765,$B$2:$B$747,$A$2:$A$747,0.95,1,1)</f>
        <v>417.67694818215296</v>
      </c>
    </row>
    <row r="766" spans="1:5" x14ac:dyDescent="0.4">
      <c r="A766" s="25">
        <v>44501</v>
      </c>
      <c r="C766" s="26">
        <f>_xlfn.FORECAST.ETS(A766,$B$2:$B$747,$A$2:$A$747,1,1)</f>
        <v>414.67020232191175</v>
      </c>
      <c r="D766" s="27">
        <f>C766-_xlfn.FORECAST.ETS.CONFINT(A766,$B$2:$B$747,$A$2:$A$747,0.95,1,1)</f>
        <v>410.59803126536167</v>
      </c>
      <c r="E766" s="27">
        <f>C766+_xlfn.FORECAST.ETS.CONFINT(A766,$B$2:$B$747,$A$2:$A$747,0.95,1,1)</f>
        <v>418.74237337846182</v>
      </c>
    </row>
    <row r="767" spans="1:5" x14ac:dyDescent="0.4">
      <c r="A767" s="25">
        <v>44531</v>
      </c>
      <c r="C767" s="26">
        <f>_xlfn.FORECAST.ETS(A767,$B$2:$B$747,$A$2:$A$747,1,1)</f>
        <v>415.79304378178364</v>
      </c>
      <c r="D767" s="27">
        <f>C767-_xlfn.FORECAST.ETS.CONFINT(A767,$B$2:$B$747,$A$2:$A$747,0.95,1,1)</f>
        <v>411.61303658442779</v>
      </c>
      <c r="E767" s="27">
        <f>C767+_xlfn.FORECAST.ETS.CONFINT(A767,$B$2:$B$747,$A$2:$A$747,0.95,1,1)</f>
        <v>419.97305097913949</v>
      </c>
    </row>
    <row r="768" spans="1:5" x14ac:dyDescent="0.4">
      <c r="A768" s="25">
        <v>44562</v>
      </c>
      <c r="C768" s="26">
        <f>_xlfn.FORECAST.ETS(A768,$B$2:$B$747,$A$2:$A$747,1,1)</f>
        <v>416.67197671936458</v>
      </c>
      <c r="D768" s="27">
        <f>C768-_xlfn.FORECAST.ETS.CONFINT(A768,$B$2:$B$747,$A$2:$A$747,0.95,1,1)</f>
        <v>412.38664194804113</v>
      </c>
      <c r="E768" s="27">
        <f>C768+_xlfn.FORECAST.ETS.CONFINT(A768,$B$2:$B$747,$A$2:$A$747,0.95,1,1)</f>
        <v>420.95731149068803</v>
      </c>
    </row>
    <row r="769" spans="1:5" x14ac:dyDescent="0.4">
      <c r="A769" s="25">
        <v>44593</v>
      </c>
      <c r="C769" s="26">
        <f>_xlfn.FORECAST.ETS(A769,$B$2:$B$747,$A$2:$A$747,1,1)</f>
        <v>417.47760893259436</v>
      </c>
      <c r="D769" s="27">
        <f>C769-_xlfn.FORECAST.ETS.CONFINT(A769,$B$2:$B$747,$A$2:$A$747,0.95,1,1)</f>
        <v>413.08927432460604</v>
      </c>
      <c r="E769" s="27">
        <f>C769+_xlfn.FORECAST.ETS.CONFINT(A769,$B$2:$B$747,$A$2:$A$747,0.95,1,1)</f>
        <v>421.86594354058269</v>
      </c>
    </row>
    <row r="770" spans="1:5" x14ac:dyDescent="0.4">
      <c r="A770" s="25">
        <v>44621</v>
      </c>
      <c r="C770" s="26">
        <f>_xlfn.FORECAST.ETS(A770,$B$2:$B$747,$A$2:$A$747,1,1)</f>
        <v>418.10605174438814</v>
      </c>
      <c r="D770" s="27">
        <f>C770-_xlfn.FORECAST.ETS.CONFINT(A770,$B$2:$B$747,$A$2:$A$747,0.95,1,1)</f>
        <v>413.61688461909949</v>
      </c>
      <c r="E770" s="27">
        <f>C770+_xlfn.FORECAST.ETS.CONFINT(A770,$B$2:$B$747,$A$2:$A$747,0.95,1,1)</f>
        <v>422.59521886967678</v>
      </c>
    </row>
    <row r="771" spans="1:5" x14ac:dyDescent="0.4">
      <c r="A771" s="25">
        <v>44652</v>
      </c>
      <c r="C771" s="26">
        <f>_xlfn.FORECAST.ETS(A771,$B$2:$B$747,$A$2:$A$747,1,1)</f>
        <v>419.3268302737311</v>
      </c>
      <c r="D771" s="27">
        <f>C771-_xlfn.FORECAST.ETS.CONFINT(A771,$B$2:$B$747,$A$2:$A$747,0.95,1,1)</f>
        <v>414.73885486355397</v>
      </c>
      <c r="E771" s="27">
        <f>C771+_xlfn.FORECAST.ETS.CONFINT(A771,$B$2:$B$747,$A$2:$A$747,0.95,1,1)</f>
        <v>423.91480568390824</v>
      </c>
    </row>
    <row r="772" spans="1:5" x14ac:dyDescent="0.4">
      <c r="A772" s="25">
        <v>44682</v>
      </c>
      <c r="C772" s="26">
        <f>_xlfn.FORECAST.ETS(A772,$B$2:$B$747,$A$2:$A$747,1,1)</f>
        <v>420.25715698586004</v>
      </c>
      <c r="D772" s="27">
        <f>C772-_xlfn.FORECAST.ETS.CONFINT(A772,$B$2:$B$747,$A$2:$A$747,0.95,1,1)</f>
        <v>415.57208148067105</v>
      </c>
      <c r="E772" s="27">
        <f>C772+_xlfn.FORECAST.ETS.CONFINT(A772,$B$2:$B$747,$A$2:$A$747,0.95,1,1)</f>
        <v>424.94223249104903</v>
      </c>
    </row>
    <row r="773" spans="1:5" x14ac:dyDescent="0.4">
      <c r="A773" s="25">
        <v>44713</v>
      </c>
      <c r="C773" s="26">
        <f>_xlfn.FORECAST.ETS(A773,$B$2:$B$747,$A$2:$A$747,1,1)</f>
        <v>419.87840806098569</v>
      </c>
      <c r="D773" s="27">
        <f>C773-_xlfn.FORECAST.ETS.CONFINT(A773,$B$2:$B$747,$A$2:$A$747,0.95,1,1)</f>
        <v>415.09820444458461</v>
      </c>
      <c r="E773" s="27">
        <f>C773+_xlfn.FORECAST.ETS.CONFINT(A773,$B$2:$B$747,$A$2:$A$747,0.95,1,1)</f>
        <v>424.65861167738677</v>
      </c>
    </row>
    <row r="774" spans="1:5" x14ac:dyDescent="0.4">
      <c r="A774" s="25">
        <v>44743</v>
      </c>
      <c r="C774" s="26">
        <f>_xlfn.FORECAST.ETS(A774,$B$2:$B$747,$A$2:$A$747,1,1)</f>
        <v>418.54801791508527</v>
      </c>
      <c r="D774" s="27">
        <f>C774-_xlfn.FORECAST.ETS.CONFINT(A774,$B$2:$B$747,$A$2:$A$747,0.95,1,1)</f>
        <v>413.674362003966</v>
      </c>
      <c r="E774" s="27">
        <f>C774+_xlfn.FORECAST.ETS.CONFINT(A774,$B$2:$B$747,$A$2:$A$747,0.95,1,1)</f>
        <v>423.42167382620454</v>
      </c>
    </row>
    <row r="775" spans="1:5" x14ac:dyDescent="0.4">
      <c r="A775" s="25">
        <v>44774</v>
      </c>
      <c r="C775" s="26">
        <f>_xlfn.FORECAST.ETS(A775,$B$2:$B$747,$A$2:$A$747,1,1)</f>
        <v>416.87193822652563</v>
      </c>
      <c r="D775" s="27">
        <f>C775-_xlfn.FORECAST.ETS.CONFINT(A775,$B$2:$B$747,$A$2:$A$747,0.95,1,1)</f>
        <v>411.90641104532062</v>
      </c>
      <c r="E775" s="27">
        <f>C775+_xlfn.FORECAST.ETS.CONFINT(A775,$B$2:$B$747,$A$2:$A$747,0.95,1,1)</f>
        <v>421.83746540773063</v>
      </c>
    </row>
    <row r="776" spans="1:5" x14ac:dyDescent="0.4">
      <c r="A776" s="25">
        <v>44805</v>
      </c>
      <c r="C776" s="26">
        <f>_xlfn.FORECAST.ETS(A776,$B$2:$B$747,$A$2:$A$747,1,1)</f>
        <v>415.46070619890855</v>
      </c>
      <c r="D776" s="27">
        <f>C776-_xlfn.FORECAST.ETS.CONFINT(A776,$B$2:$B$747,$A$2:$A$747,0.95,1,1)</f>
        <v>410.40480241452821</v>
      </c>
      <c r="E776" s="27">
        <f>C776+_xlfn.FORECAST.ETS.CONFINT(A776,$B$2:$B$747,$A$2:$A$747,0.95,1,1)</f>
        <v>420.5166099832889</v>
      </c>
    </row>
    <row r="777" spans="1:5" x14ac:dyDescent="0.4">
      <c r="A777" s="25">
        <v>44835</v>
      </c>
      <c r="C777" s="26">
        <f>_xlfn.FORECAST.ETS(A777,$B$2:$B$747,$A$2:$A$747,1,1)</f>
        <v>415.28874203308982</v>
      </c>
      <c r="D777" s="27">
        <f>C777-_xlfn.FORECAST.ETS.CONFINT(A777,$B$2:$B$747,$A$2:$A$747,0.95,1,1)</f>
        <v>410.14387737698587</v>
      </c>
      <c r="E777" s="27">
        <f>C777+_xlfn.FORECAST.ETS.CONFINT(A777,$B$2:$B$747,$A$2:$A$747,0.95,1,1)</f>
        <v>420.43360668919377</v>
      </c>
    </row>
    <row r="778" spans="1:5" x14ac:dyDescent="0.4">
      <c r="A778" s="25">
        <v>44866</v>
      </c>
      <c r="C778" s="26">
        <f>_xlfn.FORECAST.ETS(A778,$B$2:$B$747,$A$2:$A$747,1,1)</f>
        <v>416.24361745877735</v>
      </c>
      <c r="D778" s="27">
        <f>C778-_xlfn.FORECAST.ETS.CONFINT(A778,$B$2:$B$747,$A$2:$A$747,0.95,1,1)</f>
        <v>411.01113528812482</v>
      </c>
      <c r="E778" s="27">
        <f>C778+_xlfn.FORECAST.ETS.CONFINT(A778,$B$2:$B$747,$A$2:$A$747,0.95,1,1)</f>
        <v>421.47609962942988</v>
      </c>
    </row>
    <row r="779" spans="1:5" x14ac:dyDescent="0.4">
      <c r="A779" s="25">
        <v>44896</v>
      </c>
      <c r="C779" s="26">
        <f>_xlfn.FORECAST.ETS(A779,$B$2:$B$747,$A$2:$A$747,1,1)</f>
        <v>417.36645891864924</v>
      </c>
      <c r="D779" s="27">
        <f>C779-_xlfn.FORECAST.ETS.CONFINT(A779,$B$2:$B$747,$A$2:$A$747,0.95,1,1)</f>
        <v>412.0476360406638</v>
      </c>
      <c r="E779" s="27">
        <f>C779+_xlfn.FORECAST.ETS.CONFINT(A779,$B$2:$B$747,$A$2:$A$747,0.95,1,1)</f>
        <v>422.68528179663468</v>
      </c>
    </row>
    <row r="780" spans="1:5" x14ac:dyDescent="0.4">
      <c r="A780" s="25">
        <v>44927</v>
      </c>
      <c r="C780" s="26">
        <f>_xlfn.FORECAST.ETS(A780,$B$2:$B$747,$A$2:$A$747,1,1)</f>
        <v>418.24539185623019</v>
      </c>
      <c r="D780" s="27">
        <f>C780-_xlfn.FORECAST.ETS.CONFINT(A780,$B$2:$B$747,$A$2:$A$747,0.95,1,1)</f>
        <v>412.84144371862328</v>
      </c>
      <c r="E780" s="27">
        <f>C780+_xlfn.FORECAST.ETS.CONFINT(A780,$B$2:$B$747,$A$2:$A$747,0.95,1,1)</f>
        <v>423.64933999383709</v>
      </c>
    </row>
    <row r="781" spans="1:5" x14ac:dyDescent="0.4">
      <c r="A781" s="25">
        <v>44958</v>
      </c>
      <c r="C781" s="26">
        <f>_xlfn.FORECAST.ETS(A781,$B$2:$B$747,$A$2:$A$747,1,1)</f>
        <v>419.05102406945997</v>
      </c>
      <c r="D781" s="27">
        <f>C781-_xlfn.FORECAST.ETS.CONFINT(A781,$B$2:$B$747,$A$2:$A$747,0.95,1,1)</f>
        <v>413.56310940297226</v>
      </c>
      <c r="E781" s="27">
        <f>C781+_xlfn.FORECAST.ETS.CONFINT(A781,$B$2:$B$747,$A$2:$A$747,0.95,1,1)</f>
        <v>424.53893873594768</v>
      </c>
    </row>
    <row r="782" spans="1:5" x14ac:dyDescent="0.4">
      <c r="A782" s="25">
        <v>44986</v>
      </c>
      <c r="C782" s="26">
        <f>_xlfn.FORECAST.ETS(A782,$B$2:$B$747,$A$2:$A$747,1,1)</f>
        <v>419.67946688125375</v>
      </c>
      <c r="D782" s="27">
        <f>C782-_xlfn.FORECAST.ETS.CONFINT(A782,$B$2:$B$747,$A$2:$A$747,0.95,1,1)</f>
        <v>414.10869186638723</v>
      </c>
      <c r="E782" s="27">
        <f>C782+_xlfn.FORECAST.ETS.CONFINT(A782,$B$2:$B$747,$A$2:$A$747,0.95,1,1)</f>
        <v>425.25024189612026</v>
      </c>
    </row>
    <row r="783" spans="1:5" x14ac:dyDescent="0.4">
      <c r="A783" s="25">
        <v>45017</v>
      </c>
      <c r="C783" s="26">
        <f>_xlfn.FORECAST.ETS(A783,$B$2:$B$747,$A$2:$A$747,1,1)</f>
        <v>420.90024541059671</v>
      </c>
      <c r="D783" s="27">
        <f>C783-_xlfn.FORECAST.ETS.CONFINT(A783,$B$2:$B$747,$A$2:$A$747,0.95,1,1)</f>
        <v>415.24766742939744</v>
      </c>
      <c r="E783" s="27">
        <f>C783+_xlfn.FORECAST.ETS.CONFINT(A783,$B$2:$B$747,$A$2:$A$747,0.95,1,1)</f>
        <v>426.55282339179598</v>
      </c>
    </row>
    <row r="784" spans="1:5" x14ac:dyDescent="0.4">
      <c r="A784" s="25">
        <v>45047</v>
      </c>
      <c r="C784" s="26">
        <f>_xlfn.FORECAST.ETS(A784,$B$2:$B$747,$A$2:$A$747,1,1)</f>
        <v>421.83057212272558</v>
      </c>
      <c r="D784" s="27">
        <f>C784-_xlfn.FORECAST.ETS.CONFINT(A784,$B$2:$B$747,$A$2:$A$747,0.95,1,1)</f>
        <v>416.09704790646555</v>
      </c>
      <c r="E784" s="27">
        <f>C784+_xlfn.FORECAST.ETS.CONFINT(A784,$B$2:$B$747,$A$2:$A$747,0.95,1,1)</f>
        <v>427.56409633898562</v>
      </c>
    </row>
    <row r="785" spans="1:5" x14ac:dyDescent="0.4">
      <c r="A785" s="25">
        <v>45078</v>
      </c>
      <c r="C785" s="26">
        <f>_xlfn.FORECAST.ETS(A785,$B$2:$B$747,$A$2:$A$747,1,1)</f>
        <v>421.4518231978513</v>
      </c>
      <c r="D785" s="27">
        <f>C785-_xlfn.FORECAST.ETS.CONFINT(A785,$B$2:$B$747,$A$2:$A$747,0.95,1,1)</f>
        <v>415.63847974994269</v>
      </c>
      <c r="E785" s="27">
        <f>C785+_xlfn.FORECAST.ETS.CONFINT(A785,$B$2:$B$747,$A$2:$A$747,0.95,1,1)</f>
        <v>427.2651666457599</v>
      </c>
    </row>
    <row r="786" spans="1:5" x14ac:dyDescent="0.4">
      <c r="A786" s="25">
        <v>45108</v>
      </c>
      <c r="C786" s="26">
        <f>_xlfn.FORECAST.ETS(A786,$B$2:$B$747,$A$2:$A$747,1,1)</f>
        <v>420.12143305195087</v>
      </c>
      <c r="D786" s="27">
        <f>C786-_xlfn.FORECAST.ETS.CONFINT(A786,$B$2:$B$747,$A$2:$A$747,0.95,1,1)</f>
        <v>414.22920036830715</v>
      </c>
      <c r="E786" s="27">
        <f>C786+_xlfn.FORECAST.ETS.CONFINT(A786,$B$2:$B$747,$A$2:$A$747,0.95,1,1)</f>
        <v>426.0136657355946</v>
      </c>
    </row>
    <row r="787" spans="1:5" x14ac:dyDescent="0.4">
      <c r="A787" s="25">
        <v>45139</v>
      </c>
      <c r="C787" s="26">
        <f>_xlfn.FORECAST.ETS(A787,$B$2:$B$747,$A$2:$A$747,1,1)</f>
        <v>418.44535336339118</v>
      </c>
      <c r="D787" s="27">
        <f>C787-_xlfn.FORECAST.ETS.CONFINT(A787,$B$2:$B$747,$A$2:$A$747,0.95,1,1)</f>
        <v>412.475124429441</v>
      </c>
      <c r="E787" s="27">
        <f>C787+_xlfn.FORECAST.ETS.CONFINT(A787,$B$2:$B$747,$A$2:$A$747,0.95,1,1)</f>
        <v>424.41558229734136</v>
      </c>
    </row>
    <row r="788" spans="1:5" x14ac:dyDescent="0.4">
      <c r="A788" s="25">
        <v>45170</v>
      </c>
      <c r="C788" s="26">
        <f>_xlfn.FORECAST.ETS(A788,$B$2:$B$747,$A$2:$A$747,1,1)</f>
        <v>417.03412133577416</v>
      </c>
      <c r="D788" s="27">
        <f>C788-_xlfn.FORECAST.ETS.CONFINT(A788,$B$2:$B$747,$A$2:$A$747,0.95,1,1)</f>
        <v>410.98675444258549</v>
      </c>
      <c r="E788" s="27">
        <f>C788+_xlfn.FORECAST.ETS.CONFINT(A788,$B$2:$B$747,$A$2:$A$747,0.95,1,1)</f>
        <v>423.08148822896283</v>
      </c>
    </row>
    <row r="789" spans="1:5" x14ac:dyDescent="0.4">
      <c r="A789" s="25">
        <v>45200</v>
      </c>
      <c r="C789" s="26">
        <f>_xlfn.FORECAST.ETS(A789,$B$2:$B$747,$A$2:$A$747,1,1)</f>
        <v>416.86215716995542</v>
      </c>
      <c r="D789" s="27">
        <f>C789-_xlfn.FORECAST.ETS.CONFINT(A789,$B$2:$B$747,$A$2:$A$747,0.95,1,1)</f>
        <v>410.73847803318336</v>
      </c>
      <c r="E789" s="27">
        <f>C789+_xlfn.FORECAST.ETS.CONFINT(A789,$B$2:$B$747,$A$2:$A$747,0.95,1,1)</f>
        <v>422.98583630672749</v>
      </c>
    </row>
    <row r="790" spans="1:5" x14ac:dyDescent="0.4">
      <c r="A790" s="25">
        <v>45231</v>
      </c>
      <c r="C790" s="26">
        <f>_xlfn.FORECAST.ETS(A790,$B$2:$B$747,$A$2:$A$747,1,1)</f>
        <v>417.8170325956429</v>
      </c>
      <c r="D790" s="27">
        <f>C790-_xlfn.FORECAST.ETS.CONFINT(A790,$B$2:$B$747,$A$2:$A$747,0.95,1,1)</f>
        <v>411.61783629834372</v>
      </c>
      <c r="E790" s="27">
        <f>C790+_xlfn.FORECAST.ETS.CONFINT(A790,$B$2:$B$747,$A$2:$A$747,0.95,1,1)</f>
        <v>424.01622889294208</v>
      </c>
    </row>
    <row r="791" spans="1:5" x14ac:dyDescent="0.4">
      <c r="A791" s="25">
        <v>45261</v>
      </c>
      <c r="C791" s="26">
        <f>_xlfn.FORECAST.ETS(A791,$B$2:$B$747,$A$2:$A$747,1,1)</f>
        <v>418.93987405551485</v>
      </c>
      <c r="D791" s="27">
        <f>C791-_xlfn.FORECAST.ETS.CONFINT(A791,$B$2:$B$747,$A$2:$A$747,0.95,1,1)</f>
        <v>412.66592683318908</v>
      </c>
      <c r="E791" s="27">
        <f>C791+_xlfn.FORECAST.ETS.CONFINT(A791,$B$2:$B$747,$A$2:$A$747,0.95,1,1)</f>
        <v>425.21382127784062</v>
      </c>
    </row>
    <row r="792" spans="1:5" x14ac:dyDescent="0.4">
      <c r="A792" s="25">
        <v>45292</v>
      </c>
      <c r="C792" s="26">
        <f>_xlfn.FORECAST.ETS(A792,$B$2:$B$747,$A$2:$A$747,1,1)</f>
        <v>419.81880699309579</v>
      </c>
      <c r="D792" s="27">
        <f>C792-_xlfn.FORECAST.ETS.CONFINT(A792,$B$2:$B$747,$A$2:$A$747,0.95,1,1)</f>
        <v>413.47084787703778</v>
      </c>
      <c r="E792" s="27">
        <f>C792+_xlfn.FORECAST.ETS.CONFINT(A792,$B$2:$B$747,$A$2:$A$747,0.95,1,1)</f>
        <v>426.1667661091538</v>
      </c>
    </row>
    <row r="793" spans="1:5" x14ac:dyDescent="0.4">
      <c r="A793" s="25">
        <v>45323</v>
      </c>
      <c r="C793" s="26">
        <f>_xlfn.FORECAST.ETS(A793,$B$2:$B$747,$A$2:$A$747,1,1)</f>
        <v>420.62443920632552</v>
      </c>
      <c r="D793" s="27">
        <f>C793-_xlfn.FORECAST.ETS.CONFINT(A793,$B$2:$B$747,$A$2:$A$747,0.95,1,1)</f>
        <v>414.20318153939962</v>
      </c>
      <c r="E793" s="27">
        <f>C793+_xlfn.FORECAST.ETS.CONFINT(A793,$B$2:$B$747,$A$2:$A$747,0.95,1,1)</f>
        <v>427.04569687325142</v>
      </c>
    </row>
    <row r="794" spans="1:5" x14ac:dyDescent="0.4">
      <c r="A794" s="25">
        <v>45352</v>
      </c>
      <c r="C794" s="26">
        <f>_xlfn.FORECAST.ETS(A794,$B$2:$B$747,$A$2:$A$747,1,1)</f>
        <v>421.25288201811935</v>
      </c>
      <c r="D794" s="27">
        <f>C794-_xlfn.FORECAST.ETS.CONFINT(A794,$B$2:$B$747,$A$2:$A$747,0.95,1,1)</f>
        <v>414.75901485540152</v>
      </c>
      <c r="E794" s="27">
        <f>C794+_xlfn.FORECAST.ETS.CONFINT(A794,$B$2:$B$747,$A$2:$A$747,0.95,1,1)</f>
        <v>427.74674918083718</v>
      </c>
    </row>
    <row r="795" spans="1:5" x14ac:dyDescent="0.4">
      <c r="A795" s="25">
        <v>45383</v>
      </c>
      <c r="C795" s="26">
        <f>_xlfn.FORECAST.ETS(A795,$B$2:$B$747,$A$2:$A$747,1,1)</f>
        <v>422.47366054746232</v>
      </c>
      <c r="D795" s="27">
        <f>C795-_xlfn.FORECAST.ETS.CONFINT(A795,$B$2:$B$747,$A$2:$A$747,0.95,1,1)</f>
        <v>415.90784995273629</v>
      </c>
      <c r="E795" s="27">
        <f>C795+_xlfn.FORECAST.ETS.CONFINT(A795,$B$2:$B$747,$A$2:$A$747,0.95,1,1)</f>
        <v>429.03947114218835</v>
      </c>
    </row>
    <row r="796" spans="1:5" x14ac:dyDescent="0.4">
      <c r="A796" s="25">
        <v>45413</v>
      </c>
      <c r="C796" s="26">
        <f>_xlfn.FORECAST.ETS(A796,$B$2:$B$747,$A$2:$A$747,1,1)</f>
        <v>423.40398725959119</v>
      </c>
      <c r="D796" s="27">
        <f>C796-_xlfn.FORECAST.ETS.CONFINT(A796,$B$2:$B$747,$A$2:$A$747,0.95,1,1)</f>
        <v>416.76674184899036</v>
      </c>
      <c r="E796" s="27">
        <f>C796+_xlfn.FORECAST.ETS.CONFINT(A796,$B$2:$B$747,$A$2:$A$747,0.95,1,1)</f>
        <v>430.04123267019202</v>
      </c>
    </row>
    <row r="797" spans="1:5" x14ac:dyDescent="0.4">
      <c r="A797" s="25">
        <v>45444</v>
      </c>
      <c r="C797" s="26">
        <f>_xlfn.FORECAST.ETS(A797,$B$2:$B$747,$A$2:$A$747,1,1)</f>
        <v>423.02523833471685</v>
      </c>
      <c r="D797" s="27">
        <f>C797-_xlfn.FORECAST.ETS.CONFINT(A797,$B$2:$B$747,$A$2:$A$747,0.95,1,1)</f>
        <v>416.31731879768705</v>
      </c>
      <c r="E797" s="27">
        <f>C797+_xlfn.FORECAST.ETS.CONFINT(A797,$B$2:$B$747,$A$2:$A$747,0.95,1,1)</f>
        <v>429.73315787174664</v>
      </c>
    </row>
    <row r="798" spans="1:5" x14ac:dyDescent="0.4">
      <c r="A798" s="25">
        <v>45474</v>
      </c>
      <c r="C798" s="26">
        <f>_xlfn.FORECAST.ETS(A798,$B$2:$B$747,$A$2:$A$747,1,1)</f>
        <v>421.69484818881648</v>
      </c>
      <c r="D798" s="27">
        <f>C798-_xlfn.FORECAST.ETS.CONFINT(A798,$B$2:$B$747,$A$2:$A$747,0.95,1,1)</f>
        <v>414.91685845076722</v>
      </c>
      <c r="E798" s="27">
        <f>C798+_xlfn.FORECAST.ETS.CONFINT(A798,$B$2:$B$747,$A$2:$A$747,0.95,1,1)</f>
        <v>428.47283792686574</v>
      </c>
    </row>
    <row r="799" spans="1:5" x14ac:dyDescent="0.4">
      <c r="A799" s="25">
        <v>45505</v>
      </c>
      <c r="C799" s="26">
        <f>_xlfn.FORECAST.ETS(A799,$B$2:$B$747,$A$2:$A$747,1,1)</f>
        <v>420.01876850025678</v>
      </c>
      <c r="D799" s="27">
        <f>C799-_xlfn.FORECAST.ETS.CONFINT(A799,$B$2:$B$747,$A$2:$A$747,0.95,1,1)</f>
        <v>413.17129382101848</v>
      </c>
      <c r="E799" s="27">
        <f>C799+_xlfn.FORECAST.ETS.CONFINT(A799,$B$2:$B$747,$A$2:$A$747,0.95,1,1)</f>
        <v>426.86624317949509</v>
      </c>
    </row>
    <row r="800" spans="1:5" x14ac:dyDescent="0.4">
      <c r="A800" s="25">
        <v>45536</v>
      </c>
      <c r="C800" s="26">
        <f>_xlfn.FORECAST.ETS(A800,$B$2:$B$747,$A$2:$A$747,1,1)</f>
        <v>418.60753647263971</v>
      </c>
      <c r="D800" s="27">
        <f>C800-_xlfn.FORECAST.ETS.CONFINT(A800,$B$2:$B$747,$A$2:$A$747,0.95,1,1)</f>
        <v>411.69114434833421</v>
      </c>
      <c r="E800" s="27">
        <f>C800+_xlfn.FORECAST.ETS.CONFINT(A800,$B$2:$B$747,$A$2:$A$747,0.95,1,1)</f>
        <v>425.52392859694521</v>
      </c>
    </row>
    <row r="801" spans="1:5" x14ac:dyDescent="0.4">
      <c r="A801" s="25">
        <v>45566</v>
      </c>
      <c r="C801" s="26">
        <f>_xlfn.FORECAST.ETS(A801,$B$2:$B$747,$A$2:$A$747,1,1)</f>
        <v>418.43557230682103</v>
      </c>
      <c r="D801" s="27">
        <f>C801-_xlfn.FORECAST.ETS.CONFINT(A801,$B$2:$B$747,$A$2:$A$747,0.95,1,1)</f>
        <v>411.45081331220285</v>
      </c>
      <c r="E801" s="27">
        <f>C801+_xlfn.FORECAST.ETS.CONFINT(A801,$B$2:$B$747,$A$2:$A$747,0.95,1,1)</f>
        <v>425.42033130143921</v>
      </c>
    </row>
    <row r="802" spans="1:5" x14ac:dyDescent="0.4">
      <c r="A802" s="25">
        <v>45597</v>
      </c>
      <c r="C802" s="26">
        <f>_xlfn.FORECAST.ETS(A802,$B$2:$B$747,$A$2:$A$747,1,1)</f>
        <v>419.39044773250851</v>
      </c>
      <c r="D802" s="27">
        <f>C802-_xlfn.FORECAST.ETS.CONFINT(A802,$B$2:$B$747,$A$2:$A$747,0.95,1,1)</f>
        <v>412.33785630872637</v>
      </c>
      <c r="E802" s="27">
        <f>C802+_xlfn.FORECAST.ETS.CONFINT(A802,$B$2:$B$747,$A$2:$A$747,0.95,1,1)</f>
        <v>426.44303915629064</v>
      </c>
    </row>
    <row r="803" spans="1:5" x14ac:dyDescent="0.4">
      <c r="A803" s="25">
        <v>45627</v>
      </c>
      <c r="C803" s="26">
        <f>_xlfn.FORECAST.ETS(A803,$B$2:$B$747,$A$2:$A$747,1,1)</f>
        <v>420.5132891923804</v>
      </c>
      <c r="D803" s="27">
        <f>C803-_xlfn.FORECAST.ETS.CONFINT(A803,$B$2:$B$747,$A$2:$A$747,0.95,1,1)</f>
        <v>413.39338438461527</v>
      </c>
      <c r="E803" s="27">
        <f>C803+_xlfn.FORECAST.ETS.CONFINT(A803,$B$2:$B$747,$A$2:$A$747,0.95,1,1)</f>
        <v>427.63319400014552</v>
      </c>
    </row>
    <row r="804" spans="1:5" x14ac:dyDescent="0.4">
      <c r="A804" s="25">
        <v>45658</v>
      </c>
      <c r="C804" s="26">
        <f>_xlfn.FORECAST.ETS(A804,$B$2:$B$747,$A$2:$A$747,1,1)</f>
        <v>421.3922221299614</v>
      </c>
      <c r="D804" s="27">
        <f>C804-_xlfn.FORECAST.ETS.CONFINT(A804,$B$2:$B$747,$A$2:$A$747,0.95,1,1)</f>
        <v>414.2055082789613</v>
      </c>
      <c r="E804" s="27">
        <f>C804+_xlfn.FORECAST.ETS.CONFINT(A804,$B$2:$B$747,$A$2:$A$747,0.95,1,1)</f>
        <v>428.57893598096149</v>
      </c>
    </row>
    <row r="805" spans="1:5" x14ac:dyDescent="0.4">
      <c r="A805" s="25">
        <v>45689</v>
      </c>
      <c r="C805" s="26">
        <f>_xlfn.FORECAST.ETS(A805,$B$2:$B$747,$A$2:$A$747,1,1)</f>
        <v>422.19785434319112</v>
      </c>
      <c r="D805" s="27">
        <f>C805-_xlfn.FORECAST.ETS.CONFINT(A805,$B$2:$B$747,$A$2:$A$747,0.95,1,1)</f>
        <v>414.94482173433528</v>
      </c>
      <c r="E805" s="27">
        <f>C805+_xlfn.FORECAST.ETS.CONFINT(A805,$B$2:$B$747,$A$2:$A$747,0.95,1,1)</f>
        <v>429.45088695204697</v>
      </c>
    </row>
    <row r="806" spans="1:5" x14ac:dyDescent="0.4">
      <c r="A806" s="25">
        <v>45717</v>
      </c>
      <c r="C806" s="26">
        <f>_xlfn.FORECAST.ETS(A806,$B$2:$B$747,$A$2:$A$747,1,1)</f>
        <v>422.8262971549849</v>
      </c>
      <c r="D806" s="27">
        <f>C806-_xlfn.FORECAST.ETS.CONFINT(A806,$B$2:$B$747,$A$2:$A$747,0.95,1,1)</f>
        <v>415.50742262816658</v>
      </c>
      <c r="E806" s="27">
        <f>C806+_xlfn.FORECAST.ETS.CONFINT(A806,$B$2:$B$747,$A$2:$A$747,0.95,1,1)</f>
        <v>430.14517168180322</v>
      </c>
    </row>
    <row r="807" spans="1:5" x14ac:dyDescent="0.4">
      <c r="A807" s="25">
        <v>45748</v>
      </c>
      <c r="C807" s="26">
        <f>_xlfn.FORECAST.ETS(A807,$B$2:$B$747,$A$2:$A$747,1,1)</f>
        <v>424.04707568432792</v>
      </c>
      <c r="D807" s="27">
        <f>C807-_xlfn.FORECAST.ETS.CONFINT(A807,$B$2:$B$747,$A$2:$A$747,0.95,1,1)</f>
        <v>416.66282320764014</v>
      </c>
      <c r="E807" s="27">
        <f>C807+_xlfn.FORECAST.ETS.CONFINT(A807,$B$2:$B$747,$A$2:$A$747,0.95,1,1)</f>
        <v>431.4313281610157</v>
      </c>
    </row>
    <row r="808" spans="1:5" x14ac:dyDescent="0.4">
      <c r="A808" s="25">
        <v>45778</v>
      </c>
      <c r="C808" s="26">
        <f>_xlfn.FORECAST.ETS(A808,$B$2:$B$747,$A$2:$A$747,1,1)</f>
        <v>424.9774023964568</v>
      </c>
      <c r="D808" s="27">
        <f>C808-_xlfn.FORECAST.ETS.CONFINT(A808,$B$2:$B$747,$A$2:$A$747,0.95,1,1)</f>
        <v>417.52810135046116</v>
      </c>
      <c r="E808" s="27">
        <f>C808+_xlfn.FORECAST.ETS.CONFINT(A808,$B$2:$B$747,$A$2:$A$747,0.95,1,1)</f>
        <v>432.42670344245244</v>
      </c>
    </row>
    <row r="809" spans="1:5" x14ac:dyDescent="0.4">
      <c r="A809" s="25">
        <v>45809</v>
      </c>
      <c r="C809" s="26">
        <f>_xlfn.FORECAST.ETS(A809,$B$2:$B$747,$A$2:$A$747,1,1)</f>
        <v>424.59865347158245</v>
      </c>
      <c r="D809" s="27">
        <f>C809-_xlfn.FORECAST.ETS.CONFINT(A809,$B$2:$B$747,$A$2:$A$747,0.95,1,1)</f>
        <v>417.08486697552911</v>
      </c>
      <c r="E809" s="27">
        <f>C809+_xlfn.FORECAST.ETS.CONFINT(A809,$B$2:$B$747,$A$2:$A$747,0.95,1,1)</f>
        <v>432.11243996763579</v>
      </c>
    </row>
    <row r="810" spans="1:5" x14ac:dyDescent="0.4">
      <c r="A810" s="25">
        <v>45839</v>
      </c>
      <c r="C810" s="26">
        <f>_xlfn.FORECAST.ETS(A810,$B$2:$B$747,$A$2:$A$747,1,1)</f>
        <v>423.26826332568208</v>
      </c>
      <c r="D810" s="27">
        <f>C810-_xlfn.FORECAST.ETS.CONFINT(A810,$B$2:$B$747,$A$2:$A$747,0.95,1,1)</f>
        <v>415.69041982697217</v>
      </c>
      <c r="E810" s="27">
        <f>C810+_xlfn.FORECAST.ETS.CONFINT(A810,$B$2:$B$747,$A$2:$A$747,0.95,1,1)</f>
        <v>430.846106824392</v>
      </c>
    </row>
    <row r="811" spans="1:5" x14ac:dyDescent="0.4">
      <c r="A811" s="25">
        <v>45870</v>
      </c>
      <c r="C811" s="26">
        <f>_xlfn.FORECAST.ETS(A811,$B$2:$B$747,$A$2:$A$747,1,1)</f>
        <v>421.59218363712239</v>
      </c>
      <c r="D811" s="27">
        <f>C811-_xlfn.FORECAST.ETS.CONFINT(A811,$B$2:$B$747,$A$2:$A$747,0.95,1,1)</f>
        <v>413.95070069579253</v>
      </c>
      <c r="E811" s="27">
        <f>C811+_xlfn.FORECAST.ETS.CONFINT(A811,$B$2:$B$747,$A$2:$A$747,0.95,1,1)</f>
        <v>429.23366657845224</v>
      </c>
    </row>
    <row r="812" spans="1:5" x14ac:dyDescent="0.4">
      <c r="A812" s="25">
        <v>45901</v>
      </c>
      <c r="C812" s="26">
        <f>_xlfn.FORECAST.ETS(A812,$B$2:$B$747,$A$2:$A$747,1,1)</f>
        <v>420.18095160950531</v>
      </c>
      <c r="D812" s="27">
        <f>C812-_xlfn.FORECAST.ETS.CONFINT(A812,$B$2:$B$747,$A$2:$A$747,0.95,1,1)</f>
        <v>412.47623632702278</v>
      </c>
      <c r="E812" s="27">
        <f>C812+_xlfn.FORECAST.ETS.CONFINT(A812,$B$2:$B$747,$A$2:$A$747,0.95,1,1)</f>
        <v>427.88566689198785</v>
      </c>
    </row>
    <row r="813" spans="1:5" x14ac:dyDescent="0.4">
      <c r="A813" s="25">
        <v>45931</v>
      </c>
      <c r="C813" s="26">
        <f>_xlfn.FORECAST.ETS(A813,$B$2:$B$747,$A$2:$A$747,1,1)</f>
        <v>420.00898744368658</v>
      </c>
      <c r="D813" s="27">
        <f>C813-_xlfn.FORECAST.ETS.CONFINT(A813,$B$2:$B$747,$A$2:$A$747,0.95,1,1)</f>
        <v>412.24143686862368</v>
      </c>
      <c r="E813" s="27">
        <f>C813+_xlfn.FORECAST.ETS.CONFINT(A813,$B$2:$B$747,$A$2:$A$747,0.95,1,1)</f>
        <v>427.77653801874948</v>
      </c>
    </row>
    <row r="814" spans="1:5" x14ac:dyDescent="0.4">
      <c r="A814" s="25">
        <v>45962</v>
      </c>
      <c r="C814" s="26">
        <f>_xlfn.FORECAST.ETS(A814,$B$2:$B$747,$A$2:$A$747,1,1)</f>
        <v>420.96386286937411</v>
      </c>
      <c r="D814" s="27">
        <f>C814-_xlfn.FORECAST.ETS.CONFINT(A814,$B$2:$B$747,$A$2:$A$747,0.95,1,1)</f>
        <v>413.13386438153799</v>
      </c>
      <c r="E814" s="27">
        <f>C814+_xlfn.FORECAST.ETS.CONFINT(A814,$B$2:$B$747,$A$2:$A$747,0.95,1,1)</f>
        <v>428.79386135721023</v>
      </c>
    </row>
    <row r="815" spans="1:5" x14ac:dyDescent="0.4">
      <c r="A815" s="25">
        <v>45992</v>
      </c>
      <c r="C815" s="26">
        <f>_xlfn.FORECAST.ETS(A815,$B$2:$B$747,$A$2:$A$747,1,1)</f>
        <v>422.086704329246</v>
      </c>
      <c r="D815" s="27">
        <f>C815-_xlfn.FORECAST.ETS.CONFINT(A815,$B$2:$B$747,$A$2:$A$747,0.95,1,1)</f>
        <v>414.19463600370858</v>
      </c>
      <c r="E815" s="27">
        <f>C815+_xlfn.FORECAST.ETS.CONFINT(A815,$B$2:$B$747,$A$2:$A$747,0.95,1,1)</f>
        <v>429.97877265478343</v>
      </c>
    </row>
    <row r="816" spans="1:5" x14ac:dyDescent="0.4">
      <c r="A816" s="25">
        <v>46023</v>
      </c>
      <c r="C816" s="26">
        <f>_xlfn.FORECAST.ETS(A816,$B$2:$B$747,$A$2:$A$747,1,1)</f>
        <v>422.96563726682695</v>
      </c>
      <c r="D816" s="27">
        <f>C816-_xlfn.FORECAST.ETS.CONFINT(A816,$B$2:$B$747,$A$2:$A$747,0.95,1,1)</f>
        <v>415.01186821918486</v>
      </c>
      <c r="E816" s="27">
        <f>C816+_xlfn.FORECAST.ETS.CONFINT(A816,$B$2:$B$747,$A$2:$A$747,0.95,1,1)</f>
        <v>430.91940631446903</v>
      </c>
    </row>
    <row r="817" spans="1:5" x14ac:dyDescent="0.4">
      <c r="A817" s="25">
        <v>46054</v>
      </c>
      <c r="C817" s="26">
        <f>_xlfn.FORECAST.ETS(A817,$B$2:$B$747,$A$2:$A$747,1,1)</f>
        <v>423.77126948005673</v>
      </c>
      <c r="D817" s="27">
        <f>C817-_xlfn.FORECAST.ETS.CONFINT(A817,$B$2:$B$747,$A$2:$A$747,0.95,1,1)</f>
        <v>415.7561601941448</v>
      </c>
      <c r="E817" s="27">
        <f>C817+_xlfn.FORECAST.ETS.CONFINT(A817,$B$2:$B$747,$A$2:$A$747,0.95,1,1)</f>
        <v>431.78637876596866</v>
      </c>
    </row>
    <row r="818" spans="1:5" x14ac:dyDescent="0.4">
      <c r="A818" s="25">
        <v>46082</v>
      </c>
      <c r="C818" s="26">
        <f>_xlfn.FORECAST.ETS(A818,$B$2:$B$747,$A$2:$A$747,1,1)</f>
        <v>424.39971229185051</v>
      </c>
      <c r="D818" s="27">
        <f>C818-_xlfn.FORECAST.ETS.CONFINT(A818,$B$2:$B$747,$A$2:$A$747,0.95,1,1)</f>
        <v>416.32361493103554</v>
      </c>
      <c r="E818" s="27">
        <f>C818+_xlfn.FORECAST.ETS.CONFINT(A818,$B$2:$B$747,$A$2:$A$747,0.95,1,1)</f>
        <v>432.47580965266548</v>
      </c>
    </row>
    <row r="819" spans="1:5" x14ac:dyDescent="0.4">
      <c r="A819" s="25">
        <v>46113</v>
      </c>
      <c r="C819" s="26">
        <f>_xlfn.FORECAST.ETS(A819,$B$2:$B$747,$A$2:$A$747,1,1)</f>
        <v>425.62049082119347</v>
      </c>
      <c r="D819" s="27">
        <f>C819-_xlfn.FORECAST.ETS.CONFINT(A819,$B$2:$B$747,$A$2:$A$747,0.95,1,1)</f>
        <v>417.48374952428935</v>
      </c>
      <c r="E819" s="27">
        <f>C819+_xlfn.FORECAST.ETS.CONFINT(A819,$B$2:$B$747,$A$2:$A$747,0.95,1,1)</f>
        <v>433.75723211809759</v>
      </c>
    </row>
    <row r="820" spans="1:5" x14ac:dyDescent="0.4">
      <c r="A820" s="25">
        <v>46143</v>
      </c>
      <c r="C820" s="26">
        <f>_xlfn.FORECAST.ETS(A820,$B$2:$B$747,$A$2:$A$747,1,1)</f>
        <v>426.5508175333224</v>
      </c>
      <c r="D820" s="27">
        <f>C820-_xlfn.FORECAST.ETS.CONFINT(A820,$B$2:$B$747,$A$2:$A$747,0.95,1,1)</f>
        <v>418.35365633467092</v>
      </c>
      <c r="E820" s="27">
        <f>C820+_xlfn.FORECAST.ETS.CONFINT(A820,$B$2:$B$747,$A$2:$A$747,0.95,1,1)</f>
        <v>434.74797873197389</v>
      </c>
    </row>
    <row r="821" spans="1:5" x14ac:dyDescent="0.4">
      <c r="A821" s="25">
        <v>46174</v>
      </c>
      <c r="C821" s="26">
        <f>_xlfn.FORECAST.ETS(A821,$B$2:$B$747,$A$2:$A$747,1,1)</f>
        <v>426.17206860844806</v>
      </c>
      <c r="D821" s="27">
        <f>C821-_xlfn.FORECAST.ETS.CONFINT(A821,$B$2:$B$747,$A$2:$A$747,0.95,1,1)</f>
        <v>417.91492960631115</v>
      </c>
      <c r="E821" s="27">
        <f>C821+_xlfn.FORECAST.ETS.CONFINT(A821,$B$2:$B$747,$A$2:$A$747,0.95,1,1)</f>
        <v>434.42920761058497</v>
      </c>
    </row>
    <row r="822" spans="1:5" x14ac:dyDescent="0.4">
      <c r="A822" s="25">
        <v>46204</v>
      </c>
      <c r="C822" s="26">
        <f>_xlfn.FORECAST.ETS(A822,$B$2:$B$747,$A$2:$A$747,1,1)</f>
        <v>424.84167846254763</v>
      </c>
      <c r="D822" s="27">
        <f>C822-_xlfn.FORECAST.ETS.CONFINT(A822,$B$2:$B$747,$A$2:$A$747,0.95,1,1)</f>
        <v>416.52488334171159</v>
      </c>
      <c r="E822" s="27">
        <f>C822+_xlfn.FORECAST.ETS.CONFINT(A822,$B$2:$B$747,$A$2:$A$747,0.95,1,1)</f>
        <v>433.15847358338368</v>
      </c>
    </row>
    <row r="823" spans="1:5" x14ac:dyDescent="0.4">
      <c r="A823" s="25">
        <v>46235</v>
      </c>
      <c r="C823" s="26">
        <f>_xlfn.FORECAST.ETS(A823,$B$2:$B$747,$A$2:$A$747,1,1)</f>
        <v>423.16559877398799</v>
      </c>
      <c r="D823" s="27">
        <f>C823-_xlfn.FORECAST.ETS.CONFINT(A823,$B$2:$B$747,$A$2:$A$747,0.95,1,1)</f>
        <v>414.78946224325398</v>
      </c>
      <c r="E823" s="27">
        <f>C823+_xlfn.FORECAST.ETS.CONFINT(A823,$B$2:$B$747,$A$2:$A$747,0.95,1,1)</f>
        <v>431.54173530472201</v>
      </c>
    </row>
    <row r="824" spans="1:5" x14ac:dyDescent="0.4">
      <c r="A824" s="25">
        <v>46266</v>
      </c>
      <c r="C824" s="26">
        <f>_xlfn.FORECAST.ETS(A824,$B$2:$B$747,$A$2:$A$747,1,1)</f>
        <v>421.75436674637092</v>
      </c>
      <c r="D824" s="27">
        <f>C824-_xlfn.FORECAST.ETS.CONFINT(A824,$B$2:$B$747,$A$2:$A$747,0.95,1,1)</f>
        <v>413.31919677061006</v>
      </c>
      <c r="E824" s="27">
        <f>C824+_xlfn.FORECAST.ETS.CONFINT(A824,$B$2:$B$747,$A$2:$A$747,0.95,1,1)</f>
        <v>430.18953672213178</v>
      </c>
    </row>
    <row r="825" spans="1:5" x14ac:dyDescent="0.4">
      <c r="A825" s="25">
        <v>46296</v>
      </c>
      <c r="C825" s="26">
        <f>_xlfn.FORECAST.ETS(A825,$B$2:$B$747,$A$2:$A$747,1,1)</f>
        <v>421.58240258055218</v>
      </c>
      <c r="D825" s="27">
        <f>C825-_xlfn.FORECAST.ETS.CONFINT(A825,$B$2:$B$747,$A$2:$A$747,0.95,1,1)</f>
        <v>413.08850060218174</v>
      </c>
      <c r="E825" s="27">
        <f>C825+_xlfn.FORECAST.ETS.CONFINT(A825,$B$2:$B$747,$A$2:$A$747,0.95,1,1)</f>
        <v>430.07630455892263</v>
      </c>
    </row>
    <row r="826" spans="1:5" x14ac:dyDescent="0.4">
      <c r="A826" s="25">
        <v>46327</v>
      </c>
      <c r="C826" s="26">
        <f>_xlfn.FORECAST.ETS(A826,$B$2:$B$747,$A$2:$A$747,1,1)</f>
        <v>422.53727800623966</v>
      </c>
      <c r="D826" s="27">
        <f>C826-_xlfn.FORECAST.ETS.CONFINT(A826,$B$2:$B$747,$A$2:$A$747,0.95,1,1)</f>
        <v>413.98493915673043</v>
      </c>
      <c r="E826" s="27">
        <f>C826+_xlfn.FORECAST.ETS.CONFINT(A826,$B$2:$B$747,$A$2:$A$747,0.95,1,1)</f>
        <v>431.08961685574889</v>
      </c>
    </row>
    <row r="827" spans="1:5" x14ac:dyDescent="0.4">
      <c r="A827" s="25">
        <v>46357</v>
      </c>
      <c r="C827" s="26">
        <f>_xlfn.FORECAST.ETS(A827,$B$2:$B$747,$A$2:$A$747,1,1)</f>
        <v>423.66011946611161</v>
      </c>
      <c r="D827" s="27">
        <f>C827-_xlfn.FORECAST.ETS.CONFINT(A827,$B$2:$B$747,$A$2:$A$747,0.95,1,1)</f>
        <v>415.04963276809519</v>
      </c>
      <c r="E827" s="27">
        <f>C827+_xlfn.FORECAST.ETS.CONFINT(A827,$B$2:$B$747,$A$2:$A$747,0.95,1,1)</f>
        <v>432.27060616412803</v>
      </c>
    </row>
    <row r="828" spans="1:5" x14ac:dyDescent="0.4">
      <c r="A828" s="25">
        <v>46388</v>
      </c>
      <c r="C828" s="26">
        <f>_xlfn.FORECAST.ETS(A828,$B$2:$B$747,$A$2:$A$747,1,1)</f>
        <v>424.53905240369255</v>
      </c>
      <c r="D828" s="27">
        <f>C828-_xlfn.FORECAST.ETS.CONFINT(A828,$B$2:$B$747,$A$2:$A$747,0.95,1,1)</f>
        <v>415.87070096419683</v>
      </c>
      <c r="E828" s="27">
        <f>C828+_xlfn.FORECAST.ETS.CONFINT(A828,$B$2:$B$747,$A$2:$A$747,0.95,1,1)</f>
        <v>433.20740384318827</v>
      </c>
    </row>
    <row r="829" spans="1:5" x14ac:dyDescent="0.4">
      <c r="A829" s="25">
        <v>46419</v>
      </c>
      <c r="C829" s="26">
        <f>_xlfn.FORECAST.ETS(A829,$B$2:$B$747,$A$2:$A$747,1,1)</f>
        <v>425.34468461692228</v>
      </c>
      <c r="D829" s="27">
        <f>C829-_xlfn.FORECAST.ETS.CONFINT(A829,$B$2:$B$747,$A$2:$A$747,0.95,1,1)</f>
        <v>416.61874581222867</v>
      </c>
      <c r="E829" s="27">
        <f>C829+_xlfn.FORECAST.ETS.CONFINT(A829,$B$2:$B$747,$A$2:$A$747,0.95,1,1)</f>
        <v>434.07062342161589</v>
      </c>
    </row>
    <row r="830" spans="1:5" x14ac:dyDescent="0.4">
      <c r="A830" s="25">
        <v>46447</v>
      </c>
      <c r="C830" s="26">
        <f>_xlfn.FORECAST.ETS(A830,$B$2:$B$747,$A$2:$A$747,1,1)</f>
        <v>425.97312742871611</v>
      </c>
      <c r="D830" s="27">
        <f>C830-_xlfn.FORECAST.ETS.CONFINT(A830,$B$2:$B$747,$A$2:$A$747,0.95,1,1)</f>
        <v>417.18987308129851</v>
      </c>
      <c r="E830" s="27">
        <f>C830+_xlfn.FORECAST.ETS.CONFINT(A830,$B$2:$B$747,$A$2:$A$747,0.95,1,1)</f>
        <v>434.75638177613371</v>
      </c>
    </row>
    <row r="831" spans="1:5" x14ac:dyDescent="0.4">
      <c r="A831" s="25">
        <v>46478</v>
      </c>
      <c r="C831" s="26">
        <f>_xlfn.FORECAST.ETS(A831,$B$2:$B$747,$A$2:$A$747,1,1)</f>
        <v>427.19390595805908</v>
      </c>
      <c r="D831" s="27">
        <f>C831-_xlfn.FORECAST.ETS.CONFINT(A831,$B$2:$B$747,$A$2:$A$747,0.95,1,1)</f>
        <v>418.35360250603389</v>
      </c>
      <c r="E831" s="27">
        <f>C831+_xlfn.FORECAST.ETS.CONFINT(A831,$B$2:$B$747,$A$2:$A$747,0.95,1,1)</f>
        <v>436.03420941008426</v>
      </c>
    </row>
    <row r="832" spans="1:5" x14ac:dyDescent="0.4">
      <c r="A832" s="25">
        <v>46508</v>
      </c>
      <c r="C832" s="26">
        <f>_xlfn.FORECAST.ETS(A832,$B$2:$B$747,$A$2:$A$747,1,1)</f>
        <v>428.12423267018795</v>
      </c>
      <c r="D832" s="27">
        <f>C832-_xlfn.FORECAST.ETS.CONFINT(A832,$B$2:$B$747,$A$2:$A$747,0.95,1,1)</f>
        <v>419.22703664856374</v>
      </c>
      <c r="E832" s="27">
        <f>C832+_xlfn.FORECAST.ETS.CONFINT(A832,$B$2:$B$747,$A$2:$A$747,0.95,1,1)</f>
        <v>437.02142869181216</v>
      </c>
    </row>
    <row r="833" spans="1:5" x14ac:dyDescent="0.4">
      <c r="A833" s="25">
        <v>46539</v>
      </c>
      <c r="C833" s="26">
        <f>_xlfn.FORECAST.ETS(A833,$B$2:$B$747,$A$2:$A$747,1,1)</f>
        <v>427.74548374531366</v>
      </c>
      <c r="D833" s="27">
        <f>C833-_xlfn.FORECAST.ETS.CONFINT(A833,$B$2:$B$747,$A$2:$A$747,0.95,1,1)</f>
        <v>418.79175664591406</v>
      </c>
      <c r="E833" s="27">
        <f>C833+_xlfn.FORECAST.ETS.CONFINT(A833,$B$2:$B$747,$A$2:$A$747,0.95,1,1)</f>
        <v>436.69921084471326</v>
      </c>
    </row>
    <row r="834" spans="1:5" x14ac:dyDescent="0.4">
      <c r="A834" s="25">
        <v>46569</v>
      </c>
      <c r="C834" s="26">
        <f>_xlfn.FORECAST.ETS(A834,$B$2:$B$747,$A$2:$A$747,1,1)</f>
        <v>426.41509359941324</v>
      </c>
      <c r="D834" s="27">
        <f>C834-_xlfn.FORECAST.ETS.CONFINT(A834,$B$2:$B$747,$A$2:$A$747,0.95,1,1)</f>
        <v>417.40508664378802</v>
      </c>
      <c r="E834" s="27">
        <f>C834+_xlfn.FORECAST.ETS.CONFINT(A834,$B$2:$B$747,$A$2:$A$747,0.95,1,1)</f>
        <v>435.42510055503845</v>
      </c>
    </row>
    <row r="835" spans="1:5" x14ac:dyDescent="0.4">
      <c r="A835" s="25">
        <v>46600</v>
      </c>
      <c r="C835" s="26">
        <f>_xlfn.FORECAST.ETS(A835,$B$2:$B$747,$A$2:$A$747,1,1)</f>
        <v>424.73901391085354</v>
      </c>
      <c r="D835" s="27">
        <f>C835-_xlfn.FORECAST.ETS.CONFINT(A835,$B$2:$B$747,$A$2:$A$747,0.95,1,1)</f>
        <v>415.67297354707603</v>
      </c>
      <c r="E835" s="27">
        <f>C835+_xlfn.FORECAST.ETS.CONFINT(A835,$B$2:$B$747,$A$2:$A$747,0.95,1,1)</f>
        <v>433.80505427463106</v>
      </c>
    </row>
    <row r="836" spans="1:5" x14ac:dyDescent="0.4">
      <c r="A836" s="25">
        <v>46631</v>
      </c>
      <c r="C836" s="26">
        <f>_xlfn.FORECAST.ETS(A836,$B$2:$B$747,$A$2:$A$747,1,1)</f>
        <v>423.32778188323653</v>
      </c>
      <c r="D836" s="27">
        <f>C836-_xlfn.FORECAST.ETS.CONFINT(A836,$B$2:$B$747,$A$2:$A$747,0.95,1,1)</f>
        <v>414.2059499234287</v>
      </c>
      <c r="E836" s="27">
        <f>C836+_xlfn.FORECAST.ETS.CONFINT(A836,$B$2:$B$747,$A$2:$A$747,0.95,1,1)</f>
        <v>432.44961384304435</v>
      </c>
    </row>
    <row r="837" spans="1:5" x14ac:dyDescent="0.4">
      <c r="A837" s="25">
        <v>46661</v>
      </c>
      <c r="C837" s="26">
        <f>_xlfn.FORECAST.ETS(A837,$B$2:$B$747,$A$2:$A$747,1,1)</f>
        <v>423.15581771741779</v>
      </c>
      <c r="D837" s="27">
        <f>C837-_xlfn.FORECAST.ETS.CONFINT(A837,$B$2:$B$747,$A$2:$A$747,0.95,1,1)</f>
        <v>413.97843146984371</v>
      </c>
      <c r="E837" s="27">
        <f>C837+_xlfn.FORECAST.ETS.CONFINT(A837,$B$2:$B$747,$A$2:$A$747,0.95,1,1)</f>
        <v>432.33320396499187</v>
      </c>
    </row>
    <row r="838" spans="1:5" x14ac:dyDescent="0.4">
      <c r="A838" s="25">
        <v>46692</v>
      </c>
      <c r="C838" s="26">
        <f>_xlfn.FORECAST.ETS(A838,$B$2:$B$747,$A$2:$A$747,1,1)</f>
        <v>424.11069314310527</v>
      </c>
      <c r="D838" s="27">
        <f>C838-_xlfn.FORECAST.ETS.CONFINT(A838,$B$2:$B$747,$A$2:$A$747,0.95,1,1)</f>
        <v>414.8779855391042</v>
      </c>
      <c r="E838" s="27">
        <f>C838+_xlfn.FORECAST.ETS.CONFINT(A838,$B$2:$B$747,$A$2:$A$747,0.95,1,1)</f>
        <v>433.34340074710633</v>
      </c>
    </row>
    <row r="839" spans="1:5" x14ac:dyDescent="0.4">
      <c r="A839" s="25">
        <v>46722</v>
      </c>
      <c r="C839" s="26">
        <f>_xlfn.FORECAST.ETS(A839,$B$2:$B$747,$A$2:$A$747,1,1)</f>
        <v>425.23353460297716</v>
      </c>
      <c r="D839" s="27">
        <f>C839-_xlfn.FORECAST.ETS.CONFINT(A839,$B$2:$B$747,$A$2:$A$747,0.95,1,1)</f>
        <v>415.94573431899261</v>
      </c>
      <c r="E839" s="27">
        <f>C839+_xlfn.FORECAST.ETS.CONFINT(A839,$B$2:$B$747,$A$2:$A$747,0.95,1,1)</f>
        <v>434.52133488696171</v>
      </c>
    </row>
    <row r="840" spans="1:5" x14ac:dyDescent="0.4">
      <c r="A840" s="25">
        <v>46753</v>
      </c>
      <c r="C840" s="26">
        <f>_xlfn.FORECAST.ETS(A840,$B$2:$B$747,$A$2:$A$747,1,1)</f>
        <v>426.11246754055816</v>
      </c>
      <c r="D840" s="27">
        <f>C840-_xlfn.FORECAST.ETS.CONFINT(A840,$B$2:$B$747,$A$2:$A$747,0.95,1,1)</f>
        <v>416.76979911550205</v>
      </c>
      <c r="E840" s="27">
        <f>C840+_xlfn.FORECAST.ETS.CONFINT(A840,$B$2:$B$747,$A$2:$A$747,0.95,1,1)</f>
        <v>435.45513596561426</v>
      </c>
    </row>
    <row r="841" spans="1:5" x14ac:dyDescent="0.4">
      <c r="A841" s="25">
        <v>46784</v>
      </c>
      <c r="C841" s="26">
        <f>_xlfn.FORECAST.ETS(A841,$B$2:$B$747,$A$2:$A$747,1,1)</f>
        <v>426.91809975378789</v>
      </c>
      <c r="D841" s="27">
        <f>C841-_xlfn.FORECAST.ETS.CONFINT(A841,$B$2:$B$747,$A$2:$A$747,0.95,1,1)</f>
        <v>417.52078370196699</v>
      </c>
      <c r="E841" s="27">
        <f>C841+_xlfn.FORECAST.ETS.CONFINT(A841,$B$2:$B$747,$A$2:$A$747,0.95,1,1)</f>
        <v>436.31541580560878</v>
      </c>
    </row>
    <row r="842" spans="1:5" x14ac:dyDescent="0.4">
      <c r="A842" s="25">
        <v>46813</v>
      </c>
      <c r="C842" s="26">
        <f>_xlfn.FORECAST.ETS(A842,$B$2:$B$747,$A$2:$A$747,1,1)</f>
        <v>427.54654256558166</v>
      </c>
      <c r="D842" s="27">
        <f>C842-_xlfn.FORECAST.ETS.CONFINT(A842,$B$2:$B$747,$A$2:$A$747,0.95,1,1)</f>
        <v>418.09479548539809</v>
      </c>
      <c r="E842" s="27">
        <f>C842+_xlfn.FORECAST.ETS.CONFINT(A842,$B$2:$B$747,$A$2:$A$747,0.95,1,1)</f>
        <v>436.99828964576523</v>
      </c>
    </row>
    <row r="843" spans="1:5" x14ac:dyDescent="0.4">
      <c r="A843" s="25">
        <v>46844</v>
      </c>
      <c r="C843" s="26">
        <f>_xlfn.FORECAST.ETS(A843,$B$2:$B$747,$A$2:$A$747,1,1)</f>
        <v>428.76732109492468</v>
      </c>
      <c r="D843" s="27">
        <f>C843-_xlfn.FORECAST.ETS.CONFINT(A843,$B$2:$B$747,$A$2:$A$747,0.95,1,1)</f>
        <v>419.26135577355171</v>
      </c>
      <c r="E843" s="27">
        <f>C843+_xlfn.FORECAST.ETS.CONFINT(A843,$B$2:$B$747,$A$2:$A$747,0.95,1,1)</f>
        <v>438.27328641629765</v>
      </c>
    </row>
    <row r="844" spans="1:5" x14ac:dyDescent="0.4">
      <c r="A844" s="25">
        <v>46874</v>
      </c>
      <c r="C844" s="26">
        <f>_xlfn.FORECAST.ETS(A844,$B$2:$B$747,$A$2:$A$747,1,1)</f>
        <v>429.69764780705356</v>
      </c>
      <c r="D844" s="27">
        <f>C844-_xlfn.FORECAST.ETS.CONFINT(A844,$B$2:$B$747,$A$2:$A$747,0.95,1,1)</f>
        <v>420.13757481864485</v>
      </c>
      <c r="E844" s="27">
        <f>C844+_xlfn.FORECAST.ETS.CONFINT(A844,$B$2:$B$747,$A$2:$A$747,0.95,1,1)</f>
        <v>439.25772079546226</v>
      </c>
    </row>
    <row r="845" spans="1:5" x14ac:dyDescent="0.4">
      <c r="A845" s="25">
        <v>46905</v>
      </c>
      <c r="C845" s="26">
        <f>_xlfn.FORECAST.ETS(A845,$B$2:$B$747,$A$2:$A$747,1,1)</f>
        <v>429.31889888217921</v>
      </c>
      <c r="D845" s="27">
        <f>C845-_xlfn.FORECAST.ETS.CONFINT(A845,$B$2:$B$747,$A$2:$A$747,0.95,1,1)</f>
        <v>419.70502274420772</v>
      </c>
      <c r="E845" s="27">
        <f>C845+_xlfn.FORECAST.ETS.CONFINT(A845,$B$2:$B$747,$A$2:$A$747,0.95,1,1)</f>
        <v>438.9327750201507</v>
      </c>
    </row>
    <row r="846" spans="1:5" x14ac:dyDescent="0.4">
      <c r="A846" s="25">
        <v>46935</v>
      </c>
      <c r="C846" s="26">
        <f>_xlfn.FORECAST.ETS(A846,$B$2:$B$747,$A$2:$A$747,1,1)</f>
        <v>427.98850873627885</v>
      </c>
      <c r="D846" s="27">
        <f>C846-_xlfn.FORECAST.ETS.CONFINT(A846,$B$2:$B$747,$A$2:$A$747,0.95,1,1)</f>
        <v>418.32103138463521</v>
      </c>
      <c r="E846" s="27">
        <f>C846+_xlfn.FORECAST.ETS.CONFINT(A846,$B$2:$B$747,$A$2:$A$747,0.95,1,1)</f>
        <v>437.65598608792249</v>
      </c>
    </row>
    <row r="847" spans="1:5" x14ac:dyDescent="0.4">
      <c r="A847" s="25">
        <v>46966</v>
      </c>
      <c r="C847" s="26">
        <f>_xlfn.FORECAST.ETS(A847,$B$2:$B$747,$A$2:$A$747,1,1)</f>
        <v>426.31242904771915</v>
      </c>
      <c r="D847" s="27">
        <f>C847-_xlfn.FORECAST.ETS.CONFINT(A847,$B$2:$B$747,$A$2:$A$747,0.95,1,1)</f>
        <v>416.59154898934383</v>
      </c>
      <c r="E847" s="27">
        <f>C847+_xlfn.FORECAST.ETS.CONFINT(A847,$B$2:$B$747,$A$2:$A$747,0.95,1,1)</f>
        <v>436.03330910609446</v>
      </c>
    </row>
    <row r="848" spans="1:5" x14ac:dyDescent="0.4">
      <c r="A848" s="25">
        <v>46997</v>
      </c>
      <c r="C848" s="26">
        <f>_xlfn.FORECAST.ETS(A848,$B$2:$B$747,$A$2:$A$747,1,1)</f>
        <v>424.90119702010207</v>
      </c>
      <c r="D848" s="27">
        <f>C848-_xlfn.FORECAST.ETS.CONFINT(A848,$B$2:$B$747,$A$2:$A$747,0.95,1,1)</f>
        <v>415.12710942015963</v>
      </c>
      <c r="E848" s="27">
        <f>C848+_xlfn.FORECAST.ETS.CONFINT(A848,$B$2:$B$747,$A$2:$A$747,0.95,1,1)</f>
        <v>434.67528462004452</v>
      </c>
    </row>
    <row r="849" spans="1:5" x14ac:dyDescent="0.4">
      <c r="A849" s="25">
        <v>47027</v>
      </c>
      <c r="C849" s="26">
        <f>_xlfn.FORECAST.ETS(A849,$B$2:$B$747,$A$2:$A$747,1,1)</f>
        <v>424.7292328542834</v>
      </c>
      <c r="D849" s="27">
        <f>C849-_xlfn.FORECAST.ETS.CONFINT(A849,$B$2:$B$747,$A$2:$A$747,0.95,1,1)</f>
        <v>414.90212962029847</v>
      </c>
      <c r="E849" s="27">
        <f>C849+_xlfn.FORECAST.ETS.CONFINT(A849,$B$2:$B$747,$A$2:$A$747,0.95,1,1)</f>
        <v>434.55633608826832</v>
      </c>
    </row>
    <row r="850" spans="1:5" x14ac:dyDescent="0.4">
      <c r="A850" s="25">
        <v>47058</v>
      </c>
      <c r="C850" s="26">
        <f>_xlfn.FORECAST.ETS(A850,$B$2:$B$747,$A$2:$A$747,1,1)</f>
        <v>425.68410827997087</v>
      </c>
      <c r="D850" s="27">
        <f>C850-_xlfn.FORECAST.ETS.CONFINT(A850,$B$2:$B$747,$A$2:$A$747,0.95,1,1)</f>
        <v>415.80417814306077</v>
      </c>
      <c r="E850" s="27">
        <f>C850+_xlfn.FORECAST.ETS.CONFINT(A850,$B$2:$B$747,$A$2:$A$747,0.95,1,1)</f>
        <v>435.56403841688098</v>
      </c>
    </row>
    <row r="851" spans="1:5" x14ac:dyDescent="0.4">
      <c r="A851" s="25">
        <v>47088</v>
      </c>
      <c r="C851" s="26">
        <f>_xlfn.FORECAST.ETS(A851,$B$2:$B$747,$A$2:$A$747,1,1)</f>
        <v>426.80694973984276</v>
      </c>
      <c r="D851" s="27">
        <f>C851-_xlfn.FORECAST.ETS.CONFINT(A851,$B$2:$B$747,$A$2:$A$747,0.95,1,1)</f>
        <v>416.87437833317296</v>
      </c>
      <c r="E851" s="27">
        <f>C851+_xlfn.FORECAST.ETS.CONFINT(A851,$B$2:$B$747,$A$2:$A$747,0.95,1,1)</f>
        <v>436.73952114651257</v>
      </c>
    </row>
    <row r="852" spans="1:5" x14ac:dyDescent="0.4">
      <c r="A852" s="25">
        <v>47119</v>
      </c>
      <c r="C852" s="26">
        <f>_xlfn.FORECAST.ETS(A852,$B$2:$B$747,$A$2:$A$747,1,1)</f>
        <v>427.68588267742371</v>
      </c>
      <c r="D852" s="27">
        <f>C852-_xlfn.FORECAST.ETS.CONFINT(A852,$B$2:$B$747,$A$2:$A$747,0.95,1,1)</f>
        <v>417.70085261200722</v>
      </c>
      <c r="E852" s="27">
        <f>C852+_xlfn.FORECAST.ETS.CONFINT(A852,$B$2:$B$747,$A$2:$A$747,0.95,1,1)</f>
        <v>437.67091274284019</v>
      </c>
    </row>
    <row r="853" spans="1:5" x14ac:dyDescent="0.4">
      <c r="A853" s="25">
        <v>47150</v>
      </c>
      <c r="C853" s="26">
        <f>_xlfn.FORECAST.ETS(A853,$B$2:$B$747,$A$2:$A$747,1,1)</f>
        <v>428.49151489065349</v>
      </c>
      <c r="D853" s="27">
        <f>C853-_xlfn.FORECAST.ETS.CONFINT(A853,$B$2:$B$747,$A$2:$A$747,0.95,1,1)</f>
        <v>418.45420582860822</v>
      </c>
      <c r="E853" s="27">
        <f>C853+_xlfn.FORECAST.ETS.CONFINT(A853,$B$2:$B$747,$A$2:$A$747,0.95,1,1)</f>
        <v>438.52882395269876</v>
      </c>
    </row>
    <row r="854" spans="1:5" x14ac:dyDescent="0.4">
      <c r="A854" s="25">
        <v>47178</v>
      </c>
      <c r="C854" s="26">
        <f>_xlfn.FORECAST.ETS(A854,$B$2:$B$747,$A$2:$A$747,1,1)</f>
        <v>429.11995770244727</v>
      </c>
      <c r="D854" s="27">
        <f>C854-_xlfn.FORECAST.ETS.CONFINT(A854,$B$2:$B$747,$A$2:$A$747,0.95,1,1)</f>
        <v>419.03054642781916</v>
      </c>
      <c r="E854" s="27">
        <f>C854+_xlfn.FORECAST.ETS.CONFINT(A854,$B$2:$B$747,$A$2:$A$747,0.95,1,1)</f>
        <v>439.20936897707537</v>
      </c>
    </row>
    <row r="855" spans="1:5" x14ac:dyDescent="0.4">
      <c r="A855" s="25">
        <v>47209</v>
      </c>
      <c r="C855" s="26">
        <f>_xlfn.FORECAST.ETS(A855,$B$2:$B$747,$A$2:$A$747,1,1)</f>
        <v>430.34073623179023</v>
      </c>
      <c r="D855" s="27">
        <f>C855-_xlfn.FORECAST.ETS.CONFINT(A855,$B$2:$B$747,$A$2:$A$747,0.95,1,1)</f>
        <v>420.19939671904518</v>
      </c>
      <c r="E855" s="27">
        <f>C855+_xlfn.FORECAST.ETS.CONFINT(A855,$B$2:$B$747,$A$2:$A$747,0.95,1,1)</f>
        <v>440.48207574453528</v>
      </c>
    </row>
    <row r="856" spans="1:5" x14ac:dyDescent="0.4">
      <c r="A856" s="25">
        <v>47239</v>
      </c>
      <c r="C856" s="26">
        <f>_xlfn.FORECAST.ETS(A856,$B$2:$B$747,$A$2:$A$747,1,1)</f>
        <v>431.27106294391916</v>
      </c>
      <c r="D856" s="27">
        <f>C856-_xlfn.FORECAST.ETS.CONFINT(A856,$B$2:$B$747,$A$2:$A$747,0.95,1,1)</f>
        <v>421.07787302690042</v>
      </c>
      <c r="E856" s="27">
        <f>C856+_xlfn.FORECAST.ETS.CONFINT(A856,$B$2:$B$747,$A$2:$A$747,0.95,1,1)</f>
        <v>441.4642528609379</v>
      </c>
    </row>
    <row r="857" spans="1:5" x14ac:dyDescent="0.4">
      <c r="A857" s="25">
        <v>47270</v>
      </c>
      <c r="C857" s="26">
        <f>_xlfn.FORECAST.ETS(A857,$B$2:$B$747,$A$2:$A$747,1,1)</f>
        <v>430.89231401904482</v>
      </c>
      <c r="D857" s="27">
        <f>C857-_xlfn.FORECAST.ETS.CONFINT(A857,$B$2:$B$747,$A$2:$A$747,0.95,1,1)</f>
        <v>420.64753611730083</v>
      </c>
      <c r="E857" s="27">
        <f>C857+_xlfn.FORECAST.ETS.CONFINT(A857,$B$2:$B$747,$A$2:$A$747,0.95,1,1)</f>
        <v>441.13709192078881</v>
      </c>
    </row>
    <row r="858" spans="1:5" x14ac:dyDescent="0.4">
      <c r="A858" s="25">
        <v>47300</v>
      </c>
      <c r="C858" s="26">
        <f>_xlfn.FORECAST.ETS(A858,$B$2:$B$747,$A$2:$A$747,1,1)</f>
        <v>429.56192387314439</v>
      </c>
      <c r="D858" s="27">
        <f>C858-_xlfn.FORECAST.ETS.CONFINT(A858,$B$2:$B$747,$A$2:$A$747,0.95,1,1)</f>
        <v>419.26572391526707</v>
      </c>
      <c r="E858" s="27">
        <f>C858+_xlfn.FORECAST.ETS.CONFINT(A858,$B$2:$B$747,$A$2:$A$747,0.95,1,1)</f>
        <v>439.85812383102171</v>
      </c>
    </row>
    <row r="859" spans="1:5" x14ac:dyDescent="0.4">
      <c r="A859" s="25">
        <v>47331</v>
      </c>
      <c r="C859" s="26">
        <f>_xlfn.FORECAST.ETS(A859,$B$2:$B$747,$A$2:$A$747,1,1)</f>
        <v>427.88584418458476</v>
      </c>
      <c r="D859" s="27">
        <f>C859-_xlfn.FORECAST.ETS.CONFINT(A859,$B$2:$B$747,$A$2:$A$747,0.95,1,1)</f>
        <v>417.53838554225274</v>
      </c>
      <c r="E859" s="27">
        <f>C859+_xlfn.FORECAST.ETS.CONFINT(A859,$B$2:$B$747,$A$2:$A$747,0.95,1,1)</f>
        <v>438.23330282691677</v>
      </c>
    </row>
    <row r="860" spans="1:5" x14ac:dyDescent="0.4">
      <c r="A860" s="25">
        <v>47362</v>
      </c>
      <c r="C860" s="26">
        <f>_xlfn.FORECAST.ETS(A860,$B$2:$B$747,$A$2:$A$747,1,1)</f>
        <v>426.47461215696768</v>
      </c>
      <c r="D860" s="27">
        <f>C860-_xlfn.FORECAST.ETS.CONFINT(A860,$B$2:$B$747,$A$2:$A$747,0.95,1,1)</f>
        <v>416.07605570314405</v>
      </c>
      <c r="E860" s="27">
        <f>C860+_xlfn.FORECAST.ETS.CONFINT(A860,$B$2:$B$747,$A$2:$A$747,0.95,1,1)</f>
        <v>436.87316861079131</v>
      </c>
    </row>
    <row r="861" spans="1:5" x14ac:dyDescent="0.4">
      <c r="A861" s="25">
        <v>47392</v>
      </c>
      <c r="C861" s="26">
        <f>_xlfn.FORECAST.ETS(A861,$B$2:$B$747,$A$2:$A$747,1,1)</f>
        <v>426.30264799114894</v>
      </c>
      <c r="D861" s="27">
        <f>C861-_xlfn.FORECAST.ETS.CONFINT(A861,$B$2:$B$747,$A$2:$A$747,0.95,1,1)</f>
        <v>415.85315215646318</v>
      </c>
      <c r="E861" s="27">
        <f>C861+_xlfn.FORECAST.ETS.CONFINT(A861,$B$2:$B$747,$A$2:$A$747,0.95,1,1)</f>
        <v>436.75214382583471</v>
      </c>
    </row>
    <row r="862" spans="1:5" x14ac:dyDescent="0.4">
      <c r="A862" s="25">
        <v>47423</v>
      </c>
      <c r="C862" s="26">
        <f>_xlfn.FORECAST.ETS(A862,$B$2:$B$747,$A$2:$A$747,1,1)</f>
        <v>427.25752341683648</v>
      </c>
      <c r="D862" s="27">
        <f>C862-_xlfn.FORECAST.ETS.CONFINT(A862,$B$2:$B$747,$A$2:$A$747,0.95,1,1)</f>
        <v>416.75724424422356</v>
      </c>
      <c r="E862" s="27">
        <f>C862+_xlfn.FORECAST.ETS.CONFINT(A862,$B$2:$B$747,$A$2:$A$747,0.95,1,1)</f>
        <v>437.7578025894494</v>
      </c>
    </row>
    <row r="863" spans="1:5" x14ac:dyDescent="0.4">
      <c r="A863" s="25">
        <v>47453</v>
      </c>
      <c r="C863" s="26">
        <f>_xlfn.FORECAST.ETS(A863,$B$2:$B$747,$A$2:$A$747,1,1)</f>
        <v>428.38036487670837</v>
      </c>
      <c r="D863" s="27">
        <f>C863-_xlfn.FORECAST.ETS.CONFINT(A863,$B$2:$B$747,$A$2:$A$747,0.95,1,1)</f>
        <v>417.82945607437296</v>
      </c>
      <c r="E863" s="27">
        <f>C863+_xlfn.FORECAST.ETS.CONFINT(A863,$B$2:$B$747,$A$2:$A$747,0.95,1,1)</f>
        <v>438.93127367904378</v>
      </c>
    </row>
    <row r="864" spans="1:5" x14ac:dyDescent="0.4">
      <c r="A864" s="25">
        <v>47484</v>
      </c>
      <c r="C864" s="26">
        <f>_xlfn.FORECAST.ETS(A864,$B$2:$B$747,$A$2:$A$747,1,1)</f>
        <v>429.25929781428931</v>
      </c>
      <c r="D864" s="27">
        <f>C864-_xlfn.FORECAST.ETS.CONFINT(A864,$B$2:$B$747,$A$2:$A$747,0.95,1,1)</f>
        <v>418.65791080706009</v>
      </c>
      <c r="E864" s="27">
        <f>C864+_xlfn.FORECAST.ETS.CONFINT(A864,$B$2:$B$747,$A$2:$A$747,0.95,1,1)</f>
        <v>439.86068482151853</v>
      </c>
    </row>
    <row r="865" spans="1:5" x14ac:dyDescent="0.4">
      <c r="A865" s="25">
        <v>47515</v>
      </c>
      <c r="C865" s="26">
        <f>_xlfn.FORECAST.ETS(A865,$B$2:$B$747,$A$2:$A$747,1,1)</f>
        <v>430.0649300275191</v>
      </c>
      <c r="D865" s="27">
        <f>C865-_xlfn.FORECAST.ETS.CONFINT(A865,$B$2:$B$747,$A$2:$A$747,0.95,1,1)</f>
        <v>419.41321400665549</v>
      </c>
      <c r="E865" s="27">
        <f>C865+_xlfn.FORECAST.ETS.CONFINT(A865,$B$2:$B$747,$A$2:$A$747,0.95,1,1)</f>
        <v>440.7166460483827</v>
      </c>
    </row>
    <row r="866" spans="1:5" x14ac:dyDescent="0.4">
      <c r="A866" s="25">
        <v>47543</v>
      </c>
      <c r="C866" s="26">
        <f>_xlfn.FORECAST.ETS(A866,$B$2:$B$747,$A$2:$A$747,1,1)</f>
        <v>430.69337283931287</v>
      </c>
      <c r="D866" s="27">
        <f>C866-_xlfn.FORECAST.ETS.CONFINT(A866,$B$2:$B$747,$A$2:$A$747,0.95,1,1)</f>
        <v>419.9914748108236</v>
      </c>
      <c r="E866" s="27">
        <f>C866+_xlfn.FORECAST.ETS.CONFINT(A866,$B$2:$B$747,$A$2:$A$747,0.95,1,1)</f>
        <v>441.39527086780214</v>
      </c>
    </row>
    <row r="867" spans="1:5" x14ac:dyDescent="0.4">
      <c r="A867" s="25">
        <v>47574</v>
      </c>
      <c r="C867" s="26">
        <f>_xlfn.FORECAST.ETS(A867,$B$2:$B$747,$A$2:$A$747,1,1)</f>
        <v>431.91415136865584</v>
      </c>
      <c r="D867" s="27">
        <f>C867-_xlfn.FORECAST.ETS.CONFINT(A867,$B$2:$B$747,$A$2:$A$747,0.95,1,1)</f>
        <v>421.16221620018541</v>
      </c>
      <c r="E867" s="27">
        <f>C867+_xlfn.FORECAST.ETS.CONFINT(A867,$B$2:$B$747,$A$2:$A$747,0.95,1,1)</f>
        <v>442.66608653712626</v>
      </c>
    </row>
    <row r="868" spans="1:5" x14ac:dyDescent="0.4">
      <c r="A868" s="25">
        <v>47604</v>
      </c>
      <c r="C868" s="26">
        <f>_xlfn.FORECAST.ETS(A868,$B$2:$B$747,$A$2:$A$747,1,1)</f>
        <v>432.84447808078471</v>
      </c>
      <c r="D868" s="27">
        <f>C868-_xlfn.FORECAST.ETS.CONFINT(A868,$B$2:$B$747,$A$2:$A$747,0.95,1,1)</f>
        <v>422.04255945733706</v>
      </c>
      <c r="E868" s="27">
        <f>C868+_xlfn.FORECAST.ETS.CONFINT(A868,$B$2:$B$747,$A$2:$A$747,0.95,1,1)</f>
        <v>443.64639670423236</v>
      </c>
    </row>
    <row r="869" spans="1:5" x14ac:dyDescent="0.4">
      <c r="A869" s="25">
        <v>47635</v>
      </c>
      <c r="C869" s="26">
        <f>_xlfn.FORECAST.ETS(A869,$B$2:$B$747,$A$2:$A$747,1,1)</f>
        <v>432.46572915591042</v>
      </c>
      <c r="D869" s="27">
        <f>C869-_xlfn.FORECAST.ETS.CONFINT(A869,$B$2:$B$747,$A$2:$A$747,0.95,1,1)</f>
        <v>421.61405730185123</v>
      </c>
      <c r="E869" s="27">
        <f>C869+_xlfn.FORECAST.ETS.CONFINT(A869,$B$2:$B$747,$A$2:$A$747,0.95,1,1)</f>
        <v>443.31740100996961</v>
      </c>
    </row>
    <row r="870" spans="1:5" x14ac:dyDescent="0.4">
      <c r="A870" s="25">
        <v>47665</v>
      </c>
      <c r="C870" s="26">
        <f>_xlfn.FORECAST.ETS(A870,$B$2:$B$747,$A$2:$A$747,1,1)</f>
        <v>431.13533901001</v>
      </c>
      <c r="D870" s="27">
        <f>C870-_xlfn.FORECAST.ETS.CONFINT(A870,$B$2:$B$747,$A$2:$A$747,0.95,1,1)</f>
        <v>420.2340526408326</v>
      </c>
      <c r="E870" s="27">
        <f>C870+_xlfn.FORECAST.ETS.CONFINT(A870,$B$2:$B$747,$A$2:$A$747,0.95,1,1)</f>
        <v>442.0366253791874</v>
      </c>
    </row>
    <row r="871" spans="1:5" x14ac:dyDescent="0.4">
      <c r="A871" s="25">
        <v>47696</v>
      </c>
      <c r="C871" s="26">
        <f>_xlfn.FORECAST.ETS(A871,$B$2:$B$747,$A$2:$A$747,1,1)</f>
        <v>429.4592593214503</v>
      </c>
      <c r="D871" s="27">
        <f>C871-_xlfn.FORECAST.ETS.CONFINT(A871,$B$2:$B$747,$A$2:$A$747,0.95,1,1)</f>
        <v>418.50849518864908</v>
      </c>
      <c r="E871" s="27">
        <f>C871+_xlfn.FORECAST.ETS.CONFINT(A871,$B$2:$B$747,$A$2:$A$747,0.95,1,1)</f>
        <v>440.41002345425153</v>
      </c>
    </row>
    <row r="872" spans="1:5" x14ac:dyDescent="0.4">
      <c r="A872" s="25">
        <v>47727</v>
      </c>
      <c r="C872" s="26">
        <f>_xlfn.FORECAST.ETS(A872,$B$2:$B$747,$A$2:$A$747,1,1)</f>
        <v>428.04802729383329</v>
      </c>
      <c r="D872" s="27">
        <f>C872-_xlfn.FORECAST.ETS.CONFINT(A872,$B$2:$B$747,$A$2:$A$747,0.95,1,1)</f>
        <v>417.04792022538879</v>
      </c>
      <c r="E872" s="27">
        <f>C872+_xlfn.FORECAST.ETS.CONFINT(A872,$B$2:$B$747,$A$2:$A$747,0.95,1,1)</f>
        <v>439.04813436227778</v>
      </c>
    </row>
    <row r="873" spans="1:5" x14ac:dyDescent="0.4">
      <c r="A873" s="25">
        <v>47757</v>
      </c>
      <c r="C873" s="26">
        <f>_xlfn.FORECAST.ETS(A873,$B$2:$B$747,$A$2:$A$747,1,1)</f>
        <v>427.87606312801455</v>
      </c>
      <c r="D873" s="27">
        <f>C873-_xlfn.FORECAST.ETS.CONFINT(A873,$B$2:$B$747,$A$2:$A$747,0.95,1,1)</f>
        <v>416.82674606773588</v>
      </c>
      <c r="E873" s="27">
        <f>C873+_xlfn.FORECAST.ETS.CONFINT(A873,$B$2:$B$747,$A$2:$A$747,0.95,1,1)</f>
        <v>438.92538018829322</v>
      </c>
    </row>
    <row r="874" spans="1:5" x14ac:dyDescent="0.4">
      <c r="A874" s="25">
        <v>47788</v>
      </c>
      <c r="C874" s="26">
        <f>_xlfn.FORECAST.ETS(A874,$B$2:$B$747,$A$2:$A$747,1,1)</f>
        <v>428.83093855370203</v>
      </c>
      <c r="D874" s="27">
        <f>C874-_xlfn.FORECAST.ETS.CONFINT(A874,$B$2:$B$747,$A$2:$A$747,0.95,1,1)</f>
        <v>417.73254259946719</v>
      </c>
      <c r="E874" s="27">
        <f>C874+_xlfn.FORECAST.ETS.CONFINT(A874,$B$2:$B$747,$A$2:$A$747,0.95,1,1)</f>
        <v>439.92933450793686</v>
      </c>
    </row>
    <row r="875" spans="1:5" x14ac:dyDescent="0.4">
      <c r="A875" s="25">
        <v>47818</v>
      </c>
      <c r="C875" s="26">
        <f>_xlfn.FORECAST.ETS(A875,$B$2:$B$747,$A$2:$A$747,1,1)</f>
        <v>429.95378001357398</v>
      </c>
      <c r="D875" s="27">
        <f>C875-_xlfn.FORECAST.ETS.CONFINT(A875,$B$2:$B$747,$A$2:$A$747,0.95,1,1)</f>
        <v>418.80643445450744</v>
      </c>
      <c r="E875" s="27">
        <f>C875+_xlfn.FORECAST.ETS.CONFINT(A875,$B$2:$B$747,$A$2:$A$747,0.95,1,1)</f>
        <v>441.10112557264051</v>
      </c>
    </row>
    <row r="876" spans="1:5" x14ac:dyDescent="0.4">
      <c r="A876" s="25">
        <v>47849</v>
      </c>
      <c r="C876" s="26">
        <f>_xlfn.FORECAST.ETS(A876,$B$2:$B$747,$A$2:$A$747,1,1)</f>
        <v>430.83271295115492</v>
      </c>
      <c r="D876" s="27">
        <f>C876-_xlfn.FORECAST.ETS.CONFINT(A876,$B$2:$B$747,$A$2:$A$747,0.95,1,1)</f>
        <v>419.63654530378028</v>
      </c>
      <c r="E876" s="27">
        <f>C876+_xlfn.FORECAST.ETS.CONFINT(A876,$B$2:$B$747,$A$2:$A$747,0.95,1,1)</f>
        <v>442.02888059852955</v>
      </c>
    </row>
    <row r="877" spans="1:5" x14ac:dyDescent="0.4">
      <c r="A877" s="25">
        <v>47880</v>
      </c>
      <c r="C877" s="26">
        <f>_xlfn.FORECAST.ETS(A877,$B$2:$B$747,$A$2:$A$747,1,1)</f>
        <v>431.63834516438465</v>
      </c>
      <c r="D877" s="27">
        <f>C877-_xlfn.FORECAST.ETS.CONFINT(A877,$B$2:$B$747,$A$2:$A$747,0.95,1,1)</f>
        <v>420.39348120778766</v>
      </c>
      <c r="E877" s="27">
        <f>C877+_xlfn.FORECAST.ETS.CONFINT(A877,$B$2:$B$747,$A$2:$A$747,0.95,1,1)</f>
        <v>442.88320912098163</v>
      </c>
    </row>
    <row r="878" spans="1:5" x14ac:dyDescent="0.4">
      <c r="A878" s="25">
        <v>47908</v>
      </c>
      <c r="C878" s="26">
        <f>_xlfn.FORECAST.ETS(A878,$B$2:$B$747,$A$2:$A$747,1,1)</f>
        <v>432.26678797617848</v>
      </c>
      <c r="D878" s="27">
        <f>C878-_xlfn.FORECAST.ETS.CONFINT(A878,$B$2:$B$747,$A$2:$A$747,0.95,1,1)</f>
        <v>420.97335178621529</v>
      </c>
      <c r="E878" s="27">
        <f>C878+_xlfn.FORECAST.ETS.CONFINT(A878,$B$2:$B$747,$A$2:$A$747,0.95,1,1)</f>
        <v>443.56022416614167</v>
      </c>
    </row>
    <row r="879" spans="1:5" x14ac:dyDescent="0.4">
      <c r="A879" s="25">
        <v>47939</v>
      </c>
      <c r="C879" s="26">
        <f>_xlfn.FORECAST.ETS(A879,$B$2:$B$747,$A$2:$A$747,1,1)</f>
        <v>433.48756650552144</v>
      </c>
      <c r="D879" s="27">
        <f>C879-_xlfn.FORECAST.ETS.CONFINT(A879,$B$2:$B$747,$A$2:$A$747,0.95,1,1)</f>
        <v>422.1456804881048</v>
      </c>
      <c r="E879" s="27">
        <f>C879+_xlfn.FORECAST.ETS.CONFINT(A879,$B$2:$B$747,$A$2:$A$747,0.95,1,1)</f>
        <v>444.82945252293808</v>
      </c>
    </row>
    <row r="880" spans="1:5" x14ac:dyDescent="0.4">
      <c r="A880" s="25">
        <v>47969</v>
      </c>
      <c r="C880" s="26">
        <f>_xlfn.FORECAST.ETS(A880,$B$2:$B$747,$A$2:$A$747,1,1)</f>
        <v>434.41789321765032</v>
      </c>
      <c r="D880" s="27">
        <f>C880-_xlfn.FORECAST.ETS.CONFINT(A880,$B$2:$B$747,$A$2:$A$747,0.95,1,1)</f>
        <v>423.02759274701015</v>
      </c>
      <c r="E880" s="27">
        <f>C880+_xlfn.FORECAST.ETS.CONFINT(A880,$B$2:$B$747,$A$2:$A$747,0.95,1,1)</f>
        <v>445.80819368829049</v>
      </c>
    </row>
    <row r="881" spans="1:5" x14ac:dyDescent="0.4">
      <c r="A881" s="25">
        <v>48000</v>
      </c>
      <c r="C881" s="26">
        <f>_xlfn.FORECAST.ETS(A881,$B$2:$B$747,$A$2:$A$747,1,1)</f>
        <v>434.03914429277597</v>
      </c>
      <c r="D881" s="27">
        <f>C881-_xlfn.FORECAST.ETS.CONFINT(A881,$B$2:$B$747,$A$2:$A$747,0.95,1,1)</f>
        <v>422.60063428531168</v>
      </c>
      <c r="E881" s="27">
        <f>C881+_xlfn.FORECAST.ETS.CONFINT(A881,$B$2:$B$747,$A$2:$A$747,0.95,1,1)</f>
        <v>445.47765430024026</v>
      </c>
    </row>
    <row r="882" spans="1:5" x14ac:dyDescent="0.4">
      <c r="A882" s="25">
        <v>48030</v>
      </c>
      <c r="C882" s="26">
        <f>_xlfn.FORECAST.ETS(A882,$B$2:$B$747,$A$2:$A$747,1,1)</f>
        <v>432.70875414687561</v>
      </c>
      <c r="D882" s="27">
        <f>C882-_xlfn.FORECAST.ETS.CONFINT(A882,$B$2:$B$747,$A$2:$A$747,0.95,1,1)</f>
        <v>421.22215218574502</v>
      </c>
      <c r="E882" s="27">
        <f>C882+_xlfn.FORECAST.ETS.CONFINT(A882,$B$2:$B$747,$A$2:$A$747,0.95,1,1)</f>
        <v>444.19535610800619</v>
      </c>
    </row>
    <row r="883" spans="1:5" x14ac:dyDescent="0.4">
      <c r="A883" s="25">
        <v>48061</v>
      </c>
      <c r="C883" s="26">
        <f>_xlfn.FORECAST.ETS(A883,$B$2:$B$747,$A$2:$A$747,1,1)</f>
        <v>431.03267445831591</v>
      </c>
      <c r="D883" s="27">
        <f>C883-_xlfn.FORECAST.ETS.CONFINT(A883,$B$2:$B$747,$A$2:$A$747,0.95,1,1)</f>
        <v>419.49809658134137</v>
      </c>
      <c r="E883" s="27">
        <f>C883+_xlfn.FORECAST.ETS.CONFINT(A883,$B$2:$B$747,$A$2:$A$747,0.95,1,1)</f>
        <v>442.56725233529045</v>
      </c>
    </row>
    <row r="884" spans="1:5" x14ac:dyDescent="0.4">
      <c r="A884" s="25">
        <v>48092</v>
      </c>
      <c r="C884" s="26">
        <f>_xlfn.FORECAST.ETS(A884,$B$2:$B$747,$A$2:$A$747,1,1)</f>
        <v>429.62144243069883</v>
      </c>
      <c r="D884" s="27">
        <f>C884-_xlfn.FORECAST.ETS.CONFINT(A884,$B$2:$B$747,$A$2:$A$747,0.95,1,1)</f>
        <v>418.03900315948954</v>
      </c>
      <c r="E884" s="27">
        <f>C884+_xlfn.FORECAST.ETS.CONFINT(A884,$B$2:$B$747,$A$2:$A$747,0.95,1,1)</f>
        <v>441.20388170190813</v>
      </c>
    </row>
    <row r="885" spans="1:5" x14ac:dyDescent="0.4">
      <c r="A885" s="25">
        <v>48122</v>
      </c>
      <c r="C885" s="26">
        <f>_xlfn.FORECAST.ETS(A885,$B$2:$B$747,$A$2:$A$747,1,1)</f>
        <v>429.44947826488016</v>
      </c>
      <c r="D885" s="27">
        <f>C885-_xlfn.FORECAST.ETS.CONFINT(A885,$B$2:$B$747,$A$2:$A$747,0.95,1,1)</f>
        <v>417.81929063320405</v>
      </c>
      <c r="E885" s="27">
        <f>C885+_xlfn.FORECAST.ETS.CONFINT(A885,$B$2:$B$747,$A$2:$A$747,0.95,1,1)</f>
        <v>441.07966589655626</v>
      </c>
    </row>
    <row r="886" spans="1:5" x14ac:dyDescent="0.4">
      <c r="A886" s="25">
        <v>48153</v>
      </c>
      <c r="C886" s="26">
        <f>_xlfn.FORECAST.ETS(A886,$B$2:$B$747,$A$2:$A$747,1,1)</f>
        <v>430.40435369056763</v>
      </c>
      <c r="D886" s="27">
        <f>C886-_xlfn.FORECAST.ETS.CONFINT(A886,$B$2:$B$747,$A$2:$A$747,0.95,1,1)</f>
        <v>418.72652927199653</v>
      </c>
      <c r="E886" s="27">
        <f>C886+_xlfn.FORECAST.ETS.CONFINT(A886,$B$2:$B$747,$A$2:$A$747,0.95,1,1)</f>
        <v>442.08217810913874</v>
      </c>
    </row>
    <row r="887" spans="1:5" x14ac:dyDescent="0.4">
      <c r="A887" s="25">
        <v>48183</v>
      </c>
      <c r="C887" s="26">
        <f>_xlfn.FORECAST.ETS(A887,$B$2:$B$747,$A$2:$A$747,1,1)</f>
        <v>431.52719515043952</v>
      </c>
      <c r="D887" s="27">
        <f>C887-_xlfn.FORECAST.ETS.CONFINT(A887,$B$2:$B$747,$A$2:$A$747,0.95,1,1)</f>
        <v>419.80184408529158</v>
      </c>
      <c r="E887" s="27">
        <f>C887+_xlfn.FORECAST.ETS.CONFINT(A887,$B$2:$B$747,$A$2:$A$747,0.95,1,1)</f>
        <v>443.25254621558747</v>
      </c>
    </row>
    <row r="888" spans="1:5" x14ac:dyDescent="0.4">
      <c r="A888" s="25">
        <v>48214</v>
      </c>
      <c r="C888" s="26">
        <f>_xlfn.FORECAST.ETS(A888,$B$2:$B$747,$A$2:$A$747,1,1)</f>
        <v>432.40612808802052</v>
      </c>
      <c r="D888" s="27">
        <f>C888-_xlfn.FORECAST.ETS.CONFINT(A888,$B$2:$B$747,$A$2:$A$747,0.95,1,1)</f>
        <v>420.63335910962269</v>
      </c>
      <c r="E888" s="27">
        <f>C888+_xlfn.FORECAST.ETS.CONFINT(A888,$B$2:$B$747,$A$2:$A$747,0.95,1,1)</f>
        <v>444.17889706641836</v>
      </c>
    </row>
    <row r="889" spans="1:5" x14ac:dyDescent="0.4">
      <c r="A889" s="25">
        <v>48245</v>
      </c>
      <c r="C889" s="26">
        <f>_xlfn.FORECAST.ETS(A889,$B$2:$B$747,$A$2:$A$747,1,1)</f>
        <v>433.21176030125025</v>
      </c>
      <c r="D889" s="27">
        <f>C889-_xlfn.FORECAST.ETS.CONFINT(A889,$B$2:$B$747,$A$2:$A$747,0.95,1,1)</f>
        <v>421.39168076154243</v>
      </c>
      <c r="E889" s="27">
        <f>C889+_xlfn.FORECAST.ETS.CONFINT(A889,$B$2:$B$747,$A$2:$A$747,0.95,1,1)</f>
        <v>445.03183984095807</v>
      </c>
    </row>
    <row r="890" spans="1:5" x14ac:dyDescent="0.4">
      <c r="A890" s="25">
        <v>48274</v>
      </c>
      <c r="C890" s="26">
        <f>_xlfn.FORECAST.ETS(A890,$B$2:$B$747,$A$2:$A$747,1,1)</f>
        <v>433.84020311304403</v>
      </c>
      <c r="D890" s="27">
        <f>C890-_xlfn.FORECAST.ETS.CONFINT(A890,$B$2:$B$747,$A$2:$A$747,0.95,1,1)</f>
        <v>421.97291900754601</v>
      </c>
      <c r="E890" s="27">
        <f>C890+_xlfn.FORECAST.ETS.CONFINT(A890,$B$2:$B$747,$A$2:$A$747,0.95,1,1)</f>
        <v>445.70748721854204</v>
      </c>
    </row>
    <row r="891" spans="1:5" x14ac:dyDescent="0.4">
      <c r="A891" s="25">
        <v>48305</v>
      </c>
      <c r="C891" s="26">
        <f>_xlfn.FORECAST.ETS(A891,$B$2:$B$747,$A$2:$A$747,1,1)</f>
        <v>435.06098164238705</v>
      </c>
      <c r="D891" s="27">
        <f>C891-_xlfn.FORECAST.ETS.CONFINT(A891,$B$2:$B$747,$A$2:$A$747,0.95,1,1)</f>
        <v>423.14659763454802</v>
      </c>
      <c r="E891" s="27">
        <f>C891+_xlfn.FORECAST.ETS.CONFINT(A891,$B$2:$B$747,$A$2:$A$747,0.95,1,1)</f>
        <v>446.97536565022608</v>
      </c>
    </row>
    <row r="892" spans="1:5" x14ac:dyDescent="0.4">
      <c r="A892" s="25">
        <v>48335</v>
      </c>
      <c r="C892" s="26">
        <f>_xlfn.FORECAST.ETS(A892,$B$2:$B$747,$A$2:$A$747,1,1)</f>
        <v>435.99130835451592</v>
      </c>
      <c r="D892" s="27">
        <f>C892-_xlfn.FORECAST.ETS.CONFINT(A892,$B$2:$B$747,$A$2:$A$747,0.95,1,1)</f>
        <v>424.02984561978735</v>
      </c>
      <c r="E892" s="27">
        <f>C892+_xlfn.FORECAST.ETS.CONFINT(A892,$B$2:$B$747,$A$2:$A$747,0.95,1,1)</f>
        <v>447.95277108924449</v>
      </c>
    </row>
    <row r="893" spans="1:5" x14ac:dyDescent="0.4">
      <c r="A893" s="25">
        <v>48366</v>
      </c>
      <c r="C893" s="26">
        <f>_xlfn.FORECAST.ETS(A893,$B$2:$B$747,$A$2:$A$747,1,1)</f>
        <v>435.61255942964158</v>
      </c>
      <c r="D893" s="27">
        <f>C893-_xlfn.FORECAST.ETS.CONFINT(A893,$B$2:$B$747,$A$2:$A$747,0.95,1,1)</f>
        <v>423.6042025386115</v>
      </c>
      <c r="E893" s="27">
        <f>C893+_xlfn.FORECAST.ETS.CONFINT(A893,$B$2:$B$747,$A$2:$A$747,0.95,1,1)</f>
        <v>447.62091632067165</v>
      </c>
    </row>
    <row r="894" spans="1:5" x14ac:dyDescent="0.4">
      <c r="A894" s="25">
        <v>48396</v>
      </c>
      <c r="C894" s="26">
        <f>_xlfn.FORECAST.ETS(A894,$B$2:$B$747,$A$2:$A$747,1,1)</f>
        <v>434.28216928374121</v>
      </c>
      <c r="D894" s="27">
        <f>C894-_xlfn.FORECAST.ETS.CONFINT(A894,$B$2:$B$747,$A$2:$A$747,0.95,1,1)</f>
        <v>422.22701904068134</v>
      </c>
      <c r="E894" s="27">
        <f>C894+_xlfn.FORECAST.ETS.CONFINT(A894,$B$2:$B$747,$A$2:$A$747,0.95,1,1)</f>
        <v>446.33731952680108</v>
      </c>
    </row>
    <row r="895" spans="1:5" x14ac:dyDescent="0.4">
      <c r="A895" s="25">
        <v>48427</v>
      </c>
      <c r="C895" s="26">
        <f>_xlfn.FORECAST.ETS(A895,$B$2:$B$747,$A$2:$A$747,1,1)</f>
        <v>432.60608959518152</v>
      </c>
      <c r="D895" s="27">
        <f>C895-_xlfn.FORECAST.ETS.CONFINT(A895,$B$2:$B$747,$A$2:$A$747,0.95,1,1)</f>
        <v>420.50424556395012</v>
      </c>
      <c r="E895" s="27">
        <f>C895+_xlfn.FORECAST.ETS.CONFINT(A895,$B$2:$B$747,$A$2:$A$747,0.95,1,1)</f>
        <v>444.70793362641291</v>
      </c>
    </row>
    <row r="896" spans="1:5" x14ac:dyDescent="0.4">
      <c r="A896" s="25">
        <v>48458</v>
      </c>
      <c r="C896" s="26">
        <f>_xlfn.FORECAST.ETS(A896,$B$2:$B$747,$A$2:$A$747,1,1)</f>
        <v>431.19485756756444</v>
      </c>
      <c r="D896" s="27">
        <f>C896-_xlfn.FORECAST.ETS.CONFINT(A896,$B$2:$B$747,$A$2:$A$747,0.95,1,1)</f>
        <v>419.04641809314512</v>
      </c>
      <c r="E896" s="27">
        <f>C896+_xlfn.FORECAST.ETS.CONFINT(A896,$B$2:$B$747,$A$2:$A$747,0.95,1,1)</f>
        <v>443.34329704198376</v>
      </c>
    </row>
    <row r="897" spans="1:5" x14ac:dyDescent="0.4">
      <c r="A897" s="25">
        <v>48488</v>
      </c>
      <c r="C897" s="26">
        <f>_xlfn.FORECAST.ETS(A897,$B$2:$B$747,$A$2:$A$747,1,1)</f>
        <v>431.0228934017457</v>
      </c>
      <c r="D897" s="27">
        <f>C897-_xlfn.FORECAST.ETS.CONFINT(A897,$B$2:$B$747,$A$2:$A$747,0.95,1,1)</f>
        <v>418.82795563127547</v>
      </c>
      <c r="E897" s="27">
        <f>C897+_xlfn.FORECAST.ETS.CONFINT(A897,$B$2:$B$747,$A$2:$A$747,0.95,1,1)</f>
        <v>443.21783117221594</v>
      </c>
    </row>
    <row r="898" spans="1:5" x14ac:dyDescent="0.4">
      <c r="A898" s="25">
        <v>48519</v>
      </c>
      <c r="C898" s="26">
        <f>_xlfn.FORECAST.ETS(A898,$B$2:$B$747,$A$2:$A$747,1,1)</f>
        <v>431.97776882743324</v>
      </c>
      <c r="D898" s="27">
        <f>C898-_xlfn.FORECAST.ETS.CONFINT(A898,$B$2:$B$747,$A$2:$A$747,0.95,1,1)</f>
        <v>419.73642873073413</v>
      </c>
      <c r="E898" s="27">
        <f>C898+_xlfn.FORECAST.ETS.CONFINT(A898,$B$2:$B$747,$A$2:$A$747,0.95,1,1)</f>
        <v>444.21910892413234</v>
      </c>
    </row>
    <row r="899" spans="1:5" x14ac:dyDescent="0.4">
      <c r="A899" s="25">
        <v>48549</v>
      </c>
      <c r="C899" s="26">
        <f>_xlfn.FORECAST.ETS(A899,$B$2:$B$747,$A$2:$A$747,1,1)</f>
        <v>433.10061028730513</v>
      </c>
      <c r="D899" s="27">
        <f>C899-_xlfn.FORECAST.ETS.CONFINT(A899,$B$2:$B$747,$A$2:$A$747,0.95,1,1)</f>
        <v>420.8129626769354</v>
      </c>
      <c r="E899" s="27">
        <f>C899+_xlfn.FORECAST.ETS.CONFINT(A899,$B$2:$B$747,$A$2:$A$747,0.95,1,1)</f>
        <v>445.38825789767486</v>
      </c>
    </row>
    <row r="900" spans="1:5" x14ac:dyDescent="0.4">
      <c r="A900" s="25">
        <v>48580</v>
      </c>
      <c r="C900" s="26">
        <f>_xlfn.FORECAST.ETS(A900,$B$2:$B$747,$A$2:$A$747,1,1)</f>
        <v>433.97954322488607</v>
      </c>
      <c r="D900" s="27">
        <f>C900-_xlfn.FORECAST.ETS.CONFINT(A900,$B$2:$B$747,$A$2:$A$747,0.95,1,1)</f>
        <v>421.64568177572426</v>
      </c>
      <c r="E900" s="27">
        <f>C900+_xlfn.FORECAST.ETS.CONFINT(A900,$B$2:$B$747,$A$2:$A$747,0.95,1,1)</f>
        <v>446.31340467404789</v>
      </c>
    </row>
    <row r="901" spans="1:5" x14ac:dyDescent="0.4">
      <c r="A901" s="25">
        <v>48611</v>
      </c>
      <c r="C901" s="26">
        <f>_xlfn.FORECAST.ETS(A901,$B$2:$B$747,$A$2:$A$747,1,1)</f>
        <v>434.78517543811586</v>
      </c>
      <c r="D901" s="27">
        <f>C901-_xlfn.FORECAST.ETS.CONFINT(A901,$B$2:$B$747,$A$2:$A$747,0.95,1,1)</f>
        <v>422.40519270649207</v>
      </c>
      <c r="E901" s="27">
        <f>C901+_xlfn.FORECAST.ETS.CONFINT(A901,$B$2:$B$747,$A$2:$A$747,0.95,1,1)</f>
        <v>447.16515816973964</v>
      </c>
    </row>
    <row r="902" spans="1:5" x14ac:dyDescent="0.4">
      <c r="A902" s="25">
        <v>48639</v>
      </c>
      <c r="C902" s="26">
        <f>_xlfn.FORECAST.ETS(A902,$B$2:$B$747,$A$2:$A$747,1,1)</f>
        <v>435.41361824990963</v>
      </c>
      <c r="D902" s="27">
        <f>C902-_xlfn.FORECAST.ETS.CONFINT(A902,$B$2:$B$747,$A$2:$A$747,0.95,1,1)</f>
        <v>422.98760569229751</v>
      </c>
      <c r="E902" s="27">
        <f>C902+_xlfn.FORECAST.ETS.CONFINT(A902,$B$2:$B$747,$A$2:$A$747,0.95,1,1)</f>
        <v>447.83963080752176</v>
      </c>
    </row>
    <row r="903" spans="1:5" x14ac:dyDescent="0.4">
      <c r="A903" s="25">
        <v>48670</v>
      </c>
      <c r="C903" s="26">
        <f>_xlfn.FORECAST.ETS(A903,$B$2:$B$747,$A$2:$A$747,1,1)</f>
        <v>436.6343967792526</v>
      </c>
      <c r="D903" s="27">
        <f>C903-_xlfn.FORECAST.ETS.CONFINT(A903,$B$2:$B$747,$A$2:$A$747,0.95,1,1)</f>
        <v>424.16244477053408</v>
      </c>
      <c r="E903" s="27">
        <f>C903+_xlfn.FORECAST.ETS.CONFINT(A903,$B$2:$B$747,$A$2:$A$747,0.95,1,1)</f>
        <v>449.10634878797111</v>
      </c>
    </row>
    <row r="904" spans="1:5" x14ac:dyDescent="0.4">
      <c r="A904" s="25">
        <v>48700</v>
      </c>
      <c r="C904" s="26">
        <f>_xlfn.FORECAST.ETS(A904,$B$2:$B$747,$A$2:$A$747,1,1)</f>
        <v>437.56472349138153</v>
      </c>
      <c r="D904" s="27">
        <f>C904-_xlfn.FORECAST.ETS.CONFINT(A904,$B$2:$B$747,$A$2:$A$747,0.95,1,1)</f>
        <v>425.04684199113012</v>
      </c>
      <c r="E904" s="27">
        <f>C904+_xlfn.FORECAST.ETS.CONFINT(A904,$B$2:$B$747,$A$2:$A$747,0.95,1,1)</f>
        <v>450.08260499163293</v>
      </c>
    </row>
    <row r="905" spans="1:5" x14ac:dyDescent="0.4">
      <c r="A905" s="25">
        <v>48731</v>
      </c>
      <c r="C905" s="26">
        <f>_xlfn.FORECAST.ETS(A905,$B$2:$B$747,$A$2:$A$747,1,1)</f>
        <v>437.18597456650718</v>
      </c>
      <c r="D905" s="27">
        <f>C905-_xlfn.FORECAST.ETS.CONFINT(A905,$B$2:$B$747,$A$2:$A$747,0.95,1,1)</f>
        <v>424.62233148016901</v>
      </c>
      <c r="E905" s="27">
        <f>C905+_xlfn.FORECAST.ETS.CONFINT(A905,$B$2:$B$747,$A$2:$A$747,0.95,1,1)</f>
        <v>449.74961765284536</v>
      </c>
    </row>
    <row r="906" spans="1:5" x14ac:dyDescent="0.4">
      <c r="A906" s="25">
        <v>48761</v>
      </c>
      <c r="C906" s="26">
        <f>_xlfn.FORECAST.ETS(A906,$B$2:$B$747,$A$2:$A$747,1,1)</f>
        <v>435.85558442060676</v>
      </c>
      <c r="D906" s="27">
        <f>C906-_xlfn.FORECAST.ETS.CONFINT(A906,$B$2:$B$747,$A$2:$A$747,0.95,1,1)</f>
        <v>423.24626698115145</v>
      </c>
      <c r="E906" s="27">
        <f>C906+_xlfn.FORECAST.ETS.CONFINT(A906,$B$2:$B$747,$A$2:$A$747,0.95,1,1)</f>
        <v>448.46490186006207</v>
      </c>
    </row>
    <row r="907" spans="1:5" x14ac:dyDescent="0.4">
      <c r="A907" s="25">
        <v>48792</v>
      </c>
      <c r="C907" s="26">
        <f>_xlfn.FORECAST.ETS(A907,$B$2:$B$747,$A$2:$A$747,1,1)</f>
        <v>434.17950473204706</v>
      </c>
      <c r="D907" s="27">
        <f>C907-_xlfn.FORECAST.ETS.CONFINT(A907,$B$2:$B$747,$A$2:$A$747,0.95,1,1)</f>
        <v>421.52459915992705</v>
      </c>
      <c r="E907" s="27">
        <f>C907+_xlfn.FORECAST.ETS.CONFINT(A907,$B$2:$B$747,$A$2:$A$747,0.95,1,1)</f>
        <v>446.83441030416708</v>
      </c>
    </row>
    <row r="908" spans="1:5" x14ac:dyDescent="0.4">
      <c r="A908" s="25">
        <v>48823</v>
      </c>
      <c r="C908" s="26">
        <f>_xlfn.FORECAST.ETS(A908,$B$2:$B$747,$A$2:$A$747,1,1)</f>
        <v>432.76827270443005</v>
      </c>
      <c r="D908" s="27">
        <f>C908-_xlfn.FORECAST.ETS.CONFINT(A908,$B$2:$B$747,$A$2:$A$747,0.95,1,1)</f>
        <v>420.06786422388802</v>
      </c>
      <c r="E908" s="27">
        <f>C908+_xlfn.FORECAST.ETS.CONFINT(A908,$B$2:$B$747,$A$2:$A$747,0.95,1,1)</f>
        <v>445.46868118497207</v>
      </c>
    </row>
    <row r="909" spans="1:5" x14ac:dyDescent="0.4">
      <c r="A909" s="25">
        <v>48853</v>
      </c>
      <c r="C909" s="26">
        <f>_xlfn.FORECAST.ETS(A909,$B$2:$B$747,$A$2:$A$747,1,1)</f>
        <v>432.59630853861131</v>
      </c>
      <c r="D909" s="27">
        <f>C909-_xlfn.FORECAST.ETS.CONFINT(A909,$B$2:$B$747,$A$2:$A$747,0.95,1,1)</f>
        <v>419.8504813936292</v>
      </c>
      <c r="E909" s="27">
        <f>C909+_xlfn.FORECAST.ETS.CONFINT(A909,$B$2:$B$747,$A$2:$A$747,0.95,1,1)</f>
        <v>445.34213568359343</v>
      </c>
    </row>
    <row r="910" spans="1:5" x14ac:dyDescent="0.4">
      <c r="A910" s="25">
        <v>48884</v>
      </c>
      <c r="C910" s="26">
        <f>_xlfn.FORECAST.ETS(A910,$B$2:$B$747,$A$2:$A$747,1,1)</f>
        <v>433.55118396429879</v>
      </c>
      <c r="D910" s="27">
        <f>C910-_xlfn.FORECAST.ETS.CONFINT(A910,$B$2:$B$747,$A$2:$A$747,0.95,1,1)</f>
        <v>420.76002143419805</v>
      </c>
      <c r="E910" s="27">
        <f>C910+_xlfn.FORECAST.ETS.CONFINT(A910,$B$2:$B$747,$A$2:$A$747,0.95,1,1)</f>
        <v>446.34234649439952</v>
      </c>
    </row>
    <row r="911" spans="1:5" x14ac:dyDescent="0.4">
      <c r="A911" s="25">
        <v>48914</v>
      </c>
      <c r="C911" s="26">
        <f>_xlfn.FORECAST.ETS(A911,$B$2:$B$747,$A$2:$A$747,1,1)</f>
        <v>434.67402542417074</v>
      </c>
      <c r="D911" s="27">
        <f>C911-_xlfn.FORECAST.ETS.CONFINT(A911,$B$2:$B$747,$A$2:$A$747,0.95,1,1)</f>
        <v>421.83760983887356</v>
      </c>
      <c r="E911" s="27">
        <f>C911+_xlfn.FORECAST.ETS.CONFINT(A911,$B$2:$B$747,$A$2:$A$747,0.95,1,1)</f>
        <v>447.51044100946791</v>
      </c>
    </row>
    <row r="912" spans="1:5" x14ac:dyDescent="0.4">
      <c r="A912" s="25">
        <v>48945</v>
      </c>
      <c r="C912" s="26">
        <f>_xlfn.FORECAST.ETS(A912,$B$2:$B$747,$A$2:$A$747,1,1)</f>
        <v>435.55295836175168</v>
      </c>
      <c r="D912" s="27">
        <f>C912-_xlfn.FORECAST.ETS.CONFINT(A912,$B$2:$B$747,$A$2:$A$747,0.95,1,1)</f>
        <v>422.67137111671292</v>
      </c>
      <c r="E912" s="27">
        <f>C912+_xlfn.FORECAST.ETS.CONFINT(A912,$B$2:$B$747,$A$2:$A$747,0.95,1,1)</f>
        <v>448.43454560679044</v>
      </c>
    </row>
    <row r="913" spans="1:5" x14ac:dyDescent="0.4">
      <c r="A913" s="25">
        <v>48976</v>
      </c>
      <c r="C913" s="26">
        <f>_xlfn.FORECAST.ETS(A913,$B$2:$B$747,$A$2:$A$747,1,1)</f>
        <v>436.35859057498141</v>
      </c>
      <c r="D913" s="27">
        <f>C913-_xlfn.FORECAST.ETS.CONFINT(A913,$B$2:$B$747,$A$2:$A$747,0.95,1,1)</f>
        <v>423.43191214579969</v>
      </c>
      <c r="E913" s="27">
        <f>C913+_xlfn.FORECAST.ETS.CONFINT(A913,$B$2:$B$747,$A$2:$A$747,0.95,1,1)</f>
        <v>449.28526900416313</v>
      </c>
    </row>
    <row r="914" spans="1:5" x14ac:dyDescent="0.4">
      <c r="A914" s="25">
        <v>49004</v>
      </c>
      <c r="C914" s="26">
        <f>_xlfn.FORECAST.ETS(A914,$B$2:$B$747,$A$2:$A$747,1,1)</f>
        <v>436.98703338677524</v>
      </c>
      <c r="D914" s="27">
        <f>C914-_xlfn.FORECAST.ETS.CONFINT(A914,$B$2:$B$747,$A$2:$A$747,0.95,1,1)</f>
        <v>424.01534334349248</v>
      </c>
      <c r="E914" s="27">
        <f>C914+_xlfn.FORECAST.ETS.CONFINT(A914,$B$2:$B$747,$A$2:$A$747,0.95,1,1)</f>
        <v>449.958723430058</v>
      </c>
    </row>
    <row r="915" spans="1:5" x14ac:dyDescent="0.4">
      <c r="A915" s="25">
        <v>49035</v>
      </c>
      <c r="C915" s="26">
        <f>_xlfn.FORECAST.ETS(A915,$B$2:$B$747,$A$2:$A$747,1,1)</f>
        <v>438.2078119161182</v>
      </c>
      <c r="D915" s="27">
        <f>C915-_xlfn.FORECAST.ETS.CONFINT(A915,$B$2:$B$747,$A$2:$A$747,0.95,1,1)</f>
        <v>425.19118893721549</v>
      </c>
      <c r="E915" s="27">
        <f>C915+_xlfn.FORECAST.ETS.CONFINT(A915,$B$2:$B$747,$A$2:$A$747,0.95,1,1)</f>
        <v>451.22443489502092</v>
      </c>
    </row>
    <row r="916" spans="1:5" x14ac:dyDescent="0.4">
      <c r="A916" s="25">
        <v>49065</v>
      </c>
      <c r="C916" s="26">
        <f>_xlfn.FORECAST.ETS(A916,$B$2:$B$747,$A$2:$A$747,1,1)</f>
        <v>439.13813862824708</v>
      </c>
      <c r="D916" s="27">
        <f>C916-_xlfn.FORECAST.ETS.CONFINT(A916,$B$2:$B$747,$A$2:$A$747,0.95,1,1)</f>
        <v>426.07658367526318</v>
      </c>
      <c r="E916" s="27">
        <f>C916+_xlfn.FORECAST.ETS.CONFINT(A916,$B$2:$B$747,$A$2:$A$747,0.95,1,1)</f>
        <v>452.19969358123097</v>
      </c>
    </row>
    <row r="917" spans="1:5" x14ac:dyDescent="0.4">
      <c r="A917" s="25">
        <v>49096</v>
      </c>
      <c r="C917" s="26">
        <f>_xlfn.FORECAST.ETS(A917,$B$2:$B$747,$A$2:$A$747,1,1)</f>
        <v>438.75938970337279</v>
      </c>
      <c r="D917" s="27">
        <f>C917-_xlfn.FORECAST.ETS.CONFINT(A917,$B$2:$B$747,$A$2:$A$747,0.95,1,1)</f>
        <v>425.65305681408842</v>
      </c>
      <c r="E917" s="27">
        <f>C917+_xlfn.FORECAST.ETS.CONFINT(A917,$B$2:$B$747,$A$2:$A$747,0.95,1,1)</f>
        <v>451.86572259265716</v>
      </c>
    </row>
    <row r="918" spans="1:5" x14ac:dyDescent="0.4">
      <c r="A918" s="25">
        <v>49126</v>
      </c>
      <c r="C918" s="26">
        <f>_xlfn.FORECAST.ETS(A918,$B$2:$B$747,$A$2:$A$747,1,1)</f>
        <v>437.42899955747237</v>
      </c>
      <c r="D918" s="27">
        <f>C918-_xlfn.FORECAST.ETS.CONFINT(A918,$B$2:$B$747,$A$2:$A$747,0.95,1,1)</f>
        <v>424.27796481452106</v>
      </c>
      <c r="E918" s="27">
        <f>C918+_xlfn.FORECAST.ETS.CONFINT(A918,$B$2:$B$747,$A$2:$A$747,0.95,1,1)</f>
        <v>450.58003430042368</v>
      </c>
    </row>
    <row r="919" spans="1:5" x14ac:dyDescent="0.4">
      <c r="A919" s="25">
        <v>49157</v>
      </c>
      <c r="C919" s="26">
        <f>_xlfn.FORECAST.ETS(A919,$B$2:$B$747,$A$2:$A$747,1,1)</f>
        <v>435.75291986891267</v>
      </c>
      <c r="D919" s="27">
        <f>C919-_xlfn.FORECAST.ETS.CONFINT(A919,$B$2:$B$747,$A$2:$A$747,0.95,1,1)</f>
        <v>422.55725851650953</v>
      </c>
      <c r="E919" s="27">
        <f>C919+_xlfn.FORECAST.ETS.CONFINT(A919,$B$2:$B$747,$A$2:$A$747,0.95,1,1)</f>
        <v>448.94858122131581</v>
      </c>
    </row>
    <row r="920" spans="1:5" x14ac:dyDescent="0.4">
      <c r="A920" s="25">
        <v>49188</v>
      </c>
      <c r="C920" s="26">
        <f>_xlfn.FORECAST.ETS(A920,$B$2:$B$747,$A$2:$A$747,1,1)</f>
        <v>434.34168784129565</v>
      </c>
      <c r="D920" s="27">
        <f>C920-_xlfn.FORECAST.ETS.CONFINT(A920,$B$2:$B$747,$A$2:$A$747,0.95,1,1)</f>
        <v>421.10147429783342</v>
      </c>
      <c r="E920" s="27">
        <f>C920+_xlfn.FORECAST.ETS.CONFINT(A920,$B$2:$B$747,$A$2:$A$747,0.95,1,1)</f>
        <v>447.58190138475788</v>
      </c>
    </row>
    <row r="921" spans="1:5" x14ac:dyDescent="0.4">
      <c r="A921" s="25">
        <v>49218</v>
      </c>
      <c r="C921" s="26">
        <f>_xlfn.FORECAST.ETS(A921,$B$2:$B$747,$A$2:$A$747,1,1)</f>
        <v>434.16972367547692</v>
      </c>
      <c r="D921" s="27">
        <f>C921-_xlfn.FORECAST.ETS.CONFINT(A921,$B$2:$B$747,$A$2:$A$747,0.95,1,1)</f>
        <v>420.88503154586402</v>
      </c>
      <c r="E921" s="27">
        <f>C921+_xlfn.FORECAST.ETS.CONFINT(A921,$B$2:$B$747,$A$2:$A$747,0.95,1,1)</f>
        <v>447.45441580508981</v>
      </c>
    </row>
    <row r="922" spans="1:5" x14ac:dyDescent="0.4">
      <c r="A922" s="25">
        <v>49249</v>
      </c>
      <c r="C922" s="26">
        <f>_xlfn.FORECAST.ETS(A922,$B$2:$B$747,$A$2:$A$747,1,1)</f>
        <v>435.12459910116439</v>
      </c>
      <c r="D922" s="27">
        <f>C922-_xlfn.FORECAST.ETS.CONFINT(A922,$B$2:$B$747,$A$2:$A$747,0.95,1,1)</f>
        <v>421.79550118891149</v>
      </c>
      <c r="E922" s="27">
        <f>C922+_xlfn.FORECAST.ETS.CONFINT(A922,$B$2:$B$747,$A$2:$A$747,0.95,1,1)</f>
        <v>448.4536970134173</v>
      </c>
    </row>
    <row r="923" spans="1:5" x14ac:dyDescent="0.4">
      <c r="A923" s="25">
        <v>49279</v>
      </c>
      <c r="C923" s="26">
        <f>_xlfn.FORECAST.ETS(A923,$B$2:$B$747,$A$2:$A$747,1,1)</f>
        <v>436.24744056103634</v>
      </c>
      <c r="D923" s="27">
        <f>C923-_xlfn.FORECAST.ETS.CONFINT(A923,$B$2:$B$747,$A$2:$A$747,0.95,1,1)</f>
        <v>422.87400888009819</v>
      </c>
      <c r="E923" s="27">
        <f>C923+_xlfn.FORECAST.ETS.CONFINT(A923,$B$2:$B$747,$A$2:$A$747,0.95,1,1)</f>
        <v>449.6208722419745</v>
      </c>
    </row>
    <row r="924" spans="1:5" x14ac:dyDescent="0.4">
      <c r="A924" s="25">
        <v>49310</v>
      </c>
      <c r="C924" s="26">
        <f>_xlfn.FORECAST.ETS(A924,$B$2:$B$747,$A$2:$A$747,1,1)</f>
        <v>437.12637349861728</v>
      </c>
      <c r="D924" s="27">
        <f>C924-_xlfn.FORECAST.ETS.CONFINT(A924,$B$2:$B$747,$A$2:$A$747,0.95,1,1)</f>
        <v>423.70867928499592</v>
      </c>
      <c r="E924" s="27">
        <f>C924+_xlfn.FORECAST.ETS.CONFINT(A924,$B$2:$B$747,$A$2:$A$747,0.95,1,1)</f>
        <v>450.54406771223864</v>
      </c>
    </row>
    <row r="925" spans="1:5" x14ac:dyDescent="0.4">
      <c r="A925" s="25">
        <v>49341</v>
      </c>
      <c r="C925" s="26">
        <f>_xlfn.FORECAST.ETS(A925,$B$2:$B$747,$A$2:$A$747,1,1)</f>
        <v>437.93200571184701</v>
      </c>
      <c r="D925" s="27">
        <f>C925-_xlfn.FORECAST.ETS.CONFINT(A925,$B$2:$B$747,$A$2:$A$747,0.95,1,1)</f>
        <v>424.47011943496244</v>
      </c>
      <c r="E925" s="27">
        <f>C925+_xlfn.FORECAST.ETS.CONFINT(A925,$B$2:$B$747,$A$2:$A$747,0.95,1,1)</f>
        <v>451.39389198873158</v>
      </c>
    </row>
    <row r="926" spans="1:5" x14ac:dyDescent="0.4">
      <c r="A926" s="25">
        <v>49369</v>
      </c>
      <c r="C926" s="26">
        <f>_xlfn.FORECAST.ETS(A926,$B$2:$B$747,$A$2:$A$747,1,1)</f>
        <v>438.56044852364079</v>
      </c>
      <c r="D926" s="27">
        <f>C926-_xlfn.FORECAST.ETS.CONFINT(A926,$B$2:$B$747,$A$2:$A$747,0.95,1,1)</f>
        <v>425.05443989747533</v>
      </c>
      <c r="E926" s="27">
        <f>C926+_xlfn.FORECAST.ETS.CONFINT(A926,$B$2:$B$747,$A$2:$A$747,0.95,1,1)</f>
        <v>452.06645714980624</v>
      </c>
    </row>
    <row r="927" spans="1:5" x14ac:dyDescent="0.4">
      <c r="A927" s="25">
        <v>49400</v>
      </c>
      <c r="C927" s="26">
        <f>_xlfn.FORECAST.ETS(A927,$B$2:$B$747,$A$2:$A$747,1,1)</f>
        <v>439.78122705298381</v>
      </c>
      <c r="D927" s="27">
        <f>C927-_xlfn.FORECAST.ETS.CONFINT(A927,$B$2:$B$747,$A$2:$A$747,0.95,1,1)</f>
        <v>426.23116504700545</v>
      </c>
      <c r="E927" s="27">
        <f>C927+_xlfn.FORECAST.ETS.CONFINT(A927,$B$2:$B$747,$A$2:$A$747,0.95,1,1)</f>
        <v>453.33128905896217</v>
      </c>
    </row>
    <row r="928" spans="1:5" x14ac:dyDescent="0.4">
      <c r="A928" s="25">
        <v>49430</v>
      </c>
      <c r="C928" s="26">
        <f>_xlfn.FORECAST.ETS(A928,$B$2:$B$747,$A$2:$A$747,1,1)</f>
        <v>440.71155376511268</v>
      </c>
      <c r="D928" s="27">
        <f>C928-_xlfn.FORECAST.ETS.CONFINT(A928,$B$2:$B$747,$A$2:$A$747,0.95,1,1)</f>
        <v>427.11743202669226</v>
      </c>
      <c r="E928" s="27">
        <f>C928+_xlfn.FORECAST.ETS.CONFINT(A928,$B$2:$B$747,$A$2:$A$747,0.95,1,1)</f>
        <v>454.30567550353311</v>
      </c>
    </row>
    <row r="929" spans="1:5" x14ac:dyDescent="0.4">
      <c r="A929" s="25">
        <v>49461</v>
      </c>
      <c r="C929" s="26">
        <f>_xlfn.FORECAST.ETS(A929,$B$2:$B$747,$A$2:$A$747,1,1)</f>
        <v>440.33280484023834</v>
      </c>
      <c r="D929" s="27">
        <f>C929-_xlfn.FORECAST.ETS.CONFINT(A929,$B$2:$B$747,$A$2:$A$747,0.95,1,1)</f>
        <v>426.69476571021204</v>
      </c>
      <c r="E929" s="27">
        <f>C929+_xlfn.FORECAST.ETS.CONFINT(A929,$B$2:$B$747,$A$2:$A$747,0.95,1,1)</f>
        <v>453.97084397026464</v>
      </c>
    </row>
    <row r="930" spans="1:5" x14ac:dyDescent="0.4">
      <c r="A930" s="25">
        <v>49491</v>
      </c>
      <c r="C930" s="26">
        <f>_xlfn.FORECAST.ETS(A930,$B$2:$B$747,$A$2:$A$747,1,1)</f>
        <v>439.00241469433797</v>
      </c>
      <c r="D930" s="27">
        <f>C930-_xlfn.FORECAST.ETS.CONFINT(A930,$B$2:$B$747,$A$2:$A$747,0.95,1,1)</f>
        <v>425.32052497014143</v>
      </c>
      <c r="E930" s="27">
        <f>C930+_xlfn.FORECAST.ETS.CONFINT(A930,$B$2:$B$747,$A$2:$A$747,0.95,1,1)</f>
        <v>452.68430441853451</v>
      </c>
    </row>
    <row r="931" spans="1:5" x14ac:dyDescent="0.4">
      <c r="A931" s="25">
        <v>49522</v>
      </c>
      <c r="C931" s="26">
        <f>_xlfn.FORECAST.ETS(A931,$B$2:$B$747,$A$2:$A$747,1,1)</f>
        <v>437.32633500577828</v>
      </c>
      <c r="D931" s="27">
        <f>C931-_xlfn.FORECAST.ETS.CONFINT(A931,$B$2:$B$747,$A$2:$A$747,0.95,1,1)</f>
        <v>423.60066078195263</v>
      </c>
      <c r="E931" s="27">
        <f>C931+_xlfn.FORECAST.ETS.CONFINT(A931,$B$2:$B$747,$A$2:$A$747,0.95,1,1)</f>
        <v>451.05200922960393</v>
      </c>
    </row>
    <row r="932" spans="1:5" x14ac:dyDescent="0.4">
      <c r="A932" s="25">
        <v>49553</v>
      </c>
      <c r="C932" s="26">
        <f>_xlfn.FORECAST.ETS(A932,$B$2:$B$747,$A$2:$A$747,1,1)</f>
        <v>435.9151029781612</v>
      </c>
      <c r="D932" s="27">
        <f>C932-_xlfn.FORECAST.ETS.CONFINT(A932,$B$2:$B$747,$A$2:$A$747,0.95,1,1)</f>
        <v>422.14570965625171</v>
      </c>
      <c r="E932" s="27">
        <f>C932+_xlfn.FORECAST.ETS.CONFINT(A932,$B$2:$B$747,$A$2:$A$747,0.95,1,1)</f>
        <v>449.68449630007069</v>
      </c>
    </row>
    <row r="933" spans="1:5" x14ac:dyDescent="0.4">
      <c r="A933" s="25">
        <v>49583</v>
      </c>
      <c r="C933" s="26">
        <f>_xlfn.FORECAST.ETS(A933,$B$2:$B$747,$A$2:$A$747,1,1)</f>
        <v>435.74313881234252</v>
      </c>
      <c r="D933" s="27">
        <f>C933-_xlfn.FORECAST.ETS.CONFINT(A933,$B$2:$B$747,$A$2:$A$747,0.95,1,1)</f>
        <v>421.9300911106078</v>
      </c>
      <c r="E933" s="27">
        <f>C933+_xlfn.FORECAST.ETS.CONFINT(A933,$B$2:$B$747,$A$2:$A$747,0.95,1,1)</f>
        <v>449.55618651407724</v>
      </c>
    </row>
    <row r="934" spans="1:5" x14ac:dyDescent="0.4">
      <c r="A934" s="25">
        <v>49614</v>
      </c>
      <c r="C934" s="26">
        <f>_xlfn.FORECAST.ETS(A934,$B$2:$B$747,$A$2:$A$747,1,1)</f>
        <v>436.69801423803</v>
      </c>
      <c r="D934" s="27">
        <f>C934-_xlfn.FORECAST.ETS.CONFINT(A934,$B$2:$B$747,$A$2:$A$747,0.95,1,1)</f>
        <v>422.84137620096584</v>
      </c>
      <c r="E934" s="27">
        <f>C934+_xlfn.FORECAST.ETS.CONFINT(A934,$B$2:$B$747,$A$2:$A$747,0.95,1,1)</f>
        <v>450.55465227509416</v>
      </c>
    </row>
    <row r="935" spans="1:5" x14ac:dyDescent="0.4">
      <c r="A935" s="25">
        <v>49644</v>
      </c>
      <c r="C935" s="26">
        <f>_xlfn.FORECAST.ETS(A935,$B$2:$B$747,$A$2:$A$747,1,1)</f>
        <v>437.82085569790189</v>
      </c>
      <c r="D935" s="27">
        <f>C935-_xlfn.FORECAST.ETS.CONFINT(A935,$B$2:$B$747,$A$2:$A$747,0.95,1,1)</f>
        <v>423.92069070558432</v>
      </c>
      <c r="E935" s="27">
        <f>C935+_xlfn.FORECAST.ETS.CONFINT(A935,$B$2:$B$747,$A$2:$A$747,0.95,1,1)</f>
        <v>451.72102069021946</v>
      </c>
    </row>
    <row r="936" spans="1:5" x14ac:dyDescent="0.4">
      <c r="A936" s="25">
        <v>49675</v>
      </c>
      <c r="C936" s="26">
        <f>_xlfn.FORECAST.ETS(A936,$B$2:$B$747,$A$2:$A$747,1,1)</f>
        <v>438.69978863548283</v>
      </c>
      <c r="D936" s="27">
        <f>C936-_xlfn.FORECAST.ETS.CONFINT(A936,$B$2:$B$747,$A$2:$A$747,0.95,1,1)</f>
        <v>424.75615941273469</v>
      </c>
      <c r="E936" s="27">
        <f>C936+_xlfn.FORECAST.ETS.CONFINT(A936,$B$2:$B$747,$A$2:$A$747,0.95,1,1)</f>
        <v>452.64341785823098</v>
      </c>
    </row>
    <row r="937" spans="1:5" x14ac:dyDescent="0.4">
      <c r="A937" s="25">
        <v>49706</v>
      </c>
      <c r="C937" s="26">
        <f>_xlfn.FORECAST.ETS(A937,$B$2:$B$747,$A$2:$A$747,1,1)</f>
        <v>439.50542084871262</v>
      </c>
      <c r="D937" s="27">
        <f>C937-_xlfn.FORECAST.ETS.CONFINT(A937,$B$2:$B$747,$A$2:$A$747,0.95,1,1)</f>
        <v>425.51838947409806</v>
      </c>
      <c r="E937" s="27">
        <f>C937+_xlfn.FORECAST.ETS.CONFINT(A937,$B$2:$B$747,$A$2:$A$747,0.95,1,1)</f>
        <v>453.49245222332718</v>
      </c>
    </row>
    <row r="938" spans="1:5" x14ac:dyDescent="0.4">
      <c r="A938" s="25">
        <v>49735</v>
      </c>
      <c r="C938" s="26">
        <f>_xlfn.FORECAST.ETS(A938,$B$2:$B$747,$A$2:$A$747,1,1)</f>
        <v>440.13386366050639</v>
      </c>
      <c r="D938" s="27">
        <f>C938-_xlfn.FORECAST.ETS.CONFINT(A938,$B$2:$B$747,$A$2:$A$747,0.95,1,1)</f>
        <v>426.10349157515736</v>
      </c>
      <c r="E938" s="27">
        <f>C938+_xlfn.FORECAST.ETS.CONFINT(A938,$B$2:$B$747,$A$2:$A$747,0.95,1,1)</f>
        <v>454.16423574585542</v>
      </c>
    </row>
    <row r="939" spans="1:5" x14ac:dyDescent="0.4">
      <c r="A939" s="25">
        <v>49766</v>
      </c>
      <c r="C939" s="26">
        <f>_xlfn.FORECAST.ETS(A939,$B$2:$B$747,$A$2:$A$747,1,1)</f>
        <v>441.35464218984936</v>
      </c>
      <c r="D939" s="27">
        <f>C939-_xlfn.FORECAST.ETS.CONFINT(A939,$B$2:$B$747,$A$2:$A$747,0.95,1,1)</f>
        <v>427.28099020612797</v>
      </c>
      <c r="E939" s="27">
        <f>C939+_xlfn.FORECAST.ETS.CONFINT(A939,$B$2:$B$747,$A$2:$A$747,0.95,1,1)</f>
        <v>455.42829417357075</v>
      </c>
    </row>
    <row r="940" spans="1:5" x14ac:dyDescent="0.4">
      <c r="A940" s="25">
        <v>49796</v>
      </c>
      <c r="C940" s="26">
        <f>_xlfn.FORECAST.ETS(A940,$B$2:$B$747,$A$2:$A$747,1,1)</f>
        <v>442.28496890197829</v>
      </c>
      <c r="D940" s="27">
        <f>C940-_xlfn.FORECAST.ETS.CONFINT(A940,$B$2:$B$747,$A$2:$A$747,0.95,1,1)</f>
        <v>428.16802465472313</v>
      </c>
      <c r="E940" s="27">
        <f>C940+_xlfn.FORECAST.ETS.CONFINT(A940,$B$2:$B$747,$A$2:$A$747,0.95,1,1)</f>
        <v>456.40191314923345</v>
      </c>
    </row>
    <row r="941" spans="1:5" x14ac:dyDescent="0.4">
      <c r="A941" s="25">
        <v>49827</v>
      </c>
      <c r="C941" s="26">
        <f>_xlfn.FORECAST.ETS(A941,$B$2:$B$747,$A$2:$A$747,1,1)</f>
        <v>441.90621997710394</v>
      </c>
      <c r="D941" s="27">
        <f>C941-_xlfn.FORECAST.ETS.CONFINT(A941,$B$2:$B$747,$A$2:$A$747,0.95,1,1)</f>
        <v>427.7461158248982</v>
      </c>
      <c r="E941" s="27">
        <f>C941+_xlfn.FORECAST.ETS.CONFINT(A941,$B$2:$B$747,$A$2:$A$747,0.95,1,1)</f>
        <v>456.06632412930969</v>
      </c>
    </row>
    <row r="942" spans="1:5" x14ac:dyDescent="0.4">
      <c r="A942" s="25">
        <v>49857</v>
      </c>
      <c r="C942" s="26">
        <f>_xlfn.FORECAST.ETS(A942,$B$2:$B$747,$A$2:$A$747,1,1)</f>
        <v>440.57582983120352</v>
      </c>
      <c r="D942" s="27">
        <f>C942-_xlfn.FORECAST.ETS.CONFINT(A942,$B$2:$B$747,$A$2:$A$747,0.95,1,1)</f>
        <v>426.37262474884682</v>
      </c>
      <c r="E942" s="27">
        <f>C942+_xlfn.FORECAST.ETS.CONFINT(A942,$B$2:$B$747,$A$2:$A$747,0.95,1,1)</f>
        <v>454.77903491356022</v>
      </c>
    </row>
    <row r="943" spans="1:5" x14ac:dyDescent="0.4">
      <c r="A943" s="25">
        <v>49888</v>
      </c>
      <c r="C943" s="26">
        <f>_xlfn.FORECAST.ETS(A943,$B$2:$B$747,$A$2:$A$747,1,1)</f>
        <v>438.89975014264388</v>
      </c>
      <c r="D943" s="27">
        <f>C943-_xlfn.FORECAST.ETS.CONFINT(A943,$B$2:$B$747,$A$2:$A$747,0.95,1,1)</f>
        <v>424.65350250927105</v>
      </c>
      <c r="E943" s="27">
        <f>C943+_xlfn.FORECAST.ETS.CONFINT(A943,$B$2:$B$747,$A$2:$A$747,0.95,1,1)</f>
        <v>453.14599777601671</v>
      </c>
    </row>
    <row r="944" spans="1:5" x14ac:dyDescent="0.4">
      <c r="A944" s="25">
        <v>49919</v>
      </c>
      <c r="C944" s="26">
        <f>_xlfn.FORECAST.ETS(A944,$B$2:$B$747,$A$2:$A$747,1,1)</f>
        <v>437.48851811502681</v>
      </c>
      <c r="D944" s="27">
        <f>C944-_xlfn.FORECAST.ETS.CONFINT(A944,$B$2:$B$747,$A$2:$A$747,0.95,1,1)</f>
        <v>423.19928572200558</v>
      </c>
      <c r="E944" s="27">
        <f>C944+_xlfn.FORECAST.ETS.CONFINT(A944,$B$2:$B$747,$A$2:$A$747,0.95,1,1)</f>
        <v>451.77775050804803</v>
      </c>
    </row>
    <row r="945" spans="1:5" x14ac:dyDescent="0.4">
      <c r="A945" s="25">
        <v>49949</v>
      </c>
      <c r="C945" s="26">
        <f>_xlfn.FORECAST.ETS(A945,$B$2:$B$747,$A$2:$A$747,1,1)</f>
        <v>437.31655394920807</v>
      </c>
      <c r="D945" s="27">
        <f>C945-_xlfn.FORECAST.ETS.CONFINT(A945,$B$2:$B$747,$A$2:$A$747,0.95,1,1)</f>
        <v>422.98439400789402</v>
      </c>
      <c r="E945" s="27">
        <f>C945+_xlfn.FORECAST.ETS.CONFINT(A945,$B$2:$B$747,$A$2:$A$747,0.95,1,1)</f>
        <v>451.64871389052212</v>
      </c>
    </row>
    <row r="946" spans="1:5" x14ac:dyDescent="0.4">
      <c r="A946" s="25">
        <v>49980</v>
      </c>
      <c r="C946" s="26">
        <f>_xlfn.FORECAST.ETS(A946,$B$2:$B$747,$A$2:$A$747,1,1)</f>
        <v>438.2714293748956</v>
      </c>
      <c r="D946" s="27">
        <f>C946-_xlfn.FORECAST.ETS.CONFINT(A946,$B$2:$B$747,$A$2:$A$747,0.95,1,1)</f>
        <v>423.89639852424824</v>
      </c>
      <c r="E946" s="27">
        <f>C946+_xlfn.FORECAST.ETS.CONFINT(A946,$B$2:$B$747,$A$2:$A$747,0.95,1,1)</f>
        <v>452.64646022554297</v>
      </c>
    </row>
    <row r="947" spans="1:5" x14ac:dyDescent="0.4">
      <c r="A947" s="25">
        <v>50010</v>
      </c>
      <c r="C947" s="26">
        <f>_xlfn.FORECAST.ETS(A947,$B$2:$B$747,$A$2:$A$747,1,1)</f>
        <v>439.3942708347675</v>
      </c>
      <c r="D947" s="27">
        <f>C947-_xlfn.FORECAST.ETS.CONFINT(A947,$B$2:$B$747,$A$2:$A$747,0.95,1,1)</f>
        <v>424.97642514883029</v>
      </c>
      <c r="E947" s="27">
        <f>C947+_xlfn.FORECAST.ETS.CONFINT(A947,$B$2:$B$747,$A$2:$A$747,0.95,1,1)</f>
        <v>453.81211652070471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dimension ref="A1:B742"/>
  <sheetViews>
    <sheetView tabSelected="1" zoomScaleNormal="100" workbookViewId="0"/>
  </sheetViews>
  <sheetFormatPr defaultRowHeight="18.75" x14ac:dyDescent="0.4"/>
  <cols>
    <col min="1" max="1" width="10.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21245</v>
      </c>
      <c r="B2">
        <v>315.7</v>
      </c>
    </row>
    <row r="3" spans="1:2" x14ac:dyDescent="0.4">
      <c r="A3" s="1">
        <v>21276</v>
      </c>
      <c r="B3">
        <v>317.45999999999998</v>
      </c>
    </row>
    <row r="4" spans="1:2" x14ac:dyDescent="0.4">
      <c r="A4" s="1">
        <v>21306</v>
      </c>
      <c r="B4">
        <v>317.51</v>
      </c>
    </row>
    <row r="5" spans="1:2" x14ac:dyDescent="0.4">
      <c r="A5" s="1">
        <v>21367</v>
      </c>
      <c r="B5">
        <v>315.86</v>
      </c>
    </row>
    <row r="6" spans="1:2" x14ac:dyDescent="0.4">
      <c r="A6" s="1">
        <v>21398</v>
      </c>
      <c r="B6">
        <v>314.93</v>
      </c>
    </row>
    <row r="7" spans="1:2" x14ac:dyDescent="0.4">
      <c r="A7" s="1">
        <v>21429</v>
      </c>
      <c r="B7">
        <v>313.20999999999998</v>
      </c>
    </row>
    <row r="8" spans="1:2" x14ac:dyDescent="0.4">
      <c r="A8" s="1">
        <v>21490</v>
      </c>
      <c r="B8">
        <v>313.33</v>
      </c>
    </row>
    <row r="9" spans="1:2" x14ac:dyDescent="0.4">
      <c r="A9" s="1">
        <v>21520</v>
      </c>
      <c r="B9">
        <v>314.67</v>
      </c>
    </row>
    <row r="10" spans="1:2" x14ac:dyDescent="0.4">
      <c r="A10" s="1">
        <v>21551</v>
      </c>
      <c r="B10">
        <v>315.58</v>
      </c>
    </row>
    <row r="11" spans="1:2" x14ac:dyDescent="0.4">
      <c r="A11" s="1">
        <v>21582</v>
      </c>
      <c r="B11">
        <v>316.49</v>
      </c>
    </row>
    <row r="12" spans="1:2" x14ac:dyDescent="0.4">
      <c r="A12" s="1">
        <v>21610</v>
      </c>
      <c r="B12">
        <v>316.64999999999998</v>
      </c>
    </row>
    <row r="13" spans="1:2" x14ac:dyDescent="0.4">
      <c r="A13" s="1">
        <v>21641</v>
      </c>
      <c r="B13">
        <v>317.72000000000003</v>
      </c>
    </row>
    <row r="14" spans="1:2" x14ac:dyDescent="0.4">
      <c r="A14" s="1">
        <v>21671</v>
      </c>
      <c r="B14">
        <v>318.29000000000002</v>
      </c>
    </row>
    <row r="15" spans="1:2" x14ac:dyDescent="0.4">
      <c r="A15" s="1">
        <v>21702</v>
      </c>
      <c r="B15">
        <v>318.14999999999998</v>
      </c>
    </row>
    <row r="16" spans="1:2" x14ac:dyDescent="0.4">
      <c r="A16" s="1">
        <v>21732</v>
      </c>
      <c r="B16">
        <v>316.54000000000002</v>
      </c>
    </row>
    <row r="17" spans="1:2" x14ac:dyDescent="0.4">
      <c r="A17" s="1">
        <v>21763</v>
      </c>
      <c r="B17">
        <v>314.8</v>
      </c>
    </row>
    <row r="18" spans="1:2" x14ac:dyDescent="0.4">
      <c r="A18" s="1">
        <v>21794</v>
      </c>
      <c r="B18">
        <v>313.83999999999997</v>
      </c>
    </row>
    <row r="19" spans="1:2" x14ac:dyDescent="0.4">
      <c r="A19" s="1">
        <v>21824</v>
      </c>
      <c r="B19">
        <v>313.33</v>
      </c>
    </row>
    <row r="20" spans="1:2" x14ac:dyDescent="0.4">
      <c r="A20" s="1">
        <v>21855</v>
      </c>
      <c r="B20">
        <v>314.81</v>
      </c>
    </row>
    <row r="21" spans="1:2" x14ac:dyDescent="0.4">
      <c r="A21" s="1">
        <v>21885</v>
      </c>
      <c r="B21">
        <v>315.58</v>
      </c>
    </row>
    <row r="22" spans="1:2" x14ac:dyDescent="0.4">
      <c r="A22" s="1">
        <v>21916</v>
      </c>
      <c r="B22">
        <v>316.43</v>
      </c>
    </row>
    <row r="23" spans="1:2" x14ac:dyDescent="0.4">
      <c r="A23" s="1">
        <v>21947</v>
      </c>
      <c r="B23">
        <v>316.98</v>
      </c>
    </row>
    <row r="24" spans="1:2" x14ac:dyDescent="0.4">
      <c r="A24" s="1">
        <v>21976</v>
      </c>
      <c r="B24">
        <v>317.58</v>
      </c>
    </row>
    <row r="25" spans="1:2" x14ac:dyDescent="0.4">
      <c r="A25" s="1">
        <v>22007</v>
      </c>
      <c r="B25">
        <v>319.02999999999997</v>
      </c>
    </row>
    <row r="26" spans="1:2" x14ac:dyDescent="0.4">
      <c r="A26" s="1">
        <v>22037</v>
      </c>
      <c r="B26">
        <v>320.04000000000002</v>
      </c>
    </row>
    <row r="27" spans="1:2" x14ac:dyDescent="0.4">
      <c r="A27" s="1">
        <v>22068</v>
      </c>
      <c r="B27">
        <v>319.58</v>
      </c>
    </row>
    <row r="28" spans="1:2" x14ac:dyDescent="0.4">
      <c r="A28" s="1">
        <v>22098</v>
      </c>
      <c r="B28">
        <v>318.18</v>
      </c>
    </row>
    <row r="29" spans="1:2" x14ac:dyDescent="0.4">
      <c r="A29" s="1">
        <v>22129</v>
      </c>
      <c r="B29">
        <v>315.89999999999998</v>
      </c>
    </row>
    <row r="30" spans="1:2" x14ac:dyDescent="0.4">
      <c r="A30" s="1">
        <v>22160</v>
      </c>
      <c r="B30">
        <v>314.17</v>
      </c>
    </row>
    <row r="31" spans="1:2" x14ac:dyDescent="0.4">
      <c r="A31" s="1">
        <v>22190</v>
      </c>
      <c r="B31">
        <v>313.83</v>
      </c>
    </row>
    <row r="32" spans="1:2" x14ac:dyDescent="0.4">
      <c r="A32" s="1">
        <v>22221</v>
      </c>
      <c r="B32">
        <v>315</v>
      </c>
    </row>
    <row r="33" spans="1:2" x14ac:dyDescent="0.4">
      <c r="A33" s="1">
        <v>22251</v>
      </c>
      <c r="B33">
        <v>316.19</v>
      </c>
    </row>
    <row r="34" spans="1:2" x14ac:dyDescent="0.4">
      <c r="A34" s="1">
        <v>22282</v>
      </c>
      <c r="B34">
        <v>316.89999999999998</v>
      </c>
    </row>
    <row r="35" spans="1:2" x14ac:dyDescent="0.4">
      <c r="A35" s="1">
        <v>22313</v>
      </c>
      <c r="B35">
        <v>317.7</v>
      </c>
    </row>
    <row r="36" spans="1:2" x14ac:dyDescent="0.4">
      <c r="A36" s="1">
        <v>22341</v>
      </c>
      <c r="B36">
        <v>318.54000000000002</v>
      </c>
    </row>
    <row r="37" spans="1:2" x14ac:dyDescent="0.4">
      <c r="A37" s="1">
        <v>22372</v>
      </c>
      <c r="B37">
        <v>319.48</v>
      </c>
    </row>
    <row r="38" spans="1:2" x14ac:dyDescent="0.4">
      <c r="A38" s="1">
        <v>22402</v>
      </c>
      <c r="B38">
        <v>320.58</v>
      </c>
    </row>
    <row r="39" spans="1:2" x14ac:dyDescent="0.4">
      <c r="A39" s="1">
        <v>22433</v>
      </c>
      <c r="B39">
        <v>319.77</v>
      </c>
    </row>
    <row r="40" spans="1:2" x14ac:dyDescent="0.4">
      <c r="A40" s="1">
        <v>22463</v>
      </c>
      <c r="B40">
        <v>318.57</v>
      </c>
    </row>
    <row r="41" spans="1:2" x14ac:dyDescent="0.4">
      <c r="A41" s="1">
        <v>22494</v>
      </c>
      <c r="B41">
        <v>316.79000000000002</v>
      </c>
    </row>
    <row r="42" spans="1:2" x14ac:dyDescent="0.4">
      <c r="A42" s="1">
        <v>22525</v>
      </c>
      <c r="B42">
        <v>314.99</v>
      </c>
    </row>
    <row r="43" spans="1:2" x14ac:dyDescent="0.4">
      <c r="A43" s="1">
        <v>22555</v>
      </c>
      <c r="B43">
        <v>315.31</v>
      </c>
    </row>
    <row r="44" spans="1:2" x14ac:dyDescent="0.4">
      <c r="A44" s="1">
        <v>22586</v>
      </c>
      <c r="B44">
        <v>316.10000000000002</v>
      </c>
    </row>
    <row r="45" spans="1:2" x14ac:dyDescent="0.4">
      <c r="A45" s="1">
        <v>22616</v>
      </c>
      <c r="B45">
        <v>317.01</v>
      </c>
    </row>
    <row r="46" spans="1:2" x14ac:dyDescent="0.4">
      <c r="A46" s="1">
        <v>22647</v>
      </c>
      <c r="B46">
        <v>317.94</v>
      </c>
    </row>
    <row r="47" spans="1:2" x14ac:dyDescent="0.4">
      <c r="A47" s="1">
        <v>22678</v>
      </c>
      <c r="B47">
        <v>318.55</v>
      </c>
    </row>
    <row r="48" spans="1:2" x14ac:dyDescent="0.4">
      <c r="A48" s="1">
        <v>22706</v>
      </c>
      <c r="B48">
        <v>319.68</v>
      </c>
    </row>
    <row r="49" spans="1:2" x14ac:dyDescent="0.4">
      <c r="A49" s="1">
        <v>22737</v>
      </c>
      <c r="B49">
        <v>320.57</v>
      </c>
    </row>
    <row r="50" spans="1:2" x14ac:dyDescent="0.4">
      <c r="A50" s="1">
        <v>22767</v>
      </c>
      <c r="B50">
        <v>321.02</v>
      </c>
    </row>
    <row r="51" spans="1:2" x14ac:dyDescent="0.4">
      <c r="A51" s="1">
        <v>22798</v>
      </c>
      <c r="B51">
        <v>320.62</v>
      </c>
    </row>
    <row r="52" spans="1:2" x14ac:dyDescent="0.4">
      <c r="A52" s="1">
        <v>22828</v>
      </c>
      <c r="B52">
        <v>319.61</v>
      </c>
    </row>
    <row r="53" spans="1:2" x14ac:dyDescent="0.4">
      <c r="A53" s="1">
        <v>22859</v>
      </c>
      <c r="B53">
        <v>317.39999999999998</v>
      </c>
    </row>
    <row r="54" spans="1:2" x14ac:dyDescent="0.4">
      <c r="A54" s="1">
        <v>22890</v>
      </c>
      <c r="B54">
        <v>316.25</v>
      </c>
    </row>
    <row r="55" spans="1:2" x14ac:dyDescent="0.4">
      <c r="A55" s="1">
        <v>22920</v>
      </c>
      <c r="B55">
        <v>315.42</v>
      </c>
    </row>
    <row r="56" spans="1:2" x14ac:dyDescent="0.4">
      <c r="A56" s="1">
        <v>22951</v>
      </c>
      <c r="B56">
        <v>316.69</v>
      </c>
    </row>
    <row r="57" spans="1:2" x14ac:dyDescent="0.4">
      <c r="A57" s="1">
        <v>22981</v>
      </c>
      <c r="B57">
        <v>317.7</v>
      </c>
    </row>
    <row r="58" spans="1:2" x14ac:dyDescent="0.4">
      <c r="A58" s="1">
        <v>23012</v>
      </c>
      <c r="B58">
        <v>318.74</v>
      </c>
    </row>
    <row r="59" spans="1:2" x14ac:dyDescent="0.4">
      <c r="A59" s="1">
        <v>23043</v>
      </c>
      <c r="B59">
        <v>319.07</v>
      </c>
    </row>
    <row r="60" spans="1:2" x14ac:dyDescent="0.4">
      <c r="A60" s="1">
        <v>23071</v>
      </c>
      <c r="B60">
        <v>319.86</v>
      </c>
    </row>
    <row r="61" spans="1:2" x14ac:dyDescent="0.4">
      <c r="A61" s="1">
        <v>23102</v>
      </c>
      <c r="B61">
        <v>321.38</v>
      </c>
    </row>
    <row r="62" spans="1:2" x14ac:dyDescent="0.4">
      <c r="A62" s="1">
        <v>23132</v>
      </c>
      <c r="B62">
        <v>322.25</v>
      </c>
    </row>
    <row r="63" spans="1:2" x14ac:dyDescent="0.4">
      <c r="A63" s="1">
        <v>23163</v>
      </c>
      <c r="B63">
        <v>321.48</v>
      </c>
    </row>
    <row r="64" spans="1:2" x14ac:dyDescent="0.4">
      <c r="A64" s="1">
        <v>23193</v>
      </c>
      <c r="B64">
        <v>319.74</v>
      </c>
    </row>
    <row r="65" spans="1:2" x14ac:dyDescent="0.4">
      <c r="A65" s="1">
        <v>23224</v>
      </c>
      <c r="B65">
        <v>317.77</v>
      </c>
    </row>
    <row r="66" spans="1:2" x14ac:dyDescent="0.4">
      <c r="A66" s="1">
        <v>23255</v>
      </c>
      <c r="B66">
        <v>316.20999999999998</v>
      </c>
    </row>
    <row r="67" spans="1:2" x14ac:dyDescent="0.4">
      <c r="A67" s="1">
        <v>23285</v>
      </c>
      <c r="B67">
        <v>315.99</v>
      </c>
    </row>
    <row r="68" spans="1:2" x14ac:dyDescent="0.4">
      <c r="A68" s="1">
        <v>23316</v>
      </c>
      <c r="B68">
        <v>317.07</v>
      </c>
    </row>
    <row r="69" spans="1:2" x14ac:dyDescent="0.4">
      <c r="A69" s="1">
        <v>23346</v>
      </c>
      <c r="B69">
        <v>318.35000000000002</v>
      </c>
    </row>
    <row r="70" spans="1:2" x14ac:dyDescent="0.4">
      <c r="A70" s="1">
        <v>23377</v>
      </c>
      <c r="B70">
        <v>319.57</v>
      </c>
    </row>
    <row r="71" spans="1:2" x14ac:dyDescent="0.4">
      <c r="A71" s="1">
        <v>23498</v>
      </c>
      <c r="B71">
        <v>322.26</v>
      </c>
    </row>
    <row r="72" spans="1:2" x14ac:dyDescent="0.4">
      <c r="A72" s="1">
        <v>23529</v>
      </c>
      <c r="B72">
        <v>321.89</v>
      </c>
    </row>
    <row r="73" spans="1:2" x14ac:dyDescent="0.4">
      <c r="A73" s="1">
        <v>23559</v>
      </c>
      <c r="B73">
        <v>320.44</v>
      </c>
    </row>
    <row r="74" spans="1:2" x14ac:dyDescent="0.4">
      <c r="A74" s="1">
        <v>23590</v>
      </c>
      <c r="B74">
        <v>318.69</v>
      </c>
    </row>
    <row r="75" spans="1:2" x14ac:dyDescent="0.4">
      <c r="A75" s="1">
        <v>23621</v>
      </c>
      <c r="B75">
        <v>316.7</v>
      </c>
    </row>
    <row r="76" spans="1:2" x14ac:dyDescent="0.4">
      <c r="A76" s="1">
        <v>23651</v>
      </c>
      <c r="B76">
        <v>316.87</v>
      </c>
    </row>
    <row r="77" spans="1:2" x14ac:dyDescent="0.4">
      <c r="A77" s="1">
        <v>23682</v>
      </c>
      <c r="B77">
        <v>317.68</v>
      </c>
    </row>
    <row r="78" spans="1:2" x14ac:dyDescent="0.4">
      <c r="A78" s="1">
        <v>23712</v>
      </c>
      <c r="B78">
        <v>318.70999999999998</v>
      </c>
    </row>
    <row r="79" spans="1:2" x14ac:dyDescent="0.4">
      <c r="A79" s="1">
        <v>23743</v>
      </c>
      <c r="B79">
        <v>319.44</v>
      </c>
    </row>
    <row r="80" spans="1:2" x14ac:dyDescent="0.4">
      <c r="A80" s="1">
        <v>23774</v>
      </c>
      <c r="B80">
        <v>320.44</v>
      </c>
    </row>
    <row r="81" spans="1:2" x14ac:dyDescent="0.4">
      <c r="A81" s="1">
        <v>23802</v>
      </c>
      <c r="B81">
        <v>320.89</v>
      </c>
    </row>
    <row r="82" spans="1:2" x14ac:dyDescent="0.4">
      <c r="A82" s="1">
        <v>23833</v>
      </c>
      <c r="B82">
        <v>322.14</v>
      </c>
    </row>
    <row r="83" spans="1:2" x14ac:dyDescent="0.4">
      <c r="A83" s="1">
        <v>23863</v>
      </c>
      <c r="B83">
        <v>322.17</v>
      </c>
    </row>
    <row r="84" spans="1:2" x14ac:dyDescent="0.4">
      <c r="A84" s="1">
        <v>23894</v>
      </c>
      <c r="B84">
        <v>321.87</v>
      </c>
    </row>
    <row r="85" spans="1:2" x14ac:dyDescent="0.4">
      <c r="A85" s="1">
        <v>23924</v>
      </c>
      <c r="B85">
        <v>321.20999999999998</v>
      </c>
    </row>
    <row r="86" spans="1:2" x14ac:dyDescent="0.4">
      <c r="A86" s="1">
        <v>23955</v>
      </c>
      <c r="B86">
        <v>318.87</v>
      </c>
    </row>
    <row r="87" spans="1:2" x14ac:dyDescent="0.4">
      <c r="A87" s="1">
        <v>23986</v>
      </c>
      <c r="B87">
        <v>317.81</v>
      </c>
    </row>
    <row r="88" spans="1:2" x14ac:dyDescent="0.4">
      <c r="A88" s="1">
        <v>24016</v>
      </c>
      <c r="B88">
        <v>317.3</v>
      </c>
    </row>
    <row r="89" spans="1:2" x14ac:dyDescent="0.4">
      <c r="A89" s="1">
        <v>24047</v>
      </c>
      <c r="B89">
        <v>318.87</v>
      </c>
    </row>
    <row r="90" spans="1:2" x14ac:dyDescent="0.4">
      <c r="A90" s="1">
        <v>24077</v>
      </c>
      <c r="B90">
        <v>319.42</v>
      </c>
    </row>
    <row r="91" spans="1:2" x14ac:dyDescent="0.4">
      <c r="A91" s="1">
        <v>24108</v>
      </c>
      <c r="B91">
        <v>320.62</v>
      </c>
    </row>
    <row r="92" spans="1:2" x14ac:dyDescent="0.4">
      <c r="A92" s="1">
        <v>24139</v>
      </c>
      <c r="B92">
        <v>321.60000000000002</v>
      </c>
    </row>
    <row r="93" spans="1:2" x14ac:dyDescent="0.4">
      <c r="A93" s="1">
        <v>24167</v>
      </c>
      <c r="B93">
        <v>322.39</v>
      </c>
    </row>
    <row r="94" spans="1:2" x14ac:dyDescent="0.4">
      <c r="A94" s="1">
        <v>24198</v>
      </c>
      <c r="B94">
        <v>323.7</v>
      </c>
    </row>
    <row r="95" spans="1:2" x14ac:dyDescent="0.4">
      <c r="A95" s="1">
        <v>24228</v>
      </c>
      <c r="B95">
        <v>324.08</v>
      </c>
    </row>
    <row r="96" spans="1:2" x14ac:dyDescent="0.4">
      <c r="A96" s="1">
        <v>24259</v>
      </c>
      <c r="B96">
        <v>323.75</v>
      </c>
    </row>
    <row r="97" spans="1:2" x14ac:dyDescent="0.4">
      <c r="A97" s="1">
        <v>24289</v>
      </c>
      <c r="B97">
        <v>322.38</v>
      </c>
    </row>
    <row r="98" spans="1:2" x14ac:dyDescent="0.4">
      <c r="A98" s="1">
        <v>24320</v>
      </c>
      <c r="B98">
        <v>320.36</v>
      </c>
    </row>
    <row r="99" spans="1:2" x14ac:dyDescent="0.4">
      <c r="A99" s="1">
        <v>24351</v>
      </c>
      <c r="B99">
        <v>318.64</v>
      </c>
    </row>
    <row r="100" spans="1:2" x14ac:dyDescent="0.4">
      <c r="A100" s="1">
        <v>24381</v>
      </c>
      <c r="B100">
        <v>318.10000000000002</v>
      </c>
    </row>
    <row r="101" spans="1:2" x14ac:dyDescent="0.4">
      <c r="A101" s="1">
        <v>24412</v>
      </c>
      <c r="B101">
        <v>319.77999999999997</v>
      </c>
    </row>
    <row r="102" spans="1:2" x14ac:dyDescent="0.4">
      <c r="A102" s="1">
        <v>24442</v>
      </c>
      <c r="B102">
        <v>321.02999999999997</v>
      </c>
    </row>
    <row r="103" spans="1:2" x14ac:dyDescent="0.4">
      <c r="A103" s="1">
        <v>24473</v>
      </c>
      <c r="B103">
        <v>322.33</v>
      </c>
    </row>
    <row r="104" spans="1:2" x14ac:dyDescent="0.4">
      <c r="A104" s="1">
        <v>24504</v>
      </c>
      <c r="B104">
        <v>322.5</v>
      </c>
    </row>
    <row r="105" spans="1:2" x14ac:dyDescent="0.4">
      <c r="A105" s="1">
        <v>24532</v>
      </c>
      <c r="B105">
        <v>323.04000000000002</v>
      </c>
    </row>
    <row r="106" spans="1:2" x14ac:dyDescent="0.4">
      <c r="A106" s="1">
        <v>24563</v>
      </c>
      <c r="B106">
        <v>324.42</v>
      </c>
    </row>
    <row r="107" spans="1:2" x14ac:dyDescent="0.4">
      <c r="A107" s="1">
        <v>24593</v>
      </c>
      <c r="B107">
        <v>325</v>
      </c>
    </row>
    <row r="108" spans="1:2" x14ac:dyDescent="0.4">
      <c r="A108" s="1">
        <v>24624</v>
      </c>
      <c r="B108">
        <v>324.08999999999997</v>
      </c>
    </row>
    <row r="109" spans="1:2" x14ac:dyDescent="0.4">
      <c r="A109" s="1">
        <v>24654</v>
      </c>
      <c r="B109">
        <v>322.54000000000002</v>
      </c>
    </row>
    <row r="110" spans="1:2" x14ac:dyDescent="0.4">
      <c r="A110" s="1">
        <v>24685</v>
      </c>
      <c r="B110">
        <v>320.92</v>
      </c>
    </row>
    <row r="111" spans="1:2" x14ac:dyDescent="0.4">
      <c r="A111" s="1">
        <v>24716</v>
      </c>
      <c r="B111">
        <v>319.25</v>
      </c>
    </row>
    <row r="112" spans="1:2" x14ac:dyDescent="0.4">
      <c r="A112" s="1">
        <v>24746</v>
      </c>
      <c r="B112">
        <v>319.39</v>
      </c>
    </row>
    <row r="113" spans="1:2" x14ac:dyDescent="0.4">
      <c r="A113" s="1">
        <v>24777</v>
      </c>
      <c r="B113">
        <v>320.73</v>
      </c>
    </row>
    <row r="114" spans="1:2" x14ac:dyDescent="0.4">
      <c r="A114" s="1">
        <v>24807</v>
      </c>
      <c r="B114">
        <v>321.95999999999998</v>
      </c>
    </row>
    <row r="115" spans="1:2" x14ac:dyDescent="0.4">
      <c r="A115" s="1">
        <v>24838</v>
      </c>
      <c r="B115">
        <v>322.57</v>
      </c>
    </row>
    <row r="116" spans="1:2" x14ac:dyDescent="0.4">
      <c r="A116" s="1">
        <v>24869</v>
      </c>
      <c r="B116">
        <v>323.14999999999998</v>
      </c>
    </row>
    <row r="117" spans="1:2" x14ac:dyDescent="0.4">
      <c r="A117" s="1">
        <v>24898</v>
      </c>
      <c r="B117">
        <v>323.89</v>
      </c>
    </row>
    <row r="118" spans="1:2" x14ac:dyDescent="0.4">
      <c r="A118" s="1">
        <v>24929</v>
      </c>
      <c r="B118">
        <v>325.02</v>
      </c>
    </row>
    <row r="119" spans="1:2" x14ac:dyDescent="0.4">
      <c r="A119" s="1">
        <v>24959</v>
      </c>
      <c r="B119">
        <v>325.57</v>
      </c>
    </row>
    <row r="120" spans="1:2" x14ac:dyDescent="0.4">
      <c r="A120" s="1">
        <v>24990</v>
      </c>
      <c r="B120">
        <v>325.36</v>
      </c>
    </row>
    <row r="121" spans="1:2" x14ac:dyDescent="0.4">
      <c r="A121" s="1">
        <v>25020</v>
      </c>
      <c r="B121">
        <v>324.14</v>
      </c>
    </row>
    <row r="122" spans="1:2" x14ac:dyDescent="0.4">
      <c r="A122" s="1">
        <v>25051</v>
      </c>
      <c r="B122">
        <v>322.11</v>
      </c>
    </row>
    <row r="123" spans="1:2" x14ac:dyDescent="0.4">
      <c r="A123" s="1">
        <v>25082</v>
      </c>
      <c r="B123">
        <v>320.33</v>
      </c>
    </row>
    <row r="124" spans="1:2" x14ac:dyDescent="0.4">
      <c r="A124" s="1">
        <v>25112</v>
      </c>
      <c r="B124">
        <v>320.25</v>
      </c>
    </row>
    <row r="125" spans="1:2" x14ac:dyDescent="0.4">
      <c r="A125" s="1">
        <v>25143</v>
      </c>
      <c r="B125">
        <v>321.32</v>
      </c>
    </row>
    <row r="126" spans="1:2" x14ac:dyDescent="0.4">
      <c r="A126" s="1">
        <v>25173</v>
      </c>
      <c r="B126">
        <v>322.89</v>
      </c>
    </row>
    <row r="127" spans="1:2" x14ac:dyDescent="0.4">
      <c r="A127" s="1">
        <v>25204</v>
      </c>
      <c r="B127">
        <v>324</v>
      </c>
    </row>
    <row r="128" spans="1:2" x14ac:dyDescent="0.4">
      <c r="A128" s="1">
        <v>25235</v>
      </c>
      <c r="B128">
        <v>324.41000000000003</v>
      </c>
    </row>
    <row r="129" spans="1:2" x14ac:dyDescent="0.4">
      <c r="A129" s="1">
        <v>25263</v>
      </c>
      <c r="B129">
        <v>325.63</v>
      </c>
    </row>
    <row r="130" spans="1:2" x14ac:dyDescent="0.4">
      <c r="A130" s="1">
        <v>25294</v>
      </c>
      <c r="B130">
        <v>326.66000000000003</v>
      </c>
    </row>
    <row r="131" spans="1:2" x14ac:dyDescent="0.4">
      <c r="A131" s="1">
        <v>25324</v>
      </c>
      <c r="B131">
        <v>327.38</v>
      </c>
    </row>
    <row r="132" spans="1:2" x14ac:dyDescent="0.4">
      <c r="A132" s="1">
        <v>25355</v>
      </c>
      <c r="B132">
        <v>326.70999999999998</v>
      </c>
    </row>
    <row r="133" spans="1:2" x14ac:dyDescent="0.4">
      <c r="A133" s="1">
        <v>25385</v>
      </c>
      <c r="B133">
        <v>325.88</v>
      </c>
    </row>
    <row r="134" spans="1:2" x14ac:dyDescent="0.4">
      <c r="A134" s="1">
        <v>25416</v>
      </c>
      <c r="B134">
        <v>323.66000000000003</v>
      </c>
    </row>
    <row r="135" spans="1:2" x14ac:dyDescent="0.4">
      <c r="A135" s="1">
        <v>25447</v>
      </c>
      <c r="B135">
        <v>322.38</v>
      </c>
    </row>
    <row r="136" spans="1:2" x14ac:dyDescent="0.4">
      <c r="A136" s="1">
        <v>25477</v>
      </c>
      <c r="B136">
        <v>321.77999999999997</v>
      </c>
    </row>
    <row r="137" spans="1:2" x14ac:dyDescent="0.4">
      <c r="A137" s="1">
        <v>25508</v>
      </c>
      <c r="B137">
        <v>322.85000000000002</v>
      </c>
    </row>
    <row r="138" spans="1:2" x14ac:dyDescent="0.4">
      <c r="A138" s="1">
        <v>25538</v>
      </c>
      <c r="B138">
        <v>324.12</v>
      </c>
    </row>
    <row r="139" spans="1:2" x14ac:dyDescent="0.4">
      <c r="A139" s="1">
        <v>25569</v>
      </c>
      <c r="B139">
        <v>325.06</v>
      </c>
    </row>
    <row r="140" spans="1:2" x14ac:dyDescent="0.4">
      <c r="A140" s="1">
        <v>25600</v>
      </c>
      <c r="B140">
        <v>325.98</v>
      </c>
    </row>
    <row r="141" spans="1:2" x14ac:dyDescent="0.4">
      <c r="A141" s="1">
        <v>25628</v>
      </c>
      <c r="B141">
        <v>326.93</v>
      </c>
    </row>
    <row r="142" spans="1:2" x14ac:dyDescent="0.4">
      <c r="A142" s="1">
        <v>25659</v>
      </c>
      <c r="B142">
        <v>328.13</v>
      </c>
    </row>
    <row r="143" spans="1:2" x14ac:dyDescent="0.4">
      <c r="A143" s="1">
        <v>25689</v>
      </c>
      <c r="B143">
        <v>328.08</v>
      </c>
    </row>
    <row r="144" spans="1:2" x14ac:dyDescent="0.4">
      <c r="A144" s="1">
        <v>25720</v>
      </c>
      <c r="B144">
        <v>327.67</v>
      </c>
    </row>
    <row r="145" spans="1:2" x14ac:dyDescent="0.4">
      <c r="A145" s="1">
        <v>25750</v>
      </c>
      <c r="B145">
        <v>326.33999999999997</v>
      </c>
    </row>
    <row r="146" spans="1:2" x14ac:dyDescent="0.4">
      <c r="A146" s="1">
        <v>25781</v>
      </c>
      <c r="B146">
        <v>324.69</v>
      </c>
    </row>
    <row r="147" spans="1:2" x14ac:dyDescent="0.4">
      <c r="A147" s="1">
        <v>25812</v>
      </c>
      <c r="B147">
        <v>323.10000000000002</v>
      </c>
    </row>
    <row r="148" spans="1:2" x14ac:dyDescent="0.4">
      <c r="A148" s="1">
        <v>25842</v>
      </c>
      <c r="B148">
        <v>323.06</v>
      </c>
    </row>
    <row r="149" spans="1:2" x14ac:dyDescent="0.4">
      <c r="A149" s="1">
        <v>25873</v>
      </c>
      <c r="B149">
        <v>324.01</v>
      </c>
    </row>
    <row r="150" spans="1:2" x14ac:dyDescent="0.4">
      <c r="A150" s="1">
        <v>25903</v>
      </c>
      <c r="B150">
        <v>325.13</v>
      </c>
    </row>
    <row r="151" spans="1:2" x14ac:dyDescent="0.4">
      <c r="A151" s="1">
        <v>25934</v>
      </c>
      <c r="B151">
        <v>326.17</v>
      </c>
    </row>
    <row r="152" spans="1:2" x14ac:dyDescent="0.4">
      <c r="A152" s="1">
        <v>25965</v>
      </c>
      <c r="B152">
        <v>326.68</v>
      </c>
    </row>
    <row r="153" spans="1:2" x14ac:dyDescent="0.4">
      <c r="A153" s="1">
        <v>25993</v>
      </c>
      <c r="B153">
        <v>327.17</v>
      </c>
    </row>
    <row r="154" spans="1:2" x14ac:dyDescent="0.4">
      <c r="A154" s="1">
        <v>26024</v>
      </c>
      <c r="B154">
        <v>327.79</v>
      </c>
    </row>
    <row r="155" spans="1:2" x14ac:dyDescent="0.4">
      <c r="A155" s="1">
        <v>26054</v>
      </c>
      <c r="B155">
        <v>328.93</v>
      </c>
    </row>
    <row r="156" spans="1:2" x14ac:dyDescent="0.4">
      <c r="A156" s="1">
        <v>26085</v>
      </c>
      <c r="B156">
        <v>328.57</v>
      </c>
    </row>
    <row r="157" spans="1:2" x14ac:dyDescent="0.4">
      <c r="A157" s="1">
        <v>26115</v>
      </c>
      <c r="B157">
        <v>327.36</v>
      </c>
    </row>
    <row r="158" spans="1:2" x14ac:dyDescent="0.4">
      <c r="A158" s="1">
        <v>26146</v>
      </c>
      <c r="B158">
        <v>325.43</v>
      </c>
    </row>
    <row r="159" spans="1:2" x14ac:dyDescent="0.4">
      <c r="A159" s="1">
        <v>26177</v>
      </c>
      <c r="B159">
        <v>323.36</v>
      </c>
    </row>
    <row r="160" spans="1:2" x14ac:dyDescent="0.4">
      <c r="A160" s="1">
        <v>26207</v>
      </c>
      <c r="B160">
        <v>323.56</v>
      </c>
    </row>
    <row r="161" spans="1:2" x14ac:dyDescent="0.4">
      <c r="A161" s="1">
        <v>26238</v>
      </c>
      <c r="B161">
        <v>324.8</v>
      </c>
    </row>
    <row r="162" spans="1:2" x14ac:dyDescent="0.4">
      <c r="A162" s="1">
        <v>26268</v>
      </c>
      <c r="B162">
        <v>326.01</v>
      </c>
    </row>
    <row r="163" spans="1:2" x14ac:dyDescent="0.4">
      <c r="A163" s="1">
        <v>26299</v>
      </c>
      <c r="B163">
        <v>326.77</v>
      </c>
    </row>
    <row r="164" spans="1:2" x14ac:dyDescent="0.4">
      <c r="A164" s="1">
        <v>26330</v>
      </c>
      <c r="B164">
        <v>327.63</v>
      </c>
    </row>
    <row r="165" spans="1:2" x14ac:dyDescent="0.4">
      <c r="A165" s="1">
        <v>26359</v>
      </c>
      <c r="B165">
        <v>327.75</v>
      </c>
    </row>
    <row r="166" spans="1:2" x14ac:dyDescent="0.4">
      <c r="A166" s="1">
        <v>26390</v>
      </c>
      <c r="B166">
        <v>329.72</v>
      </c>
    </row>
    <row r="167" spans="1:2" x14ac:dyDescent="0.4">
      <c r="A167" s="1">
        <v>26420</v>
      </c>
      <c r="B167">
        <v>330.07</v>
      </c>
    </row>
    <row r="168" spans="1:2" x14ac:dyDescent="0.4">
      <c r="A168" s="1">
        <v>26451</v>
      </c>
      <c r="B168">
        <v>329.09</v>
      </c>
    </row>
    <row r="169" spans="1:2" x14ac:dyDescent="0.4">
      <c r="A169" s="1">
        <v>26481</v>
      </c>
      <c r="B169">
        <v>328.04</v>
      </c>
    </row>
    <row r="170" spans="1:2" x14ac:dyDescent="0.4">
      <c r="A170" s="1">
        <v>26512</v>
      </c>
      <c r="B170">
        <v>326.32</v>
      </c>
    </row>
    <row r="171" spans="1:2" x14ac:dyDescent="0.4">
      <c r="A171" s="1">
        <v>26543</v>
      </c>
      <c r="B171">
        <v>324.83999999999997</v>
      </c>
    </row>
    <row r="172" spans="1:2" x14ac:dyDescent="0.4">
      <c r="A172" s="1">
        <v>26573</v>
      </c>
      <c r="B172">
        <v>325.2</v>
      </c>
    </row>
    <row r="173" spans="1:2" x14ac:dyDescent="0.4">
      <c r="A173" s="1">
        <v>26604</v>
      </c>
      <c r="B173">
        <v>326.5</v>
      </c>
    </row>
    <row r="174" spans="1:2" x14ac:dyDescent="0.4">
      <c r="A174" s="1">
        <v>26634</v>
      </c>
      <c r="B174">
        <v>327.55</v>
      </c>
    </row>
    <row r="175" spans="1:2" x14ac:dyDescent="0.4">
      <c r="A175" s="1">
        <v>26665</v>
      </c>
      <c r="B175">
        <v>328.55</v>
      </c>
    </row>
    <row r="176" spans="1:2" x14ac:dyDescent="0.4">
      <c r="A176" s="1">
        <v>26696</v>
      </c>
      <c r="B176">
        <v>329.56</v>
      </c>
    </row>
    <row r="177" spans="1:2" x14ac:dyDescent="0.4">
      <c r="A177" s="1">
        <v>26724</v>
      </c>
      <c r="B177">
        <v>330.3</v>
      </c>
    </row>
    <row r="178" spans="1:2" x14ac:dyDescent="0.4">
      <c r="A178" s="1">
        <v>26755</v>
      </c>
      <c r="B178">
        <v>331.5</v>
      </c>
    </row>
    <row r="179" spans="1:2" x14ac:dyDescent="0.4">
      <c r="A179" s="1">
        <v>26785</v>
      </c>
      <c r="B179">
        <v>332.48</v>
      </c>
    </row>
    <row r="180" spans="1:2" x14ac:dyDescent="0.4">
      <c r="A180" s="1">
        <v>26816</v>
      </c>
      <c r="B180">
        <v>332.07</v>
      </c>
    </row>
    <row r="181" spans="1:2" x14ac:dyDescent="0.4">
      <c r="A181" s="1">
        <v>26846</v>
      </c>
      <c r="B181">
        <v>330.87</v>
      </c>
    </row>
    <row r="182" spans="1:2" x14ac:dyDescent="0.4">
      <c r="A182" s="1">
        <v>26877</v>
      </c>
      <c r="B182">
        <v>329.31</v>
      </c>
    </row>
    <row r="183" spans="1:2" x14ac:dyDescent="0.4">
      <c r="A183" s="1">
        <v>26908</v>
      </c>
      <c r="B183">
        <v>327.51</v>
      </c>
    </row>
    <row r="184" spans="1:2" x14ac:dyDescent="0.4">
      <c r="A184" s="1">
        <v>26938</v>
      </c>
      <c r="B184">
        <v>327.18</v>
      </c>
    </row>
    <row r="185" spans="1:2" x14ac:dyDescent="0.4">
      <c r="A185" s="1">
        <v>26969</v>
      </c>
      <c r="B185">
        <v>328.16</v>
      </c>
    </row>
    <row r="186" spans="1:2" x14ac:dyDescent="0.4">
      <c r="A186" s="1">
        <v>26999</v>
      </c>
      <c r="B186">
        <v>328.64</v>
      </c>
    </row>
    <row r="187" spans="1:2" x14ac:dyDescent="0.4">
      <c r="A187" s="1">
        <v>27030</v>
      </c>
      <c r="B187">
        <v>329.35</v>
      </c>
    </row>
    <row r="188" spans="1:2" x14ac:dyDescent="0.4">
      <c r="A188" s="1">
        <v>27061</v>
      </c>
      <c r="B188">
        <v>330.71</v>
      </c>
    </row>
    <row r="189" spans="1:2" x14ac:dyDescent="0.4">
      <c r="A189" s="1">
        <v>27089</v>
      </c>
      <c r="B189">
        <v>331.48</v>
      </c>
    </row>
    <row r="190" spans="1:2" x14ac:dyDescent="0.4">
      <c r="A190" s="1">
        <v>27120</v>
      </c>
      <c r="B190">
        <v>332.65</v>
      </c>
    </row>
    <row r="191" spans="1:2" x14ac:dyDescent="0.4">
      <c r="A191" s="1">
        <v>27150</v>
      </c>
      <c r="B191">
        <v>333.09</v>
      </c>
    </row>
    <row r="192" spans="1:2" x14ac:dyDescent="0.4">
      <c r="A192" s="1">
        <v>27181</v>
      </c>
      <c r="B192">
        <v>332.25</v>
      </c>
    </row>
    <row r="193" spans="1:2" x14ac:dyDescent="0.4">
      <c r="A193" s="1">
        <v>27211</v>
      </c>
      <c r="B193">
        <v>331.18</v>
      </c>
    </row>
    <row r="194" spans="1:2" x14ac:dyDescent="0.4">
      <c r="A194" s="1">
        <v>27242</v>
      </c>
      <c r="B194">
        <v>329.39</v>
      </c>
    </row>
    <row r="195" spans="1:2" x14ac:dyDescent="0.4">
      <c r="A195" s="1">
        <v>27273</v>
      </c>
      <c r="B195">
        <v>327.43</v>
      </c>
    </row>
    <row r="196" spans="1:2" x14ac:dyDescent="0.4">
      <c r="A196" s="1">
        <v>27303</v>
      </c>
      <c r="B196">
        <v>327.37</v>
      </c>
    </row>
    <row r="197" spans="1:2" x14ac:dyDescent="0.4">
      <c r="A197" s="1">
        <v>27334</v>
      </c>
      <c r="B197">
        <v>328.46</v>
      </c>
    </row>
    <row r="198" spans="1:2" x14ac:dyDescent="0.4">
      <c r="A198" s="1">
        <v>27364</v>
      </c>
      <c r="B198">
        <v>329.57</v>
      </c>
    </row>
    <row r="199" spans="1:2" x14ac:dyDescent="0.4">
      <c r="A199" s="1">
        <v>27395</v>
      </c>
      <c r="B199">
        <v>330.4</v>
      </c>
    </row>
    <row r="200" spans="1:2" x14ac:dyDescent="0.4">
      <c r="A200" s="1">
        <v>27426</v>
      </c>
      <c r="B200">
        <v>331.4</v>
      </c>
    </row>
    <row r="201" spans="1:2" x14ac:dyDescent="0.4">
      <c r="A201" s="1">
        <v>27454</v>
      </c>
      <c r="B201">
        <v>332.04</v>
      </c>
    </row>
    <row r="202" spans="1:2" x14ac:dyDescent="0.4">
      <c r="A202" s="1">
        <v>27485</v>
      </c>
      <c r="B202">
        <v>333.31</v>
      </c>
    </row>
    <row r="203" spans="1:2" x14ac:dyDescent="0.4">
      <c r="A203" s="1">
        <v>27515</v>
      </c>
      <c r="B203">
        <v>333.97</v>
      </c>
    </row>
    <row r="204" spans="1:2" x14ac:dyDescent="0.4">
      <c r="A204" s="1">
        <v>27546</v>
      </c>
      <c r="B204">
        <v>333.6</v>
      </c>
    </row>
    <row r="205" spans="1:2" x14ac:dyDescent="0.4">
      <c r="A205" s="1">
        <v>27576</v>
      </c>
      <c r="B205">
        <v>331.9</v>
      </c>
    </row>
    <row r="206" spans="1:2" x14ac:dyDescent="0.4">
      <c r="A206" s="1">
        <v>27607</v>
      </c>
      <c r="B206">
        <v>330.06</v>
      </c>
    </row>
    <row r="207" spans="1:2" x14ac:dyDescent="0.4">
      <c r="A207" s="1">
        <v>27638</v>
      </c>
      <c r="B207">
        <v>328.56</v>
      </c>
    </row>
    <row r="208" spans="1:2" x14ac:dyDescent="0.4">
      <c r="A208" s="1">
        <v>27668</v>
      </c>
      <c r="B208">
        <v>328.34</v>
      </c>
    </row>
    <row r="209" spans="1:2" x14ac:dyDescent="0.4">
      <c r="A209" s="1">
        <v>27699</v>
      </c>
      <c r="B209">
        <v>329.49</v>
      </c>
    </row>
    <row r="210" spans="1:2" x14ac:dyDescent="0.4">
      <c r="A210" s="1">
        <v>27729</v>
      </c>
      <c r="B210">
        <v>330.76</v>
      </c>
    </row>
    <row r="211" spans="1:2" x14ac:dyDescent="0.4">
      <c r="A211" s="1">
        <v>27760</v>
      </c>
      <c r="B211">
        <v>331.75</v>
      </c>
    </row>
    <row r="212" spans="1:2" x14ac:dyDescent="0.4">
      <c r="A212" s="1">
        <v>27791</v>
      </c>
      <c r="B212">
        <v>332.57</v>
      </c>
    </row>
    <row r="213" spans="1:2" x14ac:dyDescent="0.4">
      <c r="A213" s="1">
        <v>27820</v>
      </c>
      <c r="B213">
        <v>333.5</v>
      </c>
    </row>
    <row r="214" spans="1:2" x14ac:dyDescent="0.4">
      <c r="A214" s="1">
        <v>27851</v>
      </c>
      <c r="B214">
        <v>334.58</v>
      </c>
    </row>
    <row r="215" spans="1:2" x14ac:dyDescent="0.4">
      <c r="A215" s="1">
        <v>27881</v>
      </c>
      <c r="B215">
        <v>334.88</v>
      </c>
    </row>
    <row r="216" spans="1:2" x14ac:dyDescent="0.4">
      <c r="A216" s="1">
        <v>27912</v>
      </c>
      <c r="B216">
        <v>334.33</v>
      </c>
    </row>
    <row r="217" spans="1:2" x14ac:dyDescent="0.4">
      <c r="A217" s="1">
        <v>27942</v>
      </c>
      <c r="B217">
        <v>333.05</v>
      </c>
    </row>
    <row r="218" spans="1:2" x14ac:dyDescent="0.4">
      <c r="A218" s="1">
        <v>27973</v>
      </c>
      <c r="B218">
        <v>330.94</v>
      </c>
    </row>
    <row r="219" spans="1:2" x14ac:dyDescent="0.4">
      <c r="A219" s="1">
        <v>28004</v>
      </c>
      <c r="B219">
        <v>329.3</v>
      </c>
    </row>
    <row r="220" spans="1:2" x14ac:dyDescent="0.4">
      <c r="A220" s="1">
        <v>28034</v>
      </c>
      <c r="B220">
        <v>328.94</v>
      </c>
    </row>
    <row r="221" spans="1:2" x14ac:dyDescent="0.4">
      <c r="A221" s="1">
        <v>28065</v>
      </c>
      <c r="B221">
        <v>330.31</v>
      </c>
    </row>
    <row r="222" spans="1:2" x14ac:dyDescent="0.4">
      <c r="A222" s="1">
        <v>28095</v>
      </c>
      <c r="B222">
        <v>331.68</v>
      </c>
    </row>
    <row r="223" spans="1:2" x14ac:dyDescent="0.4">
      <c r="A223" s="1">
        <v>28126</v>
      </c>
      <c r="B223">
        <v>332.93</v>
      </c>
    </row>
    <row r="224" spans="1:2" x14ac:dyDescent="0.4">
      <c r="A224" s="1">
        <v>28157</v>
      </c>
      <c r="B224">
        <v>333.42</v>
      </c>
    </row>
    <row r="225" spans="1:2" x14ac:dyDescent="0.4">
      <c r="A225" s="1">
        <v>28185</v>
      </c>
      <c r="B225">
        <v>334.7</v>
      </c>
    </row>
    <row r="226" spans="1:2" x14ac:dyDescent="0.4">
      <c r="A226" s="1">
        <v>28216</v>
      </c>
      <c r="B226">
        <v>336.07</v>
      </c>
    </row>
    <row r="227" spans="1:2" x14ac:dyDescent="0.4">
      <c r="A227" s="1">
        <v>28246</v>
      </c>
      <c r="B227">
        <v>336.75</v>
      </c>
    </row>
    <row r="228" spans="1:2" x14ac:dyDescent="0.4">
      <c r="A228" s="1">
        <v>28277</v>
      </c>
      <c r="B228">
        <v>336.27</v>
      </c>
    </row>
    <row r="229" spans="1:2" x14ac:dyDescent="0.4">
      <c r="A229" s="1">
        <v>28307</v>
      </c>
      <c r="B229">
        <v>334.92</v>
      </c>
    </row>
    <row r="230" spans="1:2" x14ac:dyDescent="0.4">
      <c r="A230" s="1">
        <v>28338</v>
      </c>
      <c r="B230">
        <v>332.75</v>
      </c>
    </row>
    <row r="231" spans="1:2" x14ac:dyDescent="0.4">
      <c r="A231" s="1">
        <v>28369</v>
      </c>
      <c r="B231">
        <v>331.59</v>
      </c>
    </row>
    <row r="232" spans="1:2" x14ac:dyDescent="0.4">
      <c r="A232" s="1">
        <v>28399</v>
      </c>
      <c r="B232">
        <v>331.16</v>
      </c>
    </row>
    <row r="233" spans="1:2" x14ac:dyDescent="0.4">
      <c r="A233" s="1">
        <v>28430</v>
      </c>
      <c r="B233">
        <v>332.4</v>
      </c>
    </row>
    <row r="234" spans="1:2" x14ac:dyDescent="0.4">
      <c r="A234" s="1">
        <v>28460</v>
      </c>
      <c r="B234">
        <v>333.85</v>
      </c>
    </row>
    <row r="235" spans="1:2" x14ac:dyDescent="0.4">
      <c r="A235" s="1">
        <v>28491</v>
      </c>
      <c r="B235">
        <v>334.97</v>
      </c>
    </row>
    <row r="236" spans="1:2" x14ac:dyDescent="0.4">
      <c r="A236" s="1">
        <v>28522</v>
      </c>
      <c r="B236">
        <v>335.39</v>
      </c>
    </row>
    <row r="237" spans="1:2" x14ac:dyDescent="0.4">
      <c r="A237" s="1">
        <v>28550</v>
      </c>
      <c r="B237">
        <v>336.64</v>
      </c>
    </row>
    <row r="238" spans="1:2" x14ac:dyDescent="0.4">
      <c r="A238" s="1">
        <v>28581</v>
      </c>
      <c r="B238">
        <v>337.76</v>
      </c>
    </row>
    <row r="239" spans="1:2" x14ac:dyDescent="0.4">
      <c r="A239" s="1">
        <v>28611</v>
      </c>
      <c r="B239">
        <v>338.01</v>
      </c>
    </row>
    <row r="240" spans="1:2" x14ac:dyDescent="0.4">
      <c r="A240" s="1">
        <v>28642</v>
      </c>
      <c r="B240">
        <v>337.9</v>
      </c>
    </row>
    <row r="241" spans="1:2" x14ac:dyDescent="0.4">
      <c r="A241" s="1">
        <v>28672</v>
      </c>
      <c r="B241">
        <v>336.54</v>
      </c>
    </row>
    <row r="242" spans="1:2" x14ac:dyDescent="0.4">
      <c r="A242" s="1">
        <v>28703</v>
      </c>
      <c r="B242">
        <v>334.68</v>
      </c>
    </row>
    <row r="243" spans="1:2" x14ac:dyDescent="0.4">
      <c r="A243" s="1">
        <v>28734</v>
      </c>
      <c r="B243">
        <v>332.76</v>
      </c>
    </row>
    <row r="244" spans="1:2" x14ac:dyDescent="0.4">
      <c r="A244" s="1">
        <v>28764</v>
      </c>
      <c r="B244">
        <v>332.55</v>
      </c>
    </row>
    <row r="245" spans="1:2" x14ac:dyDescent="0.4">
      <c r="A245" s="1">
        <v>28795</v>
      </c>
      <c r="B245">
        <v>333.92</v>
      </c>
    </row>
    <row r="246" spans="1:2" x14ac:dyDescent="0.4">
      <c r="A246" s="1">
        <v>28825</v>
      </c>
      <c r="B246">
        <v>334.95</v>
      </c>
    </row>
    <row r="247" spans="1:2" x14ac:dyDescent="0.4">
      <c r="A247" s="1">
        <v>28856</v>
      </c>
      <c r="B247">
        <v>336.23</v>
      </c>
    </row>
    <row r="248" spans="1:2" x14ac:dyDescent="0.4">
      <c r="A248" s="1">
        <v>28887</v>
      </c>
      <c r="B248">
        <v>336.76</v>
      </c>
    </row>
    <row r="249" spans="1:2" x14ac:dyDescent="0.4">
      <c r="A249" s="1">
        <v>28915</v>
      </c>
      <c r="B249">
        <v>337.96</v>
      </c>
    </row>
    <row r="250" spans="1:2" x14ac:dyDescent="0.4">
      <c r="A250" s="1">
        <v>28946</v>
      </c>
      <c r="B250">
        <v>338.88</v>
      </c>
    </row>
    <row r="251" spans="1:2" x14ac:dyDescent="0.4">
      <c r="A251" s="1">
        <v>28976</v>
      </c>
      <c r="B251">
        <v>339.47</v>
      </c>
    </row>
    <row r="252" spans="1:2" x14ac:dyDescent="0.4">
      <c r="A252" s="1">
        <v>29007</v>
      </c>
      <c r="B252">
        <v>339.29</v>
      </c>
    </row>
    <row r="253" spans="1:2" x14ac:dyDescent="0.4">
      <c r="A253" s="1">
        <v>29037</v>
      </c>
      <c r="B253">
        <v>337.73</v>
      </c>
    </row>
    <row r="254" spans="1:2" x14ac:dyDescent="0.4">
      <c r="A254" s="1">
        <v>29068</v>
      </c>
      <c r="B254">
        <v>336.09</v>
      </c>
    </row>
    <row r="255" spans="1:2" x14ac:dyDescent="0.4">
      <c r="A255" s="1">
        <v>29099</v>
      </c>
      <c r="B255">
        <v>333.92</v>
      </c>
    </row>
    <row r="256" spans="1:2" x14ac:dyDescent="0.4">
      <c r="A256" s="1">
        <v>29129</v>
      </c>
      <c r="B256">
        <v>333.86</v>
      </c>
    </row>
    <row r="257" spans="1:2" x14ac:dyDescent="0.4">
      <c r="A257" s="1">
        <v>29160</v>
      </c>
      <c r="B257">
        <v>335.29</v>
      </c>
    </row>
    <row r="258" spans="1:2" x14ac:dyDescent="0.4">
      <c r="A258" s="1">
        <v>29190</v>
      </c>
      <c r="B258">
        <v>336.73</v>
      </c>
    </row>
    <row r="259" spans="1:2" x14ac:dyDescent="0.4">
      <c r="A259" s="1">
        <v>29221</v>
      </c>
      <c r="B259">
        <v>338.01</v>
      </c>
    </row>
    <row r="260" spans="1:2" x14ac:dyDescent="0.4">
      <c r="A260" s="1">
        <v>29252</v>
      </c>
      <c r="B260">
        <v>338.36</v>
      </c>
    </row>
    <row r="261" spans="1:2" x14ac:dyDescent="0.4">
      <c r="A261" s="1">
        <v>29281</v>
      </c>
      <c r="B261">
        <v>340.07</v>
      </c>
    </row>
    <row r="262" spans="1:2" x14ac:dyDescent="0.4">
      <c r="A262" s="1">
        <v>29312</v>
      </c>
      <c r="B262">
        <v>340.76</v>
      </c>
    </row>
    <row r="263" spans="1:2" x14ac:dyDescent="0.4">
      <c r="A263" s="1">
        <v>29342</v>
      </c>
      <c r="B263">
        <v>341.47</v>
      </c>
    </row>
    <row r="264" spans="1:2" x14ac:dyDescent="0.4">
      <c r="A264" s="1">
        <v>29373</v>
      </c>
      <c r="B264">
        <v>341.17</v>
      </c>
    </row>
    <row r="265" spans="1:2" x14ac:dyDescent="0.4">
      <c r="A265" s="1">
        <v>29403</v>
      </c>
      <c r="B265">
        <v>339.56</v>
      </c>
    </row>
    <row r="266" spans="1:2" x14ac:dyDescent="0.4">
      <c r="A266" s="1">
        <v>29434</v>
      </c>
      <c r="B266">
        <v>337.6</v>
      </c>
    </row>
    <row r="267" spans="1:2" x14ac:dyDescent="0.4">
      <c r="A267" s="1">
        <v>29465</v>
      </c>
      <c r="B267">
        <v>335.88</v>
      </c>
    </row>
    <row r="268" spans="1:2" x14ac:dyDescent="0.4">
      <c r="A268" s="1">
        <v>29495</v>
      </c>
      <c r="B268">
        <v>336.02</v>
      </c>
    </row>
    <row r="269" spans="1:2" x14ac:dyDescent="0.4">
      <c r="A269" s="1">
        <v>29526</v>
      </c>
      <c r="B269">
        <v>337.1</v>
      </c>
    </row>
    <row r="270" spans="1:2" x14ac:dyDescent="0.4">
      <c r="A270" s="1">
        <v>29556</v>
      </c>
      <c r="B270">
        <v>338.21</v>
      </c>
    </row>
    <row r="271" spans="1:2" x14ac:dyDescent="0.4">
      <c r="A271" s="1">
        <v>29587</v>
      </c>
      <c r="B271">
        <v>339.24</v>
      </c>
    </row>
    <row r="272" spans="1:2" x14ac:dyDescent="0.4">
      <c r="A272" s="1">
        <v>29618</v>
      </c>
      <c r="B272">
        <v>340.48</v>
      </c>
    </row>
    <row r="273" spans="1:2" x14ac:dyDescent="0.4">
      <c r="A273" s="1">
        <v>29646</v>
      </c>
      <c r="B273">
        <v>341.38</v>
      </c>
    </row>
    <row r="274" spans="1:2" x14ac:dyDescent="0.4">
      <c r="A274" s="1">
        <v>29677</v>
      </c>
      <c r="B274">
        <v>342.5</v>
      </c>
    </row>
    <row r="275" spans="1:2" x14ac:dyDescent="0.4">
      <c r="A275" s="1">
        <v>29707</v>
      </c>
      <c r="B275">
        <v>342.91</v>
      </c>
    </row>
    <row r="276" spans="1:2" x14ac:dyDescent="0.4">
      <c r="A276" s="1">
        <v>29738</v>
      </c>
      <c r="B276">
        <v>342.25</v>
      </c>
    </row>
    <row r="277" spans="1:2" x14ac:dyDescent="0.4">
      <c r="A277" s="1">
        <v>29768</v>
      </c>
      <c r="B277">
        <v>340.49</v>
      </c>
    </row>
    <row r="278" spans="1:2" x14ac:dyDescent="0.4">
      <c r="A278" s="1">
        <v>29799</v>
      </c>
      <c r="B278">
        <v>338.43</v>
      </c>
    </row>
    <row r="279" spans="1:2" x14ac:dyDescent="0.4">
      <c r="A279" s="1">
        <v>29830</v>
      </c>
      <c r="B279">
        <v>336.69</v>
      </c>
    </row>
    <row r="280" spans="1:2" x14ac:dyDescent="0.4">
      <c r="A280" s="1">
        <v>29860</v>
      </c>
      <c r="B280">
        <v>336.86</v>
      </c>
    </row>
    <row r="281" spans="1:2" x14ac:dyDescent="0.4">
      <c r="A281" s="1">
        <v>29891</v>
      </c>
      <c r="B281">
        <v>338.36</v>
      </c>
    </row>
    <row r="282" spans="1:2" x14ac:dyDescent="0.4">
      <c r="A282" s="1">
        <v>29921</v>
      </c>
      <c r="B282">
        <v>339.61</v>
      </c>
    </row>
    <row r="283" spans="1:2" x14ac:dyDescent="0.4">
      <c r="A283" s="1">
        <v>29952</v>
      </c>
      <c r="B283">
        <v>340.75</v>
      </c>
    </row>
    <row r="284" spans="1:2" x14ac:dyDescent="0.4">
      <c r="A284" s="1">
        <v>29983</v>
      </c>
      <c r="B284">
        <v>341.61</v>
      </c>
    </row>
    <row r="285" spans="1:2" x14ac:dyDescent="0.4">
      <c r="A285" s="1">
        <v>30011</v>
      </c>
      <c r="B285">
        <v>342.7</v>
      </c>
    </row>
    <row r="286" spans="1:2" x14ac:dyDescent="0.4">
      <c r="A286" s="1">
        <v>30042</v>
      </c>
      <c r="B286">
        <v>343.57</v>
      </c>
    </row>
    <row r="287" spans="1:2" x14ac:dyDescent="0.4">
      <c r="A287" s="1">
        <v>30072</v>
      </c>
      <c r="B287">
        <v>344.14</v>
      </c>
    </row>
    <row r="288" spans="1:2" x14ac:dyDescent="0.4">
      <c r="A288" s="1">
        <v>30103</v>
      </c>
      <c r="B288">
        <v>343.35</v>
      </c>
    </row>
    <row r="289" spans="1:2" x14ac:dyDescent="0.4">
      <c r="A289" s="1">
        <v>30133</v>
      </c>
      <c r="B289">
        <v>342.06</v>
      </c>
    </row>
    <row r="290" spans="1:2" x14ac:dyDescent="0.4">
      <c r="A290" s="1">
        <v>30164</v>
      </c>
      <c r="B290">
        <v>339.81</v>
      </c>
    </row>
    <row r="291" spans="1:2" x14ac:dyDescent="0.4">
      <c r="A291" s="1">
        <v>30195</v>
      </c>
      <c r="B291">
        <v>337.98</v>
      </c>
    </row>
    <row r="292" spans="1:2" x14ac:dyDescent="0.4">
      <c r="A292" s="1">
        <v>30225</v>
      </c>
      <c r="B292">
        <v>337.86</v>
      </c>
    </row>
    <row r="293" spans="1:2" x14ac:dyDescent="0.4">
      <c r="A293" s="1">
        <v>30256</v>
      </c>
      <c r="B293">
        <v>339.26</v>
      </c>
    </row>
    <row r="294" spans="1:2" x14ac:dyDescent="0.4">
      <c r="A294" s="1">
        <v>30286</v>
      </c>
      <c r="B294">
        <v>340.49</v>
      </c>
    </row>
    <row r="295" spans="1:2" x14ac:dyDescent="0.4">
      <c r="A295" s="1">
        <v>30317</v>
      </c>
      <c r="B295">
        <v>341.38</v>
      </c>
    </row>
    <row r="296" spans="1:2" x14ac:dyDescent="0.4">
      <c r="A296" s="1">
        <v>30348</v>
      </c>
      <c r="B296">
        <v>342.52</v>
      </c>
    </row>
    <row r="297" spans="1:2" x14ac:dyDescent="0.4">
      <c r="A297" s="1">
        <v>30376</v>
      </c>
      <c r="B297">
        <v>343.1</v>
      </c>
    </row>
    <row r="298" spans="1:2" x14ac:dyDescent="0.4">
      <c r="A298" s="1">
        <v>30407</v>
      </c>
      <c r="B298">
        <v>344.94</v>
      </c>
    </row>
    <row r="299" spans="1:2" x14ac:dyDescent="0.4">
      <c r="A299" s="1">
        <v>30437</v>
      </c>
      <c r="B299">
        <v>345.76</v>
      </c>
    </row>
    <row r="300" spans="1:2" x14ac:dyDescent="0.4">
      <c r="A300" s="1">
        <v>30468</v>
      </c>
      <c r="B300">
        <v>345.32</v>
      </c>
    </row>
    <row r="301" spans="1:2" x14ac:dyDescent="0.4">
      <c r="A301" s="1">
        <v>30498</v>
      </c>
      <c r="B301">
        <v>343.98</v>
      </c>
    </row>
    <row r="302" spans="1:2" x14ac:dyDescent="0.4">
      <c r="A302" s="1">
        <v>30529</v>
      </c>
      <c r="B302">
        <v>342.38</v>
      </c>
    </row>
    <row r="303" spans="1:2" x14ac:dyDescent="0.4">
      <c r="A303" s="1">
        <v>30560</v>
      </c>
      <c r="B303">
        <v>339.87</v>
      </c>
    </row>
    <row r="304" spans="1:2" x14ac:dyDescent="0.4">
      <c r="A304" s="1">
        <v>30590</v>
      </c>
      <c r="B304">
        <v>339.99</v>
      </c>
    </row>
    <row r="305" spans="1:2" x14ac:dyDescent="0.4">
      <c r="A305" s="1">
        <v>30621</v>
      </c>
      <c r="B305">
        <v>341.15</v>
      </c>
    </row>
    <row r="306" spans="1:2" x14ac:dyDescent="0.4">
      <c r="A306" s="1">
        <v>30651</v>
      </c>
      <c r="B306">
        <v>342.99</v>
      </c>
    </row>
    <row r="307" spans="1:2" x14ac:dyDescent="0.4">
      <c r="A307" s="1">
        <v>30682</v>
      </c>
      <c r="B307">
        <v>343.7</v>
      </c>
    </row>
    <row r="308" spans="1:2" x14ac:dyDescent="0.4">
      <c r="A308" s="1">
        <v>30713</v>
      </c>
      <c r="B308">
        <v>344.5</v>
      </c>
    </row>
    <row r="309" spans="1:2" x14ac:dyDescent="0.4">
      <c r="A309" s="1">
        <v>30742</v>
      </c>
      <c r="B309">
        <v>345.28</v>
      </c>
    </row>
    <row r="310" spans="1:2" x14ac:dyDescent="0.4">
      <c r="A310" s="1">
        <v>30773</v>
      </c>
      <c r="B310">
        <v>347.05</v>
      </c>
    </row>
    <row r="311" spans="1:2" x14ac:dyDescent="0.4">
      <c r="A311" s="1">
        <v>30803</v>
      </c>
      <c r="B311">
        <v>347.43</v>
      </c>
    </row>
    <row r="312" spans="1:2" x14ac:dyDescent="0.4">
      <c r="A312" s="1">
        <v>30834</v>
      </c>
      <c r="B312">
        <v>346.8</v>
      </c>
    </row>
    <row r="313" spans="1:2" x14ac:dyDescent="0.4">
      <c r="A313" s="1">
        <v>30864</v>
      </c>
      <c r="B313">
        <v>345.39</v>
      </c>
    </row>
    <row r="314" spans="1:2" x14ac:dyDescent="0.4">
      <c r="A314" s="1">
        <v>30895</v>
      </c>
      <c r="B314">
        <v>343.28</v>
      </c>
    </row>
    <row r="315" spans="1:2" x14ac:dyDescent="0.4">
      <c r="A315" s="1">
        <v>30926</v>
      </c>
      <c r="B315">
        <v>341.07</v>
      </c>
    </row>
    <row r="316" spans="1:2" x14ac:dyDescent="0.4">
      <c r="A316" s="1">
        <v>30956</v>
      </c>
      <c r="B316">
        <v>341.35</v>
      </c>
    </row>
    <row r="317" spans="1:2" x14ac:dyDescent="0.4">
      <c r="A317" s="1">
        <v>30987</v>
      </c>
      <c r="B317">
        <v>342.98</v>
      </c>
    </row>
    <row r="318" spans="1:2" x14ac:dyDescent="0.4">
      <c r="A318" s="1">
        <v>31017</v>
      </c>
      <c r="B318">
        <v>344.22</v>
      </c>
    </row>
    <row r="319" spans="1:2" x14ac:dyDescent="0.4">
      <c r="A319" s="1">
        <v>31048</v>
      </c>
      <c r="B319">
        <v>344.97</v>
      </c>
    </row>
    <row r="320" spans="1:2" x14ac:dyDescent="0.4">
      <c r="A320" s="1">
        <v>31079</v>
      </c>
      <c r="B320">
        <v>345.99</v>
      </c>
    </row>
    <row r="321" spans="1:2" x14ac:dyDescent="0.4">
      <c r="A321" s="1">
        <v>31107</v>
      </c>
      <c r="B321">
        <v>347.42</v>
      </c>
    </row>
    <row r="322" spans="1:2" x14ac:dyDescent="0.4">
      <c r="A322" s="1">
        <v>31138</v>
      </c>
      <c r="B322">
        <v>348.35</v>
      </c>
    </row>
    <row r="323" spans="1:2" x14ac:dyDescent="0.4">
      <c r="A323" s="1">
        <v>31168</v>
      </c>
      <c r="B323">
        <v>348.93</v>
      </c>
    </row>
    <row r="324" spans="1:2" x14ac:dyDescent="0.4">
      <c r="A324" s="1">
        <v>31199</v>
      </c>
      <c r="B324">
        <v>348.25</v>
      </c>
    </row>
    <row r="325" spans="1:2" x14ac:dyDescent="0.4">
      <c r="A325" s="1">
        <v>31229</v>
      </c>
      <c r="B325">
        <v>346.56</v>
      </c>
    </row>
    <row r="326" spans="1:2" x14ac:dyDescent="0.4">
      <c r="A326" s="1">
        <v>31260</v>
      </c>
      <c r="B326">
        <v>344.67</v>
      </c>
    </row>
    <row r="327" spans="1:2" x14ac:dyDescent="0.4">
      <c r="A327" s="1">
        <v>31291</v>
      </c>
      <c r="B327">
        <v>343.09</v>
      </c>
    </row>
    <row r="328" spans="1:2" x14ac:dyDescent="0.4">
      <c r="A328" s="1">
        <v>31321</v>
      </c>
      <c r="B328">
        <v>342.8</v>
      </c>
    </row>
    <row r="329" spans="1:2" x14ac:dyDescent="0.4">
      <c r="A329" s="1">
        <v>31352</v>
      </c>
      <c r="B329">
        <v>344.24</v>
      </c>
    </row>
    <row r="330" spans="1:2" x14ac:dyDescent="0.4">
      <c r="A330" s="1">
        <v>31382</v>
      </c>
      <c r="B330">
        <v>345.56</v>
      </c>
    </row>
    <row r="331" spans="1:2" x14ac:dyDescent="0.4">
      <c r="A331" s="1">
        <v>31413</v>
      </c>
      <c r="B331">
        <v>346.3</v>
      </c>
    </row>
    <row r="332" spans="1:2" x14ac:dyDescent="0.4">
      <c r="A332" s="1">
        <v>31444</v>
      </c>
      <c r="B332">
        <v>346.95</v>
      </c>
    </row>
    <row r="333" spans="1:2" x14ac:dyDescent="0.4">
      <c r="A333" s="1">
        <v>31472</v>
      </c>
      <c r="B333">
        <v>347.85</v>
      </c>
    </row>
    <row r="334" spans="1:2" x14ac:dyDescent="0.4">
      <c r="A334" s="1">
        <v>31503</v>
      </c>
      <c r="B334">
        <v>349.55</v>
      </c>
    </row>
    <row r="335" spans="1:2" x14ac:dyDescent="0.4">
      <c r="A335" s="1">
        <v>31533</v>
      </c>
      <c r="B335">
        <v>350.22</v>
      </c>
    </row>
    <row r="336" spans="1:2" x14ac:dyDescent="0.4">
      <c r="A336" s="1">
        <v>31564</v>
      </c>
      <c r="B336">
        <v>349.55</v>
      </c>
    </row>
    <row r="337" spans="1:2" x14ac:dyDescent="0.4">
      <c r="A337" s="1">
        <v>31594</v>
      </c>
      <c r="B337">
        <v>347.94</v>
      </c>
    </row>
    <row r="338" spans="1:2" x14ac:dyDescent="0.4">
      <c r="A338" s="1">
        <v>31625</v>
      </c>
      <c r="B338">
        <v>345.9</v>
      </c>
    </row>
    <row r="339" spans="1:2" x14ac:dyDescent="0.4">
      <c r="A339" s="1">
        <v>31656</v>
      </c>
      <c r="B339">
        <v>344.85</v>
      </c>
    </row>
    <row r="340" spans="1:2" x14ac:dyDescent="0.4">
      <c r="A340" s="1">
        <v>31686</v>
      </c>
      <c r="B340">
        <v>344.17</v>
      </c>
    </row>
    <row r="341" spans="1:2" x14ac:dyDescent="0.4">
      <c r="A341" s="1">
        <v>31717</v>
      </c>
      <c r="B341">
        <v>345.66</v>
      </c>
    </row>
    <row r="342" spans="1:2" x14ac:dyDescent="0.4">
      <c r="A342" s="1">
        <v>31747</v>
      </c>
      <c r="B342">
        <v>346.9</v>
      </c>
    </row>
    <row r="343" spans="1:2" x14ac:dyDescent="0.4">
      <c r="A343" s="1">
        <v>31778</v>
      </c>
      <c r="B343">
        <v>348.02</v>
      </c>
    </row>
    <row r="344" spans="1:2" x14ac:dyDescent="0.4">
      <c r="A344" s="1">
        <v>31809</v>
      </c>
      <c r="B344">
        <v>348.48</v>
      </c>
    </row>
    <row r="345" spans="1:2" x14ac:dyDescent="0.4">
      <c r="A345" s="1">
        <v>31837</v>
      </c>
      <c r="B345">
        <v>349.42</v>
      </c>
    </row>
    <row r="346" spans="1:2" x14ac:dyDescent="0.4">
      <c r="A346" s="1">
        <v>31868</v>
      </c>
      <c r="B346">
        <v>350.98</v>
      </c>
    </row>
    <row r="347" spans="1:2" x14ac:dyDescent="0.4">
      <c r="A347" s="1">
        <v>31898</v>
      </c>
      <c r="B347">
        <v>351.85</v>
      </c>
    </row>
    <row r="348" spans="1:2" x14ac:dyDescent="0.4">
      <c r="A348" s="1">
        <v>31929</v>
      </c>
      <c r="B348">
        <v>351.26</v>
      </c>
    </row>
    <row r="349" spans="1:2" x14ac:dyDescent="0.4">
      <c r="A349" s="1">
        <v>31959</v>
      </c>
      <c r="B349">
        <v>349.51</v>
      </c>
    </row>
    <row r="350" spans="1:2" x14ac:dyDescent="0.4">
      <c r="A350" s="1">
        <v>31990</v>
      </c>
      <c r="B350">
        <v>348.1</v>
      </c>
    </row>
    <row r="351" spans="1:2" x14ac:dyDescent="0.4">
      <c r="A351" s="1">
        <v>32021</v>
      </c>
      <c r="B351">
        <v>346.45</v>
      </c>
    </row>
    <row r="352" spans="1:2" x14ac:dyDescent="0.4">
      <c r="A352" s="1">
        <v>32051</v>
      </c>
      <c r="B352">
        <v>346.36</v>
      </c>
    </row>
    <row r="353" spans="1:2" x14ac:dyDescent="0.4">
      <c r="A353" s="1">
        <v>32082</v>
      </c>
      <c r="B353">
        <v>347.81</v>
      </c>
    </row>
    <row r="354" spans="1:2" x14ac:dyDescent="0.4">
      <c r="A354" s="1">
        <v>32112</v>
      </c>
      <c r="B354">
        <v>348.96</v>
      </c>
    </row>
    <row r="355" spans="1:2" x14ac:dyDescent="0.4">
      <c r="A355" s="1">
        <v>32143</v>
      </c>
      <c r="B355">
        <v>350.43</v>
      </c>
    </row>
    <row r="356" spans="1:2" x14ac:dyDescent="0.4">
      <c r="A356" s="1">
        <v>32174</v>
      </c>
      <c r="B356">
        <v>351.73</v>
      </c>
    </row>
    <row r="357" spans="1:2" x14ac:dyDescent="0.4">
      <c r="A357" s="1">
        <v>32203</v>
      </c>
      <c r="B357">
        <v>352.22</v>
      </c>
    </row>
    <row r="358" spans="1:2" x14ac:dyDescent="0.4">
      <c r="A358" s="1">
        <v>32234</v>
      </c>
      <c r="B358">
        <v>353.59</v>
      </c>
    </row>
    <row r="359" spans="1:2" x14ac:dyDescent="0.4">
      <c r="A359" s="1">
        <v>32264</v>
      </c>
      <c r="B359">
        <v>354.22</v>
      </c>
    </row>
    <row r="360" spans="1:2" x14ac:dyDescent="0.4">
      <c r="A360" s="1">
        <v>32295</v>
      </c>
      <c r="B360">
        <v>353.8</v>
      </c>
    </row>
    <row r="361" spans="1:2" x14ac:dyDescent="0.4">
      <c r="A361" s="1">
        <v>32325</v>
      </c>
      <c r="B361">
        <v>352.38</v>
      </c>
    </row>
    <row r="362" spans="1:2" x14ac:dyDescent="0.4">
      <c r="A362" s="1">
        <v>32356</v>
      </c>
      <c r="B362">
        <v>350.43</v>
      </c>
    </row>
    <row r="363" spans="1:2" x14ac:dyDescent="0.4">
      <c r="A363" s="1">
        <v>32387</v>
      </c>
      <c r="B363">
        <v>348.73</v>
      </c>
    </row>
    <row r="364" spans="1:2" x14ac:dyDescent="0.4">
      <c r="A364" s="1">
        <v>32417</v>
      </c>
      <c r="B364">
        <v>348.88</v>
      </c>
    </row>
    <row r="365" spans="1:2" x14ac:dyDescent="0.4">
      <c r="A365" s="1">
        <v>32448</v>
      </c>
      <c r="B365">
        <v>350.07</v>
      </c>
    </row>
    <row r="366" spans="1:2" x14ac:dyDescent="0.4">
      <c r="A366" s="1">
        <v>32478</v>
      </c>
      <c r="B366">
        <v>351.34</v>
      </c>
    </row>
    <row r="367" spans="1:2" x14ac:dyDescent="0.4">
      <c r="A367" s="1">
        <v>32509</v>
      </c>
      <c r="B367">
        <v>352.76</v>
      </c>
    </row>
    <row r="368" spans="1:2" x14ac:dyDescent="0.4">
      <c r="A368" s="1">
        <v>32540</v>
      </c>
      <c r="B368">
        <v>353.07</v>
      </c>
    </row>
    <row r="369" spans="1:2" x14ac:dyDescent="0.4">
      <c r="A369" s="1">
        <v>32568</v>
      </c>
      <c r="B369">
        <v>353.68</v>
      </c>
    </row>
    <row r="370" spans="1:2" x14ac:dyDescent="0.4">
      <c r="A370" s="1">
        <v>32599</v>
      </c>
      <c r="B370">
        <v>355.42</v>
      </c>
    </row>
    <row r="371" spans="1:2" x14ac:dyDescent="0.4">
      <c r="A371" s="1">
        <v>32629</v>
      </c>
      <c r="B371">
        <v>355.67</v>
      </c>
    </row>
    <row r="372" spans="1:2" x14ac:dyDescent="0.4">
      <c r="A372" s="1">
        <v>32660</v>
      </c>
      <c r="B372">
        <v>355.12</v>
      </c>
    </row>
    <row r="373" spans="1:2" x14ac:dyDescent="0.4">
      <c r="A373" s="1">
        <v>32690</v>
      </c>
      <c r="B373">
        <v>353.9</v>
      </c>
    </row>
    <row r="374" spans="1:2" x14ac:dyDescent="0.4">
      <c r="A374" s="1">
        <v>32721</v>
      </c>
      <c r="B374">
        <v>351.67</v>
      </c>
    </row>
    <row r="375" spans="1:2" x14ac:dyDescent="0.4">
      <c r="A375" s="1">
        <v>32752</v>
      </c>
      <c r="B375">
        <v>349.81</v>
      </c>
    </row>
    <row r="376" spans="1:2" x14ac:dyDescent="0.4">
      <c r="A376" s="1">
        <v>32782</v>
      </c>
      <c r="B376">
        <v>349.99</v>
      </c>
    </row>
    <row r="377" spans="1:2" x14ac:dyDescent="0.4">
      <c r="A377" s="1">
        <v>32813</v>
      </c>
      <c r="B377">
        <v>351.3</v>
      </c>
    </row>
    <row r="378" spans="1:2" x14ac:dyDescent="0.4">
      <c r="A378" s="1">
        <v>32843</v>
      </c>
      <c r="B378">
        <v>352.52</v>
      </c>
    </row>
    <row r="379" spans="1:2" x14ac:dyDescent="0.4">
      <c r="A379" s="1">
        <v>32874</v>
      </c>
      <c r="B379">
        <v>353.66</v>
      </c>
    </row>
    <row r="380" spans="1:2" x14ac:dyDescent="0.4">
      <c r="A380" s="1">
        <v>32905</v>
      </c>
      <c r="B380">
        <v>354.7</v>
      </c>
    </row>
    <row r="381" spans="1:2" x14ac:dyDescent="0.4">
      <c r="A381" s="1">
        <v>32933</v>
      </c>
      <c r="B381">
        <v>355.38</v>
      </c>
    </row>
    <row r="382" spans="1:2" x14ac:dyDescent="0.4">
      <c r="A382" s="1">
        <v>32964</v>
      </c>
      <c r="B382">
        <v>356.2</v>
      </c>
    </row>
    <row r="383" spans="1:2" x14ac:dyDescent="0.4">
      <c r="A383" s="1">
        <v>32994</v>
      </c>
      <c r="B383">
        <v>357.16</v>
      </c>
    </row>
    <row r="384" spans="1:2" x14ac:dyDescent="0.4">
      <c r="A384" s="1">
        <v>33025</v>
      </c>
      <c r="B384">
        <v>356.23</v>
      </c>
    </row>
    <row r="385" spans="1:2" x14ac:dyDescent="0.4">
      <c r="A385" s="1">
        <v>33055</v>
      </c>
      <c r="B385">
        <v>354.81</v>
      </c>
    </row>
    <row r="386" spans="1:2" x14ac:dyDescent="0.4">
      <c r="A386" s="1">
        <v>33086</v>
      </c>
      <c r="B386">
        <v>352.91</v>
      </c>
    </row>
    <row r="387" spans="1:2" x14ac:dyDescent="0.4">
      <c r="A387" s="1">
        <v>33117</v>
      </c>
      <c r="B387">
        <v>350.96</v>
      </c>
    </row>
    <row r="388" spans="1:2" x14ac:dyDescent="0.4">
      <c r="A388" s="1">
        <v>33147</v>
      </c>
      <c r="B388">
        <v>351.18</v>
      </c>
    </row>
    <row r="389" spans="1:2" x14ac:dyDescent="0.4">
      <c r="A389" s="1">
        <v>33178</v>
      </c>
      <c r="B389">
        <v>352.83</v>
      </c>
    </row>
    <row r="390" spans="1:2" x14ac:dyDescent="0.4">
      <c r="A390" s="1">
        <v>33208</v>
      </c>
      <c r="B390">
        <v>354.21</v>
      </c>
    </row>
    <row r="391" spans="1:2" x14ac:dyDescent="0.4">
      <c r="A391" s="1">
        <v>33239</v>
      </c>
      <c r="B391">
        <v>354.72</v>
      </c>
    </row>
    <row r="392" spans="1:2" x14ac:dyDescent="0.4">
      <c r="A392" s="1">
        <v>33270</v>
      </c>
      <c r="B392">
        <v>355.75</v>
      </c>
    </row>
    <row r="393" spans="1:2" x14ac:dyDescent="0.4">
      <c r="A393" s="1">
        <v>33298</v>
      </c>
      <c r="B393">
        <v>357.16</v>
      </c>
    </row>
    <row r="394" spans="1:2" x14ac:dyDescent="0.4">
      <c r="A394" s="1">
        <v>33329</v>
      </c>
      <c r="B394">
        <v>358.6</v>
      </c>
    </row>
    <row r="395" spans="1:2" x14ac:dyDescent="0.4">
      <c r="A395" s="1">
        <v>33359</v>
      </c>
      <c r="B395">
        <v>359.34</v>
      </c>
    </row>
    <row r="396" spans="1:2" x14ac:dyDescent="0.4">
      <c r="A396" s="1">
        <v>33390</v>
      </c>
      <c r="B396">
        <v>358.24</v>
      </c>
    </row>
    <row r="397" spans="1:2" x14ac:dyDescent="0.4">
      <c r="A397" s="1">
        <v>33420</v>
      </c>
      <c r="B397">
        <v>356.17</v>
      </c>
    </row>
    <row r="398" spans="1:2" x14ac:dyDescent="0.4">
      <c r="A398" s="1">
        <v>33451</v>
      </c>
      <c r="B398">
        <v>354.01</v>
      </c>
    </row>
    <row r="399" spans="1:2" x14ac:dyDescent="0.4">
      <c r="A399" s="1">
        <v>33482</v>
      </c>
      <c r="B399">
        <v>352.15</v>
      </c>
    </row>
    <row r="400" spans="1:2" x14ac:dyDescent="0.4">
      <c r="A400" s="1">
        <v>33512</v>
      </c>
      <c r="B400">
        <v>352.21</v>
      </c>
    </row>
    <row r="401" spans="1:2" x14ac:dyDescent="0.4">
      <c r="A401" s="1">
        <v>33543</v>
      </c>
      <c r="B401">
        <v>353.75</v>
      </c>
    </row>
    <row r="402" spans="1:2" x14ac:dyDescent="0.4">
      <c r="A402" s="1">
        <v>33573</v>
      </c>
      <c r="B402">
        <v>354.99</v>
      </c>
    </row>
    <row r="403" spans="1:2" x14ac:dyDescent="0.4">
      <c r="A403" s="1">
        <v>33604</v>
      </c>
      <c r="B403">
        <v>355.99</v>
      </c>
    </row>
    <row r="404" spans="1:2" x14ac:dyDescent="0.4">
      <c r="A404" s="1">
        <v>33635</v>
      </c>
      <c r="B404">
        <v>356.72</v>
      </c>
    </row>
    <row r="405" spans="1:2" x14ac:dyDescent="0.4">
      <c r="A405" s="1">
        <v>33664</v>
      </c>
      <c r="B405">
        <v>357.81</v>
      </c>
    </row>
    <row r="406" spans="1:2" x14ac:dyDescent="0.4">
      <c r="A406" s="1">
        <v>33695</v>
      </c>
      <c r="B406">
        <v>359.15</v>
      </c>
    </row>
    <row r="407" spans="1:2" x14ac:dyDescent="0.4">
      <c r="A407" s="1">
        <v>33725</v>
      </c>
      <c r="B407">
        <v>359.66</v>
      </c>
    </row>
    <row r="408" spans="1:2" x14ac:dyDescent="0.4">
      <c r="A408" s="1">
        <v>33756</v>
      </c>
      <c r="B408">
        <v>359.25</v>
      </c>
    </row>
    <row r="409" spans="1:2" x14ac:dyDescent="0.4">
      <c r="A409" s="1">
        <v>33786</v>
      </c>
      <c r="B409">
        <v>357.02</v>
      </c>
    </row>
    <row r="410" spans="1:2" x14ac:dyDescent="0.4">
      <c r="A410" s="1">
        <v>33817</v>
      </c>
      <c r="B410">
        <v>355</v>
      </c>
    </row>
    <row r="411" spans="1:2" x14ac:dyDescent="0.4">
      <c r="A411" s="1">
        <v>33848</v>
      </c>
      <c r="B411">
        <v>353.01</v>
      </c>
    </row>
    <row r="412" spans="1:2" x14ac:dyDescent="0.4">
      <c r="A412" s="1">
        <v>33878</v>
      </c>
      <c r="B412">
        <v>353.31</v>
      </c>
    </row>
    <row r="413" spans="1:2" x14ac:dyDescent="0.4">
      <c r="A413" s="1">
        <v>33909</v>
      </c>
      <c r="B413">
        <v>354.16</v>
      </c>
    </row>
    <row r="414" spans="1:2" x14ac:dyDescent="0.4">
      <c r="A414" s="1">
        <v>33939</v>
      </c>
      <c r="B414">
        <v>355.4</v>
      </c>
    </row>
    <row r="415" spans="1:2" x14ac:dyDescent="0.4">
      <c r="A415" s="1">
        <v>33970</v>
      </c>
      <c r="B415">
        <v>356.7</v>
      </c>
    </row>
    <row r="416" spans="1:2" x14ac:dyDescent="0.4">
      <c r="A416" s="1">
        <v>34001</v>
      </c>
      <c r="B416">
        <v>357.17</v>
      </c>
    </row>
    <row r="417" spans="1:2" x14ac:dyDescent="0.4">
      <c r="A417" s="1">
        <v>34029</v>
      </c>
      <c r="B417">
        <v>358.38</v>
      </c>
    </row>
    <row r="418" spans="1:2" x14ac:dyDescent="0.4">
      <c r="A418" s="1">
        <v>34060</v>
      </c>
      <c r="B418">
        <v>359.46</v>
      </c>
    </row>
    <row r="419" spans="1:2" x14ac:dyDescent="0.4">
      <c r="A419" s="1">
        <v>34090</v>
      </c>
      <c r="B419">
        <v>360.28</v>
      </c>
    </row>
    <row r="420" spans="1:2" x14ac:dyDescent="0.4">
      <c r="A420" s="1">
        <v>34121</v>
      </c>
      <c r="B420">
        <v>359.6</v>
      </c>
    </row>
    <row r="421" spans="1:2" x14ac:dyDescent="0.4">
      <c r="A421" s="1">
        <v>34151</v>
      </c>
      <c r="B421">
        <v>357.57</v>
      </c>
    </row>
    <row r="422" spans="1:2" x14ac:dyDescent="0.4">
      <c r="A422" s="1">
        <v>34182</v>
      </c>
      <c r="B422">
        <v>355.52</v>
      </c>
    </row>
    <row r="423" spans="1:2" x14ac:dyDescent="0.4">
      <c r="A423" s="1">
        <v>34213</v>
      </c>
      <c r="B423">
        <v>353.69</v>
      </c>
    </row>
    <row r="424" spans="1:2" x14ac:dyDescent="0.4">
      <c r="A424" s="1">
        <v>34243</v>
      </c>
      <c r="B424">
        <v>353.99</v>
      </c>
    </row>
    <row r="425" spans="1:2" x14ac:dyDescent="0.4">
      <c r="A425" s="1">
        <v>34274</v>
      </c>
      <c r="B425">
        <v>355.34</v>
      </c>
    </row>
    <row r="426" spans="1:2" x14ac:dyDescent="0.4">
      <c r="A426" s="1">
        <v>34304</v>
      </c>
      <c r="B426">
        <v>356.8</v>
      </c>
    </row>
    <row r="427" spans="1:2" x14ac:dyDescent="0.4">
      <c r="A427" s="1">
        <v>34335</v>
      </c>
      <c r="B427">
        <v>358.37</v>
      </c>
    </row>
    <row r="428" spans="1:2" x14ac:dyDescent="0.4">
      <c r="A428" s="1">
        <v>34366</v>
      </c>
      <c r="B428">
        <v>358.91</v>
      </c>
    </row>
    <row r="429" spans="1:2" x14ac:dyDescent="0.4">
      <c r="A429" s="1">
        <v>34394</v>
      </c>
      <c r="B429">
        <v>359.97</v>
      </c>
    </row>
    <row r="430" spans="1:2" x14ac:dyDescent="0.4">
      <c r="A430" s="1">
        <v>34425</v>
      </c>
      <c r="B430">
        <v>361.26</v>
      </c>
    </row>
    <row r="431" spans="1:2" x14ac:dyDescent="0.4">
      <c r="A431" s="1">
        <v>34455</v>
      </c>
      <c r="B431">
        <v>361.69</v>
      </c>
    </row>
    <row r="432" spans="1:2" x14ac:dyDescent="0.4">
      <c r="A432" s="1">
        <v>34486</v>
      </c>
      <c r="B432">
        <v>360.94</v>
      </c>
    </row>
    <row r="433" spans="1:2" x14ac:dyDescent="0.4">
      <c r="A433" s="1">
        <v>34516</v>
      </c>
      <c r="B433">
        <v>359.55</v>
      </c>
    </row>
    <row r="434" spans="1:2" x14ac:dyDescent="0.4">
      <c r="A434" s="1">
        <v>34547</v>
      </c>
      <c r="B434">
        <v>357.48</v>
      </c>
    </row>
    <row r="435" spans="1:2" x14ac:dyDescent="0.4">
      <c r="A435" s="1">
        <v>34578</v>
      </c>
      <c r="B435">
        <v>355.84</v>
      </c>
    </row>
    <row r="436" spans="1:2" x14ac:dyDescent="0.4">
      <c r="A436" s="1">
        <v>34608</v>
      </c>
      <c r="B436">
        <v>356</v>
      </c>
    </row>
    <row r="437" spans="1:2" x14ac:dyDescent="0.4">
      <c r="A437" s="1">
        <v>34639</v>
      </c>
      <c r="B437">
        <v>357.58</v>
      </c>
    </row>
    <row r="438" spans="1:2" x14ac:dyDescent="0.4">
      <c r="A438" s="1">
        <v>34669</v>
      </c>
      <c r="B438">
        <v>359.04</v>
      </c>
    </row>
    <row r="439" spans="1:2" x14ac:dyDescent="0.4">
      <c r="A439" s="1">
        <v>34700</v>
      </c>
      <c r="B439">
        <v>359.97</v>
      </c>
    </row>
    <row r="440" spans="1:2" x14ac:dyDescent="0.4">
      <c r="A440" s="1">
        <v>34731</v>
      </c>
      <c r="B440">
        <v>361</v>
      </c>
    </row>
    <row r="441" spans="1:2" x14ac:dyDescent="0.4">
      <c r="A441" s="1">
        <v>34759</v>
      </c>
      <c r="B441">
        <v>361.63</v>
      </c>
    </row>
    <row r="442" spans="1:2" x14ac:dyDescent="0.4">
      <c r="A442" s="1">
        <v>34790</v>
      </c>
      <c r="B442">
        <v>363.45</v>
      </c>
    </row>
    <row r="443" spans="1:2" x14ac:dyDescent="0.4">
      <c r="A443" s="1">
        <v>34820</v>
      </c>
      <c r="B443">
        <v>363.8</v>
      </c>
    </row>
    <row r="444" spans="1:2" x14ac:dyDescent="0.4">
      <c r="A444" s="1">
        <v>34851</v>
      </c>
      <c r="B444">
        <v>363.26</v>
      </c>
    </row>
    <row r="445" spans="1:2" x14ac:dyDescent="0.4">
      <c r="A445" s="1">
        <v>34881</v>
      </c>
      <c r="B445">
        <v>361.89</v>
      </c>
    </row>
    <row r="446" spans="1:2" x14ac:dyDescent="0.4">
      <c r="A446" s="1">
        <v>34912</v>
      </c>
      <c r="B446">
        <v>359.45</v>
      </c>
    </row>
    <row r="447" spans="1:2" x14ac:dyDescent="0.4">
      <c r="A447" s="1">
        <v>34943</v>
      </c>
      <c r="B447">
        <v>358.05</v>
      </c>
    </row>
    <row r="448" spans="1:2" x14ac:dyDescent="0.4">
      <c r="A448" s="1">
        <v>34973</v>
      </c>
      <c r="B448">
        <v>357.75</v>
      </c>
    </row>
    <row r="449" spans="1:2" x14ac:dyDescent="0.4">
      <c r="A449" s="1">
        <v>35004</v>
      </c>
      <c r="B449">
        <v>359.56</v>
      </c>
    </row>
    <row r="450" spans="1:2" x14ac:dyDescent="0.4">
      <c r="A450" s="1">
        <v>35034</v>
      </c>
      <c r="B450">
        <v>360.7</v>
      </c>
    </row>
    <row r="451" spans="1:2" x14ac:dyDescent="0.4">
      <c r="A451" s="1">
        <v>35065</v>
      </c>
      <c r="B451">
        <v>362.05</v>
      </c>
    </row>
    <row r="452" spans="1:2" x14ac:dyDescent="0.4">
      <c r="A452" s="1">
        <v>35096</v>
      </c>
      <c r="B452">
        <v>363.24</v>
      </c>
    </row>
    <row r="453" spans="1:2" x14ac:dyDescent="0.4">
      <c r="A453" s="1">
        <v>35125</v>
      </c>
      <c r="B453">
        <v>364.02</v>
      </c>
    </row>
    <row r="454" spans="1:2" x14ac:dyDescent="0.4">
      <c r="A454" s="1">
        <v>35156</v>
      </c>
      <c r="B454">
        <v>364.71</v>
      </c>
    </row>
    <row r="455" spans="1:2" x14ac:dyDescent="0.4">
      <c r="A455" s="1">
        <v>35186</v>
      </c>
      <c r="B455">
        <v>365.42</v>
      </c>
    </row>
    <row r="456" spans="1:2" x14ac:dyDescent="0.4">
      <c r="A456" s="1">
        <v>35217</v>
      </c>
      <c r="B456">
        <v>364.97</v>
      </c>
    </row>
    <row r="457" spans="1:2" x14ac:dyDescent="0.4">
      <c r="A457" s="1">
        <v>35247</v>
      </c>
      <c r="B457">
        <v>363.65</v>
      </c>
    </row>
    <row r="458" spans="1:2" x14ac:dyDescent="0.4">
      <c r="A458" s="1">
        <v>35278</v>
      </c>
      <c r="B458">
        <v>361.48</v>
      </c>
    </row>
    <row r="459" spans="1:2" x14ac:dyDescent="0.4">
      <c r="A459" s="1">
        <v>35309</v>
      </c>
      <c r="B459">
        <v>359.45</v>
      </c>
    </row>
    <row r="460" spans="1:2" x14ac:dyDescent="0.4">
      <c r="A460" s="1">
        <v>35339</v>
      </c>
      <c r="B460">
        <v>359.61</v>
      </c>
    </row>
    <row r="461" spans="1:2" x14ac:dyDescent="0.4">
      <c r="A461" s="1">
        <v>35370</v>
      </c>
      <c r="B461">
        <v>360.76</v>
      </c>
    </row>
    <row r="462" spans="1:2" x14ac:dyDescent="0.4">
      <c r="A462" s="1">
        <v>35400</v>
      </c>
      <c r="B462">
        <v>362.33</v>
      </c>
    </row>
    <row r="463" spans="1:2" x14ac:dyDescent="0.4">
      <c r="A463" s="1">
        <v>35431</v>
      </c>
      <c r="B463">
        <v>363.19</v>
      </c>
    </row>
    <row r="464" spans="1:2" x14ac:dyDescent="0.4">
      <c r="A464" s="1">
        <v>35462</v>
      </c>
      <c r="B464">
        <v>363.99</v>
      </c>
    </row>
    <row r="465" spans="1:2" x14ac:dyDescent="0.4">
      <c r="A465" s="1">
        <v>35490</v>
      </c>
      <c r="B465">
        <v>364.56</v>
      </c>
    </row>
    <row r="466" spans="1:2" x14ac:dyDescent="0.4">
      <c r="A466" s="1">
        <v>35521</v>
      </c>
      <c r="B466">
        <v>366.36</v>
      </c>
    </row>
    <row r="467" spans="1:2" x14ac:dyDescent="0.4">
      <c r="A467" s="1">
        <v>35551</v>
      </c>
      <c r="B467">
        <v>366.8</v>
      </c>
    </row>
    <row r="468" spans="1:2" x14ac:dyDescent="0.4">
      <c r="A468" s="1">
        <v>35582</v>
      </c>
      <c r="B468">
        <v>365.63</v>
      </c>
    </row>
    <row r="469" spans="1:2" x14ac:dyDescent="0.4">
      <c r="A469" s="1">
        <v>35612</v>
      </c>
      <c r="B469">
        <v>364.47</v>
      </c>
    </row>
    <row r="470" spans="1:2" x14ac:dyDescent="0.4">
      <c r="A470" s="1">
        <v>35643</v>
      </c>
      <c r="B470">
        <v>362.5</v>
      </c>
    </row>
    <row r="471" spans="1:2" x14ac:dyDescent="0.4">
      <c r="A471" s="1">
        <v>35674</v>
      </c>
      <c r="B471">
        <v>360.19</v>
      </c>
    </row>
    <row r="472" spans="1:2" x14ac:dyDescent="0.4">
      <c r="A472" s="1">
        <v>35704</v>
      </c>
      <c r="B472">
        <v>360.78</v>
      </c>
    </row>
    <row r="473" spans="1:2" x14ac:dyDescent="0.4">
      <c r="A473" s="1">
        <v>35735</v>
      </c>
      <c r="B473">
        <v>362.43</v>
      </c>
    </row>
    <row r="474" spans="1:2" x14ac:dyDescent="0.4">
      <c r="A474" s="1">
        <v>35765</v>
      </c>
      <c r="B474">
        <v>364.28</v>
      </c>
    </row>
    <row r="475" spans="1:2" x14ac:dyDescent="0.4">
      <c r="A475" s="1">
        <v>35796</v>
      </c>
      <c r="B475">
        <v>365.33</v>
      </c>
    </row>
    <row r="476" spans="1:2" x14ac:dyDescent="0.4">
      <c r="A476" s="1">
        <v>35827</v>
      </c>
      <c r="B476">
        <v>366.15</v>
      </c>
    </row>
    <row r="477" spans="1:2" x14ac:dyDescent="0.4">
      <c r="A477" s="1">
        <v>35855</v>
      </c>
      <c r="B477">
        <v>367.31</v>
      </c>
    </row>
    <row r="478" spans="1:2" x14ac:dyDescent="0.4">
      <c r="A478" s="1">
        <v>35886</v>
      </c>
      <c r="B478">
        <v>368.61</v>
      </c>
    </row>
    <row r="479" spans="1:2" x14ac:dyDescent="0.4">
      <c r="A479" s="1">
        <v>35916</v>
      </c>
      <c r="B479">
        <v>369.3</v>
      </c>
    </row>
    <row r="480" spans="1:2" x14ac:dyDescent="0.4">
      <c r="A480" s="1">
        <v>35947</v>
      </c>
      <c r="B480">
        <v>368.88</v>
      </c>
    </row>
    <row r="481" spans="1:2" x14ac:dyDescent="0.4">
      <c r="A481" s="1">
        <v>35977</v>
      </c>
      <c r="B481">
        <v>367.64</v>
      </c>
    </row>
    <row r="482" spans="1:2" x14ac:dyDescent="0.4">
      <c r="A482" s="1">
        <v>36008</v>
      </c>
      <c r="B482">
        <v>365.78</v>
      </c>
    </row>
    <row r="483" spans="1:2" x14ac:dyDescent="0.4">
      <c r="A483" s="1">
        <v>36039</v>
      </c>
      <c r="B483">
        <v>363.9</v>
      </c>
    </row>
    <row r="484" spans="1:2" x14ac:dyDescent="0.4">
      <c r="A484" s="1">
        <v>36069</v>
      </c>
      <c r="B484">
        <v>364.23</v>
      </c>
    </row>
    <row r="485" spans="1:2" x14ac:dyDescent="0.4">
      <c r="A485" s="1">
        <v>36100</v>
      </c>
      <c r="B485">
        <v>365.46</v>
      </c>
    </row>
    <row r="486" spans="1:2" x14ac:dyDescent="0.4">
      <c r="A486" s="1">
        <v>36130</v>
      </c>
      <c r="B486">
        <v>366.97</v>
      </c>
    </row>
    <row r="487" spans="1:2" x14ac:dyDescent="0.4">
      <c r="A487" s="1">
        <v>36161</v>
      </c>
      <c r="B487">
        <v>368.15</v>
      </c>
    </row>
    <row r="488" spans="1:2" x14ac:dyDescent="0.4">
      <c r="A488" s="1">
        <v>36192</v>
      </c>
      <c r="B488">
        <v>368.87</v>
      </c>
    </row>
    <row r="489" spans="1:2" x14ac:dyDescent="0.4">
      <c r="A489" s="1">
        <v>36220</v>
      </c>
      <c r="B489">
        <v>369.59</v>
      </c>
    </row>
    <row r="490" spans="1:2" x14ac:dyDescent="0.4">
      <c r="A490" s="1">
        <v>36251</v>
      </c>
      <c r="B490">
        <v>371.14</v>
      </c>
    </row>
    <row r="491" spans="1:2" x14ac:dyDescent="0.4">
      <c r="A491" s="1">
        <v>36281</v>
      </c>
      <c r="B491">
        <v>371</v>
      </c>
    </row>
    <row r="492" spans="1:2" x14ac:dyDescent="0.4">
      <c r="A492" s="1">
        <v>36312</v>
      </c>
      <c r="B492">
        <v>370.35</v>
      </c>
    </row>
    <row r="493" spans="1:2" x14ac:dyDescent="0.4">
      <c r="A493" s="1">
        <v>36342</v>
      </c>
      <c r="B493">
        <v>369.27</v>
      </c>
    </row>
    <row r="494" spans="1:2" x14ac:dyDescent="0.4">
      <c r="A494" s="1">
        <v>36373</v>
      </c>
      <c r="B494">
        <v>366.93</v>
      </c>
    </row>
    <row r="495" spans="1:2" x14ac:dyDescent="0.4">
      <c r="A495" s="1">
        <v>36404</v>
      </c>
      <c r="B495">
        <v>364.64</v>
      </c>
    </row>
    <row r="496" spans="1:2" x14ac:dyDescent="0.4">
      <c r="A496" s="1">
        <v>36434</v>
      </c>
      <c r="B496">
        <v>365.13</v>
      </c>
    </row>
    <row r="497" spans="1:2" x14ac:dyDescent="0.4">
      <c r="A497" s="1">
        <v>36465</v>
      </c>
      <c r="B497">
        <v>366.68</v>
      </c>
    </row>
    <row r="498" spans="1:2" x14ac:dyDescent="0.4">
      <c r="A498" s="1">
        <v>36495</v>
      </c>
      <c r="B498">
        <v>368</v>
      </c>
    </row>
    <row r="499" spans="1:2" x14ac:dyDescent="0.4">
      <c r="A499" s="1">
        <v>36526</v>
      </c>
      <c r="B499">
        <v>369.14</v>
      </c>
    </row>
    <row r="500" spans="1:2" x14ac:dyDescent="0.4">
      <c r="A500" s="1">
        <v>36557</v>
      </c>
      <c r="B500">
        <v>369.46</v>
      </c>
    </row>
    <row r="501" spans="1:2" x14ac:dyDescent="0.4">
      <c r="A501" s="1">
        <v>36586</v>
      </c>
      <c r="B501">
        <v>370.51</v>
      </c>
    </row>
    <row r="502" spans="1:2" x14ac:dyDescent="0.4">
      <c r="A502" s="1">
        <v>36617</v>
      </c>
      <c r="B502">
        <v>371.66</v>
      </c>
    </row>
    <row r="503" spans="1:2" x14ac:dyDescent="0.4">
      <c r="A503" s="1">
        <v>36647</v>
      </c>
      <c r="B503">
        <v>371.83</v>
      </c>
    </row>
    <row r="504" spans="1:2" x14ac:dyDescent="0.4">
      <c r="A504" s="1">
        <v>36678</v>
      </c>
      <c r="B504">
        <v>371.69</v>
      </c>
    </row>
    <row r="505" spans="1:2" x14ac:dyDescent="0.4">
      <c r="A505" s="1">
        <v>36708</v>
      </c>
      <c r="B505">
        <v>370.12</v>
      </c>
    </row>
    <row r="506" spans="1:2" x14ac:dyDescent="0.4">
      <c r="A506" s="1">
        <v>36739</v>
      </c>
      <c r="B506">
        <v>368.12</v>
      </c>
    </row>
    <row r="507" spans="1:2" x14ac:dyDescent="0.4">
      <c r="A507" s="1">
        <v>36770</v>
      </c>
      <c r="B507">
        <v>366.62</v>
      </c>
    </row>
    <row r="508" spans="1:2" x14ac:dyDescent="0.4">
      <c r="A508" s="1">
        <v>36800</v>
      </c>
      <c r="B508">
        <v>366.73</v>
      </c>
    </row>
    <row r="509" spans="1:2" x14ac:dyDescent="0.4">
      <c r="A509" s="1">
        <v>36831</v>
      </c>
      <c r="B509">
        <v>368.29</v>
      </c>
    </row>
    <row r="510" spans="1:2" x14ac:dyDescent="0.4">
      <c r="A510" s="1">
        <v>36861</v>
      </c>
      <c r="B510">
        <v>369.52</v>
      </c>
    </row>
    <row r="511" spans="1:2" x14ac:dyDescent="0.4">
      <c r="A511" s="1">
        <v>36892</v>
      </c>
      <c r="B511">
        <v>370.28</v>
      </c>
    </row>
    <row r="512" spans="1:2" x14ac:dyDescent="0.4">
      <c r="A512" s="1">
        <v>36923</v>
      </c>
      <c r="B512">
        <v>371.5</v>
      </c>
    </row>
    <row r="513" spans="1:2" x14ac:dyDescent="0.4">
      <c r="A513" s="1">
        <v>36951</v>
      </c>
      <c r="B513">
        <v>372.12</v>
      </c>
    </row>
    <row r="514" spans="1:2" x14ac:dyDescent="0.4">
      <c r="A514" s="1">
        <v>36982</v>
      </c>
      <c r="B514">
        <v>372.86</v>
      </c>
    </row>
    <row r="515" spans="1:2" x14ac:dyDescent="0.4">
      <c r="A515" s="1">
        <v>37012</v>
      </c>
      <c r="B515">
        <v>374.02</v>
      </c>
    </row>
    <row r="516" spans="1:2" x14ac:dyDescent="0.4">
      <c r="A516" s="1">
        <v>37043</v>
      </c>
      <c r="B516">
        <v>373.31</v>
      </c>
    </row>
    <row r="517" spans="1:2" x14ac:dyDescent="0.4">
      <c r="A517" s="1">
        <v>37073</v>
      </c>
      <c r="B517">
        <v>371.62</v>
      </c>
    </row>
    <row r="518" spans="1:2" x14ac:dyDescent="0.4">
      <c r="A518" s="1">
        <v>37104</v>
      </c>
      <c r="B518">
        <v>369.55</v>
      </c>
    </row>
    <row r="519" spans="1:2" x14ac:dyDescent="0.4">
      <c r="A519" s="1">
        <v>37135</v>
      </c>
      <c r="B519">
        <v>367.96</v>
      </c>
    </row>
    <row r="520" spans="1:2" x14ac:dyDescent="0.4">
      <c r="A520" s="1">
        <v>37165</v>
      </c>
      <c r="B520">
        <v>368.09</v>
      </c>
    </row>
    <row r="521" spans="1:2" x14ac:dyDescent="0.4">
      <c r="A521" s="1">
        <v>37196</v>
      </c>
      <c r="B521">
        <v>369.68</v>
      </c>
    </row>
    <row r="522" spans="1:2" x14ac:dyDescent="0.4">
      <c r="A522" s="1">
        <v>37226</v>
      </c>
      <c r="B522">
        <v>371.24</v>
      </c>
    </row>
    <row r="523" spans="1:2" x14ac:dyDescent="0.4">
      <c r="A523" s="1">
        <v>37257</v>
      </c>
      <c r="B523">
        <v>372.44</v>
      </c>
    </row>
    <row r="524" spans="1:2" x14ac:dyDescent="0.4">
      <c r="A524" s="1">
        <v>37288</v>
      </c>
      <c r="B524">
        <v>373.08</v>
      </c>
    </row>
    <row r="525" spans="1:2" x14ac:dyDescent="0.4">
      <c r="A525" s="1">
        <v>37316</v>
      </c>
      <c r="B525">
        <v>373.52</v>
      </c>
    </row>
    <row r="526" spans="1:2" x14ac:dyDescent="0.4">
      <c r="A526" s="1">
        <v>37347</v>
      </c>
      <c r="B526">
        <v>374.85</v>
      </c>
    </row>
    <row r="527" spans="1:2" x14ac:dyDescent="0.4">
      <c r="A527" s="1">
        <v>37377</v>
      </c>
      <c r="B527">
        <v>375.55</v>
      </c>
    </row>
    <row r="528" spans="1:2" x14ac:dyDescent="0.4">
      <c r="A528" s="1">
        <v>37408</v>
      </c>
      <c r="B528">
        <v>375.4</v>
      </c>
    </row>
    <row r="529" spans="1:2" x14ac:dyDescent="0.4">
      <c r="A529" s="1">
        <v>37438</v>
      </c>
      <c r="B529">
        <v>374.02</v>
      </c>
    </row>
    <row r="530" spans="1:2" x14ac:dyDescent="0.4">
      <c r="A530" s="1">
        <v>37469</v>
      </c>
      <c r="B530">
        <v>371.48</v>
      </c>
    </row>
    <row r="531" spans="1:2" x14ac:dyDescent="0.4">
      <c r="A531" s="1">
        <v>37500</v>
      </c>
      <c r="B531">
        <v>370.7</v>
      </c>
    </row>
    <row r="532" spans="1:2" x14ac:dyDescent="0.4">
      <c r="A532" s="1">
        <v>37530</v>
      </c>
      <c r="B532">
        <v>370.25</v>
      </c>
    </row>
    <row r="533" spans="1:2" x14ac:dyDescent="0.4">
      <c r="A533" s="1">
        <v>37561</v>
      </c>
      <c r="B533">
        <v>372.08</v>
      </c>
    </row>
    <row r="534" spans="1:2" x14ac:dyDescent="0.4">
      <c r="A534" s="1">
        <v>37591</v>
      </c>
      <c r="B534">
        <v>373.78</v>
      </c>
    </row>
    <row r="535" spans="1:2" x14ac:dyDescent="0.4">
      <c r="A535" s="1">
        <v>37622</v>
      </c>
      <c r="B535">
        <v>374.68</v>
      </c>
    </row>
    <row r="536" spans="1:2" x14ac:dyDescent="0.4">
      <c r="A536" s="1">
        <v>37653</v>
      </c>
      <c r="B536">
        <v>375.62</v>
      </c>
    </row>
    <row r="537" spans="1:2" x14ac:dyDescent="0.4">
      <c r="A537" s="1">
        <v>37681</v>
      </c>
      <c r="B537">
        <v>376.11</v>
      </c>
    </row>
    <row r="538" spans="1:2" x14ac:dyDescent="0.4">
      <c r="A538" s="1">
        <v>37712</v>
      </c>
      <c r="B538">
        <v>377.65</v>
      </c>
    </row>
    <row r="539" spans="1:2" x14ac:dyDescent="0.4">
      <c r="A539" s="1">
        <v>37742</v>
      </c>
      <c r="B539">
        <v>378.35</v>
      </c>
    </row>
    <row r="540" spans="1:2" x14ac:dyDescent="0.4">
      <c r="A540" s="1">
        <v>37773</v>
      </c>
      <c r="B540">
        <v>378.13</v>
      </c>
    </row>
    <row r="541" spans="1:2" x14ac:dyDescent="0.4">
      <c r="A541" s="1">
        <v>37803</v>
      </c>
      <c r="B541">
        <v>376.6</v>
      </c>
    </row>
    <row r="542" spans="1:2" x14ac:dyDescent="0.4">
      <c r="A542" s="1">
        <v>37834</v>
      </c>
      <c r="B542">
        <v>374.48</v>
      </c>
    </row>
    <row r="543" spans="1:2" x14ac:dyDescent="0.4">
      <c r="A543" s="1">
        <v>37865</v>
      </c>
      <c r="B543">
        <v>372.98</v>
      </c>
    </row>
    <row r="544" spans="1:2" x14ac:dyDescent="0.4">
      <c r="A544" s="1">
        <v>37895</v>
      </c>
      <c r="B544">
        <v>373</v>
      </c>
    </row>
    <row r="545" spans="1:2" x14ac:dyDescent="0.4">
      <c r="A545" s="1">
        <v>37926</v>
      </c>
      <c r="B545">
        <v>374.35</v>
      </c>
    </row>
    <row r="546" spans="1:2" x14ac:dyDescent="0.4">
      <c r="A546" s="1">
        <v>37956</v>
      </c>
      <c r="B546">
        <v>375.69</v>
      </c>
    </row>
    <row r="547" spans="1:2" x14ac:dyDescent="0.4">
      <c r="A547" s="1">
        <v>37987</v>
      </c>
      <c r="B547">
        <v>376.79</v>
      </c>
    </row>
    <row r="548" spans="1:2" x14ac:dyDescent="0.4">
      <c r="A548" s="1">
        <v>38018</v>
      </c>
      <c r="B548">
        <v>377.37</v>
      </c>
    </row>
    <row r="549" spans="1:2" x14ac:dyDescent="0.4">
      <c r="A549" s="1">
        <v>38047</v>
      </c>
      <c r="B549">
        <v>378.39</v>
      </c>
    </row>
    <row r="550" spans="1:2" x14ac:dyDescent="0.4">
      <c r="A550" s="1">
        <v>38078</v>
      </c>
      <c r="B550">
        <v>380.5</v>
      </c>
    </row>
    <row r="551" spans="1:2" x14ac:dyDescent="0.4">
      <c r="A551" s="1">
        <v>38108</v>
      </c>
      <c r="B551">
        <v>380.62</v>
      </c>
    </row>
    <row r="552" spans="1:2" x14ac:dyDescent="0.4">
      <c r="A552" s="1">
        <v>38139</v>
      </c>
      <c r="B552">
        <v>379.55</v>
      </c>
    </row>
    <row r="553" spans="1:2" x14ac:dyDescent="0.4">
      <c r="A553" s="1">
        <v>38169</v>
      </c>
      <c r="B553">
        <v>377.76</v>
      </c>
    </row>
    <row r="554" spans="1:2" x14ac:dyDescent="0.4">
      <c r="A554" s="1">
        <v>38200</v>
      </c>
      <c r="B554">
        <v>375.83</v>
      </c>
    </row>
    <row r="555" spans="1:2" x14ac:dyDescent="0.4">
      <c r="A555" s="1">
        <v>38231</v>
      </c>
      <c r="B555">
        <v>374.05</v>
      </c>
    </row>
    <row r="556" spans="1:2" x14ac:dyDescent="0.4">
      <c r="A556" s="1">
        <v>38261</v>
      </c>
      <c r="B556">
        <v>374.22</v>
      </c>
    </row>
    <row r="557" spans="1:2" x14ac:dyDescent="0.4">
      <c r="A557" s="1">
        <v>38292</v>
      </c>
      <c r="B557">
        <v>375.84</v>
      </c>
    </row>
    <row r="558" spans="1:2" x14ac:dyDescent="0.4">
      <c r="A558" s="1">
        <v>38322</v>
      </c>
      <c r="B558">
        <v>377.44</v>
      </c>
    </row>
    <row r="559" spans="1:2" x14ac:dyDescent="0.4">
      <c r="A559" s="1">
        <v>38353</v>
      </c>
      <c r="B559">
        <v>378.34</v>
      </c>
    </row>
    <row r="560" spans="1:2" x14ac:dyDescent="0.4">
      <c r="A560" s="1">
        <v>38384</v>
      </c>
      <c r="B560">
        <v>379.61</v>
      </c>
    </row>
    <row r="561" spans="1:2" x14ac:dyDescent="0.4">
      <c r="A561" s="1">
        <v>38412</v>
      </c>
      <c r="B561">
        <v>380.08</v>
      </c>
    </row>
    <row r="562" spans="1:2" x14ac:dyDescent="0.4">
      <c r="A562" s="1">
        <v>38443</v>
      </c>
      <c r="B562">
        <v>382.05</v>
      </c>
    </row>
    <row r="563" spans="1:2" x14ac:dyDescent="0.4">
      <c r="A563" s="1">
        <v>38473</v>
      </c>
      <c r="B563">
        <v>382.24</v>
      </c>
    </row>
    <row r="564" spans="1:2" x14ac:dyDescent="0.4">
      <c r="A564" s="1">
        <v>38504</v>
      </c>
      <c r="B564">
        <v>382.08</v>
      </c>
    </row>
    <row r="565" spans="1:2" x14ac:dyDescent="0.4">
      <c r="A565" s="1">
        <v>38534</v>
      </c>
      <c r="B565">
        <v>380.66</v>
      </c>
    </row>
    <row r="566" spans="1:2" x14ac:dyDescent="0.4">
      <c r="A566" s="1">
        <v>38565</v>
      </c>
      <c r="B566">
        <v>378.67</v>
      </c>
    </row>
    <row r="567" spans="1:2" x14ac:dyDescent="0.4">
      <c r="A567" s="1">
        <v>38596</v>
      </c>
      <c r="B567">
        <v>376.42</v>
      </c>
    </row>
    <row r="568" spans="1:2" x14ac:dyDescent="0.4">
      <c r="A568" s="1">
        <v>38626</v>
      </c>
      <c r="B568">
        <v>376.8</v>
      </c>
    </row>
    <row r="569" spans="1:2" x14ac:dyDescent="0.4">
      <c r="A569" s="1">
        <v>38657</v>
      </c>
      <c r="B569">
        <v>378.31</v>
      </c>
    </row>
    <row r="570" spans="1:2" x14ac:dyDescent="0.4">
      <c r="A570" s="1">
        <v>38687</v>
      </c>
      <c r="B570">
        <v>379.96</v>
      </c>
    </row>
    <row r="571" spans="1:2" x14ac:dyDescent="0.4">
      <c r="A571" s="1">
        <v>38718</v>
      </c>
      <c r="B571">
        <v>381.37</v>
      </c>
    </row>
    <row r="572" spans="1:2" x14ac:dyDescent="0.4">
      <c r="A572" s="1">
        <v>38749</v>
      </c>
      <c r="B572">
        <v>382.02</v>
      </c>
    </row>
    <row r="573" spans="1:2" x14ac:dyDescent="0.4">
      <c r="A573" s="1">
        <v>38777</v>
      </c>
      <c r="B573">
        <v>382.56</v>
      </c>
    </row>
    <row r="574" spans="1:2" x14ac:dyDescent="0.4">
      <c r="A574" s="1">
        <v>38808</v>
      </c>
      <c r="B574">
        <v>384.36</v>
      </c>
    </row>
    <row r="575" spans="1:2" x14ac:dyDescent="0.4">
      <c r="A575" s="1">
        <v>38838</v>
      </c>
      <c r="B575">
        <v>384.92</v>
      </c>
    </row>
    <row r="576" spans="1:2" x14ac:dyDescent="0.4">
      <c r="A576" s="1">
        <v>38869</v>
      </c>
      <c r="B576">
        <v>384.03</v>
      </c>
    </row>
    <row r="577" spans="1:2" x14ac:dyDescent="0.4">
      <c r="A577" s="1">
        <v>38899</v>
      </c>
      <c r="B577">
        <v>382.28</v>
      </c>
    </row>
    <row r="578" spans="1:2" x14ac:dyDescent="0.4">
      <c r="A578" s="1">
        <v>38930</v>
      </c>
      <c r="B578">
        <v>380.48</v>
      </c>
    </row>
    <row r="579" spans="1:2" x14ac:dyDescent="0.4">
      <c r="A579" s="1">
        <v>38961</v>
      </c>
      <c r="B579">
        <v>378.81</v>
      </c>
    </row>
    <row r="580" spans="1:2" x14ac:dyDescent="0.4">
      <c r="A580" s="1">
        <v>38991</v>
      </c>
      <c r="B580">
        <v>379.06</v>
      </c>
    </row>
    <row r="581" spans="1:2" x14ac:dyDescent="0.4">
      <c r="A581" s="1">
        <v>39022</v>
      </c>
      <c r="B581">
        <v>380.14</v>
      </c>
    </row>
    <row r="582" spans="1:2" x14ac:dyDescent="0.4">
      <c r="A582" s="1">
        <v>39052</v>
      </c>
      <c r="B582">
        <v>381.66</v>
      </c>
    </row>
    <row r="583" spans="1:2" x14ac:dyDescent="0.4">
      <c r="A583" s="1">
        <v>39083</v>
      </c>
      <c r="B583">
        <v>382.58</v>
      </c>
    </row>
    <row r="584" spans="1:2" x14ac:dyDescent="0.4">
      <c r="A584" s="1">
        <v>39114</v>
      </c>
      <c r="B584">
        <v>383.71</v>
      </c>
    </row>
    <row r="585" spans="1:2" x14ac:dyDescent="0.4">
      <c r="A585" s="1">
        <v>39142</v>
      </c>
      <c r="B585">
        <v>384.34</v>
      </c>
    </row>
    <row r="586" spans="1:2" x14ac:dyDescent="0.4">
      <c r="A586" s="1">
        <v>39173</v>
      </c>
      <c r="B586">
        <v>386.23</v>
      </c>
    </row>
    <row r="587" spans="1:2" x14ac:dyDescent="0.4">
      <c r="A587" s="1">
        <v>39203</v>
      </c>
      <c r="B587">
        <v>386.41</v>
      </c>
    </row>
    <row r="588" spans="1:2" x14ac:dyDescent="0.4">
      <c r="A588" s="1">
        <v>39234</v>
      </c>
      <c r="B588">
        <v>385.87</v>
      </c>
    </row>
    <row r="589" spans="1:2" x14ac:dyDescent="0.4">
      <c r="A589" s="1">
        <v>39264</v>
      </c>
      <c r="B589">
        <v>384.44</v>
      </c>
    </row>
    <row r="590" spans="1:2" x14ac:dyDescent="0.4">
      <c r="A590" s="1">
        <v>39295</v>
      </c>
      <c r="B590">
        <v>381.84</v>
      </c>
    </row>
    <row r="591" spans="1:2" x14ac:dyDescent="0.4">
      <c r="A591" s="1">
        <v>39326</v>
      </c>
      <c r="B591">
        <v>380.86</v>
      </c>
    </row>
    <row r="592" spans="1:2" x14ac:dyDescent="0.4">
      <c r="A592" s="1">
        <v>39356</v>
      </c>
      <c r="B592">
        <v>380.86</v>
      </c>
    </row>
    <row r="593" spans="1:2" x14ac:dyDescent="0.4">
      <c r="A593" s="1">
        <v>39387</v>
      </c>
      <c r="B593">
        <v>382.36</v>
      </c>
    </row>
    <row r="594" spans="1:2" x14ac:dyDescent="0.4">
      <c r="A594" s="1">
        <v>39417</v>
      </c>
      <c r="B594">
        <v>383.61</v>
      </c>
    </row>
    <row r="595" spans="1:2" x14ac:dyDescent="0.4">
      <c r="A595" s="1">
        <v>39448</v>
      </c>
      <c r="B595">
        <v>385.07</v>
      </c>
    </row>
    <row r="596" spans="1:2" x14ac:dyDescent="0.4">
      <c r="A596" s="1">
        <v>39479</v>
      </c>
      <c r="B596">
        <v>385.84</v>
      </c>
    </row>
    <row r="597" spans="1:2" x14ac:dyDescent="0.4">
      <c r="A597" s="1">
        <v>39508</v>
      </c>
      <c r="B597">
        <v>385.83</v>
      </c>
    </row>
    <row r="598" spans="1:2" x14ac:dyDescent="0.4">
      <c r="A598" s="1">
        <v>39539</v>
      </c>
      <c r="B598">
        <v>386.77</v>
      </c>
    </row>
    <row r="599" spans="1:2" x14ac:dyDescent="0.4">
      <c r="A599" s="1">
        <v>39569</v>
      </c>
      <c r="B599">
        <v>388.51</v>
      </c>
    </row>
    <row r="600" spans="1:2" x14ac:dyDescent="0.4">
      <c r="A600" s="1">
        <v>39600</v>
      </c>
      <c r="B600">
        <v>388.05</v>
      </c>
    </row>
    <row r="601" spans="1:2" x14ac:dyDescent="0.4">
      <c r="A601" s="1">
        <v>39630</v>
      </c>
      <c r="B601">
        <v>386.25</v>
      </c>
    </row>
    <row r="602" spans="1:2" x14ac:dyDescent="0.4">
      <c r="A602" s="1">
        <v>39661</v>
      </c>
      <c r="B602">
        <v>384.08</v>
      </c>
    </row>
    <row r="603" spans="1:2" x14ac:dyDescent="0.4">
      <c r="A603" s="1">
        <v>39692</v>
      </c>
      <c r="B603">
        <v>383.09</v>
      </c>
    </row>
    <row r="604" spans="1:2" x14ac:dyDescent="0.4">
      <c r="A604" s="1">
        <v>39722</v>
      </c>
      <c r="B604">
        <v>382.78</v>
      </c>
    </row>
    <row r="605" spans="1:2" x14ac:dyDescent="0.4">
      <c r="A605" s="1">
        <v>39753</v>
      </c>
      <c r="B605">
        <v>384.01</v>
      </c>
    </row>
    <row r="606" spans="1:2" x14ac:dyDescent="0.4">
      <c r="A606" s="1">
        <v>39783</v>
      </c>
      <c r="B606">
        <v>385.11</v>
      </c>
    </row>
    <row r="607" spans="1:2" x14ac:dyDescent="0.4">
      <c r="A607" s="1">
        <v>39814</v>
      </c>
      <c r="B607">
        <v>386.65</v>
      </c>
    </row>
    <row r="608" spans="1:2" x14ac:dyDescent="0.4">
      <c r="A608" s="1">
        <v>39845</v>
      </c>
      <c r="B608">
        <v>387.12</v>
      </c>
    </row>
    <row r="609" spans="1:2" x14ac:dyDescent="0.4">
      <c r="A609" s="1">
        <v>39873</v>
      </c>
      <c r="B609">
        <v>388.52</v>
      </c>
    </row>
    <row r="610" spans="1:2" x14ac:dyDescent="0.4">
      <c r="A610" s="1">
        <v>39904</v>
      </c>
      <c r="B610">
        <v>389.57</v>
      </c>
    </row>
    <row r="611" spans="1:2" x14ac:dyDescent="0.4">
      <c r="A611" s="1">
        <v>39934</v>
      </c>
      <c r="B611">
        <v>390.17</v>
      </c>
    </row>
    <row r="612" spans="1:2" x14ac:dyDescent="0.4">
      <c r="A612" s="1">
        <v>39965</v>
      </c>
      <c r="B612">
        <v>389.62</v>
      </c>
    </row>
    <row r="613" spans="1:2" x14ac:dyDescent="0.4">
      <c r="A613" s="1">
        <v>39995</v>
      </c>
      <c r="B613">
        <v>388.07</v>
      </c>
    </row>
    <row r="614" spans="1:2" x14ac:dyDescent="0.4">
      <c r="A614" s="1">
        <v>40026</v>
      </c>
      <c r="B614">
        <v>386.08</v>
      </c>
    </row>
    <row r="615" spans="1:2" x14ac:dyDescent="0.4">
      <c r="A615" s="1">
        <v>40057</v>
      </c>
      <c r="B615">
        <v>384.65</v>
      </c>
    </row>
    <row r="616" spans="1:2" x14ac:dyDescent="0.4">
      <c r="A616" s="1">
        <v>40087</v>
      </c>
      <c r="B616">
        <v>384.33</v>
      </c>
    </row>
    <row r="617" spans="1:2" x14ac:dyDescent="0.4">
      <c r="A617" s="1">
        <v>40118</v>
      </c>
      <c r="B617">
        <v>386.05</v>
      </c>
    </row>
    <row r="618" spans="1:2" x14ac:dyDescent="0.4">
      <c r="A618" s="1">
        <v>40148</v>
      </c>
      <c r="B618">
        <v>387.49</v>
      </c>
    </row>
    <row r="619" spans="1:2" x14ac:dyDescent="0.4">
      <c r="A619" s="1">
        <v>40179</v>
      </c>
      <c r="B619">
        <v>388.55</v>
      </c>
    </row>
    <row r="620" spans="1:2" x14ac:dyDescent="0.4">
      <c r="A620" s="1">
        <v>40210</v>
      </c>
      <c r="B620">
        <v>390.08</v>
      </c>
    </row>
    <row r="621" spans="1:2" x14ac:dyDescent="0.4">
      <c r="A621" s="1">
        <v>40238</v>
      </c>
      <c r="B621">
        <v>391.01</v>
      </c>
    </row>
    <row r="622" spans="1:2" x14ac:dyDescent="0.4">
      <c r="A622" s="1">
        <v>40269</v>
      </c>
      <c r="B622">
        <v>392.38</v>
      </c>
    </row>
    <row r="623" spans="1:2" x14ac:dyDescent="0.4">
      <c r="A623" s="1">
        <v>40299</v>
      </c>
      <c r="B623">
        <v>393.22</v>
      </c>
    </row>
    <row r="624" spans="1:2" x14ac:dyDescent="0.4">
      <c r="A624" s="1">
        <v>40330</v>
      </c>
      <c r="B624">
        <v>392.24</v>
      </c>
    </row>
    <row r="625" spans="1:2" x14ac:dyDescent="0.4">
      <c r="A625" s="1">
        <v>40360</v>
      </c>
      <c r="B625">
        <v>390.33</v>
      </c>
    </row>
    <row r="626" spans="1:2" x14ac:dyDescent="0.4">
      <c r="A626" s="1">
        <v>40391</v>
      </c>
      <c r="B626">
        <v>388.52</v>
      </c>
    </row>
    <row r="627" spans="1:2" x14ac:dyDescent="0.4">
      <c r="A627" s="1">
        <v>40422</v>
      </c>
      <c r="B627">
        <v>386.84</v>
      </c>
    </row>
    <row r="628" spans="1:2" x14ac:dyDescent="0.4">
      <c r="A628" s="1">
        <v>40452</v>
      </c>
      <c r="B628">
        <v>387.16</v>
      </c>
    </row>
    <row r="629" spans="1:2" x14ac:dyDescent="0.4">
      <c r="A629" s="1">
        <v>40483</v>
      </c>
      <c r="B629">
        <v>388.67</v>
      </c>
    </row>
    <row r="630" spans="1:2" x14ac:dyDescent="0.4">
      <c r="A630" s="1">
        <v>40513</v>
      </c>
      <c r="B630">
        <v>389.81</v>
      </c>
    </row>
    <row r="631" spans="1:2" x14ac:dyDescent="0.4">
      <c r="A631" s="1">
        <v>40544</v>
      </c>
      <c r="B631">
        <v>391.3</v>
      </c>
    </row>
    <row r="632" spans="1:2" x14ac:dyDescent="0.4">
      <c r="A632" s="1">
        <v>40575</v>
      </c>
      <c r="B632">
        <v>391.92</v>
      </c>
    </row>
    <row r="633" spans="1:2" x14ac:dyDescent="0.4">
      <c r="A633" s="1">
        <v>40603</v>
      </c>
      <c r="B633">
        <v>392.45</v>
      </c>
    </row>
    <row r="634" spans="1:2" x14ac:dyDescent="0.4">
      <c r="A634" s="1">
        <v>40634</v>
      </c>
      <c r="B634">
        <v>393.37</v>
      </c>
    </row>
    <row r="635" spans="1:2" x14ac:dyDescent="0.4">
      <c r="A635" s="1">
        <v>40664</v>
      </c>
      <c r="B635">
        <v>394.28</v>
      </c>
    </row>
    <row r="636" spans="1:2" x14ac:dyDescent="0.4">
      <c r="A636" s="1">
        <v>40695</v>
      </c>
      <c r="B636">
        <v>393.69</v>
      </c>
    </row>
    <row r="637" spans="1:2" x14ac:dyDescent="0.4">
      <c r="A637" s="1">
        <v>40725</v>
      </c>
      <c r="B637">
        <v>392.59</v>
      </c>
    </row>
    <row r="638" spans="1:2" x14ac:dyDescent="0.4">
      <c r="A638" s="1">
        <v>40756</v>
      </c>
      <c r="B638">
        <v>390.21</v>
      </c>
    </row>
    <row r="639" spans="1:2" x14ac:dyDescent="0.4">
      <c r="A639" s="1">
        <v>40787</v>
      </c>
      <c r="B639">
        <v>389</v>
      </c>
    </row>
    <row r="640" spans="1:2" x14ac:dyDescent="0.4">
      <c r="A640" s="1">
        <v>40817</v>
      </c>
      <c r="B640">
        <v>388.93</v>
      </c>
    </row>
    <row r="641" spans="1:2" x14ac:dyDescent="0.4">
      <c r="A641" s="1">
        <v>40848</v>
      </c>
      <c r="B641">
        <v>390.24</v>
      </c>
    </row>
    <row r="642" spans="1:2" x14ac:dyDescent="0.4">
      <c r="A642" s="1">
        <v>40878</v>
      </c>
      <c r="B642">
        <v>391.8</v>
      </c>
    </row>
    <row r="643" spans="1:2" x14ac:dyDescent="0.4">
      <c r="A643" s="1">
        <v>40909</v>
      </c>
      <c r="B643">
        <v>393.07</v>
      </c>
    </row>
    <row r="644" spans="1:2" x14ac:dyDescent="0.4">
      <c r="A644" s="1">
        <v>40940</v>
      </c>
      <c r="B644">
        <v>393.35</v>
      </c>
    </row>
    <row r="645" spans="1:2" x14ac:dyDescent="0.4">
      <c r="A645" s="1">
        <v>40969</v>
      </c>
      <c r="B645">
        <v>394.36</v>
      </c>
    </row>
    <row r="646" spans="1:2" x14ac:dyDescent="0.4">
      <c r="A646" s="1">
        <v>41000</v>
      </c>
      <c r="B646">
        <v>396.43</v>
      </c>
    </row>
    <row r="647" spans="1:2" x14ac:dyDescent="0.4">
      <c r="A647" s="1">
        <v>41030</v>
      </c>
      <c r="B647">
        <v>396.87</v>
      </c>
    </row>
    <row r="648" spans="1:2" x14ac:dyDescent="0.4">
      <c r="A648" s="1">
        <v>41061</v>
      </c>
      <c r="B648">
        <v>395.88</v>
      </c>
    </row>
    <row r="649" spans="1:2" x14ac:dyDescent="0.4">
      <c r="A649" s="1">
        <v>41091</v>
      </c>
      <c r="B649">
        <v>394.52</v>
      </c>
    </row>
    <row r="650" spans="1:2" x14ac:dyDescent="0.4">
      <c r="A650" s="1">
        <v>41122</v>
      </c>
      <c r="B650">
        <v>392.54</v>
      </c>
    </row>
    <row r="651" spans="1:2" x14ac:dyDescent="0.4">
      <c r="A651" s="1">
        <v>41153</v>
      </c>
      <c r="B651">
        <v>391.13</v>
      </c>
    </row>
    <row r="652" spans="1:2" x14ac:dyDescent="0.4">
      <c r="A652" s="1">
        <v>41183</v>
      </c>
      <c r="B652">
        <v>391.01</v>
      </c>
    </row>
    <row r="653" spans="1:2" x14ac:dyDescent="0.4">
      <c r="A653" s="1">
        <v>41214</v>
      </c>
      <c r="B653">
        <v>392.95</v>
      </c>
    </row>
    <row r="654" spans="1:2" x14ac:dyDescent="0.4">
      <c r="A654" s="1">
        <v>41244</v>
      </c>
      <c r="B654">
        <v>394.33</v>
      </c>
    </row>
    <row r="655" spans="1:2" x14ac:dyDescent="0.4">
      <c r="A655" s="1">
        <v>41275</v>
      </c>
      <c r="B655">
        <v>395.61</v>
      </c>
    </row>
    <row r="656" spans="1:2" x14ac:dyDescent="0.4">
      <c r="A656" s="1">
        <v>41306</v>
      </c>
      <c r="B656">
        <v>396.85</v>
      </c>
    </row>
    <row r="657" spans="1:2" x14ac:dyDescent="0.4">
      <c r="A657" s="1">
        <v>41334</v>
      </c>
      <c r="B657">
        <v>397.26</v>
      </c>
    </row>
    <row r="658" spans="1:2" x14ac:dyDescent="0.4">
      <c r="A658" s="1">
        <v>41365</v>
      </c>
      <c r="B658">
        <v>398.35</v>
      </c>
    </row>
    <row r="659" spans="1:2" x14ac:dyDescent="0.4">
      <c r="A659" s="1">
        <v>41395</v>
      </c>
      <c r="B659">
        <v>399.98</v>
      </c>
    </row>
    <row r="660" spans="1:2" x14ac:dyDescent="0.4">
      <c r="A660" s="1">
        <v>41426</v>
      </c>
      <c r="B660">
        <v>398.87</v>
      </c>
    </row>
    <row r="661" spans="1:2" x14ac:dyDescent="0.4">
      <c r="A661" s="1">
        <v>41456</v>
      </c>
      <c r="B661">
        <v>397.37</v>
      </c>
    </row>
    <row r="662" spans="1:2" x14ac:dyDescent="0.4">
      <c r="A662" s="1">
        <v>41487</v>
      </c>
      <c r="B662">
        <v>395.41</v>
      </c>
    </row>
    <row r="663" spans="1:2" x14ac:dyDescent="0.4">
      <c r="A663" s="1">
        <v>41518</v>
      </c>
      <c r="B663">
        <v>393.39</v>
      </c>
    </row>
    <row r="664" spans="1:2" x14ac:dyDescent="0.4">
      <c r="A664" s="1">
        <v>41548</v>
      </c>
      <c r="B664">
        <v>393.7</v>
      </c>
    </row>
    <row r="665" spans="1:2" x14ac:dyDescent="0.4">
      <c r="A665" s="1">
        <v>41579</v>
      </c>
      <c r="B665">
        <v>395.19</v>
      </c>
    </row>
    <row r="666" spans="1:2" x14ac:dyDescent="0.4">
      <c r="A666" s="1">
        <v>41609</v>
      </c>
      <c r="B666">
        <v>396.82</v>
      </c>
    </row>
    <row r="667" spans="1:2" x14ac:dyDescent="0.4">
      <c r="A667" s="1">
        <v>41640</v>
      </c>
      <c r="B667">
        <v>397.93</v>
      </c>
    </row>
    <row r="668" spans="1:2" x14ac:dyDescent="0.4">
      <c r="A668" s="1">
        <v>41671</v>
      </c>
      <c r="B668">
        <v>398.1</v>
      </c>
    </row>
    <row r="669" spans="1:2" x14ac:dyDescent="0.4">
      <c r="A669" s="1">
        <v>41699</v>
      </c>
      <c r="B669">
        <v>399.47</v>
      </c>
    </row>
    <row r="670" spans="1:2" x14ac:dyDescent="0.4">
      <c r="A670" s="1">
        <v>41730</v>
      </c>
      <c r="B670">
        <v>401.33</v>
      </c>
    </row>
    <row r="671" spans="1:2" x14ac:dyDescent="0.4">
      <c r="A671" s="1">
        <v>41760</v>
      </c>
      <c r="B671">
        <v>401.88</v>
      </c>
    </row>
    <row r="672" spans="1:2" x14ac:dyDescent="0.4">
      <c r="A672" s="1">
        <v>41791</v>
      </c>
      <c r="B672">
        <v>401.31</v>
      </c>
    </row>
    <row r="673" spans="1:2" x14ac:dyDescent="0.4">
      <c r="A673" s="1">
        <v>41821</v>
      </c>
      <c r="B673">
        <v>399.07</v>
      </c>
    </row>
    <row r="674" spans="1:2" x14ac:dyDescent="0.4">
      <c r="A674" s="1">
        <v>41852</v>
      </c>
      <c r="B674">
        <v>397.21</v>
      </c>
    </row>
    <row r="675" spans="1:2" x14ac:dyDescent="0.4">
      <c r="A675" s="1">
        <v>41883</v>
      </c>
      <c r="B675">
        <v>395.4</v>
      </c>
    </row>
    <row r="676" spans="1:2" x14ac:dyDescent="0.4">
      <c r="A676" s="1">
        <v>41913</v>
      </c>
      <c r="B676">
        <v>395.65</v>
      </c>
    </row>
    <row r="677" spans="1:2" x14ac:dyDescent="0.4">
      <c r="A677" s="1">
        <v>41944</v>
      </c>
      <c r="B677">
        <v>397.23</v>
      </c>
    </row>
    <row r="678" spans="1:2" x14ac:dyDescent="0.4">
      <c r="A678" s="1">
        <v>41974</v>
      </c>
      <c r="B678">
        <v>398.79</v>
      </c>
    </row>
    <row r="679" spans="1:2" x14ac:dyDescent="0.4">
      <c r="A679" s="1">
        <v>42005</v>
      </c>
      <c r="B679">
        <v>399.85</v>
      </c>
    </row>
    <row r="680" spans="1:2" x14ac:dyDescent="0.4">
      <c r="A680" s="1">
        <v>42036</v>
      </c>
      <c r="B680">
        <v>400.31</v>
      </c>
    </row>
    <row r="681" spans="1:2" x14ac:dyDescent="0.4">
      <c r="A681" s="1">
        <v>42064</v>
      </c>
      <c r="B681">
        <v>401.51</v>
      </c>
    </row>
    <row r="682" spans="1:2" x14ac:dyDescent="0.4">
      <c r="A682" s="1">
        <v>42095</v>
      </c>
      <c r="B682">
        <v>403.45</v>
      </c>
    </row>
    <row r="683" spans="1:2" x14ac:dyDescent="0.4">
      <c r="A683" s="1">
        <v>42125</v>
      </c>
      <c r="B683">
        <v>404.1</v>
      </c>
    </row>
    <row r="684" spans="1:2" x14ac:dyDescent="0.4">
      <c r="A684" s="1">
        <v>42156</v>
      </c>
      <c r="B684">
        <v>402.88</v>
      </c>
    </row>
    <row r="685" spans="1:2" x14ac:dyDescent="0.4">
      <c r="A685" s="1">
        <v>42186</v>
      </c>
      <c r="B685">
        <v>401.61</v>
      </c>
    </row>
    <row r="686" spans="1:2" x14ac:dyDescent="0.4">
      <c r="A686" s="1">
        <v>42217</v>
      </c>
      <c r="B686">
        <v>399</v>
      </c>
    </row>
    <row r="687" spans="1:2" x14ac:dyDescent="0.4">
      <c r="A687" s="1">
        <v>42248</v>
      </c>
      <c r="B687">
        <v>397.5</v>
      </c>
    </row>
    <row r="688" spans="1:2" x14ac:dyDescent="0.4">
      <c r="A688" s="1">
        <v>42278</v>
      </c>
      <c r="B688">
        <v>398.28</v>
      </c>
    </row>
    <row r="689" spans="1:2" x14ac:dyDescent="0.4">
      <c r="A689" s="1">
        <v>42309</v>
      </c>
      <c r="B689">
        <v>400.24</v>
      </c>
    </row>
    <row r="690" spans="1:2" x14ac:dyDescent="0.4">
      <c r="A690" s="1">
        <v>42339</v>
      </c>
      <c r="B690">
        <v>401.89</v>
      </c>
    </row>
    <row r="691" spans="1:2" x14ac:dyDescent="0.4">
      <c r="A691" s="1">
        <v>42370</v>
      </c>
      <c r="B691">
        <v>402.65</v>
      </c>
    </row>
    <row r="692" spans="1:2" x14ac:dyDescent="0.4">
      <c r="A692" s="1">
        <v>42401</v>
      </c>
      <c r="B692">
        <v>404.16</v>
      </c>
    </row>
    <row r="693" spans="1:2" x14ac:dyDescent="0.4">
      <c r="A693" s="1">
        <v>42430</v>
      </c>
      <c r="B693">
        <v>404.85</v>
      </c>
    </row>
    <row r="694" spans="1:2" x14ac:dyDescent="0.4">
      <c r="A694" s="1">
        <v>42461</v>
      </c>
      <c r="B694">
        <v>407.57</v>
      </c>
    </row>
    <row r="695" spans="1:2" x14ac:dyDescent="0.4">
      <c r="A695" s="1">
        <v>42491</v>
      </c>
      <c r="B695">
        <v>407.66</v>
      </c>
    </row>
    <row r="696" spans="1:2" x14ac:dyDescent="0.4">
      <c r="A696" s="1">
        <v>42522</v>
      </c>
      <c r="B696">
        <v>407</v>
      </c>
    </row>
    <row r="697" spans="1:2" x14ac:dyDescent="0.4">
      <c r="A697" s="1">
        <v>42552</v>
      </c>
      <c r="B697">
        <v>404.5</v>
      </c>
    </row>
    <row r="698" spans="1:2" x14ac:dyDescent="0.4">
      <c r="A698" s="1">
        <v>42583</v>
      </c>
      <c r="B698">
        <v>402.24</v>
      </c>
    </row>
    <row r="699" spans="1:2" x14ac:dyDescent="0.4">
      <c r="A699" s="1">
        <v>42614</v>
      </c>
      <c r="B699">
        <v>401.01</v>
      </c>
    </row>
    <row r="700" spans="1:2" x14ac:dyDescent="0.4">
      <c r="A700" s="1">
        <v>42644</v>
      </c>
      <c r="B700">
        <v>401.5</v>
      </c>
    </row>
    <row r="701" spans="1:2" x14ac:dyDescent="0.4">
      <c r="A701" s="1">
        <v>42675</v>
      </c>
      <c r="B701">
        <v>403.64</v>
      </c>
    </row>
    <row r="702" spans="1:2" x14ac:dyDescent="0.4">
      <c r="A702" s="1">
        <v>42705</v>
      </c>
      <c r="B702">
        <v>404.55</v>
      </c>
    </row>
    <row r="703" spans="1:2" x14ac:dyDescent="0.4">
      <c r="A703" s="1">
        <v>42736</v>
      </c>
      <c r="B703">
        <v>406.07</v>
      </c>
    </row>
    <row r="704" spans="1:2" x14ac:dyDescent="0.4">
      <c r="A704" s="1">
        <v>42767</v>
      </c>
      <c r="B704">
        <v>406.64</v>
      </c>
    </row>
    <row r="705" spans="1:2" x14ac:dyDescent="0.4">
      <c r="A705" s="1">
        <v>42795</v>
      </c>
      <c r="B705">
        <v>407.05</v>
      </c>
    </row>
    <row r="706" spans="1:2" x14ac:dyDescent="0.4">
      <c r="A706" s="1">
        <v>42826</v>
      </c>
      <c r="B706">
        <v>408.95</v>
      </c>
    </row>
    <row r="707" spans="1:2" x14ac:dyDescent="0.4">
      <c r="A707" s="1">
        <v>42856</v>
      </c>
      <c r="B707">
        <v>409.91</v>
      </c>
    </row>
    <row r="708" spans="1:2" x14ac:dyDescent="0.4">
      <c r="A708" s="1">
        <v>42887</v>
      </c>
      <c r="B708">
        <v>409.12</v>
      </c>
    </row>
    <row r="709" spans="1:2" x14ac:dyDescent="0.4">
      <c r="A709" s="1">
        <v>42917</v>
      </c>
      <c r="B709">
        <v>407.2</v>
      </c>
    </row>
    <row r="710" spans="1:2" x14ac:dyDescent="0.4">
      <c r="A710" s="1">
        <v>42948</v>
      </c>
      <c r="B710">
        <v>405.24</v>
      </c>
    </row>
    <row r="711" spans="1:2" x14ac:dyDescent="0.4">
      <c r="A711" s="1">
        <v>42979</v>
      </c>
      <c r="B711">
        <v>403.27</v>
      </c>
    </row>
    <row r="712" spans="1:2" x14ac:dyDescent="0.4">
      <c r="A712" s="1">
        <v>43009</v>
      </c>
      <c r="B712">
        <v>403.64</v>
      </c>
    </row>
    <row r="713" spans="1:2" x14ac:dyDescent="0.4">
      <c r="A713" s="1">
        <v>43040</v>
      </c>
      <c r="B713">
        <v>405.17</v>
      </c>
    </row>
    <row r="714" spans="1:2" x14ac:dyDescent="0.4">
      <c r="A714" s="1">
        <v>43070</v>
      </c>
      <c r="B714">
        <v>406.75</v>
      </c>
    </row>
    <row r="715" spans="1:2" x14ac:dyDescent="0.4">
      <c r="A715" s="1">
        <v>43101</v>
      </c>
      <c r="B715">
        <v>408.05</v>
      </c>
    </row>
    <row r="716" spans="1:2" x14ac:dyDescent="0.4">
      <c r="A716" s="1">
        <v>43132</v>
      </c>
      <c r="B716">
        <v>408.34</v>
      </c>
    </row>
    <row r="717" spans="1:2" x14ac:dyDescent="0.4">
      <c r="A717" s="1">
        <v>43160</v>
      </c>
      <c r="B717">
        <v>409.25</v>
      </c>
    </row>
    <row r="718" spans="1:2" x14ac:dyDescent="0.4">
      <c r="A718" s="1">
        <v>43191</v>
      </c>
      <c r="B718">
        <v>410.3</v>
      </c>
    </row>
    <row r="719" spans="1:2" x14ac:dyDescent="0.4">
      <c r="A719" s="1">
        <v>43221</v>
      </c>
      <c r="B719">
        <v>411.3</v>
      </c>
    </row>
    <row r="720" spans="1:2" x14ac:dyDescent="0.4">
      <c r="A720" s="1">
        <v>43252</v>
      </c>
      <c r="B720">
        <v>410.88</v>
      </c>
    </row>
    <row r="721" spans="1:2" x14ac:dyDescent="0.4">
      <c r="A721" s="1">
        <v>43282</v>
      </c>
      <c r="B721">
        <v>408.9</v>
      </c>
    </row>
    <row r="722" spans="1:2" x14ac:dyDescent="0.4">
      <c r="A722" s="1">
        <v>43313</v>
      </c>
      <c r="B722">
        <v>407.1</v>
      </c>
    </row>
    <row r="723" spans="1:2" x14ac:dyDescent="0.4">
      <c r="A723" s="1">
        <v>43344</v>
      </c>
      <c r="B723">
        <v>405.59</v>
      </c>
    </row>
    <row r="724" spans="1:2" x14ac:dyDescent="0.4">
      <c r="A724" s="1">
        <v>43374</v>
      </c>
      <c r="B724">
        <v>405.99</v>
      </c>
    </row>
    <row r="725" spans="1:2" x14ac:dyDescent="0.4">
      <c r="A725" s="1">
        <v>43405</v>
      </c>
      <c r="B725">
        <v>408.12</v>
      </c>
    </row>
    <row r="726" spans="1:2" x14ac:dyDescent="0.4">
      <c r="A726" s="1">
        <v>43435</v>
      </c>
      <c r="B726">
        <v>409.23</v>
      </c>
    </row>
    <row r="727" spans="1:2" x14ac:dyDescent="0.4">
      <c r="A727" s="1">
        <v>43466</v>
      </c>
      <c r="B727">
        <v>410.92</v>
      </c>
    </row>
    <row r="728" spans="1:2" x14ac:dyDescent="0.4">
      <c r="A728" s="1">
        <v>43497</v>
      </c>
      <c r="B728">
        <v>411.66</v>
      </c>
    </row>
    <row r="729" spans="1:2" x14ac:dyDescent="0.4">
      <c r="A729" s="1">
        <v>43525</v>
      </c>
      <c r="B729">
        <v>412</v>
      </c>
    </row>
    <row r="730" spans="1:2" x14ac:dyDescent="0.4">
      <c r="A730" s="1">
        <v>43556</v>
      </c>
      <c r="B730">
        <v>413.52</v>
      </c>
    </row>
    <row r="731" spans="1:2" x14ac:dyDescent="0.4">
      <c r="A731" s="1">
        <v>43586</v>
      </c>
      <c r="B731">
        <v>414.83</v>
      </c>
    </row>
    <row r="732" spans="1:2" x14ac:dyDescent="0.4">
      <c r="A732" s="1">
        <v>43617</v>
      </c>
      <c r="B732">
        <v>413.96</v>
      </c>
    </row>
    <row r="733" spans="1:2" x14ac:dyDescent="0.4">
      <c r="A733" s="1">
        <v>43647</v>
      </c>
      <c r="B733">
        <v>411.85</v>
      </c>
    </row>
    <row r="734" spans="1:2" x14ac:dyDescent="0.4">
      <c r="A734" s="1">
        <v>43678</v>
      </c>
      <c r="B734">
        <v>410.08</v>
      </c>
    </row>
    <row r="735" spans="1:2" x14ac:dyDescent="0.4">
      <c r="A735" s="1">
        <v>43709</v>
      </c>
      <c r="B735">
        <v>408.55</v>
      </c>
    </row>
    <row r="736" spans="1:2" x14ac:dyDescent="0.4">
      <c r="A736" s="1">
        <v>43739</v>
      </c>
      <c r="B736">
        <v>408.43</v>
      </c>
    </row>
    <row r="737" spans="1:2" x14ac:dyDescent="0.4">
      <c r="A737" s="1">
        <v>43770</v>
      </c>
      <c r="B737">
        <v>410.29</v>
      </c>
    </row>
    <row r="738" spans="1:2" x14ac:dyDescent="0.4">
      <c r="A738" s="1">
        <v>43800</v>
      </c>
      <c r="B738">
        <v>411.85</v>
      </c>
    </row>
    <row r="739" spans="1:2" x14ac:dyDescent="0.4">
      <c r="A739" s="1">
        <v>43831</v>
      </c>
      <c r="B739">
        <v>413.37</v>
      </c>
    </row>
    <row r="740" spans="1:2" x14ac:dyDescent="0.4">
      <c r="A740" s="1">
        <v>43862</v>
      </c>
      <c r="B740">
        <v>414.09</v>
      </c>
    </row>
    <row r="741" spans="1:2" x14ac:dyDescent="0.4">
      <c r="A741" s="1">
        <v>43891</v>
      </c>
      <c r="B741">
        <v>414.51</v>
      </c>
    </row>
    <row r="742" spans="1:2" x14ac:dyDescent="0.4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E189-0A4C-49BF-A6EE-2C75C8292850}">
  <dimension ref="A1:P942"/>
  <sheetViews>
    <sheetView workbookViewId="0">
      <selection activeCell="L1" activeCellId="1" sqref="F1:F1048576 L1:L1048576"/>
    </sheetView>
  </sheetViews>
  <sheetFormatPr defaultRowHeight="18.75" x14ac:dyDescent="0.4"/>
  <cols>
    <col min="1" max="1" width="15.125" style="2" bestFit="1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6" bestFit="1" customWidth="1"/>
    <col min="9" max="9" width="5.75" bestFit="1" customWidth="1"/>
    <col min="10" max="10" width="8.375" style="16" bestFit="1" customWidth="1"/>
    <col min="11" max="11" width="7.5" style="16" customWidth="1"/>
    <col min="12" max="12" width="7.25" style="16" bestFit="1" customWidth="1"/>
    <col min="13" max="13" width="11.875" style="16" bestFit="1" customWidth="1"/>
  </cols>
  <sheetData>
    <row r="1" spans="1:16" ht="20.25" x14ac:dyDescent="0.4">
      <c r="A1" s="2" t="s">
        <v>22</v>
      </c>
      <c r="B1" s="18" t="s">
        <v>29</v>
      </c>
      <c r="D1" t="s">
        <v>28</v>
      </c>
      <c r="F1" s="3" t="s">
        <v>57</v>
      </c>
      <c r="G1" s="15" t="s">
        <v>1</v>
      </c>
      <c r="H1" s="15" t="s">
        <v>19</v>
      </c>
      <c r="I1" s="3" t="s">
        <v>9</v>
      </c>
      <c r="J1" s="15" t="s">
        <v>14</v>
      </c>
      <c r="K1" s="15" t="s">
        <v>26</v>
      </c>
      <c r="L1" s="15" t="s">
        <v>16</v>
      </c>
      <c r="M1" s="15" t="s">
        <v>18</v>
      </c>
      <c r="O1" s="23" t="s">
        <v>40</v>
      </c>
    </row>
    <row r="2" spans="1:16" x14ac:dyDescent="0.4">
      <c r="A2" s="2" t="s">
        <v>2</v>
      </c>
      <c r="B2" s="18" t="s">
        <v>14</v>
      </c>
      <c r="D2" t="s">
        <v>24</v>
      </c>
      <c r="F2" s="1">
        <v>21245</v>
      </c>
      <c r="G2" s="16">
        <v>315.7</v>
      </c>
      <c r="H2" s="16">
        <f t="shared" ref="H2" si="0">_A*F2*F2+_B*F2+_C</f>
        <v>314.61155003735519</v>
      </c>
      <c r="I2">
        <f>MONTH(F2)</f>
        <v>3</v>
      </c>
      <c r="J2" s="16" cm="1">
        <f t="array" ref="J2">INDEX(Sm,I2)</f>
        <v>1.3737674679346947</v>
      </c>
      <c r="K2" s="16">
        <f>H2+J2</f>
        <v>315.98531750528986</v>
      </c>
      <c r="L2" s="16">
        <f>G2-K2</f>
        <v>-0.28531750528986777</v>
      </c>
      <c r="M2" s="16">
        <f>L2*L2</f>
        <v>8.1406078824833722E-2</v>
      </c>
      <c r="O2" s="24" t="s">
        <v>41</v>
      </c>
      <c r="P2" t="s">
        <v>36</v>
      </c>
    </row>
    <row r="3" spans="1:16" x14ac:dyDescent="0.4">
      <c r="A3" s="2" t="s">
        <v>54</v>
      </c>
      <c r="B3" s="18" t="s">
        <v>21</v>
      </c>
      <c r="D3" t="s">
        <v>25</v>
      </c>
      <c r="F3" s="1">
        <v>21276</v>
      </c>
      <c r="G3" s="16">
        <v>317.45999999999998</v>
      </c>
      <c r="H3" s="16">
        <f t="shared" ref="H3:H66" si="1">_A*F3*F3+_B*F3+_C</f>
        <v>314.67624382141679</v>
      </c>
      <c r="I3">
        <f t="shared" ref="I3:I66" si="2">MONTH(F3)</f>
        <v>4</v>
      </c>
      <c r="J3" s="16" cm="1">
        <f t="array" ref="J3">INDEX(Sm,I3)</f>
        <v>2.6103146023823673</v>
      </c>
      <c r="K3" s="16">
        <f t="shared" ref="K3:K66" si="3">H3+J3</f>
        <v>317.28655842379914</v>
      </c>
      <c r="L3" s="16">
        <f t="shared" ref="L3:L66" si="4">G3-K3</f>
        <v>0.17344157620084388</v>
      </c>
      <c r="M3" s="16">
        <f t="shared" ref="M3:M66" si="5">L3*L3</f>
        <v>3.0081980355033136E-2</v>
      </c>
    </row>
    <row r="4" spans="1:16" x14ac:dyDescent="0.4">
      <c r="F4" s="1">
        <v>21306</v>
      </c>
      <c r="G4" s="16">
        <v>317.51</v>
      </c>
      <c r="H4" s="16">
        <f t="shared" si="1"/>
        <v>314.73903013579707</v>
      </c>
      <c r="I4">
        <f t="shared" si="2"/>
        <v>5</v>
      </c>
      <c r="J4" s="16" cm="1">
        <f t="array" ref="J4">INDEX(Sm,I4)</f>
        <v>3.0656878503632123</v>
      </c>
      <c r="K4" s="16">
        <f t="shared" si="3"/>
        <v>317.80471798616026</v>
      </c>
      <c r="L4" s="16">
        <f t="shared" si="4"/>
        <v>-0.2947179861602649</v>
      </c>
      <c r="M4" s="16">
        <f t="shared" si="5"/>
        <v>8.6858691366362095E-2</v>
      </c>
      <c r="O4" s="23" t="s">
        <v>35</v>
      </c>
    </row>
    <row r="5" spans="1:16" x14ac:dyDescent="0.4">
      <c r="A5" s="4" t="s">
        <v>34</v>
      </c>
      <c r="F5" s="1">
        <v>21367</v>
      </c>
      <c r="G5" s="16">
        <v>315.86</v>
      </c>
      <c r="H5" s="16">
        <f t="shared" si="1"/>
        <v>314.86723990232565</v>
      </c>
      <c r="I5">
        <f t="shared" si="2"/>
        <v>7</v>
      </c>
      <c r="J5" s="16" cm="1">
        <f t="array" ref="J5">INDEX(Sm,I5)</f>
        <v>0.72373827090267417</v>
      </c>
      <c r="K5" s="16">
        <f t="shared" si="3"/>
        <v>315.59097817322834</v>
      </c>
      <c r="L5" s="16">
        <f t="shared" si="4"/>
        <v>0.2690218267716773</v>
      </c>
      <c r="M5" s="16">
        <f t="shared" si="5"/>
        <v>7.2372743279570342E-2</v>
      </c>
      <c r="O5" s="24">
        <v>1</v>
      </c>
      <c r="P5" t="s">
        <v>46</v>
      </c>
    </row>
    <row r="6" spans="1:16" ht="20.25" x14ac:dyDescent="0.4">
      <c r="A6" s="2" t="s">
        <v>4</v>
      </c>
      <c r="B6" s="19">
        <f>INDEX(LINEST($G$2:$G$742,$F$2:$F$742^{2,1}),1,2)</f>
        <v>9.8047310770192954E-8</v>
      </c>
      <c r="F6" s="1">
        <v>21398</v>
      </c>
      <c r="G6" s="16">
        <v>314.93</v>
      </c>
      <c r="H6" s="16">
        <f t="shared" si="1"/>
        <v>314.93267531624593</v>
      </c>
      <c r="I6">
        <f t="shared" si="2"/>
        <v>8</v>
      </c>
      <c r="J6" s="16" cm="1">
        <f t="array" ref="J6">INDEX(Sm,I6)</f>
        <v>-1.3971602749585079</v>
      </c>
      <c r="K6" s="16">
        <f t="shared" si="3"/>
        <v>313.53551504128745</v>
      </c>
      <c r="L6" s="16">
        <f t="shared" si="4"/>
        <v>1.3944849587125532</v>
      </c>
      <c r="M6" s="16">
        <f t="shared" si="5"/>
        <v>1.9445883000755511</v>
      </c>
      <c r="O6" s="24">
        <v>2</v>
      </c>
      <c r="P6" t="s">
        <v>47</v>
      </c>
    </row>
    <row r="7" spans="1:16" x14ac:dyDescent="0.4">
      <c r="A7" s="2" t="s">
        <v>5</v>
      </c>
      <c r="B7" s="20">
        <f>INDEX(LINEST($G$2:$G$742,$F$2:$F$742^{2,1}),1,1)</f>
        <v>-2.0821734412079227E-3</v>
      </c>
      <c r="F7" s="1">
        <v>21429</v>
      </c>
      <c r="G7" s="16">
        <v>313.20999999999998</v>
      </c>
      <c r="H7" s="16">
        <f t="shared" si="1"/>
        <v>314.99829917709746</v>
      </c>
      <c r="I7">
        <f t="shared" si="2"/>
        <v>9</v>
      </c>
      <c r="J7" s="16" cm="1">
        <f t="array" ref="J7">INDEX(Sm,I7)</f>
        <v>-3.1930865277187257</v>
      </c>
      <c r="K7" s="16">
        <f t="shared" si="3"/>
        <v>311.80521264937875</v>
      </c>
      <c r="L7" s="16">
        <f t="shared" si="4"/>
        <v>1.4047873506212341</v>
      </c>
      <c r="M7" s="16">
        <f t="shared" si="5"/>
        <v>1.973427500465426</v>
      </c>
      <c r="P7" t="s">
        <v>48</v>
      </c>
    </row>
    <row r="8" spans="1:16" x14ac:dyDescent="0.4">
      <c r="A8" s="2" t="s">
        <v>6</v>
      </c>
      <c r="B8" s="21">
        <f>INDEX(LINEST($G$2:$G$742,$F$2:$F$742^{2,1}),1,3)</f>
        <v>314.59366862850817</v>
      </c>
      <c r="F8" s="1">
        <v>21490</v>
      </c>
      <c r="G8" s="16">
        <v>313.33</v>
      </c>
      <c r="H8" s="16">
        <f t="shared" si="1"/>
        <v>315.12798024157149</v>
      </c>
      <c r="I8">
        <f t="shared" si="2"/>
        <v>11</v>
      </c>
      <c r="J8" s="16" cm="1">
        <f t="array" ref="J8">INDEX(Sm,I8)</f>
        <v>-2.0587659549634894</v>
      </c>
      <c r="K8" s="16">
        <f t="shared" si="3"/>
        <v>313.06921428660803</v>
      </c>
      <c r="L8" s="16">
        <f t="shared" si="4"/>
        <v>0.26078571339195378</v>
      </c>
      <c r="M8" s="16">
        <f t="shared" si="5"/>
        <v>6.8009188309350266E-2</v>
      </c>
      <c r="O8" s="24">
        <v>3</v>
      </c>
      <c r="P8" t="s">
        <v>39</v>
      </c>
    </row>
    <row r="9" spans="1:16" x14ac:dyDescent="0.4">
      <c r="F9" s="1">
        <v>21520</v>
      </c>
      <c r="G9" s="16">
        <v>314.67</v>
      </c>
      <c r="H9" s="16">
        <f t="shared" si="1"/>
        <v>315.19202548342207</v>
      </c>
      <c r="I9">
        <f t="shared" si="2"/>
        <v>12</v>
      </c>
      <c r="J9" s="16" cm="1">
        <f t="array" ref="J9">INDEX(Sm,I9)</f>
        <v>-0.89092746367992248</v>
      </c>
      <c r="K9" s="16">
        <f t="shared" si="3"/>
        <v>314.30109801974214</v>
      </c>
      <c r="L9" s="16">
        <f t="shared" si="4"/>
        <v>0.36890198025787413</v>
      </c>
      <c r="M9" s="16">
        <f t="shared" si="5"/>
        <v>0.13608867103818095</v>
      </c>
      <c r="O9" s="24">
        <v>4</v>
      </c>
      <c r="P9" t="s">
        <v>37</v>
      </c>
    </row>
    <row r="10" spans="1:16" x14ac:dyDescent="0.4">
      <c r="A10" s="4" t="s">
        <v>10</v>
      </c>
      <c r="F10" s="1">
        <v>21551</v>
      </c>
      <c r="G10" s="16">
        <v>315.58</v>
      </c>
      <c r="H10" s="16">
        <f t="shared" si="1"/>
        <v>315.25839097413228</v>
      </c>
      <c r="I10">
        <f t="shared" si="2"/>
        <v>1</v>
      </c>
      <c r="J10" s="16" cm="1">
        <f t="array" ref="J10">INDEX(Sm,I10)</f>
        <v>6.1437951108157106E-2</v>
      </c>
      <c r="K10" s="16">
        <f t="shared" si="3"/>
        <v>315.31982892524042</v>
      </c>
      <c r="L10" s="16">
        <f t="shared" si="4"/>
        <v>0.26017107475956891</v>
      </c>
      <c r="M10" s="16">
        <f t="shared" si="5"/>
        <v>6.7688988141549195E-2</v>
      </c>
      <c r="O10" s="24">
        <v>5</v>
      </c>
      <c r="P10" t="s">
        <v>45</v>
      </c>
    </row>
    <row r="11" spans="1:16" ht="19.5" thickBot="1" x14ac:dyDescent="0.45">
      <c r="A11" s="2" t="s">
        <v>7</v>
      </c>
      <c r="B11" s="2" t="s">
        <v>15</v>
      </c>
      <c r="D11" t="s">
        <v>13</v>
      </c>
      <c r="F11" s="1">
        <v>21582</v>
      </c>
      <c r="G11" s="16">
        <v>316.49</v>
      </c>
      <c r="H11" s="16">
        <f t="shared" si="1"/>
        <v>315.3249449117738</v>
      </c>
      <c r="I11">
        <f t="shared" si="2"/>
        <v>2</v>
      </c>
      <c r="J11" s="16" cm="1">
        <f t="array" ref="J11">INDEX(Sm,I11)</f>
        <v>0.69461918775013354</v>
      </c>
      <c r="K11" s="16">
        <f t="shared" si="3"/>
        <v>316.0195640995239</v>
      </c>
      <c r="L11" s="16">
        <f t="shared" si="4"/>
        <v>0.47043590047610451</v>
      </c>
      <c r="M11" s="16">
        <f t="shared" si="5"/>
        <v>0.22130993645676331</v>
      </c>
      <c r="P11" t="s">
        <v>42</v>
      </c>
    </row>
    <row r="12" spans="1:16" ht="19.5" thickBot="1" x14ac:dyDescent="0.45">
      <c r="A12" s="2">
        <v>1</v>
      </c>
      <c r="B12" s="8">
        <v>6.1437951108157106E-2</v>
      </c>
      <c r="F12" s="1">
        <v>21610</v>
      </c>
      <c r="G12" s="16">
        <v>316.64999999999998</v>
      </c>
      <c r="H12" s="16">
        <f t="shared" si="1"/>
        <v>315.38522011993001</v>
      </c>
      <c r="I12">
        <f t="shared" si="2"/>
        <v>3</v>
      </c>
      <c r="J12" s="16" cm="1">
        <f t="array" ref="J12">INDEX(Sm,I12)</f>
        <v>1.3737674679346947</v>
      </c>
      <c r="K12" s="16">
        <f t="shared" si="3"/>
        <v>316.75898758786468</v>
      </c>
      <c r="L12" s="16">
        <f t="shared" si="4"/>
        <v>-0.10898758786470353</v>
      </c>
      <c r="M12" s="16">
        <f t="shared" si="5"/>
        <v>1.1878294308566472E-2</v>
      </c>
      <c r="P12" t="s">
        <v>53</v>
      </c>
    </row>
    <row r="13" spans="1:16" ht="19.5" thickBot="1" x14ac:dyDescent="0.45">
      <c r="A13" s="2">
        <v>2</v>
      </c>
      <c r="B13" s="9">
        <v>0.69461918775013354</v>
      </c>
      <c r="D13" s="7"/>
      <c r="E13" t="s">
        <v>31</v>
      </c>
      <c r="F13" s="1">
        <v>21641</v>
      </c>
      <c r="G13" s="16">
        <v>317.72000000000003</v>
      </c>
      <c r="H13" s="16">
        <f t="shared" si="1"/>
        <v>315.45213271463433</v>
      </c>
      <c r="I13">
        <f t="shared" si="2"/>
        <v>4</v>
      </c>
      <c r="J13" s="16" cm="1">
        <f t="array" ref="J13">INDEX(Sm,I13)</f>
        <v>2.6103146023823673</v>
      </c>
      <c r="K13" s="16">
        <f t="shared" si="3"/>
        <v>318.06244731701668</v>
      </c>
      <c r="L13" s="16">
        <f t="shared" si="4"/>
        <v>-0.34244731701664932</v>
      </c>
      <c r="M13" s="16">
        <f t="shared" si="5"/>
        <v>0.11727016493190152</v>
      </c>
      <c r="P13" t="s">
        <v>38</v>
      </c>
    </row>
    <row r="14" spans="1:16" ht="19.5" thickBot="1" x14ac:dyDescent="0.45">
      <c r="A14" s="2">
        <v>3</v>
      </c>
      <c r="B14" s="9">
        <v>1.3737674679346947</v>
      </c>
      <c r="F14" s="1">
        <v>21671</v>
      </c>
      <c r="G14" s="16">
        <v>318.29000000000002</v>
      </c>
      <c r="H14" s="16">
        <f t="shared" si="1"/>
        <v>315.51706626512043</v>
      </c>
      <c r="I14">
        <f t="shared" si="2"/>
        <v>5</v>
      </c>
      <c r="J14" s="16" cm="1">
        <f t="array" ref="J14">INDEX(Sm,I14)</f>
        <v>3.0656878503632123</v>
      </c>
      <c r="K14" s="16">
        <f t="shared" si="3"/>
        <v>318.58275411548362</v>
      </c>
      <c r="L14" s="16">
        <f t="shared" si="4"/>
        <v>-0.29275411548360353</v>
      </c>
      <c r="M14" s="16">
        <f t="shared" si="5"/>
        <v>8.5704972132587071E-2</v>
      </c>
      <c r="O14" s="24">
        <v>6</v>
      </c>
      <c r="P14" t="s">
        <v>52</v>
      </c>
    </row>
    <row r="15" spans="1:16" ht="19.5" thickBot="1" x14ac:dyDescent="0.45">
      <c r="A15" s="2">
        <v>4</v>
      </c>
      <c r="B15" s="9">
        <v>2.6103146023823673</v>
      </c>
      <c r="D15" s="11" t="s">
        <v>32</v>
      </c>
      <c r="E15" t="s">
        <v>11</v>
      </c>
      <c r="F15" s="1">
        <v>21702</v>
      </c>
      <c r="G15" s="16">
        <v>318.14999999999998</v>
      </c>
      <c r="H15" s="16">
        <f t="shared" si="1"/>
        <v>315.58434967475409</v>
      </c>
      <c r="I15">
        <f t="shared" si="2"/>
        <v>6</v>
      </c>
      <c r="J15" s="16" cm="1">
        <f t="array" ref="J15">INDEX(Sm,I15)</f>
        <v>2.3467878975381979</v>
      </c>
      <c r="K15" s="16">
        <f t="shared" si="3"/>
        <v>317.9311375722923</v>
      </c>
      <c r="L15" s="16">
        <f t="shared" si="4"/>
        <v>0.21886242770767694</v>
      </c>
      <c r="M15" s="16">
        <f t="shared" si="5"/>
        <v>4.7900762262098114E-2</v>
      </c>
      <c r="O15" s="24">
        <v>7</v>
      </c>
      <c r="P15" t="s">
        <v>43</v>
      </c>
    </row>
    <row r="16" spans="1:16" ht="19.5" thickBot="1" x14ac:dyDescent="0.45">
      <c r="A16" s="2">
        <v>5</v>
      </c>
      <c r="B16" s="9">
        <v>3.0656878503632123</v>
      </c>
      <c r="F16" s="1">
        <v>21732</v>
      </c>
      <c r="G16" s="16">
        <v>316.54000000000002</v>
      </c>
      <c r="H16" s="16">
        <f t="shared" si="1"/>
        <v>315.64964207839762</v>
      </c>
      <c r="I16">
        <f t="shared" si="2"/>
        <v>7</v>
      </c>
      <c r="J16" s="16" cm="1">
        <f t="array" ref="J16">INDEX(Sm,I16)</f>
        <v>0.72373827090267417</v>
      </c>
      <c r="K16" s="16">
        <f t="shared" si="3"/>
        <v>316.37338034930031</v>
      </c>
      <c r="L16" s="16">
        <f t="shared" si="4"/>
        <v>0.16661965069971529</v>
      </c>
      <c r="M16" s="16">
        <f t="shared" si="5"/>
        <v>2.7762107999295134E-2</v>
      </c>
      <c r="O16" s="24">
        <v>8</v>
      </c>
      <c r="P16" t="s">
        <v>44</v>
      </c>
    </row>
    <row r="17" spans="1:16" ht="19.5" thickBot="1" x14ac:dyDescent="0.45">
      <c r="A17" s="2">
        <v>6</v>
      </c>
      <c r="B17" s="9">
        <v>2.3467878975381979</v>
      </c>
      <c r="D17" s="6" t="s">
        <v>33</v>
      </c>
      <c r="E17" t="s">
        <v>12</v>
      </c>
      <c r="F17" s="1">
        <v>21763</v>
      </c>
      <c r="G17" s="16">
        <v>314.8</v>
      </c>
      <c r="H17" s="16">
        <f t="shared" si="1"/>
        <v>315.71729630296062</v>
      </c>
      <c r="I17">
        <f t="shared" si="2"/>
        <v>8</v>
      </c>
      <c r="J17" s="16" cm="1">
        <f t="array" ref="J17">INDEX(Sm,I17)</f>
        <v>-1.3971602749585079</v>
      </c>
      <c r="K17" s="16">
        <f t="shared" si="3"/>
        <v>314.32013602800214</v>
      </c>
      <c r="L17" s="16">
        <f t="shared" si="4"/>
        <v>0.47986397199787234</v>
      </c>
      <c r="M17" s="16">
        <f t="shared" si="5"/>
        <v>0.23026943162157482</v>
      </c>
      <c r="O17" s="24">
        <v>9</v>
      </c>
      <c r="P17" t="s">
        <v>58</v>
      </c>
    </row>
    <row r="18" spans="1:16" x14ac:dyDescent="0.4">
      <c r="A18" s="2">
        <v>7</v>
      </c>
      <c r="B18" s="9">
        <v>0.72373827090267417</v>
      </c>
      <c r="F18" s="1">
        <v>21794</v>
      </c>
      <c r="G18" s="16">
        <v>313.83999999999997</v>
      </c>
      <c r="H18" s="16">
        <f t="shared" si="1"/>
        <v>315.78513897445492</v>
      </c>
      <c r="I18">
        <f t="shared" si="2"/>
        <v>9</v>
      </c>
      <c r="J18" s="16" cm="1">
        <f t="array" ref="J18">INDEX(Sm,I18)</f>
        <v>-3.1930865277187257</v>
      </c>
      <c r="K18" s="16">
        <f t="shared" si="3"/>
        <v>312.5920524467362</v>
      </c>
      <c r="L18" s="16">
        <f t="shared" si="4"/>
        <v>1.2479475532637707</v>
      </c>
      <c r="M18" s="16">
        <f t="shared" si="5"/>
        <v>1.5573730956970318</v>
      </c>
      <c r="P18" t="s">
        <v>49</v>
      </c>
    </row>
    <row r="19" spans="1:16" x14ac:dyDescent="0.4">
      <c r="A19" s="2">
        <v>8</v>
      </c>
      <c r="B19" s="9">
        <v>-1.3971602749585079</v>
      </c>
      <c r="F19" s="1">
        <v>21824</v>
      </c>
      <c r="G19" s="16">
        <v>313.33</v>
      </c>
      <c r="H19" s="16">
        <f t="shared" si="1"/>
        <v>315.85097259925391</v>
      </c>
      <c r="I19">
        <f t="shared" si="2"/>
        <v>10</v>
      </c>
      <c r="J19" s="16" cm="1">
        <f t="array" ref="J19">INDEX(Sm,I19)</f>
        <v>-3.3364130066587929</v>
      </c>
      <c r="K19" s="16">
        <f t="shared" si="3"/>
        <v>312.51455959259511</v>
      </c>
      <c r="L19" s="16">
        <f t="shared" si="4"/>
        <v>0.81544040740487844</v>
      </c>
      <c r="M19" s="16">
        <f t="shared" si="5"/>
        <v>0.66494305802863418</v>
      </c>
      <c r="O19" s="24">
        <v>10</v>
      </c>
      <c r="P19" t="s">
        <v>50</v>
      </c>
    </row>
    <row r="20" spans="1:16" x14ac:dyDescent="0.4">
      <c r="A20" s="2">
        <v>9</v>
      </c>
      <c r="B20" s="9">
        <v>-3.1930865277187257</v>
      </c>
      <c r="F20" s="1">
        <v>21855</v>
      </c>
      <c r="G20" s="16">
        <v>314.81</v>
      </c>
      <c r="H20" s="16">
        <f t="shared" si="1"/>
        <v>315.91918608567755</v>
      </c>
      <c r="I20">
        <f t="shared" si="2"/>
        <v>11</v>
      </c>
      <c r="J20" s="16" cm="1">
        <f t="array" ref="J20">INDEX(Sm,I20)</f>
        <v>-2.0587659549634894</v>
      </c>
      <c r="K20" s="16">
        <f t="shared" si="3"/>
        <v>313.86042013071409</v>
      </c>
      <c r="L20" s="16">
        <f t="shared" si="4"/>
        <v>0.94957986928591254</v>
      </c>
      <c r="M20" s="16">
        <f t="shared" si="5"/>
        <v>0.90170192815305072</v>
      </c>
    </row>
    <row r="21" spans="1:16" x14ac:dyDescent="0.4">
      <c r="A21" s="2">
        <v>10</v>
      </c>
      <c r="B21" s="9">
        <v>-3.3364130066587929</v>
      </c>
      <c r="F21" s="1">
        <v>21885</v>
      </c>
      <c r="G21" s="16">
        <v>315.58</v>
      </c>
      <c r="H21" s="16">
        <f t="shared" si="1"/>
        <v>315.98537856363396</v>
      </c>
      <c r="I21">
        <f t="shared" si="2"/>
        <v>12</v>
      </c>
      <c r="J21" s="16" cm="1">
        <f t="array" ref="J21">INDEX(Sm,I21)</f>
        <v>-0.89092746367992248</v>
      </c>
      <c r="K21" s="16">
        <f t="shared" si="3"/>
        <v>315.09445109995403</v>
      </c>
      <c r="L21" s="16">
        <f t="shared" si="4"/>
        <v>0.48554890004595563</v>
      </c>
      <c r="M21" s="16">
        <f t="shared" si="5"/>
        <v>0.23575773433583741</v>
      </c>
      <c r="O21" t="s">
        <v>55</v>
      </c>
    </row>
    <row r="22" spans="1:16" x14ac:dyDescent="0.4">
      <c r="A22" s="2">
        <v>11</v>
      </c>
      <c r="B22" s="9">
        <v>-2.0587659549634894</v>
      </c>
      <c r="F22" s="1">
        <v>21916</v>
      </c>
      <c r="G22" s="16">
        <v>316.43</v>
      </c>
      <c r="H22" s="16">
        <f t="shared" si="1"/>
        <v>316.05396286498689</v>
      </c>
      <c r="I22">
        <f t="shared" si="2"/>
        <v>1</v>
      </c>
      <c r="J22" s="16" cm="1">
        <f t="array" ref="J22">INDEX(Sm,I22)</f>
        <v>6.1437951108157106E-2</v>
      </c>
      <c r="K22" s="16">
        <f t="shared" si="3"/>
        <v>316.11540081609502</v>
      </c>
      <c r="L22" s="16">
        <f t="shared" si="4"/>
        <v>0.31459918390498842</v>
      </c>
      <c r="M22" s="16">
        <f t="shared" si="5"/>
        <v>9.8972646513684731E-2</v>
      </c>
    </row>
    <row r="23" spans="1:16" ht="19.5" thickBot="1" x14ac:dyDescent="0.45">
      <c r="A23" s="2">
        <v>12</v>
      </c>
      <c r="B23" s="10">
        <v>-0.89092746367992248</v>
      </c>
      <c r="F23" s="1">
        <v>21947</v>
      </c>
      <c r="G23" s="16">
        <v>316.98</v>
      </c>
      <c r="H23" s="16">
        <f t="shared" si="1"/>
        <v>316.12273561327112</v>
      </c>
      <c r="I23">
        <f t="shared" si="2"/>
        <v>2</v>
      </c>
      <c r="J23" s="16" cm="1">
        <f t="array" ref="J23">INDEX(Sm,I23)</f>
        <v>0.69461918775013354</v>
      </c>
      <c r="K23" s="16">
        <f t="shared" si="3"/>
        <v>316.81735480102122</v>
      </c>
      <c r="L23" s="16">
        <f t="shared" si="4"/>
        <v>0.16264519897879381</v>
      </c>
      <c r="M23" s="16">
        <f t="shared" si="5"/>
        <v>2.6453460750851431E-2</v>
      </c>
    </row>
    <row r="24" spans="1:16" ht="19.5" thickBot="1" x14ac:dyDescent="0.45">
      <c r="A24" s="12">
        <v>13</v>
      </c>
      <c r="B24" s="13">
        <f>B12</f>
        <v>6.1437951108157106E-2</v>
      </c>
      <c r="C24" s="14" t="s">
        <v>17</v>
      </c>
      <c r="D24" s="14"/>
      <c r="F24" s="1">
        <v>21976</v>
      </c>
      <c r="G24" s="16">
        <v>317.58</v>
      </c>
      <c r="H24" s="16">
        <f t="shared" si="1"/>
        <v>316.18724201237393</v>
      </c>
      <c r="I24">
        <f t="shared" si="2"/>
        <v>3</v>
      </c>
      <c r="J24" s="16" cm="1">
        <f t="array" ref="J24">INDEX(Sm,I24)</f>
        <v>1.3737674679346947</v>
      </c>
      <c r="K24" s="16">
        <f t="shared" si="3"/>
        <v>317.5610094803086</v>
      </c>
      <c r="L24" s="16">
        <f t="shared" si="4"/>
        <v>1.8990519691385543E-2</v>
      </c>
      <c r="M24" s="16">
        <f t="shared" si="5"/>
        <v>3.6063983814890206E-4</v>
      </c>
    </row>
    <row r="25" spans="1:16" ht="19.5" thickBot="1" x14ac:dyDescent="0.45">
      <c r="A25" s="5" t="s">
        <v>8</v>
      </c>
      <c r="B25" s="7">
        <f>SUM(B12:B23)</f>
        <v>-3.1086244689504383E-15</v>
      </c>
      <c r="F25" s="1">
        <v>22007</v>
      </c>
      <c r="G25" s="16">
        <v>319.02999999999997</v>
      </c>
      <c r="H25" s="16">
        <f t="shared" si="1"/>
        <v>316.25637949665423</v>
      </c>
      <c r="I25">
        <f t="shared" si="2"/>
        <v>4</v>
      </c>
      <c r="J25" s="16" cm="1">
        <f t="array" ref="J25">INDEX(Sm,I25)</f>
        <v>2.6103146023823673</v>
      </c>
      <c r="K25" s="16">
        <f t="shared" si="3"/>
        <v>318.86669409903658</v>
      </c>
      <c r="L25" s="16">
        <f t="shared" si="4"/>
        <v>0.16330590096339392</v>
      </c>
      <c r="M25" s="16">
        <f t="shared" si="5"/>
        <v>2.6668817289465824E-2</v>
      </c>
    </row>
    <row r="26" spans="1:16" ht="19.5" thickBot="1" x14ac:dyDescent="0.45">
      <c r="F26" s="1">
        <v>22037</v>
      </c>
      <c r="G26" s="16">
        <v>320.04000000000002</v>
      </c>
      <c r="H26" s="16">
        <f t="shared" si="1"/>
        <v>316.32346616608487</v>
      </c>
      <c r="I26">
        <f t="shared" si="2"/>
        <v>5</v>
      </c>
      <c r="J26" s="16" cm="1">
        <f t="array" ref="J26">INDEX(Sm,I26)</f>
        <v>3.0656878503632123</v>
      </c>
      <c r="K26" s="16">
        <f t="shared" si="3"/>
        <v>319.38915401644806</v>
      </c>
      <c r="L26" s="16">
        <f t="shared" si="4"/>
        <v>0.65084598355196022</v>
      </c>
      <c r="M26" s="16">
        <f t="shared" si="5"/>
        <v>0.42360049430571844</v>
      </c>
    </row>
    <row r="27" spans="1:16" ht="19.5" thickBot="1" x14ac:dyDescent="0.45">
      <c r="A27" s="2" t="s">
        <v>27</v>
      </c>
      <c r="B27" s="11">
        <f>AVERAGE(M2:M742)</f>
        <v>0.55576336602242715</v>
      </c>
      <c r="F27" s="1">
        <v>22068</v>
      </c>
      <c r="G27" s="16">
        <v>319.58</v>
      </c>
      <c r="H27" s="16">
        <f t="shared" si="1"/>
        <v>316.39297446529451</v>
      </c>
      <c r="I27">
        <f t="shared" si="2"/>
        <v>6</v>
      </c>
      <c r="J27" s="16" cm="1">
        <f t="array" ref="J27">INDEX(Sm,I27)</f>
        <v>2.3467878975381979</v>
      </c>
      <c r="K27" s="16">
        <f t="shared" si="3"/>
        <v>318.73976236283272</v>
      </c>
      <c r="L27" s="16">
        <f t="shared" si="4"/>
        <v>0.84023763716726307</v>
      </c>
      <c r="M27" s="16">
        <f t="shared" si="5"/>
        <v>0.70599928691242519</v>
      </c>
    </row>
    <row r="28" spans="1:16" x14ac:dyDescent="0.4">
      <c r="F28" s="1">
        <v>22098</v>
      </c>
      <c r="G28" s="16">
        <v>318.18</v>
      </c>
      <c r="H28" s="16">
        <f t="shared" si="1"/>
        <v>316.46041998788257</v>
      </c>
      <c r="I28">
        <f t="shared" si="2"/>
        <v>7</v>
      </c>
      <c r="J28" s="16" cm="1">
        <f t="array" ref="J28">INDEX(Sm,I28)</f>
        <v>0.72373827090267417</v>
      </c>
      <c r="K28" s="16">
        <f t="shared" si="3"/>
        <v>317.18415825878526</v>
      </c>
      <c r="L28" s="16">
        <f t="shared" si="4"/>
        <v>0.99584174121474689</v>
      </c>
      <c r="M28" s="16">
        <f t="shared" si="5"/>
        <v>0.99170077354561892</v>
      </c>
    </row>
    <row r="29" spans="1:16" x14ac:dyDescent="0.4">
      <c r="F29" s="1">
        <v>22129</v>
      </c>
      <c r="G29" s="16">
        <v>315.89999999999998</v>
      </c>
      <c r="H29" s="16">
        <f t="shared" si="1"/>
        <v>316.53029910202156</v>
      </c>
      <c r="I29">
        <f t="shared" si="2"/>
        <v>8</v>
      </c>
      <c r="J29" s="16" cm="1">
        <f t="array" ref="J29">INDEX(Sm,I29)</f>
        <v>-1.3971602749585079</v>
      </c>
      <c r="K29" s="16">
        <f t="shared" si="3"/>
        <v>315.13313882706308</v>
      </c>
      <c r="L29" s="16">
        <f t="shared" si="4"/>
        <v>0.76686117293689904</v>
      </c>
      <c r="M29" s="16">
        <f t="shared" si="5"/>
        <v>0.58807605855815659</v>
      </c>
    </row>
    <row r="30" spans="1:16" x14ac:dyDescent="0.4">
      <c r="F30" s="1">
        <v>22160</v>
      </c>
      <c r="G30" s="16">
        <v>314.17</v>
      </c>
      <c r="H30" s="16">
        <f t="shared" si="1"/>
        <v>316.60036666309185</v>
      </c>
      <c r="I30">
        <f t="shared" si="2"/>
        <v>9</v>
      </c>
      <c r="J30" s="16" cm="1">
        <f t="array" ref="J30">INDEX(Sm,I30)</f>
        <v>-3.1930865277187257</v>
      </c>
      <c r="K30" s="16">
        <f t="shared" si="3"/>
        <v>313.40728013537313</v>
      </c>
      <c r="L30" s="16">
        <f t="shared" si="4"/>
        <v>0.76271986462688801</v>
      </c>
      <c r="M30" s="16">
        <f t="shared" si="5"/>
        <v>0.58174159189645835</v>
      </c>
    </row>
    <row r="31" spans="1:16" x14ac:dyDescent="0.4">
      <c r="F31" s="1">
        <v>22190</v>
      </c>
      <c r="G31" s="16">
        <v>313.83</v>
      </c>
      <c r="H31" s="16">
        <f t="shared" si="1"/>
        <v>316.66835340683537</v>
      </c>
      <c r="I31">
        <f t="shared" si="2"/>
        <v>10</v>
      </c>
      <c r="J31" s="16" cm="1">
        <f t="array" ref="J31">INDEX(Sm,I31)</f>
        <v>-3.3364130066587929</v>
      </c>
      <c r="K31" s="16">
        <f t="shared" si="3"/>
        <v>313.33194040017656</v>
      </c>
      <c r="L31" s="16">
        <f t="shared" si="4"/>
        <v>0.49805959982342074</v>
      </c>
      <c r="M31" s="16">
        <f t="shared" si="5"/>
        <v>0.24806336497626602</v>
      </c>
    </row>
    <row r="32" spans="1:16" x14ac:dyDescent="0.4">
      <c r="F32" s="1">
        <v>22221</v>
      </c>
      <c r="G32" s="16">
        <v>315</v>
      </c>
      <c r="H32" s="16">
        <f t="shared" si="1"/>
        <v>316.73879178283499</v>
      </c>
      <c r="I32">
        <f t="shared" si="2"/>
        <v>11</v>
      </c>
      <c r="J32" s="16" cm="1">
        <f t="array" ref="J32">INDEX(Sm,I32)</f>
        <v>-2.0587659549634894</v>
      </c>
      <c r="K32" s="16">
        <f t="shared" si="3"/>
        <v>314.68002582787153</v>
      </c>
      <c r="L32" s="16">
        <f t="shared" si="4"/>
        <v>0.31997417212846813</v>
      </c>
      <c r="M32" s="16">
        <f t="shared" si="5"/>
        <v>0.10238347082929855</v>
      </c>
    </row>
    <row r="33" spans="6:13" x14ac:dyDescent="0.4">
      <c r="F33" s="1">
        <v>22251</v>
      </c>
      <c r="G33" s="16">
        <v>316.19</v>
      </c>
      <c r="H33" s="16">
        <f t="shared" si="1"/>
        <v>316.80713737973588</v>
      </c>
      <c r="I33">
        <f t="shared" si="2"/>
        <v>12</v>
      </c>
      <c r="J33" s="16" cm="1">
        <f t="array" ref="J33">INDEX(Sm,I33)</f>
        <v>-0.89092746367992248</v>
      </c>
      <c r="K33" s="16">
        <f t="shared" si="3"/>
        <v>315.91620991605595</v>
      </c>
      <c r="L33" s="16">
        <f t="shared" si="4"/>
        <v>0.27379008394404991</v>
      </c>
      <c r="M33" s="16">
        <f t="shared" si="5"/>
        <v>7.4961010066089892E-2</v>
      </c>
    </row>
    <row r="34" spans="6:13" x14ac:dyDescent="0.4">
      <c r="F34" s="1">
        <v>22282</v>
      </c>
      <c r="G34" s="16">
        <v>316.89999999999998</v>
      </c>
      <c r="H34" s="16">
        <f t="shared" si="1"/>
        <v>316.87794657066485</v>
      </c>
      <c r="I34">
        <f t="shared" si="2"/>
        <v>1</v>
      </c>
      <c r="J34" s="16" cm="1">
        <f t="array" ref="J34">INDEX(Sm,I34)</f>
        <v>6.1437951108157106E-2</v>
      </c>
      <c r="K34" s="16">
        <f t="shared" si="3"/>
        <v>316.93938452177298</v>
      </c>
      <c r="L34" s="16">
        <f t="shared" si="4"/>
        <v>-3.9384521773001779E-2</v>
      </c>
      <c r="M34" s="16">
        <f t="shared" si="5"/>
        <v>1.5511405552880511E-3</v>
      </c>
    </row>
    <row r="35" spans="6:13" x14ac:dyDescent="0.4">
      <c r="F35" s="1">
        <v>22313</v>
      </c>
      <c r="G35" s="16">
        <v>317.7</v>
      </c>
      <c r="H35" s="16">
        <f t="shared" si="1"/>
        <v>316.94894420852512</v>
      </c>
      <c r="I35">
        <f t="shared" si="2"/>
        <v>2</v>
      </c>
      <c r="J35" s="16" cm="1">
        <f t="array" ref="J35">INDEX(Sm,I35)</f>
        <v>0.69461918775013354</v>
      </c>
      <c r="K35" s="16">
        <f t="shared" si="3"/>
        <v>317.64356339627523</v>
      </c>
      <c r="L35" s="16">
        <f t="shared" si="4"/>
        <v>5.6436603724762335E-2</v>
      </c>
      <c r="M35" s="16">
        <f t="shared" si="5"/>
        <v>3.1850902399858578E-3</v>
      </c>
    </row>
    <row r="36" spans="6:13" x14ac:dyDescent="0.4">
      <c r="F36" s="1">
        <v>22341</v>
      </c>
      <c r="G36" s="16">
        <v>318.54000000000002</v>
      </c>
      <c r="H36" s="16">
        <f t="shared" si="1"/>
        <v>317.01323308139501</v>
      </c>
      <c r="I36">
        <f t="shared" si="2"/>
        <v>3</v>
      </c>
      <c r="J36" s="16" cm="1">
        <f t="array" ref="J36">INDEX(Sm,I36)</f>
        <v>1.3737674679346947</v>
      </c>
      <c r="K36" s="16">
        <f t="shared" si="3"/>
        <v>318.38700054932968</v>
      </c>
      <c r="L36" s="16">
        <f t="shared" si="4"/>
        <v>0.15299945067033605</v>
      </c>
      <c r="M36" s="16">
        <f t="shared" si="5"/>
        <v>2.3408831905424594E-2</v>
      </c>
    </row>
    <row r="37" spans="6:13" x14ac:dyDescent="0.4">
      <c r="F37" s="1">
        <v>22372</v>
      </c>
      <c r="G37" s="16">
        <v>319.48</v>
      </c>
      <c r="H37" s="16">
        <f t="shared" si="1"/>
        <v>317.08458937631804</v>
      </c>
      <c r="I37">
        <f t="shared" si="2"/>
        <v>4</v>
      </c>
      <c r="J37" s="16" cm="1">
        <f t="array" ref="J37">INDEX(Sm,I37)</f>
        <v>2.6103146023823673</v>
      </c>
      <c r="K37" s="16">
        <f t="shared" si="3"/>
        <v>319.69490397870038</v>
      </c>
      <c r="L37" s="16">
        <f t="shared" si="4"/>
        <v>-0.21490397870036304</v>
      </c>
      <c r="M37" s="16">
        <f t="shared" si="5"/>
        <v>4.6183720061246089E-2</v>
      </c>
    </row>
    <row r="38" spans="6:13" x14ac:dyDescent="0.4">
      <c r="F38" s="1">
        <v>22402</v>
      </c>
      <c r="G38" s="16">
        <v>320.58</v>
      </c>
      <c r="H38" s="16">
        <f t="shared" si="1"/>
        <v>317.15382328185456</v>
      </c>
      <c r="I38">
        <f t="shared" si="2"/>
        <v>5</v>
      </c>
      <c r="J38" s="16" cm="1">
        <f t="array" ref="J38">INDEX(Sm,I38)</f>
        <v>3.0656878503632123</v>
      </c>
      <c r="K38" s="16">
        <f t="shared" si="3"/>
        <v>320.21951113221775</v>
      </c>
      <c r="L38" s="16">
        <f t="shared" si="4"/>
        <v>0.36048886778223732</v>
      </c>
      <c r="M38" s="16">
        <f t="shared" si="5"/>
        <v>0.12995222379491939</v>
      </c>
    </row>
    <row r="39" spans="6:13" x14ac:dyDescent="0.4">
      <c r="F39" s="1">
        <v>22433</v>
      </c>
      <c r="G39" s="16">
        <v>319.77</v>
      </c>
      <c r="H39" s="16">
        <f t="shared" si="1"/>
        <v>317.22555039170692</v>
      </c>
      <c r="I39">
        <f t="shared" si="2"/>
        <v>6</v>
      </c>
      <c r="J39" s="16" cm="1">
        <f t="array" ref="J39">INDEX(Sm,I39)</f>
        <v>2.3467878975381979</v>
      </c>
      <c r="K39" s="16">
        <f t="shared" si="3"/>
        <v>319.57233828924512</v>
      </c>
      <c r="L39" s="16">
        <f t="shared" si="4"/>
        <v>0.19766171075485772</v>
      </c>
      <c r="M39" s="16">
        <f t="shared" si="5"/>
        <v>3.9070151898537034E-2</v>
      </c>
    </row>
    <row r="40" spans="6:13" x14ac:dyDescent="0.4">
      <c r="F40" s="1">
        <v>22463</v>
      </c>
      <c r="G40" s="16">
        <v>318.57</v>
      </c>
      <c r="H40" s="16">
        <f t="shared" si="1"/>
        <v>317.29514315040086</v>
      </c>
      <c r="I40">
        <f t="shared" si="2"/>
        <v>7</v>
      </c>
      <c r="J40" s="16" cm="1">
        <f t="array" ref="J40">INDEX(Sm,I40)</f>
        <v>0.72373827090267417</v>
      </c>
      <c r="K40" s="16">
        <f t="shared" si="3"/>
        <v>318.01888142130355</v>
      </c>
      <c r="L40" s="16">
        <f t="shared" si="4"/>
        <v>0.55111857869644609</v>
      </c>
      <c r="M40" s="16">
        <f t="shared" si="5"/>
        <v>0.30373168778439086</v>
      </c>
    </row>
    <row r="41" spans="6:13" x14ac:dyDescent="0.4">
      <c r="F41" s="1">
        <v>22494</v>
      </c>
      <c r="G41" s="16">
        <v>316.79000000000002</v>
      </c>
      <c r="H41" s="16">
        <f t="shared" si="1"/>
        <v>317.36724107518256</v>
      </c>
      <c r="I41">
        <f t="shared" si="2"/>
        <v>8</v>
      </c>
      <c r="J41" s="16" cm="1">
        <f t="array" ref="J41">INDEX(Sm,I41)</f>
        <v>-1.3971602749585079</v>
      </c>
      <c r="K41" s="16">
        <f t="shared" si="3"/>
        <v>315.97008080022408</v>
      </c>
      <c r="L41" s="16">
        <f t="shared" si="4"/>
        <v>0.81991919977593852</v>
      </c>
      <c r="M41" s="16">
        <f t="shared" si="5"/>
        <v>0.67226749416121534</v>
      </c>
    </row>
    <row r="42" spans="6:13" x14ac:dyDescent="0.4">
      <c r="F42" s="1">
        <v>22525</v>
      </c>
      <c r="G42" s="16">
        <v>314.99</v>
      </c>
      <c r="H42" s="16">
        <f t="shared" si="1"/>
        <v>317.43952744689557</v>
      </c>
      <c r="I42">
        <f t="shared" si="2"/>
        <v>9</v>
      </c>
      <c r="J42" s="16" cm="1">
        <f t="array" ref="J42">INDEX(Sm,I42)</f>
        <v>-3.1930865277187257</v>
      </c>
      <c r="K42" s="16">
        <f t="shared" si="3"/>
        <v>314.24644091917685</v>
      </c>
      <c r="L42" s="16">
        <f t="shared" si="4"/>
        <v>0.74355908082316091</v>
      </c>
      <c r="M42" s="16">
        <f t="shared" si="5"/>
        <v>0.55288010667458398</v>
      </c>
    </row>
    <row r="43" spans="6:13" x14ac:dyDescent="0.4">
      <c r="F43" s="1">
        <v>22555</v>
      </c>
      <c r="G43" s="16">
        <v>315.31</v>
      </c>
      <c r="H43" s="16">
        <f t="shared" si="1"/>
        <v>317.50966142674497</v>
      </c>
      <c r="I43">
        <f t="shared" si="2"/>
        <v>10</v>
      </c>
      <c r="J43" s="16" cm="1">
        <f t="array" ref="J43">INDEX(Sm,I43)</f>
        <v>-3.3364130066587929</v>
      </c>
      <c r="K43" s="16">
        <f t="shared" si="3"/>
        <v>314.17324842008617</v>
      </c>
      <c r="L43" s="16">
        <f t="shared" si="4"/>
        <v>1.1367515799138346</v>
      </c>
      <c r="M43" s="16">
        <f t="shared" si="5"/>
        <v>1.292204154436599</v>
      </c>
    </row>
    <row r="44" spans="6:13" x14ac:dyDescent="0.4">
      <c r="F44" s="1">
        <v>22586</v>
      </c>
      <c r="G44" s="16">
        <v>316.10000000000002</v>
      </c>
      <c r="H44" s="16">
        <f t="shared" si="1"/>
        <v>317.58231861338732</v>
      </c>
      <c r="I44">
        <f t="shared" si="2"/>
        <v>11</v>
      </c>
      <c r="J44" s="16" cm="1">
        <f t="array" ref="J44">INDEX(Sm,I44)</f>
        <v>-2.0587659549634894</v>
      </c>
      <c r="K44" s="16">
        <f t="shared" si="3"/>
        <v>315.52355265842385</v>
      </c>
      <c r="L44" s="16">
        <f t="shared" si="4"/>
        <v>0.57644734157616995</v>
      </c>
      <c r="M44" s="16">
        <f t="shared" si="5"/>
        <v>0.33229153761023356</v>
      </c>
    </row>
    <row r="45" spans="6:13" x14ac:dyDescent="0.4">
      <c r="F45" s="1">
        <v>22616</v>
      </c>
      <c r="G45" s="16">
        <v>317.01</v>
      </c>
      <c r="H45" s="16">
        <f t="shared" si="1"/>
        <v>317.65281144639408</v>
      </c>
      <c r="I45">
        <f t="shared" si="2"/>
        <v>12</v>
      </c>
      <c r="J45" s="16" cm="1">
        <f t="array" ref="J45">INDEX(Sm,I45)</f>
        <v>-0.89092746367992248</v>
      </c>
      <c r="K45" s="16">
        <f t="shared" si="3"/>
        <v>316.76188398271415</v>
      </c>
      <c r="L45" s="16">
        <f t="shared" si="4"/>
        <v>0.2481160172858381</v>
      </c>
      <c r="M45" s="16">
        <f t="shared" si="5"/>
        <v>6.1561558033786309E-2</v>
      </c>
    </row>
    <row r="46" spans="6:13" x14ac:dyDescent="0.4">
      <c r="F46" s="1">
        <v>22647</v>
      </c>
      <c r="G46" s="16">
        <v>317.94</v>
      </c>
      <c r="H46" s="16">
        <f t="shared" si="1"/>
        <v>317.72583944796577</v>
      </c>
      <c r="I46">
        <f t="shared" si="2"/>
        <v>1</v>
      </c>
      <c r="J46" s="16" cm="1">
        <f t="array" ref="J46">INDEX(Sm,I46)</f>
        <v>6.1437951108157106E-2</v>
      </c>
      <c r="K46" s="16">
        <f t="shared" si="3"/>
        <v>317.7872773990739</v>
      </c>
      <c r="L46" s="16">
        <f t="shared" si="4"/>
        <v>0.15272260092609713</v>
      </c>
      <c r="M46" s="16">
        <f t="shared" si="5"/>
        <v>2.3324192833631924E-2</v>
      </c>
    </row>
    <row r="47" spans="6:13" x14ac:dyDescent="0.4">
      <c r="F47" s="1">
        <v>22678</v>
      </c>
      <c r="G47" s="16">
        <v>318.55</v>
      </c>
      <c r="H47" s="16">
        <f t="shared" si="1"/>
        <v>317.79905589646876</v>
      </c>
      <c r="I47">
        <f t="shared" si="2"/>
        <v>2</v>
      </c>
      <c r="J47" s="16" cm="1">
        <f t="array" ref="J47">INDEX(Sm,I47)</f>
        <v>0.69461918775013354</v>
      </c>
      <c r="K47" s="16">
        <f t="shared" si="3"/>
        <v>318.49367508421886</v>
      </c>
      <c r="L47" s="16">
        <f t="shared" si="4"/>
        <v>5.6324915781146956E-2</v>
      </c>
      <c r="M47" s="16">
        <f t="shared" si="5"/>
        <v>3.1724961377532974E-3</v>
      </c>
    </row>
    <row r="48" spans="6:13" x14ac:dyDescent="0.4">
      <c r="F48" s="1">
        <v>22706</v>
      </c>
      <c r="G48" s="16">
        <v>319.68</v>
      </c>
      <c r="H48" s="16">
        <f t="shared" si="1"/>
        <v>317.86534885637082</v>
      </c>
      <c r="I48">
        <f t="shared" si="2"/>
        <v>3</v>
      </c>
      <c r="J48" s="16" cm="1">
        <f t="array" ref="J48">INDEX(Sm,I48)</f>
        <v>1.3737674679346947</v>
      </c>
      <c r="K48" s="16">
        <f t="shared" si="3"/>
        <v>319.23911632430548</v>
      </c>
      <c r="L48" s="16">
        <f t="shared" si="4"/>
        <v>0.44088367569452203</v>
      </c>
      <c r="M48" s="16">
        <f t="shared" si="5"/>
        <v>0.19437841549391247</v>
      </c>
    </row>
    <row r="49" spans="6:13" x14ac:dyDescent="0.4">
      <c r="F49" s="1">
        <v>22737</v>
      </c>
      <c r="G49" s="16">
        <v>320.57</v>
      </c>
      <c r="H49" s="16">
        <f t="shared" si="1"/>
        <v>317.93892396193655</v>
      </c>
      <c r="I49">
        <f t="shared" si="2"/>
        <v>4</v>
      </c>
      <c r="J49" s="16" cm="1">
        <f t="array" ref="J49">INDEX(Sm,I49)</f>
        <v>2.6103146023823673</v>
      </c>
      <c r="K49" s="16">
        <f t="shared" si="3"/>
        <v>320.5492385643189</v>
      </c>
      <c r="L49" s="16">
        <f t="shared" si="4"/>
        <v>2.0761435681095008E-2</v>
      </c>
      <c r="M49" s="16">
        <f t="shared" si="5"/>
        <v>4.3103721154024496E-4</v>
      </c>
    </row>
    <row r="50" spans="6:13" x14ac:dyDescent="0.4">
      <c r="F50" s="1">
        <v>22767</v>
      </c>
      <c r="G50" s="16">
        <v>321.02</v>
      </c>
      <c r="H50" s="16">
        <f t="shared" si="1"/>
        <v>318.01030510357896</v>
      </c>
      <c r="I50">
        <f t="shared" si="2"/>
        <v>5</v>
      </c>
      <c r="J50" s="16" cm="1">
        <f t="array" ref="J50">INDEX(Sm,I50)</f>
        <v>3.0656878503632123</v>
      </c>
      <c r="K50" s="16">
        <f t="shared" si="3"/>
        <v>321.07599295394215</v>
      </c>
      <c r="L50" s="16">
        <f t="shared" si="4"/>
        <v>-5.5992953942165968E-2</v>
      </c>
      <c r="M50" s="16">
        <f t="shared" si="5"/>
        <v>3.1352108911695195E-3</v>
      </c>
    </row>
    <row r="51" spans="6:13" x14ac:dyDescent="0.4">
      <c r="F51" s="1">
        <v>22798</v>
      </c>
      <c r="G51" s="16">
        <v>320.62</v>
      </c>
      <c r="H51" s="16">
        <f t="shared" si="1"/>
        <v>318.08425102407404</v>
      </c>
      <c r="I51">
        <f t="shared" si="2"/>
        <v>6</v>
      </c>
      <c r="J51" s="16" cm="1">
        <f t="array" ref="J51">INDEX(Sm,I51)</f>
        <v>2.3467878975381979</v>
      </c>
      <c r="K51" s="16">
        <f t="shared" si="3"/>
        <v>320.43103892161224</v>
      </c>
      <c r="L51" s="16">
        <f t="shared" si="4"/>
        <v>0.18896107838776288</v>
      </c>
      <c r="M51" s="16">
        <f t="shared" si="5"/>
        <v>3.5706289145466266E-2</v>
      </c>
    </row>
    <row r="52" spans="6:13" x14ac:dyDescent="0.4">
      <c r="F52" s="1">
        <v>22828</v>
      </c>
      <c r="G52" s="16">
        <v>319.61</v>
      </c>
      <c r="H52" s="16">
        <f t="shared" si="1"/>
        <v>318.15599101887386</v>
      </c>
      <c r="I52">
        <f t="shared" si="2"/>
        <v>7</v>
      </c>
      <c r="J52" s="16" cm="1">
        <f t="array" ref="J52">INDEX(Sm,I52)</f>
        <v>0.72373827090267417</v>
      </c>
      <c r="K52" s="16">
        <f t="shared" si="3"/>
        <v>318.87972928977655</v>
      </c>
      <c r="L52" s="16">
        <f t="shared" si="4"/>
        <v>0.7302707102234649</v>
      </c>
      <c r="M52" s="16">
        <f t="shared" si="5"/>
        <v>0.53329531021028387</v>
      </c>
    </row>
    <row r="53" spans="6:13" x14ac:dyDescent="0.4">
      <c r="F53" s="1">
        <v>22859</v>
      </c>
      <c r="G53" s="16">
        <v>317.39999999999998</v>
      </c>
      <c r="H53" s="16">
        <f t="shared" si="1"/>
        <v>318.23030775429828</v>
      </c>
      <c r="I53">
        <f t="shared" si="2"/>
        <v>8</v>
      </c>
      <c r="J53" s="16" cm="1">
        <f t="array" ref="J53">INDEX(Sm,I53)</f>
        <v>-1.3971602749585079</v>
      </c>
      <c r="K53" s="16">
        <f t="shared" si="3"/>
        <v>316.8331474793398</v>
      </c>
      <c r="L53" s="16">
        <f t="shared" si="4"/>
        <v>0.56685252066017711</v>
      </c>
      <c r="M53" s="16">
        <f t="shared" si="5"/>
        <v>0.32132178017879653</v>
      </c>
    </row>
    <row r="54" spans="6:13" x14ac:dyDescent="0.4">
      <c r="F54" s="1">
        <v>22890</v>
      </c>
      <c r="G54" s="16">
        <v>316.25</v>
      </c>
      <c r="H54" s="16">
        <f t="shared" si="1"/>
        <v>318.304812936654</v>
      </c>
      <c r="I54">
        <f t="shared" si="2"/>
        <v>9</v>
      </c>
      <c r="J54" s="16" cm="1">
        <f t="array" ref="J54">INDEX(Sm,I54)</f>
        <v>-3.1930865277187257</v>
      </c>
      <c r="K54" s="16">
        <f t="shared" si="3"/>
        <v>315.11172640893528</v>
      </c>
      <c r="L54" s="16">
        <f t="shared" si="4"/>
        <v>1.138273591064717</v>
      </c>
      <c r="M54" s="16">
        <f t="shared" si="5"/>
        <v>1.2956667681153666</v>
      </c>
    </row>
    <row r="55" spans="6:13" x14ac:dyDescent="0.4">
      <c r="F55" s="1">
        <v>22920</v>
      </c>
      <c r="G55" s="16">
        <v>315.42</v>
      </c>
      <c r="H55" s="16">
        <f t="shared" si="1"/>
        <v>318.37709415260929</v>
      </c>
      <c r="I55">
        <f t="shared" si="2"/>
        <v>10</v>
      </c>
      <c r="J55" s="16" cm="1">
        <f t="array" ref="J55">INDEX(Sm,I55)</f>
        <v>-3.3364130066587929</v>
      </c>
      <c r="K55" s="16">
        <f t="shared" si="3"/>
        <v>315.04068114595049</v>
      </c>
      <c r="L55" s="16">
        <f t="shared" si="4"/>
        <v>0.37931885404952936</v>
      </c>
      <c r="M55" s="16">
        <f t="shared" si="5"/>
        <v>0.14388279303744816</v>
      </c>
    </row>
    <row r="56" spans="6:13" x14ac:dyDescent="0.4">
      <c r="F56" s="1">
        <v>22951</v>
      </c>
      <c r="G56" s="16">
        <v>316.69</v>
      </c>
      <c r="H56" s="16">
        <f t="shared" si="1"/>
        <v>318.45197014989435</v>
      </c>
      <c r="I56">
        <f t="shared" si="2"/>
        <v>11</v>
      </c>
      <c r="J56" s="16" cm="1">
        <f t="array" ref="J56">INDEX(Sm,I56)</f>
        <v>-2.0587659549634894</v>
      </c>
      <c r="K56" s="16">
        <f t="shared" si="3"/>
        <v>316.39320419493089</v>
      </c>
      <c r="L56" s="16">
        <f t="shared" si="4"/>
        <v>0.29679580506910952</v>
      </c>
      <c r="M56" s="16">
        <f t="shared" si="5"/>
        <v>8.8087749906620855E-2</v>
      </c>
    </row>
    <row r="57" spans="6:13" x14ac:dyDescent="0.4">
      <c r="F57" s="1">
        <v>22981</v>
      </c>
      <c r="G57" s="16">
        <v>317.7</v>
      </c>
      <c r="H57" s="16">
        <f t="shared" si="1"/>
        <v>318.524610219007</v>
      </c>
      <c r="I57">
        <f t="shared" si="2"/>
        <v>12</v>
      </c>
      <c r="J57" s="16" cm="1">
        <f t="array" ref="J57">INDEX(Sm,I57)</f>
        <v>-0.89092746367992248</v>
      </c>
      <c r="K57" s="16">
        <f t="shared" si="3"/>
        <v>317.63368275532707</v>
      </c>
      <c r="L57" s="16">
        <f t="shared" si="4"/>
        <v>6.6317244672916331E-2</v>
      </c>
      <c r="M57" s="16">
        <f t="shared" si="5"/>
        <v>4.3979769410074495E-3</v>
      </c>
    </row>
    <row r="58" spans="6:13" x14ac:dyDescent="0.4">
      <c r="F58" s="1">
        <v>23012</v>
      </c>
      <c r="G58" s="16">
        <v>318.74</v>
      </c>
      <c r="H58" s="16">
        <f t="shared" si="1"/>
        <v>318.5998570312214</v>
      </c>
      <c r="I58">
        <f t="shared" si="2"/>
        <v>1</v>
      </c>
      <c r="J58" s="16" cm="1">
        <f t="array" ref="J58">INDEX(Sm,I58)</f>
        <v>6.1437951108157106E-2</v>
      </c>
      <c r="K58" s="16">
        <f t="shared" si="3"/>
        <v>318.66129498232954</v>
      </c>
      <c r="L58" s="16">
        <f t="shared" si="4"/>
        <v>7.8705017670472444E-2</v>
      </c>
      <c r="M58" s="16">
        <f t="shared" si="5"/>
        <v>6.1944798065093794E-3</v>
      </c>
    </row>
    <row r="59" spans="6:13" x14ac:dyDescent="0.4">
      <c r="F59" s="1">
        <v>23043</v>
      </c>
      <c r="G59" s="16">
        <v>319.07</v>
      </c>
      <c r="H59" s="16">
        <f t="shared" si="1"/>
        <v>318.67529229036711</v>
      </c>
      <c r="I59">
        <f t="shared" si="2"/>
        <v>2</v>
      </c>
      <c r="J59" s="16" cm="1">
        <f t="array" ref="J59">INDEX(Sm,I59)</f>
        <v>0.69461918775013354</v>
      </c>
      <c r="K59" s="16">
        <f t="shared" si="3"/>
        <v>319.36991147811722</v>
      </c>
      <c r="L59" s="16">
        <f t="shared" si="4"/>
        <v>-0.29991147811722385</v>
      </c>
      <c r="M59" s="16">
        <f t="shared" si="5"/>
        <v>8.9946894706458044E-2</v>
      </c>
    </row>
    <row r="60" spans="6:13" x14ac:dyDescent="0.4">
      <c r="F60" s="1">
        <v>23071</v>
      </c>
      <c r="G60" s="16">
        <v>319.86</v>
      </c>
      <c r="H60" s="16">
        <f t="shared" si="1"/>
        <v>318.74358933730127</v>
      </c>
      <c r="I60">
        <f t="shared" si="2"/>
        <v>3</v>
      </c>
      <c r="J60" s="16" cm="1">
        <f t="array" ref="J60">INDEX(Sm,I60)</f>
        <v>1.3737674679346947</v>
      </c>
      <c r="K60" s="16">
        <f t="shared" si="3"/>
        <v>320.11735680523594</v>
      </c>
      <c r="L60" s="16">
        <f t="shared" si="4"/>
        <v>-0.25735680523592919</v>
      </c>
      <c r="M60" s="16">
        <f t="shared" si="5"/>
        <v>6.6232525201243994E-2</v>
      </c>
    </row>
    <row r="61" spans="6:13" x14ac:dyDescent="0.4">
      <c r="F61" s="1">
        <v>23102</v>
      </c>
      <c r="G61" s="16">
        <v>321.38</v>
      </c>
      <c r="H61" s="16">
        <f t="shared" si="1"/>
        <v>318.81938325350978</v>
      </c>
      <c r="I61">
        <f t="shared" si="2"/>
        <v>4</v>
      </c>
      <c r="J61" s="16" cm="1">
        <f t="array" ref="J61">INDEX(Sm,I61)</f>
        <v>2.6103146023823673</v>
      </c>
      <c r="K61" s="16">
        <f t="shared" si="3"/>
        <v>321.42969785589213</v>
      </c>
      <c r="L61" s="16">
        <f t="shared" si="4"/>
        <v>-4.9697855892134157E-2</v>
      </c>
      <c r="M61" s="16">
        <f t="shared" si="5"/>
        <v>2.4698768802753337E-3</v>
      </c>
    </row>
    <row r="62" spans="6:13" x14ac:dyDescent="0.4">
      <c r="F62" s="1">
        <v>23132</v>
      </c>
      <c r="G62" s="16">
        <v>322.25</v>
      </c>
      <c r="H62" s="16">
        <f t="shared" si="1"/>
        <v>318.89291163125802</v>
      </c>
      <c r="I62">
        <f t="shared" si="2"/>
        <v>5</v>
      </c>
      <c r="J62" s="16" cm="1">
        <f t="array" ref="J62">INDEX(Sm,I62)</f>
        <v>3.0656878503632123</v>
      </c>
      <c r="K62" s="16">
        <f t="shared" si="3"/>
        <v>321.95859948162121</v>
      </c>
      <c r="L62" s="16">
        <f t="shared" si="4"/>
        <v>0.29140051837879355</v>
      </c>
      <c r="M62" s="16">
        <f t="shared" si="5"/>
        <v>8.4914262111429592E-2</v>
      </c>
    </row>
    <row r="63" spans="6:13" x14ac:dyDescent="0.4">
      <c r="F63" s="1">
        <v>23163</v>
      </c>
      <c r="G63" s="16">
        <v>321.48</v>
      </c>
      <c r="H63" s="16">
        <f t="shared" si="1"/>
        <v>318.96907636239587</v>
      </c>
      <c r="I63">
        <f t="shared" si="2"/>
        <v>6</v>
      </c>
      <c r="J63" s="16" cm="1">
        <f t="array" ref="J63">INDEX(Sm,I63)</f>
        <v>2.3467878975381979</v>
      </c>
      <c r="K63" s="16">
        <f t="shared" si="3"/>
        <v>321.31586425993407</v>
      </c>
      <c r="L63" s="16">
        <f t="shared" si="4"/>
        <v>0.16413574006594445</v>
      </c>
      <c r="M63" s="16">
        <f t="shared" si="5"/>
        <v>2.6940541166995281E-2</v>
      </c>
    </row>
    <row r="64" spans="6:13" x14ac:dyDescent="0.4">
      <c r="F64" s="1">
        <v>23193</v>
      </c>
      <c r="G64" s="16">
        <v>319.74</v>
      </c>
      <c r="H64" s="16">
        <f t="shared" si="1"/>
        <v>319.04296359330158</v>
      </c>
      <c r="I64">
        <f t="shared" si="2"/>
        <v>7</v>
      </c>
      <c r="J64" s="16" cm="1">
        <f t="array" ref="J64">INDEX(Sm,I64)</f>
        <v>0.72373827090267417</v>
      </c>
      <c r="K64" s="16">
        <f t="shared" si="3"/>
        <v>319.76670186420426</v>
      </c>
      <c r="L64" s="16">
        <f t="shared" si="4"/>
        <v>-2.6701864204255799E-2</v>
      </c>
      <c r="M64" s="16">
        <f t="shared" si="5"/>
        <v>7.1298955198251712E-4</v>
      </c>
    </row>
    <row r="65" spans="6:13" x14ac:dyDescent="0.4">
      <c r="F65" s="1">
        <v>23224</v>
      </c>
      <c r="G65" s="16">
        <v>317.77</v>
      </c>
      <c r="H65" s="16">
        <f t="shared" si="1"/>
        <v>319.11949913936871</v>
      </c>
      <c r="I65">
        <f t="shared" si="2"/>
        <v>8</v>
      </c>
      <c r="J65" s="16" cm="1">
        <f t="array" ref="J65">INDEX(Sm,I65)</f>
        <v>-1.3971602749585079</v>
      </c>
      <c r="K65" s="16">
        <f t="shared" si="3"/>
        <v>317.72233886441023</v>
      </c>
      <c r="L65" s="16">
        <f t="shared" si="4"/>
        <v>4.7661135589748937E-2</v>
      </c>
      <c r="M65" s="16">
        <f t="shared" si="5"/>
        <v>2.2715838457044329E-3</v>
      </c>
    </row>
    <row r="66" spans="6:13" x14ac:dyDescent="0.4">
      <c r="F66" s="1">
        <v>23255</v>
      </c>
      <c r="G66" s="16">
        <v>316.20999999999998</v>
      </c>
      <c r="H66" s="16">
        <f t="shared" si="1"/>
        <v>319.19622313236721</v>
      </c>
      <c r="I66">
        <f t="shared" si="2"/>
        <v>9</v>
      </c>
      <c r="J66" s="16" cm="1">
        <f t="array" ref="J66">INDEX(Sm,I66)</f>
        <v>-3.1930865277187257</v>
      </c>
      <c r="K66" s="16">
        <f t="shared" si="3"/>
        <v>316.00313660464849</v>
      </c>
      <c r="L66" s="16">
        <f t="shared" si="4"/>
        <v>0.20686339535149045</v>
      </c>
      <c r="M66" s="16">
        <f t="shared" si="5"/>
        <v>4.2792464336347043E-2</v>
      </c>
    </row>
    <row r="67" spans="6:13" x14ac:dyDescent="0.4">
      <c r="F67" s="1">
        <v>23285</v>
      </c>
      <c r="G67" s="16">
        <v>315.99</v>
      </c>
      <c r="H67" s="16">
        <f t="shared" ref="H67:H130" si="6">_A*F67*F67+_B*F67+_C</f>
        <v>319.27065158442832</v>
      </c>
      <c r="I67">
        <f t="shared" ref="I67:I130" si="7">MONTH(F67)</f>
        <v>10</v>
      </c>
      <c r="J67" s="16" cm="1">
        <f t="array" ref="J67">INDEX(Sm,I67)</f>
        <v>-3.3364130066587929</v>
      </c>
      <c r="K67" s="16">
        <f t="shared" ref="K67:K130" si="8">H67+J67</f>
        <v>315.93423857776952</v>
      </c>
      <c r="L67" s="16">
        <f t="shared" ref="L67:L130" si="9">G67-K67</f>
        <v>5.5761422230489188E-2</v>
      </c>
      <c r="M67" s="16">
        <f t="shared" ref="M67:M130" si="10">L67*L67</f>
        <v>3.1093362091668937E-3</v>
      </c>
    </row>
    <row r="68" spans="6:13" x14ac:dyDescent="0.4">
      <c r="F68" s="1">
        <v>23316</v>
      </c>
      <c r="G68" s="16">
        <v>317.07</v>
      </c>
      <c r="H68" s="16">
        <f t="shared" si="6"/>
        <v>319.3477463923561</v>
      </c>
      <c r="I68">
        <f t="shared" si="7"/>
        <v>11</v>
      </c>
      <c r="J68" s="16" cm="1">
        <f t="array" ref="J68">INDEX(Sm,I68)</f>
        <v>-2.0587659549634894</v>
      </c>
      <c r="K68" s="16">
        <f t="shared" si="8"/>
        <v>317.28898043739264</v>
      </c>
      <c r="L68" s="16">
        <f t="shared" si="9"/>
        <v>-0.21898043739264494</v>
      </c>
      <c r="M68" s="16">
        <f t="shared" si="10"/>
        <v>4.7952431960674093E-2</v>
      </c>
    </row>
    <row r="69" spans="6:13" x14ac:dyDescent="0.4">
      <c r="F69" s="1">
        <v>23346</v>
      </c>
      <c r="G69" s="16">
        <v>318.35000000000002</v>
      </c>
      <c r="H69" s="16">
        <f t="shared" si="6"/>
        <v>319.42253369757464</v>
      </c>
      <c r="I69">
        <f t="shared" si="7"/>
        <v>12</v>
      </c>
      <c r="J69" s="16" cm="1">
        <f t="array" ref="J69">INDEX(Sm,I69)</f>
        <v>-0.89092746367992248</v>
      </c>
      <c r="K69" s="16">
        <f t="shared" si="8"/>
        <v>318.53160623389471</v>
      </c>
      <c r="L69" s="16">
        <f t="shared" si="9"/>
        <v>-0.18160623389468356</v>
      </c>
      <c r="M69" s="16">
        <f t="shared" si="10"/>
        <v>3.2980824189410507E-2</v>
      </c>
    </row>
    <row r="70" spans="6:13" x14ac:dyDescent="0.4">
      <c r="F70" s="1">
        <v>23377</v>
      </c>
      <c r="G70" s="16">
        <v>319.57</v>
      </c>
      <c r="H70" s="16">
        <f t="shared" si="6"/>
        <v>319.49999932043181</v>
      </c>
      <c r="I70">
        <f t="shared" si="7"/>
        <v>1</v>
      </c>
      <c r="J70" s="16" cm="1">
        <f t="array" ref="J70">INDEX(Sm,I70)</f>
        <v>6.1437951108157106E-2</v>
      </c>
      <c r="K70" s="16">
        <f t="shared" si="8"/>
        <v>319.56143727153994</v>
      </c>
      <c r="L70" s="16">
        <f t="shared" si="9"/>
        <v>8.5627284600491294E-3</v>
      </c>
      <c r="M70" s="16">
        <f t="shared" si="10"/>
        <v>7.3320318680535339E-5</v>
      </c>
    </row>
    <row r="71" spans="6:13" x14ac:dyDescent="0.4">
      <c r="F71" s="1">
        <v>23498</v>
      </c>
      <c r="G71" s="16">
        <v>322.26</v>
      </c>
      <c r="H71" s="16">
        <f t="shared" si="6"/>
        <v>319.80416842482032</v>
      </c>
      <c r="I71">
        <f t="shared" si="7"/>
        <v>5</v>
      </c>
      <c r="J71" s="16" cm="1">
        <f t="array" ref="J71">INDEX(Sm,I71)</f>
        <v>3.0656878503632123</v>
      </c>
      <c r="K71" s="16">
        <f t="shared" si="8"/>
        <v>322.86985627518351</v>
      </c>
      <c r="L71" s="16">
        <f t="shared" si="9"/>
        <v>-0.60985627518351748</v>
      </c>
      <c r="M71" s="16">
        <f t="shared" si="10"/>
        <v>0.37192467638071419</v>
      </c>
    </row>
    <row r="72" spans="6:13" x14ac:dyDescent="0.4">
      <c r="F72" s="1">
        <v>23529</v>
      </c>
      <c r="G72" s="16">
        <v>321.89</v>
      </c>
      <c r="H72" s="16">
        <f t="shared" si="6"/>
        <v>319.88255804553415</v>
      </c>
      <c r="I72">
        <f t="shared" si="7"/>
        <v>6</v>
      </c>
      <c r="J72" s="16" cm="1">
        <f t="array" ref="J72">INDEX(Sm,I72)</f>
        <v>2.3467878975381979</v>
      </c>
      <c r="K72" s="16">
        <f t="shared" si="8"/>
        <v>322.22934594307236</v>
      </c>
      <c r="L72" s="16">
        <f t="shared" si="9"/>
        <v>-0.33934594307237376</v>
      </c>
      <c r="M72" s="16">
        <f t="shared" si="10"/>
        <v>0.11515566907967872</v>
      </c>
    </row>
    <row r="73" spans="6:13" x14ac:dyDescent="0.4">
      <c r="F73" s="1">
        <v>23559</v>
      </c>
      <c r="G73" s="16">
        <v>320.44</v>
      </c>
      <c r="H73" s="16">
        <f t="shared" si="6"/>
        <v>319.95859839538434</v>
      </c>
      <c r="I73">
        <f t="shared" si="7"/>
        <v>7</v>
      </c>
      <c r="J73" s="16" cm="1">
        <f t="array" ref="J73">INDEX(Sm,I73)</f>
        <v>0.72373827090267417</v>
      </c>
      <c r="K73" s="16">
        <f t="shared" si="8"/>
        <v>320.68233666628703</v>
      </c>
      <c r="L73" s="16">
        <f t="shared" si="9"/>
        <v>-0.24233666628703077</v>
      </c>
      <c r="M73" s="16">
        <f t="shared" si="10"/>
        <v>5.8727059827111711E-2</v>
      </c>
    </row>
    <row r="74" spans="6:13" x14ac:dyDescent="0.4">
      <c r="F74" s="1">
        <v>23590</v>
      </c>
      <c r="G74" s="16">
        <v>318.69</v>
      </c>
      <c r="H74" s="16">
        <f t="shared" si="6"/>
        <v>320.03735883102746</v>
      </c>
      <c r="I74">
        <f t="shared" si="7"/>
        <v>8</v>
      </c>
      <c r="J74" s="16" cm="1">
        <f t="array" ref="J74">INDEX(Sm,I74)</f>
        <v>-1.3971602749585079</v>
      </c>
      <c r="K74" s="16">
        <f t="shared" si="8"/>
        <v>318.64019855606898</v>
      </c>
      <c r="L74" s="16">
        <f t="shared" si="9"/>
        <v>4.980144393101682E-2</v>
      </c>
      <c r="M74" s="16">
        <f t="shared" si="10"/>
        <v>2.480183817614212E-3</v>
      </c>
    </row>
    <row r="75" spans="6:13" x14ac:dyDescent="0.4">
      <c r="F75" s="1">
        <v>23621</v>
      </c>
      <c r="G75" s="16">
        <v>316.7</v>
      </c>
      <c r="H75" s="16">
        <f t="shared" si="6"/>
        <v>320.11630771360194</v>
      </c>
      <c r="I75">
        <f t="shared" si="7"/>
        <v>9</v>
      </c>
      <c r="J75" s="16" cm="1">
        <f t="array" ref="J75">INDEX(Sm,I75)</f>
        <v>-3.1930865277187257</v>
      </c>
      <c r="K75" s="16">
        <f t="shared" si="8"/>
        <v>316.92322118588322</v>
      </c>
      <c r="L75" s="16">
        <f t="shared" si="9"/>
        <v>-0.22322118588323292</v>
      </c>
      <c r="M75" s="16">
        <f t="shared" si="10"/>
        <v>4.9827697827116824E-2</v>
      </c>
    </row>
    <row r="76" spans="6:13" x14ac:dyDescent="0.4">
      <c r="F76" s="1">
        <v>23651</v>
      </c>
      <c r="G76" s="16">
        <v>316.87</v>
      </c>
      <c r="H76" s="16">
        <f t="shared" si="6"/>
        <v>320.19288928460759</v>
      </c>
      <c r="I76">
        <f t="shared" si="7"/>
        <v>10</v>
      </c>
      <c r="J76" s="16" cm="1">
        <f t="array" ref="J76">INDEX(Sm,I76)</f>
        <v>-3.3364130066587929</v>
      </c>
      <c r="K76" s="16">
        <f t="shared" si="8"/>
        <v>316.85647627794879</v>
      </c>
      <c r="L76" s="16">
        <f t="shared" si="9"/>
        <v>1.3523722051218101E-2</v>
      </c>
      <c r="M76" s="16">
        <f t="shared" si="10"/>
        <v>1.8289105811860273E-4</v>
      </c>
    </row>
    <row r="77" spans="6:13" x14ac:dyDescent="0.4">
      <c r="F77" s="1">
        <v>23682</v>
      </c>
      <c r="G77" s="16">
        <v>317.68</v>
      </c>
      <c r="H77" s="16">
        <f t="shared" si="6"/>
        <v>320.27220898211135</v>
      </c>
      <c r="I77">
        <f t="shared" si="7"/>
        <v>11</v>
      </c>
      <c r="J77" s="16" cm="1">
        <f t="array" ref="J77">INDEX(Sm,I77)</f>
        <v>-2.0587659549634894</v>
      </c>
      <c r="K77" s="16">
        <f t="shared" si="8"/>
        <v>318.21344302714789</v>
      </c>
      <c r="L77" s="16">
        <f t="shared" si="9"/>
        <v>-0.53344302714788228</v>
      </c>
      <c r="M77" s="16">
        <f t="shared" si="10"/>
        <v>0.28456146321269626</v>
      </c>
    </row>
    <row r="78" spans="6:13" x14ac:dyDescent="0.4">
      <c r="F78" s="1">
        <v>23712</v>
      </c>
      <c r="G78" s="16">
        <v>318.70999999999998</v>
      </c>
      <c r="H78" s="16">
        <f t="shared" si="6"/>
        <v>320.34914940627442</v>
      </c>
      <c r="I78">
        <f t="shared" si="7"/>
        <v>12</v>
      </c>
      <c r="J78" s="16" cm="1">
        <f t="array" ref="J78">INDEX(Sm,I78)</f>
        <v>-0.89092746367992248</v>
      </c>
      <c r="K78" s="16">
        <f t="shared" si="8"/>
        <v>319.45822194259449</v>
      </c>
      <c r="L78" s="16">
        <f t="shared" si="9"/>
        <v>-0.7482219425945118</v>
      </c>
      <c r="M78" s="16">
        <f t="shared" si="10"/>
        <v>0.55983607537990487</v>
      </c>
    </row>
    <row r="79" spans="6:13" x14ac:dyDescent="0.4">
      <c r="F79" s="1">
        <v>23743</v>
      </c>
      <c r="G79" s="16">
        <v>319.44</v>
      </c>
      <c r="H79" s="16">
        <f t="shared" si="6"/>
        <v>320.42883991870758</v>
      </c>
      <c r="I79">
        <f t="shared" si="7"/>
        <v>1</v>
      </c>
      <c r="J79" s="16" cm="1">
        <f t="array" ref="J79">INDEX(Sm,I79)</f>
        <v>6.1437951108157106E-2</v>
      </c>
      <c r="K79" s="16">
        <f t="shared" si="8"/>
        <v>320.49027786981571</v>
      </c>
      <c r="L79" s="16">
        <f t="shared" si="9"/>
        <v>-1.0502778698157158</v>
      </c>
      <c r="M79" s="16">
        <f t="shared" si="10"/>
        <v>1.1030836038246377</v>
      </c>
    </row>
    <row r="80" spans="6:13" x14ac:dyDescent="0.4">
      <c r="F80" s="1">
        <v>23774</v>
      </c>
      <c r="G80" s="16">
        <v>320.44</v>
      </c>
      <c r="H80" s="16">
        <f t="shared" si="6"/>
        <v>320.50871887807199</v>
      </c>
      <c r="I80">
        <f t="shared" si="7"/>
        <v>2</v>
      </c>
      <c r="J80" s="16" cm="1">
        <f t="array" ref="J80">INDEX(Sm,I80)</f>
        <v>0.69461918775013354</v>
      </c>
      <c r="K80" s="16">
        <f t="shared" si="8"/>
        <v>321.20333806582209</v>
      </c>
      <c r="L80" s="16">
        <f t="shared" si="9"/>
        <v>-0.76333806582209718</v>
      </c>
      <c r="M80" s="16">
        <f t="shared" si="10"/>
        <v>0.58268500273302037</v>
      </c>
    </row>
    <row r="81" spans="6:13" x14ac:dyDescent="0.4">
      <c r="F81" s="1">
        <v>23802</v>
      </c>
      <c r="G81" s="16">
        <v>320.89</v>
      </c>
      <c r="H81" s="16">
        <f t="shared" si="6"/>
        <v>320.58102958971983</v>
      </c>
      <c r="I81">
        <f t="shared" si="7"/>
        <v>3</v>
      </c>
      <c r="J81" s="16" cm="1">
        <f t="array" ref="J81">INDEX(Sm,I81)</f>
        <v>1.3737674679346947</v>
      </c>
      <c r="K81" s="16">
        <f t="shared" si="8"/>
        <v>321.9547970576545</v>
      </c>
      <c r="L81" s="16">
        <f t="shared" si="9"/>
        <v>-1.0647970576545163</v>
      </c>
      <c r="M81" s="16">
        <f t="shared" si="10"/>
        <v>1.1337927739897153</v>
      </c>
    </row>
    <row r="82" spans="6:13" x14ac:dyDescent="0.4">
      <c r="F82" s="1">
        <v>23833</v>
      </c>
      <c r="G82" s="16">
        <v>322.14</v>
      </c>
      <c r="H82" s="16">
        <f t="shared" si="6"/>
        <v>320.6612672061471</v>
      </c>
      <c r="I82">
        <f t="shared" si="7"/>
        <v>4</v>
      </c>
      <c r="J82" s="16" cm="1">
        <f t="array" ref="J82">INDEX(Sm,I82)</f>
        <v>2.6103146023823673</v>
      </c>
      <c r="K82" s="16">
        <f t="shared" si="8"/>
        <v>323.27158180852945</v>
      </c>
      <c r="L82" s="16">
        <f t="shared" si="9"/>
        <v>-1.1315818085294609</v>
      </c>
      <c r="M82" s="16">
        <f t="shared" si="10"/>
        <v>1.2804773893948054</v>
      </c>
    </row>
    <row r="83" spans="6:13" x14ac:dyDescent="0.4">
      <c r="F83" s="1">
        <v>23863</v>
      </c>
      <c r="G83" s="16">
        <v>322.17</v>
      </c>
      <c r="H83" s="16">
        <f t="shared" si="6"/>
        <v>320.7390959389457</v>
      </c>
      <c r="I83">
        <f t="shared" si="7"/>
        <v>5</v>
      </c>
      <c r="J83" s="16" cm="1">
        <f t="array" ref="J83">INDEX(Sm,I83)</f>
        <v>3.0656878503632123</v>
      </c>
      <c r="K83" s="16">
        <f t="shared" si="8"/>
        <v>323.80478378930889</v>
      </c>
      <c r="L83" s="16">
        <f t="shared" si="9"/>
        <v>-1.6347837893088695</v>
      </c>
      <c r="M83" s="16">
        <f t="shared" si="10"/>
        <v>2.6725180377870661</v>
      </c>
    </row>
    <row r="84" spans="6:13" x14ac:dyDescent="0.4">
      <c r="F84" s="1">
        <v>23894</v>
      </c>
      <c r="G84" s="16">
        <v>321.87</v>
      </c>
      <c r="H84" s="16">
        <f t="shared" si="6"/>
        <v>320.8197043703023</v>
      </c>
      <c r="I84">
        <f t="shared" si="7"/>
        <v>6</v>
      </c>
      <c r="J84" s="16" cm="1">
        <f t="array" ref="J84">INDEX(Sm,I84)</f>
        <v>2.3467878975381979</v>
      </c>
      <c r="K84" s="16">
        <f t="shared" si="8"/>
        <v>323.16649226784051</v>
      </c>
      <c r="L84" s="16">
        <f t="shared" si="9"/>
        <v>-1.296492267840506</v>
      </c>
      <c r="M84" s="16">
        <f t="shared" si="10"/>
        <v>1.6808922005702183</v>
      </c>
    </row>
    <row r="85" spans="6:13" x14ac:dyDescent="0.4">
      <c r="F85" s="1">
        <v>23924</v>
      </c>
      <c r="G85" s="16">
        <v>321.20999999999998</v>
      </c>
      <c r="H85" s="16">
        <f t="shared" si="6"/>
        <v>320.89789195625832</v>
      </c>
      <c r="I85">
        <f t="shared" si="7"/>
        <v>7</v>
      </c>
      <c r="J85" s="16" cm="1">
        <f t="array" ref="J85">INDEX(Sm,I85)</f>
        <v>0.72373827090267417</v>
      </c>
      <c r="K85" s="16">
        <f t="shared" si="8"/>
        <v>321.62163022716101</v>
      </c>
      <c r="L85" s="16">
        <f t="shared" si="9"/>
        <v>-0.4116302271610266</v>
      </c>
      <c r="M85" s="16">
        <f t="shared" si="10"/>
        <v>0.16943944391263835</v>
      </c>
    </row>
    <row r="86" spans="6:13" x14ac:dyDescent="0.4">
      <c r="F86" s="1">
        <v>23955</v>
      </c>
      <c r="G86" s="16">
        <v>318.87</v>
      </c>
      <c r="H86" s="16">
        <f t="shared" si="6"/>
        <v>320.97887120254421</v>
      </c>
      <c r="I86">
        <f t="shared" si="7"/>
        <v>8</v>
      </c>
      <c r="J86" s="16" cm="1">
        <f t="array" ref="J86">INDEX(Sm,I86)</f>
        <v>-1.3971602749585079</v>
      </c>
      <c r="K86" s="16">
        <f t="shared" si="8"/>
        <v>319.58171092758573</v>
      </c>
      <c r="L86" s="16">
        <f t="shared" si="9"/>
        <v>-0.7117109275857274</v>
      </c>
      <c r="M86" s="16">
        <f t="shared" si="10"/>
        <v>0.5065324444449365</v>
      </c>
    </row>
    <row r="87" spans="6:13" x14ac:dyDescent="0.4">
      <c r="F87" s="1">
        <v>23986</v>
      </c>
      <c r="G87" s="16">
        <v>317.81</v>
      </c>
      <c r="H87" s="16">
        <f t="shared" si="6"/>
        <v>321.06003889576141</v>
      </c>
      <c r="I87">
        <f t="shared" si="7"/>
        <v>9</v>
      </c>
      <c r="J87" s="16" cm="1">
        <f t="array" ref="J87">INDEX(Sm,I87)</f>
        <v>-3.1930865277187257</v>
      </c>
      <c r="K87" s="16">
        <f t="shared" si="8"/>
        <v>317.86695236804269</v>
      </c>
      <c r="L87" s="16">
        <f t="shared" si="9"/>
        <v>-5.6952368042686885E-2</v>
      </c>
      <c r="M87" s="16">
        <f t="shared" si="10"/>
        <v>3.2435722256696623E-3</v>
      </c>
    </row>
    <row r="88" spans="6:13" x14ac:dyDescent="0.4">
      <c r="F88" s="1">
        <v>24016</v>
      </c>
      <c r="G88" s="16">
        <v>317.3</v>
      </c>
      <c r="H88" s="16">
        <f t="shared" si="6"/>
        <v>321.13876770287288</v>
      </c>
      <c r="I88">
        <f t="shared" si="7"/>
        <v>10</v>
      </c>
      <c r="J88" s="16" cm="1">
        <f t="array" ref="J88">INDEX(Sm,I88)</f>
        <v>-3.3364130066587929</v>
      </c>
      <c r="K88" s="16">
        <f t="shared" si="8"/>
        <v>317.80235469621408</v>
      </c>
      <c r="L88" s="16">
        <f t="shared" si="9"/>
        <v>-0.50235469621406992</v>
      </c>
      <c r="M88" s="16">
        <f t="shared" si="10"/>
        <v>0.25236024080833047</v>
      </c>
    </row>
    <row r="89" spans="6:13" x14ac:dyDescent="0.4">
      <c r="F89" s="1">
        <v>24047</v>
      </c>
      <c r="G89" s="16">
        <v>318.87</v>
      </c>
      <c r="H89" s="16">
        <f t="shared" si="6"/>
        <v>321.22030621101942</v>
      </c>
      <c r="I89">
        <f t="shared" si="7"/>
        <v>11</v>
      </c>
      <c r="J89" s="16" cm="1">
        <f t="array" ref="J89">INDEX(Sm,I89)</f>
        <v>-2.0587659549634894</v>
      </c>
      <c r="K89" s="16">
        <f t="shared" si="8"/>
        <v>319.16154025605596</v>
      </c>
      <c r="L89" s="16">
        <f t="shared" si="9"/>
        <v>-0.2915402560559528</v>
      </c>
      <c r="M89" s="16">
        <f t="shared" si="10"/>
        <v>8.4995720901170524E-2</v>
      </c>
    </row>
    <row r="90" spans="6:13" x14ac:dyDescent="0.4">
      <c r="F90" s="1">
        <v>24077</v>
      </c>
      <c r="G90" s="16">
        <v>319.42</v>
      </c>
      <c r="H90" s="16">
        <f t="shared" si="6"/>
        <v>321.29939387128832</v>
      </c>
      <c r="I90">
        <f t="shared" si="7"/>
        <v>12</v>
      </c>
      <c r="J90" s="16" cm="1">
        <f t="array" ref="J90">INDEX(Sm,I90)</f>
        <v>-0.89092746367992248</v>
      </c>
      <c r="K90" s="16">
        <f t="shared" si="8"/>
        <v>320.40846640760839</v>
      </c>
      <c r="L90" s="16">
        <f t="shared" si="9"/>
        <v>-0.9884664076083709</v>
      </c>
      <c r="M90" s="16">
        <f t="shared" si="10"/>
        <v>0.97706583897019805</v>
      </c>
    </row>
    <row r="91" spans="6:13" x14ac:dyDescent="0.4">
      <c r="F91" s="1">
        <v>24108</v>
      </c>
      <c r="G91" s="16">
        <v>320.62</v>
      </c>
      <c r="H91" s="16">
        <f t="shared" si="6"/>
        <v>321.38130319436419</v>
      </c>
      <c r="I91">
        <f t="shared" si="7"/>
        <v>1</v>
      </c>
      <c r="J91" s="16" cm="1">
        <f t="array" ref="J91">INDEX(Sm,I91)</f>
        <v>6.1437951108157106E-2</v>
      </c>
      <c r="K91" s="16">
        <f t="shared" si="8"/>
        <v>321.44274114547233</v>
      </c>
      <c r="L91" s="16">
        <f t="shared" si="9"/>
        <v>-0.82274114547232102</v>
      </c>
      <c r="M91" s="16">
        <f t="shared" si="10"/>
        <v>0.67690299245310692</v>
      </c>
    </row>
    <row r="92" spans="6:13" x14ac:dyDescent="0.4">
      <c r="F92" s="1">
        <v>24139</v>
      </c>
      <c r="G92" s="16">
        <v>321.60000000000002</v>
      </c>
      <c r="H92" s="16">
        <f t="shared" si="6"/>
        <v>321.46340096437137</v>
      </c>
      <c r="I92">
        <f t="shared" si="7"/>
        <v>2</v>
      </c>
      <c r="J92" s="16" cm="1">
        <f t="array" ref="J92">INDEX(Sm,I92)</f>
        <v>0.69461918775013354</v>
      </c>
      <c r="K92" s="16">
        <f t="shared" si="8"/>
        <v>322.15802015212148</v>
      </c>
      <c r="L92" s="16">
        <f t="shared" si="9"/>
        <v>-0.55802015212145761</v>
      </c>
      <c r="M92" s="16">
        <f t="shared" si="10"/>
        <v>0.31138649017365472</v>
      </c>
    </row>
    <row r="93" spans="6:13" x14ac:dyDescent="0.4">
      <c r="F93" s="1">
        <v>24167</v>
      </c>
      <c r="G93" s="16">
        <v>322.39</v>
      </c>
      <c r="H93" s="16">
        <f t="shared" si="6"/>
        <v>321.53771576305138</v>
      </c>
      <c r="I93">
        <f t="shared" si="7"/>
        <v>3</v>
      </c>
      <c r="J93" s="16" cm="1">
        <f t="array" ref="J93">INDEX(Sm,I93)</f>
        <v>1.3737674679346947</v>
      </c>
      <c r="K93" s="16">
        <f t="shared" si="8"/>
        <v>322.91148323098605</v>
      </c>
      <c r="L93" s="16">
        <f t="shared" si="9"/>
        <v>-0.52148323098606397</v>
      </c>
      <c r="M93" s="16">
        <f t="shared" si="10"/>
        <v>0.27194476019966457</v>
      </c>
    </row>
    <row r="94" spans="6:13" x14ac:dyDescent="0.4">
      <c r="F94" s="1">
        <v>24198</v>
      </c>
      <c r="G94" s="16">
        <v>323.7</v>
      </c>
      <c r="H94" s="16">
        <f t="shared" si="6"/>
        <v>321.62017219012137</v>
      </c>
      <c r="I94">
        <f t="shared" si="7"/>
        <v>4</v>
      </c>
      <c r="J94" s="16" cm="1">
        <f t="array" ref="J94">INDEX(Sm,I94)</f>
        <v>2.6103146023823673</v>
      </c>
      <c r="K94" s="16">
        <f t="shared" si="8"/>
        <v>324.23048679250371</v>
      </c>
      <c r="L94" s="16">
        <f t="shared" si="9"/>
        <v>-0.53048679250372288</v>
      </c>
      <c r="M94" s="16">
        <f t="shared" si="10"/>
        <v>0.28141623702088792</v>
      </c>
    </row>
    <row r="95" spans="6:13" x14ac:dyDescent="0.4">
      <c r="F95" s="1">
        <v>24228</v>
      </c>
      <c r="G95" s="16">
        <v>324.08</v>
      </c>
      <c r="H95" s="16">
        <f t="shared" si="6"/>
        <v>321.70014815902584</v>
      </c>
      <c r="I95">
        <f t="shared" si="7"/>
        <v>5</v>
      </c>
      <c r="J95" s="16" cm="1">
        <f t="array" ref="J95">INDEX(Sm,I95)</f>
        <v>3.0656878503632123</v>
      </c>
      <c r="K95" s="16">
        <f t="shared" si="8"/>
        <v>324.76583600938903</v>
      </c>
      <c r="L95" s="16">
        <f t="shared" si="9"/>
        <v>-0.68583600938904965</v>
      </c>
      <c r="M95" s="16">
        <f t="shared" si="10"/>
        <v>0.47037103177469658</v>
      </c>
    </row>
    <row r="96" spans="6:13" x14ac:dyDescent="0.4">
      <c r="F96" s="1">
        <v>24259</v>
      </c>
      <c r="G96" s="16">
        <v>323.75</v>
      </c>
      <c r="H96" s="16">
        <f t="shared" si="6"/>
        <v>321.78297540102511</v>
      </c>
      <c r="I96">
        <f t="shared" si="7"/>
        <v>6</v>
      </c>
      <c r="J96" s="16" cm="1">
        <f t="array" ref="J96">INDEX(Sm,I96)</f>
        <v>2.3467878975381979</v>
      </c>
      <c r="K96" s="16">
        <f t="shared" si="8"/>
        <v>324.12976329856332</v>
      </c>
      <c r="L96" s="16">
        <f t="shared" si="9"/>
        <v>-0.37976329856331859</v>
      </c>
      <c r="M96" s="16">
        <f t="shared" si="10"/>
        <v>0.14422016293569226</v>
      </c>
    </row>
    <row r="97" spans="6:13" x14ac:dyDescent="0.4">
      <c r="F97" s="1">
        <v>24289</v>
      </c>
      <c r="G97" s="16">
        <v>322.38</v>
      </c>
      <c r="H97" s="16">
        <f t="shared" si="6"/>
        <v>321.86331022308701</v>
      </c>
      <c r="I97">
        <f t="shared" si="7"/>
        <v>7</v>
      </c>
      <c r="J97" s="16" cm="1">
        <f t="array" ref="J97">INDEX(Sm,I97)</f>
        <v>0.72373827090267417</v>
      </c>
      <c r="K97" s="16">
        <f t="shared" si="8"/>
        <v>322.5870484939897</v>
      </c>
      <c r="L97" s="16">
        <f t="shared" si="9"/>
        <v>-0.20704849398970282</v>
      </c>
      <c r="M97" s="16">
        <f t="shared" si="10"/>
        <v>4.2869078863404006E-2</v>
      </c>
    </row>
    <row r="98" spans="6:13" x14ac:dyDescent="0.4">
      <c r="F98" s="1">
        <v>24320</v>
      </c>
      <c r="G98" s="16">
        <v>320.36</v>
      </c>
      <c r="H98" s="16">
        <f t="shared" si="6"/>
        <v>321.94650828001568</v>
      </c>
      <c r="I98">
        <f t="shared" si="7"/>
        <v>8</v>
      </c>
      <c r="J98" s="16" cm="1">
        <f t="array" ref="J98">INDEX(Sm,I98)</f>
        <v>-1.3971602749585079</v>
      </c>
      <c r="K98" s="16">
        <f t="shared" si="8"/>
        <v>320.5493480050572</v>
      </c>
      <c r="L98" s="16">
        <f t="shared" si="9"/>
        <v>-0.18934800505718385</v>
      </c>
      <c r="M98" s="16">
        <f t="shared" si="10"/>
        <v>3.5852667019135323E-2</v>
      </c>
    </row>
    <row r="99" spans="6:13" x14ac:dyDescent="0.4">
      <c r="F99" s="1">
        <v>24351</v>
      </c>
      <c r="G99" s="16">
        <v>318.64</v>
      </c>
      <c r="H99" s="16">
        <f t="shared" si="6"/>
        <v>322.02989478387559</v>
      </c>
      <c r="I99">
        <f t="shared" si="7"/>
        <v>9</v>
      </c>
      <c r="J99" s="16" cm="1">
        <f t="array" ref="J99">INDEX(Sm,I99)</f>
        <v>-3.1930865277187257</v>
      </c>
      <c r="K99" s="16">
        <f t="shared" si="8"/>
        <v>318.83680825615687</v>
      </c>
      <c r="L99" s="16">
        <f t="shared" si="9"/>
        <v>-0.19680825615688491</v>
      </c>
      <c r="M99" s="16">
        <f t="shared" si="10"/>
        <v>3.8733489691514029E-2</v>
      </c>
    </row>
    <row r="100" spans="6:13" x14ac:dyDescent="0.4">
      <c r="F100" s="1">
        <v>24381</v>
      </c>
      <c r="G100" s="16">
        <v>318.10000000000002</v>
      </c>
      <c r="H100" s="16">
        <f t="shared" si="6"/>
        <v>322.11077082709295</v>
      </c>
      <c r="I100">
        <f t="shared" si="7"/>
        <v>10</v>
      </c>
      <c r="J100" s="16" cm="1">
        <f t="array" ref="J100">INDEX(Sm,I100)</f>
        <v>-3.3364130066587929</v>
      </c>
      <c r="K100" s="16">
        <f t="shared" si="8"/>
        <v>318.77435782043415</v>
      </c>
      <c r="L100" s="16">
        <f t="shared" si="9"/>
        <v>-0.67435782043412473</v>
      </c>
      <c r="M100" s="16">
        <f t="shared" si="10"/>
        <v>0.45475846998066322</v>
      </c>
    </row>
    <row r="101" spans="6:13" x14ac:dyDescent="0.4">
      <c r="F101" s="1">
        <v>24412</v>
      </c>
      <c r="G101" s="16">
        <v>319.77999999999997</v>
      </c>
      <c r="H101" s="16">
        <f t="shared" si="6"/>
        <v>322.1945281458822</v>
      </c>
      <c r="I101">
        <f t="shared" si="7"/>
        <v>11</v>
      </c>
      <c r="J101" s="16" cm="1">
        <f t="array" ref="J101">INDEX(Sm,I101)</f>
        <v>-2.0587659549634894</v>
      </c>
      <c r="K101" s="16">
        <f t="shared" si="8"/>
        <v>320.13576219091874</v>
      </c>
      <c r="L101" s="16">
        <f t="shared" si="9"/>
        <v>-0.35576219091876737</v>
      </c>
      <c r="M101" s="16">
        <f t="shared" si="10"/>
        <v>0.12656673648732147</v>
      </c>
    </row>
    <row r="102" spans="6:13" x14ac:dyDescent="0.4">
      <c r="F102" s="1">
        <v>24442</v>
      </c>
      <c r="G102" s="16">
        <v>321.02999999999997</v>
      </c>
      <c r="H102" s="16">
        <f t="shared" si="6"/>
        <v>322.27576304225698</v>
      </c>
      <c r="I102">
        <f t="shared" si="7"/>
        <v>12</v>
      </c>
      <c r="J102" s="16" cm="1">
        <f t="array" ref="J102">INDEX(Sm,I102)</f>
        <v>-0.89092746367992248</v>
      </c>
      <c r="K102" s="16">
        <f t="shared" si="8"/>
        <v>321.38483557857705</v>
      </c>
      <c r="L102" s="16">
        <f t="shared" si="9"/>
        <v>-0.35483557857708092</v>
      </c>
      <c r="M102" s="16">
        <f t="shared" si="10"/>
        <v>0.12590828782413177</v>
      </c>
    </row>
    <row r="103" spans="6:13" x14ac:dyDescent="0.4">
      <c r="F103" s="1">
        <v>24473</v>
      </c>
      <c r="G103" s="16">
        <v>322.33</v>
      </c>
      <c r="H103" s="16">
        <f t="shared" si="6"/>
        <v>322.35989117597558</v>
      </c>
      <c r="I103">
        <f t="shared" si="7"/>
        <v>1</v>
      </c>
      <c r="J103" s="16" cm="1">
        <f t="array" ref="J103">INDEX(Sm,I103)</f>
        <v>6.1437951108157106E-2</v>
      </c>
      <c r="K103" s="16">
        <f t="shared" si="8"/>
        <v>322.42132912708371</v>
      </c>
      <c r="L103" s="16">
        <f t="shared" si="9"/>
        <v>-9.132912708372487E-2</v>
      </c>
      <c r="M103" s="16">
        <f t="shared" si="10"/>
        <v>8.3410094538751683E-3</v>
      </c>
    </row>
    <row r="104" spans="6:13" x14ac:dyDescent="0.4">
      <c r="F104" s="1">
        <v>24504</v>
      </c>
      <c r="G104" s="16">
        <v>322.5</v>
      </c>
      <c r="H104" s="16">
        <f t="shared" si="6"/>
        <v>322.44420775662547</v>
      </c>
      <c r="I104">
        <f t="shared" si="7"/>
        <v>2</v>
      </c>
      <c r="J104" s="16" cm="1">
        <f t="array" ref="J104">INDEX(Sm,I104)</f>
        <v>0.69461918775013354</v>
      </c>
      <c r="K104" s="16">
        <f t="shared" si="8"/>
        <v>323.13882694437558</v>
      </c>
      <c r="L104" s="16">
        <f t="shared" si="9"/>
        <v>-0.6388269443755803</v>
      </c>
      <c r="M104" s="16">
        <f t="shared" si="10"/>
        <v>0.40809986486024075</v>
      </c>
    </row>
    <row r="105" spans="6:13" x14ac:dyDescent="0.4">
      <c r="F105" s="1">
        <v>24532</v>
      </c>
      <c r="G105" s="16">
        <v>323.04000000000002</v>
      </c>
      <c r="H105" s="16">
        <f t="shared" si="6"/>
        <v>322.52052664233764</v>
      </c>
      <c r="I105">
        <f t="shared" si="7"/>
        <v>3</v>
      </c>
      <c r="J105" s="16" cm="1">
        <f t="array" ref="J105">INDEX(Sm,I105)</f>
        <v>1.3737674679346947</v>
      </c>
      <c r="K105" s="16">
        <f t="shared" si="8"/>
        <v>323.89429411027231</v>
      </c>
      <c r="L105" s="16">
        <f t="shared" si="9"/>
        <v>-0.85429411027229207</v>
      </c>
      <c r="M105" s="16">
        <f t="shared" si="10"/>
        <v>0.72981842684592713</v>
      </c>
    </row>
    <row r="106" spans="6:13" x14ac:dyDescent="0.4">
      <c r="F106" s="1">
        <v>24563</v>
      </c>
      <c r="G106" s="16">
        <v>324.42</v>
      </c>
      <c r="H106" s="16">
        <f t="shared" si="6"/>
        <v>322.60520188005034</v>
      </c>
      <c r="I106">
        <f t="shared" si="7"/>
        <v>4</v>
      </c>
      <c r="J106" s="16" cm="1">
        <f t="array" ref="J106">INDEX(Sm,I106)</f>
        <v>2.6103146023823673</v>
      </c>
      <c r="K106" s="16">
        <f t="shared" si="8"/>
        <v>325.21551648243269</v>
      </c>
      <c r="L106" s="16">
        <f t="shared" si="9"/>
        <v>-0.79551648243267437</v>
      </c>
      <c r="M106" s="16">
        <f t="shared" si="10"/>
        <v>0.6328464738220555</v>
      </c>
    </row>
    <row r="107" spans="6:13" x14ac:dyDescent="0.4">
      <c r="F107" s="1">
        <v>24593</v>
      </c>
      <c r="G107" s="16">
        <v>325</v>
      </c>
      <c r="H107" s="16">
        <f t="shared" si="6"/>
        <v>322.68732508506065</v>
      </c>
      <c r="I107">
        <f t="shared" si="7"/>
        <v>5</v>
      </c>
      <c r="J107" s="16" cm="1">
        <f t="array" ref="J107">INDEX(Sm,I107)</f>
        <v>3.0656878503632123</v>
      </c>
      <c r="K107" s="16">
        <f t="shared" si="8"/>
        <v>325.75301293542384</v>
      </c>
      <c r="L107" s="16">
        <f t="shared" si="9"/>
        <v>-0.75301293542383974</v>
      </c>
      <c r="M107" s="16">
        <f t="shared" si="10"/>
        <v>0.56702848091562785</v>
      </c>
    </row>
    <row r="108" spans="6:13" x14ac:dyDescent="0.4">
      <c r="F108" s="1">
        <v>24624</v>
      </c>
      <c r="G108" s="16">
        <v>324.08999999999997</v>
      </c>
      <c r="H108" s="16">
        <f t="shared" si="6"/>
        <v>322.77237113770269</v>
      </c>
      <c r="I108">
        <f t="shared" si="7"/>
        <v>6</v>
      </c>
      <c r="J108" s="16" cm="1">
        <f t="array" ref="J108">INDEX(Sm,I108)</f>
        <v>2.3467878975381979</v>
      </c>
      <c r="K108" s="16">
        <f t="shared" si="8"/>
        <v>325.1191590352409</v>
      </c>
      <c r="L108" s="16">
        <f t="shared" si="9"/>
        <v>-1.029159035240923</v>
      </c>
      <c r="M108" s="16">
        <f t="shared" si="10"/>
        <v>1.0591683198180275</v>
      </c>
    </row>
    <row r="109" spans="6:13" x14ac:dyDescent="0.4">
      <c r="F109" s="1">
        <v>24654</v>
      </c>
      <c r="G109" s="16">
        <v>322.54000000000002</v>
      </c>
      <c r="H109" s="16">
        <f t="shared" si="6"/>
        <v>322.85485319587048</v>
      </c>
      <c r="I109">
        <f t="shared" si="7"/>
        <v>7</v>
      </c>
      <c r="J109" s="16" cm="1">
        <f t="array" ref="J109">INDEX(Sm,I109)</f>
        <v>0.72373827090267417</v>
      </c>
      <c r="K109" s="16">
        <f t="shared" si="8"/>
        <v>323.57859146677316</v>
      </c>
      <c r="L109" s="16">
        <f t="shared" si="9"/>
        <v>-1.0385914667731413</v>
      </c>
      <c r="M109" s="16">
        <f t="shared" si="10"/>
        <v>1.078672234853985</v>
      </c>
    </row>
    <row r="110" spans="6:13" x14ac:dyDescent="0.4">
      <c r="F110" s="1">
        <v>24685</v>
      </c>
      <c r="G110" s="16">
        <v>320.92</v>
      </c>
      <c r="H110" s="16">
        <f t="shared" si="6"/>
        <v>322.9402700634418</v>
      </c>
      <c r="I110">
        <f t="shared" si="7"/>
        <v>8</v>
      </c>
      <c r="J110" s="16" cm="1">
        <f t="array" ref="J110">INDEX(Sm,I110)</f>
        <v>-1.3971602749585079</v>
      </c>
      <c r="K110" s="16">
        <f t="shared" si="8"/>
        <v>321.54310978848332</v>
      </c>
      <c r="L110" s="16">
        <f t="shared" si="9"/>
        <v>-0.62310978848330478</v>
      </c>
      <c r="M110" s="16">
        <f t="shared" si="10"/>
        <v>0.38826580850370884</v>
      </c>
    </row>
    <row r="111" spans="6:13" x14ac:dyDescent="0.4">
      <c r="F111" s="1">
        <v>24716</v>
      </c>
      <c r="G111" s="16">
        <v>319.25</v>
      </c>
      <c r="H111" s="16">
        <f t="shared" si="6"/>
        <v>323.02587537794449</v>
      </c>
      <c r="I111">
        <f t="shared" si="7"/>
        <v>9</v>
      </c>
      <c r="J111" s="16" cm="1">
        <f t="array" ref="J111">INDEX(Sm,I111)</f>
        <v>-3.1930865277187257</v>
      </c>
      <c r="K111" s="16">
        <f t="shared" si="8"/>
        <v>319.83278885022577</v>
      </c>
      <c r="L111" s="16">
        <f t="shared" si="9"/>
        <v>-0.58278885022576787</v>
      </c>
      <c r="M111" s="16">
        <f t="shared" si="10"/>
        <v>0.33964284394747252</v>
      </c>
    </row>
    <row r="112" spans="6:13" x14ac:dyDescent="0.4">
      <c r="F112" s="1">
        <v>24746</v>
      </c>
      <c r="G112" s="16">
        <v>319.39</v>
      </c>
      <c r="H112" s="16">
        <f t="shared" si="6"/>
        <v>323.10889865726773</v>
      </c>
      <c r="I112">
        <f t="shared" si="7"/>
        <v>10</v>
      </c>
      <c r="J112" s="16" cm="1">
        <f t="array" ref="J112">INDEX(Sm,I112)</f>
        <v>-3.3364130066587929</v>
      </c>
      <c r="K112" s="16">
        <f t="shared" si="8"/>
        <v>319.77248565060893</v>
      </c>
      <c r="L112" s="16">
        <f t="shared" si="9"/>
        <v>-0.3824856506089418</v>
      </c>
      <c r="M112" s="16">
        <f t="shared" si="10"/>
        <v>0.14629527292174549</v>
      </c>
    </row>
    <row r="113" spans="6:13" x14ac:dyDescent="0.4">
      <c r="F113" s="1">
        <v>24777</v>
      </c>
      <c r="G113" s="16">
        <v>320.73</v>
      </c>
      <c r="H113" s="16">
        <f t="shared" si="6"/>
        <v>323.1948747866997</v>
      </c>
      <c r="I113">
        <f t="shared" si="7"/>
        <v>11</v>
      </c>
      <c r="J113" s="16" cm="1">
        <f t="array" ref="J113">INDEX(Sm,I113)</f>
        <v>-2.0587659549634894</v>
      </c>
      <c r="K113" s="16">
        <f t="shared" si="8"/>
        <v>321.13610883173624</v>
      </c>
      <c r="L113" s="16">
        <f t="shared" si="9"/>
        <v>-0.40610883173621914</v>
      </c>
      <c r="M113" s="16">
        <f t="shared" si="10"/>
        <v>0.16492438321415676</v>
      </c>
    </row>
    <row r="114" spans="6:13" x14ac:dyDescent="0.4">
      <c r="F114" s="1">
        <v>24807</v>
      </c>
      <c r="G114" s="16">
        <v>321.95999999999998</v>
      </c>
      <c r="H114" s="16">
        <f t="shared" si="6"/>
        <v>323.27825691918036</v>
      </c>
      <c r="I114">
        <f t="shared" si="7"/>
        <v>12</v>
      </c>
      <c r="J114" s="16" cm="1">
        <f t="array" ref="J114">INDEX(Sm,I114)</f>
        <v>-0.89092746367992248</v>
      </c>
      <c r="K114" s="16">
        <f t="shared" si="8"/>
        <v>322.38732945550043</v>
      </c>
      <c r="L114" s="16">
        <f t="shared" si="9"/>
        <v>-0.42732945550045542</v>
      </c>
      <c r="M114" s="16">
        <f t="shared" si="10"/>
        <v>0.18261046353831573</v>
      </c>
    </row>
    <row r="115" spans="6:13" x14ac:dyDescent="0.4">
      <c r="F115" s="1">
        <v>24838</v>
      </c>
      <c r="G115" s="16">
        <v>322.57</v>
      </c>
      <c r="H115" s="16">
        <f t="shared" si="6"/>
        <v>323.36460386354167</v>
      </c>
      <c r="I115">
        <f t="shared" si="7"/>
        <v>1</v>
      </c>
      <c r="J115" s="16" cm="1">
        <f t="array" ref="J115">INDEX(Sm,I115)</f>
        <v>6.1437951108157106E-2</v>
      </c>
      <c r="K115" s="16">
        <f t="shared" si="8"/>
        <v>323.42604181464981</v>
      </c>
      <c r="L115" s="16">
        <f t="shared" si="9"/>
        <v>-0.85604181464981366</v>
      </c>
      <c r="M115" s="16">
        <f t="shared" si="10"/>
        <v>0.73280758842894589</v>
      </c>
    </row>
    <row r="116" spans="6:13" x14ac:dyDescent="0.4">
      <c r="F116" s="1">
        <v>24869</v>
      </c>
      <c r="G116" s="16">
        <v>323.14999999999998</v>
      </c>
      <c r="H116" s="16">
        <f t="shared" si="6"/>
        <v>323.45113925483429</v>
      </c>
      <c r="I116">
        <f t="shared" si="7"/>
        <v>2</v>
      </c>
      <c r="J116" s="16" cm="1">
        <f t="array" ref="J116">INDEX(Sm,I116)</f>
        <v>0.69461918775013354</v>
      </c>
      <c r="K116" s="16">
        <f t="shared" si="8"/>
        <v>324.14575844258439</v>
      </c>
      <c r="L116" s="16">
        <f t="shared" si="9"/>
        <v>-0.99575844258441748</v>
      </c>
      <c r="M116" s="16">
        <f t="shared" si="10"/>
        <v>0.9915348759781446</v>
      </c>
    </row>
    <row r="117" spans="6:13" x14ac:dyDescent="0.4">
      <c r="F117" s="1">
        <v>24898</v>
      </c>
      <c r="G117" s="16">
        <v>323.89</v>
      </c>
      <c r="H117" s="16">
        <f t="shared" si="6"/>
        <v>323.53226231997718</v>
      </c>
      <c r="I117">
        <f t="shared" si="7"/>
        <v>3</v>
      </c>
      <c r="J117" s="16" cm="1">
        <f t="array" ref="J117">INDEX(Sm,I117)</f>
        <v>1.3737674679346947</v>
      </c>
      <c r="K117" s="16">
        <f t="shared" si="8"/>
        <v>324.90602978791185</v>
      </c>
      <c r="L117" s="16">
        <f t="shared" si="9"/>
        <v>-1.0160297879118616</v>
      </c>
      <c r="M117" s="16">
        <f t="shared" si="10"/>
        <v>1.0323165299242225</v>
      </c>
    </row>
    <row r="118" spans="6:13" x14ac:dyDescent="0.4">
      <c r="F118" s="1">
        <v>24929</v>
      </c>
      <c r="G118" s="16">
        <v>325.02</v>
      </c>
      <c r="H118" s="16">
        <f t="shared" si="6"/>
        <v>323.61916244726586</v>
      </c>
      <c r="I118">
        <f t="shared" si="7"/>
        <v>4</v>
      </c>
      <c r="J118" s="16" cm="1">
        <f t="array" ref="J118">INDEX(Sm,I118)</f>
        <v>2.6103146023823673</v>
      </c>
      <c r="K118" s="16">
        <f t="shared" si="8"/>
        <v>326.22947704964821</v>
      </c>
      <c r="L118" s="16">
        <f t="shared" si="9"/>
        <v>-1.2094770496482283</v>
      </c>
      <c r="M118" s="16">
        <f t="shared" si="10"/>
        <v>1.462834733625783</v>
      </c>
    </row>
    <row r="119" spans="6:13" x14ac:dyDescent="0.4">
      <c r="F119" s="1">
        <v>24959</v>
      </c>
      <c r="G119" s="16">
        <v>325.57</v>
      </c>
      <c r="H119" s="16">
        <f t="shared" si="6"/>
        <v>323.7034387712207</v>
      </c>
      <c r="I119">
        <f t="shared" si="7"/>
        <v>5</v>
      </c>
      <c r="J119" s="16" cm="1">
        <f t="array" ref="J119">INDEX(Sm,I119)</f>
        <v>3.0656878503632123</v>
      </c>
      <c r="K119" s="16">
        <f t="shared" si="8"/>
        <v>326.76912662158389</v>
      </c>
      <c r="L119" s="16">
        <f t="shared" si="9"/>
        <v>-1.1991266215839005</v>
      </c>
      <c r="M119" s="16">
        <f t="shared" si="10"/>
        <v>1.4379046545912189</v>
      </c>
    </row>
    <row r="120" spans="6:13" x14ac:dyDescent="0.4">
      <c r="F120" s="1">
        <v>24990</v>
      </c>
      <c r="G120" s="16">
        <v>325.36</v>
      </c>
      <c r="H120" s="16">
        <f t="shared" si="6"/>
        <v>323.79070971343873</v>
      </c>
      <c r="I120">
        <f t="shared" si="7"/>
        <v>6</v>
      </c>
      <c r="J120" s="16" cm="1">
        <f t="array" ref="J120">INDEX(Sm,I120)</f>
        <v>2.3467878975381979</v>
      </c>
      <c r="K120" s="16">
        <f t="shared" si="8"/>
        <v>326.13749761097694</v>
      </c>
      <c r="L120" s="16">
        <f t="shared" si="9"/>
        <v>-0.77749761097692272</v>
      </c>
      <c r="M120" s="16">
        <f t="shared" si="10"/>
        <v>0.60450253507482221</v>
      </c>
    </row>
    <row r="121" spans="6:13" x14ac:dyDescent="0.4">
      <c r="F121" s="1">
        <v>25020</v>
      </c>
      <c r="G121" s="16">
        <v>324.14</v>
      </c>
      <c r="H121" s="16">
        <f t="shared" si="6"/>
        <v>323.87534489055105</v>
      </c>
      <c r="I121">
        <f t="shared" si="7"/>
        <v>7</v>
      </c>
      <c r="J121" s="16" cm="1">
        <f t="array" ref="J121">INDEX(Sm,I121)</f>
        <v>0.72373827090267417</v>
      </c>
      <c r="K121" s="16">
        <f t="shared" si="8"/>
        <v>324.59908316145373</v>
      </c>
      <c r="L121" s="16">
        <f t="shared" si="9"/>
        <v>-0.45908316145374783</v>
      </c>
      <c r="M121" s="16">
        <f t="shared" si="10"/>
        <v>0.21075734913036789</v>
      </c>
    </row>
    <row r="122" spans="6:13" x14ac:dyDescent="0.4">
      <c r="F122" s="1">
        <v>25051</v>
      </c>
      <c r="G122" s="16">
        <v>322.11</v>
      </c>
      <c r="H122" s="16">
        <f t="shared" si="6"/>
        <v>323.96298664769841</v>
      </c>
      <c r="I122">
        <f t="shared" si="7"/>
        <v>8</v>
      </c>
      <c r="J122" s="16" cm="1">
        <f t="array" ref="J122">INDEX(Sm,I122)</f>
        <v>-1.3971602749585079</v>
      </c>
      <c r="K122" s="16">
        <f t="shared" si="8"/>
        <v>322.56582637273993</v>
      </c>
      <c r="L122" s="16">
        <f t="shared" si="9"/>
        <v>-0.45582637273992077</v>
      </c>
      <c r="M122" s="16">
        <f t="shared" si="10"/>
        <v>0.20777768208523317</v>
      </c>
    </row>
    <row r="123" spans="6:13" x14ac:dyDescent="0.4">
      <c r="F123" s="1">
        <v>25082</v>
      </c>
      <c r="G123" s="16">
        <v>320.33</v>
      </c>
      <c r="H123" s="16">
        <f t="shared" si="6"/>
        <v>324.05081685177709</v>
      </c>
      <c r="I123">
        <f t="shared" si="7"/>
        <v>9</v>
      </c>
      <c r="J123" s="16" cm="1">
        <f t="array" ref="J123">INDEX(Sm,I123)</f>
        <v>-3.1930865277187257</v>
      </c>
      <c r="K123" s="16">
        <f t="shared" si="8"/>
        <v>320.85773032405837</v>
      </c>
      <c r="L123" s="16">
        <f t="shared" si="9"/>
        <v>-0.52773032405838194</v>
      </c>
      <c r="M123" s="16">
        <f t="shared" si="10"/>
        <v>0.27849929493076481</v>
      </c>
    </row>
    <row r="124" spans="6:13" x14ac:dyDescent="0.4">
      <c r="F124" s="1">
        <v>25112</v>
      </c>
      <c r="G124" s="16">
        <v>320.25</v>
      </c>
      <c r="H124" s="16">
        <f t="shared" si="6"/>
        <v>324.13599325004481</v>
      </c>
      <c r="I124">
        <f t="shared" si="7"/>
        <v>10</v>
      </c>
      <c r="J124" s="16" cm="1">
        <f t="array" ref="J124">INDEX(Sm,I124)</f>
        <v>-3.3364130066587929</v>
      </c>
      <c r="K124" s="16">
        <f t="shared" si="8"/>
        <v>320.799580243386</v>
      </c>
      <c r="L124" s="16">
        <f t="shared" si="9"/>
        <v>-0.54958024338600353</v>
      </c>
      <c r="M124" s="16">
        <f t="shared" si="10"/>
        <v>0.30203844392021889</v>
      </c>
    </row>
    <row r="125" spans="6:13" x14ac:dyDescent="0.4">
      <c r="F125" s="1">
        <v>25143</v>
      </c>
      <c r="G125" s="16">
        <v>321.32</v>
      </c>
      <c r="H125" s="16">
        <f t="shared" si="6"/>
        <v>324.22419426905276</v>
      </c>
      <c r="I125">
        <f t="shared" si="7"/>
        <v>11</v>
      </c>
      <c r="J125" s="16" cm="1">
        <f t="array" ref="J125">INDEX(Sm,I125)</f>
        <v>-2.0587659549634894</v>
      </c>
      <c r="K125" s="16">
        <f t="shared" si="8"/>
        <v>322.1654283140893</v>
      </c>
      <c r="L125" s="16">
        <f t="shared" si="9"/>
        <v>-0.84542831408930397</v>
      </c>
      <c r="M125" s="16">
        <f t="shared" si="10"/>
        <v>0.71474903426388281</v>
      </c>
    </row>
    <row r="126" spans="6:13" x14ac:dyDescent="0.4">
      <c r="F126" s="1">
        <v>25173</v>
      </c>
      <c r="G126" s="16">
        <v>322.89</v>
      </c>
      <c r="H126" s="16">
        <f t="shared" si="6"/>
        <v>324.30972952047796</v>
      </c>
      <c r="I126">
        <f t="shared" si="7"/>
        <v>12</v>
      </c>
      <c r="J126" s="16" cm="1">
        <f t="array" ref="J126">INDEX(Sm,I126)</f>
        <v>-0.89092746367992248</v>
      </c>
      <c r="K126" s="16">
        <f t="shared" si="8"/>
        <v>323.41880205679803</v>
      </c>
      <c r="L126" s="16">
        <f t="shared" si="9"/>
        <v>-0.52880205679804249</v>
      </c>
      <c r="M126" s="16">
        <f t="shared" si="10"/>
        <v>0.27963161527384017</v>
      </c>
    </row>
    <row r="127" spans="6:13" x14ac:dyDescent="0.4">
      <c r="F127" s="1">
        <v>25204</v>
      </c>
      <c r="G127" s="16">
        <v>324</v>
      </c>
      <c r="H127" s="16">
        <f t="shared" si="6"/>
        <v>324.39830135441525</v>
      </c>
      <c r="I127">
        <f t="shared" si="7"/>
        <v>1</v>
      </c>
      <c r="J127" s="16" cm="1">
        <f t="array" ref="J127">INDEX(Sm,I127)</f>
        <v>6.1437951108157106E-2</v>
      </c>
      <c r="K127" s="16">
        <f t="shared" si="8"/>
        <v>324.45973930552339</v>
      </c>
      <c r="L127" s="16">
        <f t="shared" si="9"/>
        <v>-0.45973930552338516</v>
      </c>
      <c r="M127" s="16">
        <f t="shared" si="10"/>
        <v>0.21136022904312449</v>
      </c>
    </row>
    <row r="128" spans="6:13" x14ac:dyDescent="0.4">
      <c r="F128" s="1">
        <v>25235</v>
      </c>
      <c r="G128" s="16">
        <v>324.41000000000003</v>
      </c>
      <c r="H128" s="16">
        <f t="shared" si="6"/>
        <v>324.48706163528391</v>
      </c>
      <c r="I128">
        <f t="shared" si="7"/>
        <v>2</v>
      </c>
      <c r="J128" s="16" cm="1">
        <f t="array" ref="J128">INDEX(Sm,I128)</f>
        <v>0.69461918775013354</v>
      </c>
      <c r="K128" s="16">
        <f t="shared" si="8"/>
        <v>325.18168082303401</v>
      </c>
      <c r="L128" s="16">
        <f t="shared" si="9"/>
        <v>-0.77168082303398933</v>
      </c>
      <c r="M128" s="16">
        <f t="shared" si="10"/>
        <v>0.59549129263841516</v>
      </c>
    </row>
    <row r="129" spans="6:13" x14ac:dyDescent="0.4">
      <c r="F129" s="1">
        <v>25263</v>
      </c>
      <c r="G129" s="16">
        <v>325.63</v>
      </c>
      <c r="H129" s="16">
        <f t="shared" si="6"/>
        <v>324.5673941857097</v>
      </c>
      <c r="I129">
        <f t="shared" si="7"/>
        <v>3</v>
      </c>
      <c r="J129" s="16" cm="1">
        <f t="array" ref="J129">INDEX(Sm,I129)</f>
        <v>1.3737674679346947</v>
      </c>
      <c r="K129" s="16">
        <f t="shared" si="8"/>
        <v>325.94116165364437</v>
      </c>
      <c r="L129" s="16">
        <f t="shared" si="9"/>
        <v>-0.3111616536443762</v>
      </c>
      <c r="M129" s="16">
        <f t="shared" si="10"/>
        <v>9.6821574698702742E-2</v>
      </c>
    </row>
    <row r="130" spans="6:13" x14ac:dyDescent="0.4">
      <c r="F130" s="1">
        <v>25294</v>
      </c>
      <c r="G130" s="16">
        <v>326.66000000000003</v>
      </c>
      <c r="H130" s="16">
        <f t="shared" si="6"/>
        <v>324.65651312364116</v>
      </c>
      <c r="I130">
        <f t="shared" si="7"/>
        <v>4</v>
      </c>
      <c r="J130" s="16" cm="1">
        <f t="array" ref="J130">INDEX(Sm,I130)</f>
        <v>2.6103146023823673</v>
      </c>
      <c r="K130" s="16">
        <f t="shared" si="8"/>
        <v>327.26682772602351</v>
      </c>
      <c r="L130" s="16">
        <f t="shared" si="9"/>
        <v>-0.60682772602348223</v>
      </c>
      <c r="M130" s="16">
        <f t="shared" si="10"/>
        <v>0.36823988907083038</v>
      </c>
    </row>
    <row r="131" spans="6:13" x14ac:dyDescent="0.4">
      <c r="F131" s="1">
        <v>25324</v>
      </c>
      <c r="G131" s="16">
        <v>327.38</v>
      </c>
      <c r="H131" s="16">
        <f t="shared" ref="H131:H194" si="11">_A*F131*F131+_B*F131+_C</f>
        <v>324.74293668370188</v>
      </c>
      <c r="I131">
        <f t="shared" ref="I131:I194" si="12">MONTH(F131)</f>
        <v>5</v>
      </c>
      <c r="J131" s="16" cm="1">
        <f t="array" ref="J131">INDEX(Sm,I131)</f>
        <v>3.0656878503632123</v>
      </c>
      <c r="K131" s="16">
        <f t="shared" ref="K131:K194" si="13">H131+J131</f>
        <v>327.80862453406507</v>
      </c>
      <c r="L131" s="16">
        <f t="shared" ref="L131:L194" si="14">G131-K131</f>
        <v>-0.42862453406507939</v>
      </c>
      <c r="M131" s="16">
        <f t="shared" ref="M131:M194" si="15">L131*L131</f>
        <v>0.1837189912025064</v>
      </c>
    </row>
    <row r="132" spans="6:13" x14ac:dyDescent="0.4">
      <c r="F132" s="1">
        <v>25355</v>
      </c>
      <c r="G132" s="16">
        <v>326.70999999999998</v>
      </c>
      <c r="H132" s="16">
        <f t="shared" si="11"/>
        <v>324.83242643656263</v>
      </c>
      <c r="I132">
        <f t="shared" si="12"/>
        <v>6</v>
      </c>
      <c r="J132" s="16" cm="1">
        <f t="array" ref="J132">INDEX(Sm,I132)</f>
        <v>2.3467878975381979</v>
      </c>
      <c r="K132" s="16">
        <f t="shared" si="13"/>
        <v>327.17921433410083</v>
      </c>
      <c r="L132" s="16">
        <f t="shared" si="14"/>
        <v>-0.46921433410085456</v>
      </c>
      <c r="M132" s="16">
        <f t="shared" si="15"/>
        <v>0.22016209132570835</v>
      </c>
    </row>
    <row r="133" spans="6:13" x14ac:dyDescent="0.4">
      <c r="F133" s="1">
        <v>25385</v>
      </c>
      <c r="G133" s="16">
        <v>325.88</v>
      </c>
      <c r="H133" s="16">
        <f t="shared" si="11"/>
        <v>324.91920884978077</v>
      </c>
      <c r="I133">
        <f t="shared" si="12"/>
        <v>7</v>
      </c>
      <c r="J133" s="16" cm="1">
        <f t="array" ref="J133">INDEX(Sm,I133)</f>
        <v>0.72373827090267417</v>
      </c>
      <c r="K133" s="16">
        <f t="shared" si="13"/>
        <v>325.64294712068346</v>
      </c>
      <c r="L133" s="16">
        <f t="shared" si="14"/>
        <v>0.23705287931653629</v>
      </c>
      <c r="M133" s="16">
        <f t="shared" si="15"/>
        <v>5.6194067592260318E-2</v>
      </c>
    </row>
    <row r="134" spans="6:13" x14ac:dyDescent="0.4">
      <c r="F134" s="1">
        <v>25416</v>
      </c>
      <c r="G134" s="16">
        <v>323.66000000000003</v>
      </c>
      <c r="H134" s="16">
        <f t="shared" si="11"/>
        <v>325.00906941757086</v>
      </c>
      <c r="I134">
        <f t="shared" si="12"/>
        <v>8</v>
      </c>
      <c r="J134" s="16" cm="1">
        <f t="array" ref="J134">INDEX(Sm,I134)</f>
        <v>-1.3971602749585079</v>
      </c>
      <c r="K134" s="16">
        <f t="shared" si="13"/>
        <v>323.61190914261238</v>
      </c>
      <c r="L134" s="16">
        <f t="shared" si="14"/>
        <v>4.8090857387649066E-2</v>
      </c>
      <c r="M134" s="16">
        <f t="shared" si="15"/>
        <v>2.3127305642792009E-3</v>
      </c>
    </row>
    <row r="135" spans="6:13" x14ac:dyDescent="0.4">
      <c r="F135" s="1">
        <v>25447</v>
      </c>
      <c r="G135" s="16">
        <v>322.38</v>
      </c>
      <c r="H135" s="16">
        <f t="shared" si="11"/>
        <v>325.09911843229224</v>
      </c>
      <c r="I135">
        <f t="shared" si="12"/>
        <v>9</v>
      </c>
      <c r="J135" s="16" cm="1">
        <f t="array" ref="J135">INDEX(Sm,I135)</f>
        <v>-3.1930865277187257</v>
      </c>
      <c r="K135" s="16">
        <f t="shared" si="13"/>
        <v>321.90603190457352</v>
      </c>
      <c r="L135" s="16">
        <f t="shared" si="14"/>
        <v>0.47396809542647134</v>
      </c>
      <c r="M135" s="16">
        <f t="shared" si="15"/>
        <v>0.22464575548219665</v>
      </c>
    </row>
    <row r="136" spans="6:13" x14ac:dyDescent="0.4">
      <c r="F136" s="1">
        <v>25477</v>
      </c>
      <c r="G136" s="16">
        <v>321.77999999999997</v>
      </c>
      <c r="H136" s="16">
        <f t="shared" si="11"/>
        <v>325.18644206666585</v>
      </c>
      <c r="I136">
        <f t="shared" si="12"/>
        <v>10</v>
      </c>
      <c r="J136" s="16" cm="1">
        <f t="array" ref="J136">INDEX(Sm,I136)</f>
        <v>-3.3364130066587929</v>
      </c>
      <c r="K136" s="16">
        <f t="shared" si="13"/>
        <v>321.85002906000705</v>
      </c>
      <c r="L136" s="16">
        <f t="shared" si="14"/>
        <v>-7.0029060007072985E-2</v>
      </c>
      <c r="M136" s="16">
        <f t="shared" si="15"/>
        <v>4.9040692454742291E-3</v>
      </c>
    </row>
    <row r="137" spans="6:13" x14ac:dyDescent="0.4">
      <c r="F137" s="1">
        <v>25508</v>
      </c>
      <c r="G137" s="16">
        <v>322.85000000000002</v>
      </c>
      <c r="H137" s="16">
        <f t="shared" si="11"/>
        <v>325.27686189631657</v>
      </c>
      <c r="I137">
        <f t="shared" si="12"/>
        <v>11</v>
      </c>
      <c r="J137" s="16" cm="1">
        <f t="array" ref="J137">INDEX(Sm,I137)</f>
        <v>-2.0587659549634894</v>
      </c>
      <c r="K137" s="16">
        <f t="shared" si="13"/>
        <v>323.21809594135311</v>
      </c>
      <c r="L137" s="16">
        <f t="shared" si="14"/>
        <v>-0.36809594135308998</v>
      </c>
      <c r="M137" s="16">
        <f t="shared" si="15"/>
        <v>0.13549462204061746</v>
      </c>
    </row>
    <row r="138" spans="6:13" x14ac:dyDescent="0.4">
      <c r="F138" s="1">
        <v>25538</v>
      </c>
      <c r="G138" s="16">
        <v>324.12</v>
      </c>
      <c r="H138" s="16">
        <f t="shared" si="11"/>
        <v>325.3645443838476</v>
      </c>
      <c r="I138">
        <f t="shared" si="12"/>
        <v>12</v>
      </c>
      <c r="J138" s="16" cm="1">
        <f t="array" ref="J138">INDEX(Sm,I138)</f>
        <v>-0.89092746367992248</v>
      </c>
      <c r="K138" s="16">
        <f t="shared" si="13"/>
        <v>324.47361692016767</v>
      </c>
      <c r="L138" s="16">
        <f t="shared" si="14"/>
        <v>-0.3536169201676671</v>
      </c>
      <c r="M138" s="16">
        <f t="shared" si="15"/>
        <v>0.12504492622886626</v>
      </c>
    </row>
    <row r="139" spans="6:13" x14ac:dyDescent="0.4">
      <c r="F139" s="1">
        <v>25569</v>
      </c>
      <c r="G139" s="16">
        <v>325.06</v>
      </c>
      <c r="H139" s="16">
        <f t="shared" si="11"/>
        <v>325.45533502842767</v>
      </c>
      <c r="I139">
        <f t="shared" si="12"/>
        <v>1</v>
      </c>
      <c r="J139" s="16" cm="1">
        <f t="array" ref="J139">INDEX(Sm,I139)</f>
        <v>6.1437951108157106E-2</v>
      </c>
      <c r="K139" s="16">
        <f t="shared" si="13"/>
        <v>325.5167729795358</v>
      </c>
      <c r="L139" s="16">
        <f t="shared" si="14"/>
        <v>-0.4567729795357991</v>
      </c>
      <c r="M139" s="16">
        <f t="shared" si="15"/>
        <v>0.20864155483401153</v>
      </c>
    </row>
    <row r="140" spans="6:13" x14ac:dyDescent="0.4">
      <c r="F140" s="1">
        <v>25600</v>
      </c>
      <c r="G140" s="16">
        <v>325.98</v>
      </c>
      <c r="H140" s="16">
        <f t="shared" si="11"/>
        <v>325.54631411993898</v>
      </c>
      <c r="I140">
        <f t="shared" si="12"/>
        <v>2</v>
      </c>
      <c r="J140" s="16" cm="1">
        <f t="array" ref="J140">INDEX(Sm,I140)</f>
        <v>0.69461918775013354</v>
      </c>
      <c r="K140" s="16">
        <f t="shared" si="13"/>
        <v>326.24093330768909</v>
      </c>
      <c r="L140" s="16">
        <f t="shared" si="14"/>
        <v>-0.26093330768907208</v>
      </c>
      <c r="M140" s="16">
        <f t="shared" si="15"/>
        <v>6.808619106155997E-2</v>
      </c>
    </row>
    <row r="141" spans="6:13" x14ac:dyDescent="0.4">
      <c r="F141" s="1">
        <v>25628</v>
      </c>
      <c r="G141" s="16">
        <v>326.93</v>
      </c>
      <c r="H141" s="16">
        <f t="shared" si="11"/>
        <v>325.628650757397</v>
      </c>
      <c r="I141">
        <f t="shared" si="12"/>
        <v>3</v>
      </c>
      <c r="J141" s="16" cm="1">
        <f t="array" ref="J141">INDEX(Sm,I141)</f>
        <v>1.3737674679346947</v>
      </c>
      <c r="K141" s="16">
        <f t="shared" si="13"/>
        <v>327.00241822533167</v>
      </c>
      <c r="L141" s="16">
        <f t="shared" si="14"/>
        <v>-7.2418225331659869E-2</v>
      </c>
      <c r="M141" s="16">
        <f t="shared" si="15"/>
        <v>5.2443993601870628E-3</v>
      </c>
    </row>
    <row r="142" spans="6:13" x14ac:dyDescent="0.4">
      <c r="F142" s="1">
        <v>25659</v>
      </c>
      <c r="G142" s="16">
        <v>328.13</v>
      </c>
      <c r="H142" s="16">
        <f t="shared" si="11"/>
        <v>325.71998850597112</v>
      </c>
      <c r="I142">
        <f t="shared" si="12"/>
        <v>4</v>
      </c>
      <c r="J142" s="16" cm="1">
        <f t="array" ref="J142">INDEX(Sm,I142)</f>
        <v>2.6103146023823673</v>
      </c>
      <c r="K142" s="16">
        <f t="shared" si="13"/>
        <v>328.33030310835346</v>
      </c>
      <c r="L142" s="16">
        <f t="shared" si="14"/>
        <v>-0.20030310835346654</v>
      </c>
      <c r="M142" s="16">
        <f t="shared" si="15"/>
        <v>4.0121335216060559E-2</v>
      </c>
    </row>
    <row r="143" spans="6:13" x14ac:dyDescent="0.4">
      <c r="F143" s="1">
        <v>25689</v>
      </c>
      <c r="G143" s="16">
        <v>328.08</v>
      </c>
      <c r="H143" s="16">
        <f t="shared" si="11"/>
        <v>325.80855930213772</v>
      </c>
      <c r="I143">
        <f t="shared" si="12"/>
        <v>5</v>
      </c>
      <c r="J143" s="16" cm="1">
        <f t="array" ref="J143">INDEX(Sm,I143)</f>
        <v>3.0656878503632123</v>
      </c>
      <c r="K143" s="16">
        <f t="shared" si="13"/>
        <v>328.87424715250091</v>
      </c>
      <c r="L143" s="16">
        <f t="shared" si="14"/>
        <v>-0.79424715250092959</v>
      </c>
      <c r="M143" s="16">
        <f t="shared" si="15"/>
        <v>0.63082853925583493</v>
      </c>
    </row>
    <row r="144" spans="6:13" x14ac:dyDescent="0.4">
      <c r="F144" s="1">
        <v>25720</v>
      </c>
      <c r="G144" s="16">
        <v>327.67</v>
      </c>
      <c r="H144" s="16">
        <f t="shared" si="11"/>
        <v>325.90026786564124</v>
      </c>
      <c r="I144">
        <f t="shared" si="12"/>
        <v>6</v>
      </c>
      <c r="J144" s="16" cm="1">
        <f t="array" ref="J144">INDEX(Sm,I144)</f>
        <v>2.3467878975381979</v>
      </c>
      <c r="K144" s="16">
        <f t="shared" si="13"/>
        <v>328.24705576317945</v>
      </c>
      <c r="L144" s="16">
        <f t="shared" si="14"/>
        <v>-0.57705576317943041</v>
      </c>
      <c r="M144" s="16">
        <f t="shared" si="15"/>
        <v>0.33299335381859491</v>
      </c>
    </row>
    <row r="145" spans="6:13" x14ac:dyDescent="0.4">
      <c r="F145" s="1">
        <v>25750</v>
      </c>
      <c r="G145" s="16">
        <v>326.33999999999997</v>
      </c>
      <c r="H145" s="16">
        <f t="shared" si="11"/>
        <v>325.98919751496521</v>
      </c>
      <c r="I145">
        <f t="shared" si="12"/>
        <v>7</v>
      </c>
      <c r="J145" s="16" cm="1">
        <f t="array" ref="J145">INDEX(Sm,I145)</f>
        <v>0.72373827090267417</v>
      </c>
      <c r="K145" s="16">
        <f t="shared" si="13"/>
        <v>326.7129357858679</v>
      </c>
      <c r="L145" s="16">
        <f t="shared" si="14"/>
        <v>-0.37293578586792364</v>
      </c>
      <c r="M145" s="16">
        <f t="shared" si="15"/>
        <v>0.1390811003809258</v>
      </c>
    </row>
    <row r="146" spans="6:13" x14ac:dyDescent="0.4">
      <c r="F146" s="1">
        <v>25781</v>
      </c>
      <c r="G146" s="16">
        <v>324.69</v>
      </c>
      <c r="H146" s="16">
        <f t="shared" si="11"/>
        <v>326.08127689339801</v>
      </c>
      <c r="I146">
        <f t="shared" si="12"/>
        <v>8</v>
      </c>
      <c r="J146" s="16" cm="1">
        <f t="array" ref="J146">INDEX(Sm,I146)</f>
        <v>-1.3971602749585079</v>
      </c>
      <c r="K146" s="16">
        <f t="shared" si="13"/>
        <v>324.68411661843953</v>
      </c>
      <c r="L146" s="16">
        <f t="shared" si="14"/>
        <v>5.8833815604657502E-3</v>
      </c>
      <c r="M146" s="16">
        <f t="shared" si="15"/>
        <v>3.4614178586028409E-5</v>
      </c>
    </row>
    <row r="147" spans="6:13" x14ac:dyDescent="0.4">
      <c r="F147" s="1">
        <v>25812</v>
      </c>
      <c r="G147" s="16">
        <v>323.10000000000002</v>
      </c>
      <c r="H147" s="16">
        <f t="shared" si="11"/>
        <v>326.17354471876217</v>
      </c>
      <c r="I147">
        <f t="shared" si="12"/>
        <v>9</v>
      </c>
      <c r="J147" s="16" cm="1">
        <f t="array" ref="J147">INDEX(Sm,I147)</f>
        <v>-3.1930865277187257</v>
      </c>
      <c r="K147" s="16">
        <f t="shared" si="13"/>
        <v>322.98045819104345</v>
      </c>
      <c r="L147" s="16">
        <f t="shared" si="14"/>
        <v>0.11954180895656918</v>
      </c>
      <c r="M147" s="16">
        <f t="shared" si="15"/>
        <v>1.4290244088608885E-2</v>
      </c>
    </row>
    <row r="148" spans="6:13" x14ac:dyDescent="0.4">
      <c r="F148" s="1">
        <v>25842</v>
      </c>
      <c r="G148" s="16">
        <v>323.06</v>
      </c>
      <c r="H148" s="16">
        <f t="shared" si="11"/>
        <v>326.2630155892416</v>
      </c>
      <c r="I148">
        <f t="shared" si="12"/>
        <v>10</v>
      </c>
      <c r="J148" s="16" cm="1">
        <f t="array" ref="J148">INDEX(Sm,I148)</f>
        <v>-3.3364130066587929</v>
      </c>
      <c r="K148" s="16">
        <f t="shared" si="13"/>
        <v>322.9266025825828</v>
      </c>
      <c r="L148" s="16">
        <f t="shared" si="14"/>
        <v>0.1333974174171999</v>
      </c>
      <c r="M148" s="16">
        <f t="shared" si="15"/>
        <v>1.779487097357867E-2</v>
      </c>
    </row>
    <row r="149" spans="6:13" x14ac:dyDescent="0.4">
      <c r="F149" s="1">
        <v>25873</v>
      </c>
      <c r="G149" s="16">
        <v>324.01</v>
      </c>
      <c r="H149" s="16">
        <f t="shared" si="11"/>
        <v>326.35565422953511</v>
      </c>
      <c r="I149">
        <f t="shared" si="12"/>
        <v>11</v>
      </c>
      <c r="J149" s="16" cm="1">
        <f t="array" ref="J149">INDEX(Sm,I149)</f>
        <v>-2.0587659549634894</v>
      </c>
      <c r="K149" s="16">
        <f t="shared" si="13"/>
        <v>324.29688827457164</v>
      </c>
      <c r="L149" s="16">
        <f t="shared" si="14"/>
        <v>-0.28688827457165189</v>
      </c>
      <c r="M149" s="16">
        <f t="shared" si="15"/>
        <v>8.2304882086699518E-2</v>
      </c>
    </row>
    <row r="150" spans="6:13" x14ac:dyDescent="0.4">
      <c r="F150" s="1">
        <v>25903</v>
      </c>
      <c r="G150" s="16">
        <v>325.13</v>
      </c>
      <c r="H150" s="16">
        <f t="shared" si="11"/>
        <v>326.44548395317196</v>
      </c>
      <c r="I150">
        <f t="shared" si="12"/>
        <v>12</v>
      </c>
      <c r="J150" s="16" cm="1">
        <f t="array" ref="J150">INDEX(Sm,I150)</f>
        <v>-0.89092746367992248</v>
      </c>
      <c r="K150" s="16">
        <f t="shared" si="13"/>
        <v>325.55455648949203</v>
      </c>
      <c r="L150" s="16">
        <f t="shared" si="14"/>
        <v>-0.42455648949203351</v>
      </c>
      <c r="M150" s="16">
        <f t="shared" si="15"/>
        <v>0.18024821276979916</v>
      </c>
    </row>
    <row r="151" spans="6:13" x14ac:dyDescent="0.4">
      <c r="F151" s="1">
        <v>25934</v>
      </c>
      <c r="G151" s="16">
        <v>326.17</v>
      </c>
      <c r="H151" s="16">
        <f t="shared" si="11"/>
        <v>326.53849340839474</v>
      </c>
      <c r="I151">
        <f t="shared" si="12"/>
        <v>1</v>
      </c>
      <c r="J151" s="16" cm="1">
        <f t="array" ref="J151">INDEX(Sm,I151)</f>
        <v>6.1437951108157106E-2</v>
      </c>
      <c r="K151" s="16">
        <f t="shared" si="13"/>
        <v>326.59993135950288</v>
      </c>
      <c r="L151" s="16">
        <f t="shared" si="14"/>
        <v>-0.42993135950285932</v>
      </c>
      <c r="M151" s="16">
        <f t="shared" si="15"/>
        <v>0.18484097388397686</v>
      </c>
    </row>
    <row r="152" spans="6:13" x14ac:dyDescent="0.4">
      <c r="F152" s="1">
        <v>25965</v>
      </c>
      <c r="G152" s="16">
        <v>326.68</v>
      </c>
      <c r="H152" s="16">
        <f t="shared" si="11"/>
        <v>326.63169131054883</v>
      </c>
      <c r="I152">
        <f t="shared" si="12"/>
        <v>2</v>
      </c>
      <c r="J152" s="16" cm="1">
        <f t="array" ref="J152">INDEX(Sm,I152)</f>
        <v>0.69461918775013354</v>
      </c>
      <c r="K152" s="16">
        <f t="shared" si="13"/>
        <v>327.32631049829894</v>
      </c>
      <c r="L152" s="16">
        <f t="shared" si="14"/>
        <v>-0.64631049829893072</v>
      </c>
      <c r="M152" s="16">
        <f t="shared" si="15"/>
        <v>0.41771726021141214</v>
      </c>
    </row>
    <row r="153" spans="6:13" x14ac:dyDescent="0.4">
      <c r="F153" s="1">
        <v>25993</v>
      </c>
      <c r="G153" s="16">
        <v>327.17</v>
      </c>
      <c r="H153" s="16">
        <f t="shared" si="11"/>
        <v>326.71603203503895</v>
      </c>
      <c r="I153">
        <f t="shared" si="12"/>
        <v>3</v>
      </c>
      <c r="J153" s="16" cm="1">
        <f t="array" ref="J153">INDEX(Sm,I153)</f>
        <v>1.3737674679346947</v>
      </c>
      <c r="K153" s="16">
        <f t="shared" si="13"/>
        <v>328.08979950297362</v>
      </c>
      <c r="L153" s="16">
        <f t="shared" si="14"/>
        <v>-0.91979950297360347</v>
      </c>
      <c r="M153" s="16">
        <f t="shared" si="15"/>
        <v>0.84603112567048799</v>
      </c>
    </row>
    <row r="154" spans="6:13" x14ac:dyDescent="0.4">
      <c r="F154" s="1">
        <v>26024</v>
      </c>
      <c r="G154" s="16">
        <v>327.79</v>
      </c>
      <c r="H154" s="16">
        <f t="shared" si="11"/>
        <v>326.80958859425584</v>
      </c>
      <c r="I154">
        <f t="shared" si="12"/>
        <v>4</v>
      </c>
      <c r="J154" s="16" cm="1">
        <f t="array" ref="J154">INDEX(Sm,I154)</f>
        <v>2.6103146023823673</v>
      </c>
      <c r="K154" s="16">
        <f t="shared" si="13"/>
        <v>329.41990319663819</v>
      </c>
      <c r="L154" s="16">
        <f t="shared" si="14"/>
        <v>-1.6299031966381676</v>
      </c>
      <c r="M154" s="16">
        <f t="shared" si="15"/>
        <v>2.6565844304113173</v>
      </c>
    </row>
    <row r="155" spans="6:13" x14ac:dyDescent="0.4">
      <c r="F155" s="1">
        <v>26054</v>
      </c>
      <c r="G155" s="16">
        <v>328.93</v>
      </c>
      <c r="H155" s="16">
        <f t="shared" si="11"/>
        <v>326.90030662652828</v>
      </c>
      <c r="I155">
        <f t="shared" si="12"/>
        <v>5</v>
      </c>
      <c r="J155" s="16" cm="1">
        <f t="array" ref="J155">INDEX(Sm,I155)</f>
        <v>3.0656878503632123</v>
      </c>
      <c r="K155" s="16">
        <f t="shared" si="13"/>
        <v>329.96599447689147</v>
      </c>
      <c r="L155" s="16">
        <f t="shared" si="14"/>
        <v>-1.0359944768914602</v>
      </c>
      <c r="M155" s="16">
        <f t="shared" si="15"/>
        <v>1.0732845561496103</v>
      </c>
    </row>
    <row r="156" spans="6:13" x14ac:dyDescent="0.4">
      <c r="F156" s="1">
        <v>26085</v>
      </c>
      <c r="G156" s="16">
        <v>328.57</v>
      </c>
      <c r="H156" s="16">
        <f t="shared" si="11"/>
        <v>326.99423400067451</v>
      </c>
      <c r="I156">
        <f t="shared" si="12"/>
        <v>6</v>
      </c>
      <c r="J156" s="16" cm="1">
        <f t="array" ref="J156">INDEX(Sm,I156)</f>
        <v>2.3467878975381979</v>
      </c>
      <c r="K156" s="16">
        <f t="shared" si="13"/>
        <v>329.34102189821272</v>
      </c>
      <c r="L156" s="16">
        <f t="shared" si="14"/>
        <v>-0.77102189821272304</v>
      </c>
      <c r="M156" s="16">
        <f t="shared" si="15"/>
        <v>0.59447476752355066</v>
      </c>
    </row>
    <row r="157" spans="6:13" x14ac:dyDescent="0.4">
      <c r="F157" s="1">
        <v>26115</v>
      </c>
      <c r="G157" s="16">
        <v>327.36</v>
      </c>
      <c r="H157" s="16">
        <f t="shared" si="11"/>
        <v>327.08531088610442</v>
      </c>
      <c r="I157">
        <f t="shared" si="12"/>
        <v>7</v>
      </c>
      <c r="J157" s="16" cm="1">
        <f t="array" ref="J157">INDEX(Sm,I157)</f>
        <v>0.72373827090267417</v>
      </c>
      <c r="K157" s="16">
        <f t="shared" si="13"/>
        <v>327.80904915700711</v>
      </c>
      <c r="L157" s="16">
        <f t="shared" si="14"/>
        <v>-0.4490491570070958</v>
      </c>
      <c r="M157" s="16">
        <f t="shared" si="15"/>
        <v>0.20164514540878337</v>
      </c>
    </row>
    <row r="158" spans="6:13" x14ac:dyDescent="0.4">
      <c r="F158" s="1">
        <v>26146</v>
      </c>
      <c r="G158" s="16">
        <v>325.43</v>
      </c>
      <c r="H158" s="16">
        <f t="shared" si="11"/>
        <v>327.17960907517994</v>
      </c>
      <c r="I158">
        <f t="shared" si="12"/>
        <v>8</v>
      </c>
      <c r="J158" s="16" cm="1">
        <f t="array" ref="J158">INDEX(Sm,I158)</f>
        <v>-1.3971602749585079</v>
      </c>
      <c r="K158" s="16">
        <f t="shared" si="13"/>
        <v>325.78244880022146</v>
      </c>
      <c r="L158" s="16">
        <f t="shared" si="14"/>
        <v>-0.35244880022145253</v>
      </c>
      <c r="M158" s="16">
        <f t="shared" si="15"/>
        <v>0.12422015677754136</v>
      </c>
    </row>
    <row r="159" spans="6:13" x14ac:dyDescent="0.4">
      <c r="F159" s="1">
        <v>26177</v>
      </c>
      <c r="G159" s="16">
        <v>323.36</v>
      </c>
      <c r="H159" s="16">
        <f t="shared" si="11"/>
        <v>327.27409571118676</v>
      </c>
      <c r="I159">
        <f t="shared" si="12"/>
        <v>9</v>
      </c>
      <c r="J159" s="16" cm="1">
        <f t="array" ref="J159">INDEX(Sm,I159)</f>
        <v>-3.1930865277187257</v>
      </c>
      <c r="K159" s="16">
        <f t="shared" si="13"/>
        <v>324.08100918346804</v>
      </c>
      <c r="L159" s="16">
        <f t="shared" si="14"/>
        <v>-0.721009183468027</v>
      </c>
      <c r="M159" s="16">
        <f t="shared" si="15"/>
        <v>0.51985424264523106</v>
      </c>
    </row>
    <row r="160" spans="6:13" x14ac:dyDescent="0.4">
      <c r="F160" s="1">
        <v>26207</v>
      </c>
      <c r="G160" s="16">
        <v>323.56</v>
      </c>
      <c r="H160" s="16">
        <f t="shared" si="11"/>
        <v>327.36571381777213</v>
      </c>
      <c r="I160">
        <f t="shared" si="12"/>
        <v>10</v>
      </c>
      <c r="J160" s="16" cm="1">
        <f t="array" ref="J160">INDEX(Sm,I160)</f>
        <v>-3.3364130066587929</v>
      </c>
      <c r="K160" s="16">
        <f t="shared" si="13"/>
        <v>324.02930081111333</v>
      </c>
      <c r="L160" s="16">
        <f t="shared" si="14"/>
        <v>-0.46930081111332811</v>
      </c>
      <c r="M160" s="16">
        <f t="shared" si="15"/>
        <v>0.22024325131162767</v>
      </c>
    </row>
    <row r="161" spans="6:13" x14ac:dyDescent="0.4">
      <c r="F161" s="1">
        <v>26238</v>
      </c>
      <c r="G161" s="16">
        <v>324.8</v>
      </c>
      <c r="H161" s="16">
        <f t="shared" si="11"/>
        <v>327.46057126870829</v>
      </c>
      <c r="I161">
        <f t="shared" si="12"/>
        <v>11</v>
      </c>
      <c r="J161" s="16" cm="1">
        <f t="array" ref="J161">INDEX(Sm,I161)</f>
        <v>-2.0587659549634894</v>
      </c>
      <c r="K161" s="16">
        <f t="shared" si="13"/>
        <v>325.40180531374483</v>
      </c>
      <c r="L161" s="16">
        <f t="shared" si="14"/>
        <v>-0.60180531374481916</v>
      </c>
      <c r="M161" s="16">
        <f t="shared" si="15"/>
        <v>0.36216963565150023</v>
      </c>
    </row>
    <row r="162" spans="6:13" x14ac:dyDescent="0.4">
      <c r="F162" s="1">
        <v>26268</v>
      </c>
      <c r="G162" s="16">
        <v>326.01</v>
      </c>
      <c r="H162" s="16">
        <f t="shared" si="11"/>
        <v>327.55254822845109</v>
      </c>
      <c r="I162">
        <f t="shared" si="12"/>
        <v>12</v>
      </c>
      <c r="J162" s="16" cm="1">
        <f t="array" ref="J162">INDEX(Sm,I162)</f>
        <v>-0.89092746367992248</v>
      </c>
      <c r="K162" s="16">
        <f t="shared" si="13"/>
        <v>326.66162076477116</v>
      </c>
      <c r="L162" s="16">
        <f t="shared" si="14"/>
        <v>-0.65162076477116671</v>
      </c>
      <c r="M162" s="16">
        <f t="shared" si="15"/>
        <v>0.42460962108096018</v>
      </c>
    </row>
    <row r="163" spans="6:13" x14ac:dyDescent="0.4">
      <c r="F163" s="1">
        <v>26299</v>
      </c>
      <c r="G163" s="16">
        <v>326.77</v>
      </c>
      <c r="H163" s="16">
        <f t="shared" si="11"/>
        <v>327.64777649431659</v>
      </c>
      <c r="I163">
        <f t="shared" si="12"/>
        <v>1</v>
      </c>
      <c r="J163" s="16" cm="1">
        <f t="array" ref="J163">INDEX(Sm,I163)</f>
        <v>6.1437951108157106E-2</v>
      </c>
      <c r="K163" s="16">
        <f t="shared" si="13"/>
        <v>327.70921444542472</v>
      </c>
      <c r="L163" s="16">
        <f t="shared" si="14"/>
        <v>-0.93921444542473864</v>
      </c>
      <c r="M163" s="16">
        <f t="shared" si="15"/>
        <v>0.88212377449449941</v>
      </c>
    </row>
    <row r="164" spans="6:13" x14ac:dyDescent="0.4">
      <c r="F164" s="1">
        <v>26330</v>
      </c>
      <c r="G164" s="16">
        <v>327.63</v>
      </c>
      <c r="H164" s="16">
        <f t="shared" si="11"/>
        <v>327.74319320711339</v>
      </c>
      <c r="I164">
        <f t="shared" si="12"/>
        <v>2</v>
      </c>
      <c r="J164" s="16" cm="1">
        <f t="array" ref="J164">INDEX(Sm,I164)</f>
        <v>0.69461918775013354</v>
      </c>
      <c r="K164" s="16">
        <f t="shared" si="13"/>
        <v>328.4378123948635</v>
      </c>
      <c r="L164" s="16">
        <f t="shared" si="14"/>
        <v>-0.80781239486350387</v>
      </c>
      <c r="M164" s="16">
        <f t="shared" si="15"/>
        <v>0.65256086529510948</v>
      </c>
    </row>
    <row r="165" spans="6:13" x14ac:dyDescent="0.4">
      <c r="F165" s="1">
        <v>26359</v>
      </c>
      <c r="G165" s="16">
        <v>327.75</v>
      </c>
      <c r="H165" s="16">
        <f t="shared" si="11"/>
        <v>327.83262460527629</v>
      </c>
      <c r="I165">
        <f t="shared" si="12"/>
        <v>3</v>
      </c>
      <c r="J165" s="16" cm="1">
        <f t="array" ref="J165">INDEX(Sm,I165)</f>
        <v>1.3737674679346947</v>
      </c>
      <c r="K165" s="16">
        <f t="shared" si="13"/>
        <v>329.20639207321096</v>
      </c>
      <c r="L165" s="16">
        <f t="shared" si="14"/>
        <v>-1.4563920732109636</v>
      </c>
      <c r="M165" s="16">
        <f t="shared" si="15"/>
        <v>2.1210778709117291</v>
      </c>
    </row>
    <row r="166" spans="6:13" x14ac:dyDescent="0.4">
      <c r="F166" s="1">
        <v>26390</v>
      </c>
      <c r="G166" s="16">
        <v>329.72</v>
      </c>
      <c r="H166" s="16">
        <f t="shared" si="11"/>
        <v>327.92840605406917</v>
      </c>
      <c r="I166">
        <f t="shared" si="12"/>
        <v>4</v>
      </c>
      <c r="J166" s="16" cm="1">
        <f t="array" ref="J166">INDEX(Sm,I166)</f>
        <v>2.6103146023823673</v>
      </c>
      <c r="K166" s="16">
        <f t="shared" si="13"/>
        <v>330.53872065645152</v>
      </c>
      <c r="L166" s="16">
        <f t="shared" si="14"/>
        <v>-0.8187206564514895</v>
      </c>
      <c r="M166" s="16">
        <f t="shared" si="15"/>
        <v>0.67030351330035787</v>
      </c>
    </row>
    <row r="167" spans="6:13" x14ac:dyDescent="0.4">
      <c r="F167" s="1">
        <v>26420</v>
      </c>
      <c r="G167" s="16">
        <v>330.07</v>
      </c>
      <c r="H167" s="16">
        <f t="shared" si="11"/>
        <v>328.02127720528614</v>
      </c>
      <c r="I167">
        <f t="shared" si="12"/>
        <v>5</v>
      </c>
      <c r="J167" s="16" cm="1">
        <f t="array" ref="J167">INDEX(Sm,I167)</f>
        <v>3.0656878503632123</v>
      </c>
      <c r="K167" s="16">
        <f t="shared" si="13"/>
        <v>331.08696505564933</v>
      </c>
      <c r="L167" s="16">
        <f t="shared" si="14"/>
        <v>-1.0169650556493366</v>
      </c>
      <c r="M167" s="16">
        <f t="shared" si="15"/>
        <v>1.0342179244118583</v>
      </c>
    </row>
    <row r="168" spans="6:13" x14ac:dyDescent="0.4">
      <c r="F168" s="1">
        <v>26451</v>
      </c>
      <c r="G168" s="16">
        <v>329.09</v>
      </c>
      <c r="H168" s="16">
        <f t="shared" si="11"/>
        <v>328.11742946900836</v>
      </c>
      <c r="I168">
        <f t="shared" si="12"/>
        <v>6</v>
      </c>
      <c r="J168" s="16" cm="1">
        <f t="array" ref="J168">INDEX(Sm,I168)</f>
        <v>2.3467878975381979</v>
      </c>
      <c r="K168" s="16">
        <f t="shared" si="13"/>
        <v>330.46421736654656</v>
      </c>
      <c r="L168" s="16">
        <f t="shared" si="14"/>
        <v>-1.3742173665465884</v>
      </c>
      <c r="M168" s="16">
        <f t="shared" si="15"/>
        <v>1.8884733705182406</v>
      </c>
    </row>
    <row r="169" spans="6:13" x14ac:dyDescent="0.4">
      <c r="F169" s="1">
        <v>26481</v>
      </c>
      <c r="G169" s="16">
        <v>328.04</v>
      </c>
      <c r="H169" s="16">
        <f t="shared" si="11"/>
        <v>328.21065947338275</v>
      </c>
      <c r="I169">
        <f t="shared" si="12"/>
        <v>7</v>
      </c>
      <c r="J169" s="16" cm="1">
        <f t="array" ref="J169">INDEX(Sm,I169)</f>
        <v>0.72373827090267417</v>
      </c>
      <c r="K169" s="16">
        <f t="shared" si="13"/>
        <v>328.93439774428543</v>
      </c>
      <c r="L169" s="16">
        <f t="shared" si="14"/>
        <v>-0.89439774428541341</v>
      </c>
      <c r="M169" s="16">
        <f t="shared" si="15"/>
        <v>0.79994732498283572</v>
      </c>
    </row>
    <row r="170" spans="6:13" x14ac:dyDescent="0.4">
      <c r="F170" s="1">
        <v>26512</v>
      </c>
      <c r="G170" s="16">
        <v>326.32</v>
      </c>
      <c r="H170" s="16">
        <f t="shared" si="11"/>
        <v>328.30718255203431</v>
      </c>
      <c r="I170">
        <f t="shared" si="12"/>
        <v>8</v>
      </c>
      <c r="J170" s="16" cm="1">
        <f t="array" ref="J170">INDEX(Sm,I170)</f>
        <v>-1.3971602749585079</v>
      </c>
      <c r="K170" s="16">
        <f t="shared" si="13"/>
        <v>326.91002227707583</v>
      </c>
      <c r="L170" s="16">
        <f t="shared" si="14"/>
        <v>-0.59002227707583188</v>
      </c>
      <c r="M170" s="16">
        <f t="shared" si="15"/>
        <v>0.34812628744574975</v>
      </c>
    </row>
    <row r="171" spans="6:13" x14ac:dyDescent="0.4">
      <c r="F171" s="1">
        <v>26543</v>
      </c>
      <c r="G171" s="16">
        <v>324.83999999999997</v>
      </c>
      <c r="H171" s="16">
        <f t="shared" si="11"/>
        <v>328.40389407761717</v>
      </c>
      <c r="I171">
        <f t="shared" si="12"/>
        <v>9</v>
      </c>
      <c r="J171" s="16" cm="1">
        <f t="array" ref="J171">INDEX(Sm,I171)</f>
        <v>-3.1930865277187257</v>
      </c>
      <c r="K171" s="16">
        <f t="shared" si="13"/>
        <v>325.21080754989845</v>
      </c>
      <c r="L171" s="16">
        <f t="shared" si="14"/>
        <v>-0.37080754989847264</v>
      </c>
      <c r="M171" s="16">
        <f t="shared" si="15"/>
        <v>0.13749823906170827</v>
      </c>
    </row>
    <row r="172" spans="6:13" x14ac:dyDescent="0.4">
      <c r="F172" s="1">
        <v>26573</v>
      </c>
      <c r="G172" s="16">
        <v>325.2</v>
      </c>
      <c r="H172" s="16">
        <f t="shared" si="11"/>
        <v>328.49766530314702</v>
      </c>
      <c r="I172">
        <f t="shared" si="12"/>
        <v>10</v>
      </c>
      <c r="J172" s="16" cm="1">
        <f t="array" ref="J172">INDEX(Sm,I172)</f>
        <v>-3.3364130066587929</v>
      </c>
      <c r="K172" s="16">
        <f t="shared" si="13"/>
        <v>325.16125229648821</v>
      </c>
      <c r="L172" s="16">
        <f t="shared" si="14"/>
        <v>3.8747703511774034E-2</v>
      </c>
      <c r="M172" s="16">
        <f t="shared" si="15"/>
        <v>1.5013845274363458E-3</v>
      </c>
    </row>
    <row r="173" spans="6:13" x14ac:dyDescent="0.4">
      <c r="F173" s="1">
        <v>26604</v>
      </c>
      <c r="G173" s="16">
        <v>326.5</v>
      </c>
      <c r="H173" s="16">
        <f t="shared" si="11"/>
        <v>328.59474764365916</v>
      </c>
      <c r="I173">
        <f t="shared" si="12"/>
        <v>11</v>
      </c>
      <c r="J173" s="16" cm="1">
        <f t="array" ref="J173">INDEX(Sm,I173)</f>
        <v>-2.0587659549634894</v>
      </c>
      <c r="K173" s="16">
        <f t="shared" si="13"/>
        <v>326.5359816886957</v>
      </c>
      <c r="L173" s="16">
        <f t="shared" si="14"/>
        <v>-3.5981688695699177E-2</v>
      </c>
      <c r="M173" s="16">
        <f t="shared" si="15"/>
        <v>1.2946819213942059E-3</v>
      </c>
    </row>
    <row r="174" spans="6:13" x14ac:dyDescent="0.4">
      <c r="F174" s="1">
        <v>26634</v>
      </c>
      <c r="G174" s="16">
        <v>327.55</v>
      </c>
      <c r="H174" s="16">
        <f t="shared" si="11"/>
        <v>328.68887772234643</v>
      </c>
      <c r="I174">
        <f t="shared" si="12"/>
        <v>12</v>
      </c>
      <c r="J174" s="16" cm="1">
        <f t="array" ref="J174">INDEX(Sm,I174)</f>
        <v>-0.89092746367992248</v>
      </c>
      <c r="K174" s="16">
        <f t="shared" si="13"/>
        <v>327.7979502586665</v>
      </c>
      <c r="L174" s="16">
        <f t="shared" si="14"/>
        <v>-0.24795025866649212</v>
      </c>
      <c r="M174" s="16">
        <f t="shared" si="15"/>
        <v>6.1479330772780352E-2</v>
      </c>
    </row>
    <row r="175" spans="6:13" x14ac:dyDescent="0.4">
      <c r="F175" s="1">
        <v>26665</v>
      </c>
      <c r="G175" s="16">
        <v>328.55</v>
      </c>
      <c r="H175" s="16">
        <f t="shared" si="11"/>
        <v>328.78633087778798</v>
      </c>
      <c r="I175">
        <f t="shared" si="12"/>
        <v>1</v>
      </c>
      <c r="J175" s="16" cm="1">
        <f t="array" ref="J175">INDEX(Sm,I175)</f>
        <v>6.1437951108157106E-2</v>
      </c>
      <c r="K175" s="16">
        <f t="shared" si="13"/>
        <v>328.84776882889611</v>
      </c>
      <c r="L175" s="16">
        <f t="shared" si="14"/>
        <v>-0.29776882889609624</v>
      </c>
      <c r="M175" s="16">
        <f t="shared" si="15"/>
        <v>8.8666275462152638E-2</v>
      </c>
    </row>
    <row r="176" spans="6:13" x14ac:dyDescent="0.4">
      <c r="F176" s="1">
        <v>26696</v>
      </c>
      <c r="G176" s="16">
        <v>329.56</v>
      </c>
      <c r="H176" s="16">
        <f t="shared" si="11"/>
        <v>328.88397248016076</v>
      </c>
      <c r="I176">
        <f t="shared" si="12"/>
        <v>2</v>
      </c>
      <c r="J176" s="16" cm="1">
        <f t="array" ref="J176">INDEX(Sm,I176)</f>
        <v>0.69461918775013354</v>
      </c>
      <c r="K176" s="16">
        <f t="shared" si="13"/>
        <v>329.57859166791087</v>
      </c>
      <c r="L176" s="16">
        <f t="shared" si="14"/>
        <v>-1.8591667910868637E-2</v>
      </c>
      <c r="M176" s="16">
        <f t="shared" si="15"/>
        <v>3.4565011570802256E-4</v>
      </c>
    </row>
    <row r="177" spans="6:13" x14ac:dyDescent="0.4">
      <c r="F177" s="1">
        <v>26724</v>
      </c>
      <c r="G177" s="16">
        <v>330.3</v>
      </c>
      <c r="H177" s="16">
        <f t="shared" si="11"/>
        <v>328.97232686936457</v>
      </c>
      <c r="I177">
        <f t="shared" si="12"/>
        <v>3</v>
      </c>
      <c r="J177" s="16" cm="1">
        <f t="array" ref="J177">INDEX(Sm,I177)</f>
        <v>1.3737674679346947</v>
      </c>
      <c r="K177" s="16">
        <f t="shared" si="13"/>
        <v>330.34609433729923</v>
      </c>
      <c r="L177" s="16">
        <f t="shared" si="14"/>
        <v>-4.6094337299223298E-2</v>
      </c>
      <c r="M177" s="16">
        <f t="shared" si="15"/>
        <v>2.1246879310545682E-3</v>
      </c>
    </row>
    <row r="178" spans="6:13" x14ac:dyDescent="0.4">
      <c r="F178" s="1">
        <v>26755</v>
      </c>
      <c r="G178" s="16">
        <v>331.5</v>
      </c>
      <c r="H178" s="16">
        <f t="shared" si="11"/>
        <v>329.07032712880022</v>
      </c>
      <c r="I178">
        <f t="shared" si="12"/>
        <v>4</v>
      </c>
      <c r="J178" s="16" cm="1">
        <f t="array" ref="J178">INDEX(Sm,I178)</f>
        <v>2.6103146023823673</v>
      </c>
      <c r="K178" s="16">
        <f t="shared" si="13"/>
        <v>331.68064173118256</v>
      </c>
      <c r="L178" s="16">
        <f t="shared" si="14"/>
        <v>-0.18064173118256122</v>
      </c>
      <c r="M178" s="16">
        <f t="shared" si="15"/>
        <v>3.2631435044632708E-2</v>
      </c>
    </row>
    <row r="179" spans="6:13" x14ac:dyDescent="0.4">
      <c r="F179" s="1">
        <v>26785</v>
      </c>
      <c r="G179" s="16">
        <v>332.48</v>
      </c>
      <c r="H179" s="16">
        <f t="shared" si="11"/>
        <v>329.16534551612301</v>
      </c>
      <c r="I179">
        <f t="shared" si="12"/>
        <v>5</v>
      </c>
      <c r="J179" s="16" cm="1">
        <f t="array" ref="J179">INDEX(Sm,I179)</f>
        <v>3.0656878503632123</v>
      </c>
      <c r="K179" s="16">
        <f t="shared" si="13"/>
        <v>332.2310333664862</v>
      </c>
      <c r="L179" s="16">
        <f t="shared" si="14"/>
        <v>0.24896663351381676</v>
      </c>
      <c r="M179" s="16">
        <f t="shared" si="15"/>
        <v>6.1984384603203144E-2</v>
      </c>
    </row>
    <row r="180" spans="6:13" x14ac:dyDescent="0.4">
      <c r="F180" s="1">
        <v>26816</v>
      </c>
      <c r="G180" s="16">
        <v>332.07</v>
      </c>
      <c r="H180" s="16">
        <f t="shared" si="11"/>
        <v>329.263716590488</v>
      </c>
      <c r="I180">
        <f t="shared" si="12"/>
        <v>6</v>
      </c>
      <c r="J180" s="16" cm="1">
        <f t="array" ref="J180">INDEX(Sm,I180)</f>
        <v>2.3467878975381979</v>
      </c>
      <c r="K180" s="16">
        <f t="shared" si="13"/>
        <v>331.61050448802621</v>
      </c>
      <c r="L180" s="16">
        <f t="shared" si="14"/>
        <v>0.45949551197378469</v>
      </c>
      <c r="M180" s="16">
        <f t="shared" si="15"/>
        <v>0.21113612552405051</v>
      </c>
    </row>
    <row r="181" spans="6:13" x14ac:dyDescent="0.4">
      <c r="F181" s="1">
        <v>26846</v>
      </c>
      <c r="G181" s="16">
        <v>330.87</v>
      </c>
      <c r="H181" s="16">
        <f t="shared" si="11"/>
        <v>329.35909383096822</v>
      </c>
      <c r="I181">
        <f t="shared" si="12"/>
        <v>7</v>
      </c>
      <c r="J181" s="16" cm="1">
        <f t="array" ref="J181">INDEX(Sm,I181)</f>
        <v>0.72373827090267417</v>
      </c>
      <c r="K181" s="16">
        <f t="shared" si="13"/>
        <v>330.08283210187091</v>
      </c>
      <c r="L181" s="16">
        <f t="shared" si="14"/>
        <v>0.78716789812909838</v>
      </c>
      <c r="M181" s="16">
        <f t="shared" si="15"/>
        <v>0.61963329984498261</v>
      </c>
    </row>
    <row r="182" spans="6:13" x14ac:dyDescent="0.4">
      <c r="F182" s="1">
        <v>26877</v>
      </c>
      <c r="G182" s="16">
        <v>329.31</v>
      </c>
      <c r="H182" s="16">
        <f t="shared" si="11"/>
        <v>329.45783572026249</v>
      </c>
      <c r="I182">
        <f t="shared" si="12"/>
        <v>8</v>
      </c>
      <c r="J182" s="16" cm="1">
        <f t="array" ref="J182">INDEX(Sm,I182)</f>
        <v>-1.3971602749585079</v>
      </c>
      <c r="K182" s="16">
        <f t="shared" si="13"/>
        <v>328.06067544530401</v>
      </c>
      <c r="L182" s="16">
        <f t="shared" si="14"/>
        <v>1.2493245546959884</v>
      </c>
      <c r="M182" s="16">
        <f t="shared" si="15"/>
        <v>1.5608118429663296</v>
      </c>
    </row>
    <row r="183" spans="6:13" x14ac:dyDescent="0.4">
      <c r="F183" s="1">
        <v>26908</v>
      </c>
      <c r="G183" s="16">
        <v>327.51</v>
      </c>
      <c r="H183" s="16">
        <f t="shared" si="11"/>
        <v>329.55676605648807</v>
      </c>
      <c r="I183">
        <f t="shared" si="12"/>
        <v>9</v>
      </c>
      <c r="J183" s="16" cm="1">
        <f t="array" ref="J183">INDEX(Sm,I183)</f>
        <v>-3.1930865277187257</v>
      </c>
      <c r="K183" s="16">
        <f t="shared" si="13"/>
        <v>326.36367952876935</v>
      </c>
      <c r="L183" s="16">
        <f t="shared" si="14"/>
        <v>1.1463204712306378</v>
      </c>
      <c r="M183" s="16">
        <f t="shared" si="15"/>
        <v>1.3140506227624316</v>
      </c>
    </row>
    <row r="184" spans="6:13" x14ac:dyDescent="0.4">
      <c r="F184" s="1">
        <v>26938</v>
      </c>
      <c r="G184" s="16">
        <v>327.18</v>
      </c>
      <c r="H184" s="16">
        <f t="shared" si="11"/>
        <v>329.65268451812381</v>
      </c>
      <c r="I184">
        <f t="shared" si="12"/>
        <v>10</v>
      </c>
      <c r="J184" s="16" cm="1">
        <f t="array" ref="J184">INDEX(Sm,I184)</f>
        <v>-3.3364130066587929</v>
      </c>
      <c r="K184" s="16">
        <f t="shared" si="13"/>
        <v>326.316271511465</v>
      </c>
      <c r="L184" s="16">
        <f t="shared" si="14"/>
        <v>0.86372848853500273</v>
      </c>
      <c r="M184" s="16">
        <f t="shared" si="15"/>
        <v>0.7460269019069603</v>
      </c>
    </row>
    <row r="185" spans="6:13" x14ac:dyDescent="0.4">
      <c r="F185" s="1">
        <v>26969</v>
      </c>
      <c r="G185" s="16">
        <v>328.16</v>
      </c>
      <c r="H185" s="16">
        <f t="shared" si="11"/>
        <v>329.75198566927872</v>
      </c>
      <c r="I185">
        <f t="shared" si="12"/>
        <v>11</v>
      </c>
      <c r="J185" s="16" cm="1">
        <f t="array" ref="J185">INDEX(Sm,I185)</f>
        <v>-2.0587659549634894</v>
      </c>
      <c r="K185" s="16">
        <f t="shared" si="13"/>
        <v>327.69321971431526</v>
      </c>
      <c r="L185" s="16">
        <f t="shared" si="14"/>
        <v>0.46678028568476293</v>
      </c>
      <c r="M185" s="16">
        <f t="shared" si="15"/>
        <v>0.2178838351039489</v>
      </c>
    </row>
    <row r="186" spans="6:13" x14ac:dyDescent="0.4">
      <c r="F186" s="1">
        <v>26999</v>
      </c>
      <c r="G186" s="16">
        <v>328.64</v>
      </c>
      <c r="H186" s="16">
        <f t="shared" si="11"/>
        <v>329.84826298407188</v>
      </c>
      <c r="I186">
        <f t="shared" si="12"/>
        <v>12</v>
      </c>
      <c r="J186" s="16" cm="1">
        <f t="array" ref="J186">INDEX(Sm,I186)</f>
        <v>-0.89092746367992248</v>
      </c>
      <c r="K186" s="16">
        <f t="shared" si="13"/>
        <v>328.95733552039195</v>
      </c>
      <c r="L186" s="16">
        <f t="shared" si="14"/>
        <v>-0.31733552039196411</v>
      </c>
      <c r="M186" s="16">
        <f t="shared" si="15"/>
        <v>0.10070183250243867</v>
      </c>
    </row>
    <row r="187" spans="6:13" x14ac:dyDescent="0.4">
      <c r="F187" s="1">
        <v>27030</v>
      </c>
      <c r="G187" s="16">
        <v>329.35</v>
      </c>
      <c r="H187" s="16">
        <f t="shared" si="11"/>
        <v>329.94793495015608</v>
      </c>
      <c r="I187">
        <f t="shared" si="12"/>
        <v>1</v>
      </c>
      <c r="J187" s="16" cm="1">
        <f t="array" ref="J187">INDEX(Sm,I187)</f>
        <v>6.1437951108157106E-2</v>
      </c>
      <c r="K187" s="16">
        <f t="shared" si="13"/>
        <v>330.00937290126421</v>
      </c>
      <c r="L187" s="16">
        <f t="shared" si="14"/>
        <v>-0.65937290126419157</v>
      </c>
      <c r="M187" s="16">
        <f t="shared" si="15"/>
        <v>0.43477262292155733</v>
      </c>
    </row>
    <row r="188" spans="6:13" x14ac:dyDescent="0.4">
      <c r="F188" s="1">
        <v>27061</v>
      </c>
      <c r="G188" s="16">
        <v>330.71</v>
      </c>
      <c r="H188" s="16">
        <f t="shared" si="11"/>
        <v>330.04779536317164</v>
      </c>
      <c r="I188">
        <f t="shared" si="12"/>
        <v>2</v>
      </c>
      <c r="J188" s="16" cm="1">
        <f t="array" ref="J188">INDEX(Sm,I188)</f>
        <v>0.69461918775013354</v>
      </c>
      <c r="K188" s="16">
        <f t="shared" si="13"/>
        <v>330.74241455092175</v>
      </c>
      <c r="L188" s="16">
        <f t="shared" si="14"/>
        <v>-3.2414550921771479E-2</v>
      </c>
      <c r="M188" s="16">
        <f t="shared" si="15"/>
        <v>1.0507031114601161E-3</v>
      </c>
    </row>
    <row r="189" spans="6:13" x14ac:dyDescent="0.4">
      <c r="F189" s="1">
        <v>27089</v>
      </c>
      <c r="G189" s="16">
        <v>331.48</v>
      </c>
      <c r="H189" s="16">
        <f t="shared" si="11"/>
        <v>330.13815383940755</v>
      </c>
      <c r="I189">
        <f t="shared" si="12"/>
        <v>3</v>
      </c>
      <c r="J189" s="16" cm="1">
        <f t="array" ref="J189">INDEX(Sm,I189)</f>
        <v>1.3737674679346947</v>
      </c>
      <c r="K189" s="16">
        <f t="shared" si="13"/>
        <v>331.51192130734222</v>
      </c>
      <c r="L189" s="16">
        <f t="shared" si="14"/>
        <v>-3.1921307342201999E-2</v>
      </c>
      <c r="M189" s="16">
        <f t="shared" si="15"/>
        <v>1.0189698624353193E-3</v>
      </c>
    </row>
    <row r="190" spans="6:13" x14ac:dyDescent="0.4">
      <c r="F190" s="1">
        <v>27120</v>
      </c>
      <c r="G190" s="16">
        <v>332.65</v>
      </c>
      <c r="H190" s="16">
        <f t="shared" si="11"/>
        <v>330.23837290948592</v>
      </c>
      <c r="I190">
        <f t="shared" si="12"/>
        <v>4</v>
      </c>
      <c r="J190" s="16" cm="1">
        <f t="array" ref="J190">INDEX(Sm,I190)</f>
        <v>2.6103146023823673</v>
      </c>
      <c r="K190" s="16">
        <f t="shared" si="13"/>
        <v>332.84868751186826</v>
      </c>
      <c r="L190" s="16">
        <f t="shared" si="14"/>
        <v>-0.19868751186828604</v>
      </c>
      <c r="M190" s="16">
        <f t="shared" si="15"/>
        <v>3.9476727372410307E-2</v>
      </c>
    </row>
    <row r="191" spans="6:13" x14ac:dyDescent="0.4">
      <c r="F191" s="1">
        <v>27150</v>
      </c>
      <c r="G191" s="16">
        <v>333.09</v>
      </c>
      <c r="H191" s="16">
        <f t="shared" si="11"/>
        <v>330.3355385329146</v>
      </c>
      <c r="I191">
        <f t="shared" si="12"/>
        <v>5</v>
      </c>
      <c r="J191" s="16" cm="1">
        <f t="array" ref="J191">INDEX(Sm,I191)</f>
        <v>3.0656878503632123</v>
      </c>
      <c r="K191" s="16">
        <f t="shared" si="13"/>
        <v>333.40122638327779</v>
      </c>
      <c r="L191" s="16">
        <f t="shared" si="14"/>
        <v>-0.3112263832778126</v>
      </c>
      <c r="M191" s="16">
        <f t="shared" si="15"/>
        <v>9.6861861648187914E-2</v>
      </c>
    </row>
    <row r="192" spans="6:13" x14ac:dyDescent="0.4">
      <c r="F192" s="1">
        <v>27181</v>
      </c>
      <c r="G192" s="16">
        <v>332.25</v>
      </c>
      <c r="H192" s="16">
        <f t="shared" si="11"/>
        <v>330.4361284179223</v>
      </c>
      <c r="I192">
        <f t="shared" si="12"/>
        <v>6</v>
      </c>
      <c r="J192" s="16" cm="1">
        <f t="array" ref="J192">INDEX(Sm,I192)</f>
        <v>2.3467878975381979</v>
      </c>
      <c r="K192" s="16">
        <f t="shared" si="13"/>
        <v>332.78291631546051</v>
      </c>
      <c r="L192" s="16">
        <f t="shared" si="14"/>
        <v>-0.53291631546051121</v>
      </c>
      <c r="M192" s="16">
        <f t="shared" si="15"/>
        <v>0.28399979928400709</v>
      </c>
    </row>
    <row r="193" spans="6:13" x14ac:dyDescent="0.4">
      <c r="F193" s="1">
        <v>27211</v>
      </c>
      <c r="G193" s="16">
        <v>331.18</v>
      </c>
      <c r="H193" s="16">
        <f t="shared" si="11"/>
        <v>330.53365289450841</v>
      </c>
      <c r="I193">
        <f t="shared" si="12"/>
        <v>7</v>
      </c>
      <c r="J193" s="16" cm="1">
        <f t="array" ref="J193">INDEX(Sm,I193)</f>
        <v>0.72373827090267417</v>
      </c>
      <c r="K193" s="16">
        <f t="shared" si="13"/>
        <v>331.25739116541109</v>
      </c>
      <c r="L193" s="16">
        <f t="shared" si="14"/>
        <v>-7.7391165411086149E-2</v>
      </c>
      <c r="M193" s="16">
        <f t="shared" si="15"/>
        <v>5.9893924836860969E-3</v>
      </c>
    </row>
    <row r="194" spans="6:13" x14ac:dyDescent="0.4">
      <c r="F194" s="1">
        <v>27242</v>
      </c>
      <c r="G194" s="16">
        <v>329.39</v>
      </c>
      <c r="H194" s="16">
        <f t="shared" si="11"/>
        <v>330.6346135944454</v>
      </c>
      <c r="I194">
        <f t="shared" si="12"/>
        <v>8</v>
      </c>
      <c r="J194" s="16" cm="1">
        <f t="array" ref="J194">INDEX(Sm,I194)</f>
        <v>-1.3971602749585079</v>
      </c>
      <c r="K194" s="16">
        <f t="shared" si="13"/>
        <v>329.23745331948692</v>
      </c>
      <c r="L194" s="16">
        <f t="shared" si="14"/>
        <v>0.15254668051306908</v>
      </c>
      <c r="M194" s="16">
        <f t="shared" si="15"/>
        <v>2.3270489735556368E-2</v>
      </c>
    </row>
    <row r="195" spans="6:13" x14ac:dyDescent="0.4">
      <c r="F195" s="1">
        <v>27273</v>
      </c>
      <c r="G195" s="16">
        <v>327.43</v>
      </c>
      <c r="H195" s="16">
        <f t="shared" ref="H195:H258" si="16">_A*F195*F195+_B*F195+_C</f>
        <v>330.73576274131375</v>
      </c>
      <c r="I195">
        <f t="shared" ref="I195:I258" si="17">MONTH(F195)</f>
        <v>9</v>
      </c>
      <c r="J195" s="16" cm="1">
        <f t="array" ref="J195">INDEX(Sm,I195)</f>
        <v>-3.1930865277187257</v>
      </c>
      <c r="K195" s="16">
        <f t="shared" ref="K195:K258" si="18">H195+J195</f>
        <v>327.54267621359503</v>
      </c>
      <c r="L195" s="16">
        <f t="shared" ref="L195:L258" si="19">G195-K195</f>
        <v>-0.112676213595023</v>
      </c>
      <c r="M195" s="16">
        <f t="shared" ref="M195:M258" si="20">L195*L195</f>
        <v>1.2695929110111246E-2</v>
      </c>
    </row>
    <row r="196" spans="6:13" x14ac:dyDescent="0.4">
      <c r="F196" s="1">
        <v>27303</v>
      </c>
      <c r="G196" s="16">
        <v>327.37</v>
      </c>
      <c r="H196" s="16">
        <f t="shared" si="16"/>
        <v>330.83382843905531</v>
      </c>
      <c r="I196">
        <f t="shared" si="17"/>
        <v>10</v>
      </c>
      <c r="J196" s="16" cm="1">
        <f t="array" ref="J196">INDEX(Sm,I196)</f>
        <v>-3.3364130066587929</v>
      </c>
      <c r="K196" s="16">
        <f t="shared" si="18"/>
        <v>327.49741543239651</v>
      </c>
      <c r="L196" s="16">
        <f t="shared" si="19"/>
        <v>-0.12741543239650355</v>
      </c>
      <c r="M196" s="16">
        <f t="shared" si="20"/>
        <v>1.6234692412787965E-2</v>
      </c>
    </row>
    <row r="197" spans="6:13" x14ac:dyDescent="0.4">
      <c r="F197" s="1">
        <v>27334</v>
      </c>
      <c r="G197" s="16">
        <v>328.46</v>
      </c>
      <c r="H197" s="16">
        <f t="shared" si="16"/>
        <v>330.93534840085294</v>
      </c>
      <c r="I197">
        <f t="shared" si="17"/>
        <v>11</v>
      </c>
      <c r="J197" s="16" cm="1">
        <f t="array" ref="J197">INDEX(Sm,I197)</f>
        <v>-2.0587659549634894</v>
      </c>
      <c r="K197" s="16">
        <f t="shared" si="18"/>
        <v>328.87658244588948</v>
      </c>
      <c r="L197" s="16">
        <f t="shared" si="19"/>
        <v>-0.41658244588950311</v>
      </c>
      <c r="M197" s="16">
        <f t="shared" si="20"/>
        <v>0.17354093422328079</v>
      </c>
    </row>
    <row r="198" spans="6:13" x14ac:dyDescent="0.4">
      <c r="F198" s="1">
        <v>27364</v>
      </c>
      <c r="G198" s="16">
        <v>329.57</v>
      </c>
      <c r="H198" s="16">
        <f t="shared" si="16"/>
        <v>331.03377295175198</v>
      </c>
      <c r="I198">
        <f t="shared" si="17"/>
        <v>12</v>
      </c>
      <c r="J198" s="16" cm="1">
        <f t="array" ref="J198">INDEX(Sm,I198)</f>
        <v>-0.89092746367992248</v>
      </c>
      <c r="K198" s="16">
        <f t="shared" si="18"/>
        <v>330.14284548807206</v>
      </c>
      <c r="L198" s="16">
        <f t="shared" si="19"/>
        <v>-0.57284548807206193</v>
      </c>
      <c r="M198" s="16">
        <f t="shared" si="20"/>
        <v>0.32815195320451884</v>
      </c>
    </row>
    <row r="199" spans="6:13" x14ac:dyDescent="0.4">
      <c r="F199" s="1">
        <v>27395</v>
      </c>
      <c r="G199" s="16">
        <v>330.4</v>
      </c>
      <c r="H199" s="16">
        <f t="shared" si="16"/>
        <v>331.1356637284789</v>
      </c>
      <c r="I199">
        <f t="shared" si="17"/>
        <v>1</v>
      </c>
      <c r="J199" s="16" cm="1">
        <f t="array" ref="J199">INDEX(Sm,I199)</f>
        <v>6.1437951108157106E-2</v>
      </c>
      <c r="K199" s="16">
        <f t="shared" si="18"/>
        <v>331.19710167958704</v>
      </c>
      <c r="L199" s="16">
        <f t="shared" si="19"/>
        <v>-0.79710167958705824</v>
      </c>
      <c r="M199" s="16">
        <f t="shared" si="20"/>
        <v>0.63537108760050931</v>
      </c>
    </row>
    <row r="200" spans="6:13" x14ac:dyDescent="0.4">
      <c r="F200" s="1">
        <v>27426</v>
      </c>
      <c r="G200" s="16">
        <v>331.4</v>
      </c>
      <c r="H200" s="16">
        <f t="shared" si="16"/>
        <v>331.23774295213718</v>
      </c>
      <c r="I200">
        <f t="shared" si="17"/>
        <v>2</v>
      </c>
      <c r="J200" s="16" cm="1">
        <f t="array" ref="J200">INDEX(Sm,I200)</f>
        <v>0.69461918775013354</v>
      </c>
      <c r="K200" s="16">
        <f t="shared" si="18"/>
        <v>331.93236213988729</v>
      </c>
      <c r="L200" s="16">
        <f t="shared" si="19"/>
        <v>-0.53236213988731151</v>
      </c>
      <c r="M200" s="16">
        <f t="shared" si="20"/>
        <v>0.28340944798539741</v>
      </c>
    </row>
    <row r="201" spans="6:13" x14ac:dyDescent="0.4">
      <c r="F201" s="1">
        <v>27454</v>
      </c>
      <c r="G201" s="16">
        <v>332.04</v>
      </c>
      <c r="H201" s="16">
        <f t="shared" si="16"/>
        <v>331.33010551540531</v>
      </c>
      <c r="I201">
        <f t="shared" si="17"/>
        <v>3</v>
      </c>
      <c r="J201" s="16" cm="1">
        <f t="array" ref="J201">INDEX(Sm,I201)</f>
        <v>1.3737674679346947</v>
      </c>
      <c r="K201" s="16">
        <f t="shared" si="18"/>
        <v>332.70387298333998</v>
      </c>
      <c r="L201" s="16">
        <f t="shared" si="19"/>
        <v>-0.66387298333995659</v>
      </c>
      <c r="M201" s="16">
        <f t="shared" si="20"/>
        <v>0.44072733800869429</v>
      </c>
    </row>
    <row r="202" spans="6:13" x14ac:dyDescent="0.4">
      <c r="F202" s="1">
        <v>27485</v>
      </c>
      <c r="G202" s="16">
        <v>333.31</v>
      </c>
      <c r="H202" s="16">
        <f t="shared" si="16"/>
        <v>331.43254339612633</v>
      </c>
      <c r="I202">
        <f t="shared" si="17"/>
        <v>4</v>
      </c>
      <c r="J202" s="16" cm="1">
        <f t="array" ref="J202">INDEX(Sm,I202)</f>
        <v>2.6103146023823673</v>
      </c>
      <c r="K202" s="16">
        <f t="shared" si="18"/>
        <v>334.04285799850868</v>
      </c>
      <c r="L202" s="16">
        <f t="shared" si="19"/>
        <v>-0.73285799850867761</v>
      </c>
      <c r="M202" s="16">
        <f t="shared" si="20"/>
        <v>0.53708084597814487</v>
      </c>
    </row>
    <row r="203" spans="6:13" x14ac:dyDescent="0.4">
      <c r="F203" s="1">
        <v>27515</v>
      </c>
      <c r="G203" s="16">
        <v>333.97</v>
      </c>
      <c r="H203" s="16">
        <f t="shared" si="16"/>
        <v>331.53185625566095</v>
      </c>
      <c r="I203">
        <f t="shared" si="17"/>
        <v>5</v>
      </c>
      <c r="J203" s="16" cm="1">
        <f t="array" ref="J203">INDEX(Sm,I203)</f>
        <v>3.0656878503632123</v>
      </c>
      <c r="K203" s="16">
        <f t="shared" si="18"/>
        <v>334.59754410602415</v>
      </c>
      <c r="L203" s="16">
        <f t="shared" si="19"/>
        <v>-0.62754410602411781</v>
      </c>
      <c r="M203" s="16">
        <f t="shared" si="20"/>
        <v>0.39381160500560919</v>
      </c>
    </row>
    <row r="204" spans="6:13" x14ac:dyDescent="0.4">
      <c r="F204" s="1">
        <v>27546</v>
      </c>
      <c r="G204" s="16">
        <v>333.6</v>
      </c>
      <c r="H204" s="16">
        <f t="shared" si="16"/>
        <v>331.63466495131132</v>
      </c>
      <c r="I204">
        <f t="shared" si="17"/>
        <v>6</v>
      </c>
      <c r="J204" s="16" cm="1">
        <f t="array" ref="J204">INDEX(Sm,I204)</f>
        <v>2.3467878975381979</v>
      </c>
      <c r="K204" s="16">
        <f t="shared" si="18"/>
        <v>333.98145284884953</v>
      </c>
      <c r="L204" s="16">
        <f t="shared" si="19"/>
        <v>-0.3814528488495057</v>
      </c>
      <c r="M204" s="16">
        <f t="shared" si="20"/>
        <v>0.14550627589540385</v>
      </c>
    </row>
    <row r="205" spans="6:13" x14ac:dyDescent="0.4">
      <c r="F205" s="1">
        <v>27576</v>
      </c>
      <c r="G205" s="16">
        <v>331.9</v>
      </c>
      <c r="H205" s="16">
        <f t="shared" si="16"/>
        <v>331.73433666400331</v>
      </c>
      <c r="I205">
        <f t="shared" si="17"/>
        <v>7</v>
      </c>
      <c r="J205" s="16" cm="1">
        <f t="array" ref="J205">INDEX(Sm,I205)</f>
        <v>0.72373827090267417</v>
      </c>
      <c r="K205" s="16">
        <f t="shared" si="18"/>
        <v>332.45807493490599</v>
      </c>
      <c r="L205" s="16">
        <f t="shared" si="19"/>
        <v>-0.55807493490601701</v>
      </c>
      <c r="M205" s="16">
        <f t="shared" si="20"/>
        <v>0.3114476329703551</v>
      </c>
    </row>
    <row r="206" spans="6:13" x14ac:dyDescent="0.4">
      <c r="F206" s="1">
        <v>27607</v>
      </c>
      <c r="G206" s="16">
        <v>330.06</v>
      </c>
      <c r="H206" s="16">
        <f t="shared" si="16"/>
        <v>331.83751617458307</v>
      </c>
      <c r="I206">
        <f t="shared" si="17"/>
        <v>8</v>
      </c>
      <c r="J206" s="16" cm="1">
        <f t="array" ref="J206">INDEX(Sm,I206)</f>
        <v>-1.3971602749585079</v>
      </c>
      <c r="K206" s="16">
        <f t="shared" si="18"/>
        <v>330.44035589962459</v>
      </c>
      <c r="L206" s="16">
        <f t="shared" si="19"/>
        <v>-0.38035589962458971</v>
      </c>
      <c r="M206" s="16">
        <f t="shared" si="20"/>
        <v>0.14467061037923096</v>
      </c>
    </row>
    <row r="207" spans="6:13" x14ac:dyDescent="0.4">
      <c r="F207" s="1">
        <v>27638</v>
      </c>
      <c r="G207" s="16">
        <v>328.56</v>
      </c>
      <c r="H207" s="16">
        <f t="shared" si="16"/>
        <v>331.94088413209408</v>
      </c>
      <c r="I207">
        <f t="shared" si="17"/>
        <v>9</v>
      </c>
      <c r="J207" s="16" cm="1">
        <f t="array" ref="J207">INDEX(Sm,I207)</f>
        <v>-3.1930865277187257</v>
      </c>
      <c r="K207" s="16">
        <f t="shared" si="18"/>
        <v>328.74779760437536</v>
      </c>
      <c r="L207" s="16">
        <f t="shared" si="19"/>
        <v>-0.18779760437536197</v>
      </c>
      <c r="M207" s="16">
        <f t="shared" si="20"/>
        <v>3.5267940209124972E-2</v>
      </c>
    </row>
    <row r="208" spans="6:13" x14ac:dyDescent="0.4">
      <c r="F208" s="1">
        <v>27668</v>
      </c>
      <c r="G208" s="16">
        <v>328.34</v>
      </c>
      <c r="H208" s="16">
        <f t="shared" si="16"/>
        <v>332.04109706594153</v>
      </c>
      <c r="I208">
        <f t="shared" si="17"/>
        <v>10</v>
      </c>
      <c r="J208" s="16" cm="1">
        <f t="array" ref="J208">INDEX(Sm,I208)</f>
        <v>-3.3364130066587929</v>
      </c>
      <c r="K208" s="16">
        <f t="shared" si="18"/>
        <v>328.70468405928273</v>
      </c>
      <c r="L208" s="16">
        <f t="shared" si="19"/>
        <v>-0.3646840592827516</v>
      </c>
      <c r="M208" s="16">
        <f t="shared" si="20"/>
        <v>0.13299446309494548</v>
      </c>
    </row>
    <row r="209" spans="6:13" x14ac:dyDescent="0.4">
      <c r="F209" s="1">
        <v>27699</v>
      </c>
      <c r="G209" s="16">
        <v>329.49</v>
      </c>
      <c r="H209" s="16">
        <f t="shared" si="16"/>
        <v>332.14483583838194</v>
      </c>
      <c r="I209">
        <f t="shared" si="17"/>
        <v>11</v>
      </c>
      <c r="J209" s="16" cm="1">
        <f t="array" ref="J209">INDEX(Sm,I209)</f>
        <v>-2.0587659549634894</v>
      </c>
      <c r="K209" s="16">
        <f t="shared" si="18"/>
        <v>330.08606988341847</v>
      </c>
      <c r="L209" s="16">
        <f t="shared" si="19"/>
        <v>-0.59606988341846545</v>
      </c>
      <c r="M209" s="16">
        <f t="shared" si="20"/>
        <v>0.35529930591850301</v>
      </c>
    </row>
    <row r="210" spans="6:13" x14ac:dyDescent="0.4">
      <c r="F210" s="1">
        <v>27729</v>
      </c>
      <c r="G210" s="16">
        <v>330.76</v>
      </c>
      <c r="H210" s="16">
        <f t="shared" si="16"/>
        <v>332.2454076253868</v>
      </c>
      <c r="I210">
        <f t="shared" si="17"/>
        <v>12</v>
      </c>
      <c r="J210" s="16" cm="1">
        <f t="array" ref="J210">INDEX(Sm,I210)</f>
        <v>-0.89092746367992248</v>
      </c>
      <c r="K210" s="16">
        <f t="shared" si="18"/>
        <v>331.35448016170687</v>
      </c>
      <c r="L210" s="16">
        <f t="shared" si="19"/>
        <v>-0.59448016170688334</v>
      </c>
      <c r="M210" s="16">
        <f t="shared" si="20"/>
        <v>0.35340666266304216</v>
      </c>
    </row>
    <row r="211" spans="6:13" x14ac:dyDescent="0.4">
      <c r="F211" s="1">
        <v>27760</v>
      </c>
      <c r="G211" s="16">
        <v>331.75</v>
      </c>
      <c r="H211" s="16">
        <f t="shared" si="16"/>
        <v>332.3495172127565</v>
      </c>
      <c r="I211">
        <f t="shared" si="17"/>
        <v>1</v>
      </c>
      <c r="J211" s="16" cm="1">
        <f t="array" ref="J211">INDEX(Sm,I211)</f>
        <v>6.1437951108157106E-2</v>
      </c>
      <c r="K211" s="16">
        <f t="shared" si="18"/>
        <v>332.41095516386463</v>
      </c>
      <c r="L211" s="16">
        <f t="shared" si="19"/>
        <v>-0.66095516386462805</v>
      </c>
      <c r="M211" s="16">
        <f t="shared" si="20"/>
        <v>0.43686172863931733</v>
      </c>
    </row>
    <row r="212" spans="6:13" x14ac:dyDescent="0.4">
      <c r="F212" s="1">
        <v>27791</v>
      </c>
      <c r="G212" s="16">
        <v>332.57</v>
      </c>
      <c r="H212" s="16">
        <f t="shared" si="16"/>
        <v>332.45381524705749</v>
      </c>
      <c r="I212">
        <f t="shared" si="17"/>
        <v>2</v>
      </c>
      <c r="J212" s="16" cm="1">
        <f t="array" ref="J212">INDEX(Sm,I212)</f>
        <v>0.69461918775013354</v>
      </c>
      <c r="K212" s="16">
        <f t="shared" si="18"/>
        <v>333.1484344348076</v>
      </c>
      <c r="L212" s="16">
        <f t="shared" si="19"/>
        <v>-0.5784344348076047</v>
      </c>
      <c r="M212" s="16">
        <f t="shared" si="20"/>
        <v>0.33458639537119311</v>
      </c>
    </row>
    <row r="213" spans="6:13" x14ac:dyDescent="0.4">
      <c r="F213" s="1">
        <v>27820</v>
      </c>
      <c r="G213" s="16">
        <v>333.5</v>
      </c>
      <c r="H213" s="16">
        <f t="shared" si="16"/>
        <v>332.55155497824046</v>
      </c>
      <c r="I213">
        <f t="shared" si="17"/>
        <v>3</v>
      </c>
      <c r="J213" s="16" cm="1">
        <f t="array" ref="J213">INDEX(Sm,I213)</f>
        <v>1.3737674679346947</v>
      </c>
      <c r="K213" s="16">
        <f t="shared" si="18"/>
        <v>333.92532244617513</v>
      </c>
      <c r="L213" s="16">
        <f t="shared" si="19"/>
        <v>-0.42532244617513015</v>
      </c>
      <c r="M213" s="16">
        <f t="shared" si="20"/>
        <v>0.1808991832203965</v>
      </c>
    </row>
    <row r="214" spans="6:13" x14ac:dyDescent="0.4">
      <c r="F214" s="1">
        <v>27851</v>
      </c>
      <c r="G214" s="16">
        <v>334.58</v>
      </c>
      <c r="H214" s="16">
        <f t="shared" si="16"/>
        <v>332.65621774853753</v>
      </c>
      <c r="I214">
        <f t="shared" si="17"/>
        <v>4</v>
      </c>
      <c r="J214" s="16" cm="1">
        <f t="array" ref="J214">INDEX(Sm,I214)</f>
        <v>2.6103146023823673</v>
      </c>
      <c r="K214" s="16">
        <f t="shared" si="18"/>
        <v>335.26653235091987</v>
      </c>
      <c r="L214" s="16">
        <f t="shared" si="19"/>
        <v>-0.68653235091989018</v>
      </c>
      <c r="M214" s="16">
        <f t="shared" si="20"/>
        <v>0.47132666885959124</v>
      </c>
    </row>
    <row r="215" spans="6:13" x14ac:dyDescent="0.4">
      <c r="F215" s="1">
        <v>27881</v>
      </c>
      <c r="G215" s="16">
        <v>334.88</v>
      </c>
      <c r="H215" s="16">
        <f t="shared" si="16"/>
        <v>332.75768372701657</v>
      </c>
      <c r="I215">
        <f t="shared" si="17"/>
        <v>5</v>
      </c>
      <c r="J215" s="16" cm="1">
        <f t="array" ref="J215">INDEX(Sm,I215)</f>
        <v>3.0656878503632123</v>
      </c>
      <c r="K215" s="16">
        <f t="shared" si="18"/>
        <v>335.82337157737976</v>
      </c>
      <c r="L215" s="16">
        <f t="shared" si="19"/>
        <v>-0.9433715773797644</v>
      </c>
      <c r="M215" s="16">
        <f t="shared" si="20"/>
        <v>0.88994993300798486</v>
      </c>
    </row>
    <row r="216" spans="6:13" x14ac:dyDescent="0.4">
      <c r="F216" s="1">
        <v>27912</v>
      </c>
      <c r="G216" s="16">
        <v>334.33</v>
      </c>
      <c r="H216" s="16">
        <f t="shared" si="16"/>
        <v>332.86271731224298</v>
      </c>
      <c r="I216">
        <f t="shared" si="17"/>
        <v>6</v>
      </c>
      <c r="J216" s="16" cm="1">
        <f t="array" ref="J216">INDEX(Sm,I216)</f>
        <v>2.3467878975381979</v>
      </c>
      <c r="K216" s="16">
        <f t="shared" si="18"/>
        <v>335.20950520978118</v>
      </c>
      <c r="L216" s="16">
        <f t="shared" si="19"/>
        <v>-0.87950520978120039</v>
      </c>
      <c r="M216" s="16">
        <f t="shared" si="20"/>
        <v>0.77352941403227327</v>
      </c>
    </row>
    <row r="217" spans="6:13" x14ac:dyDescent="0.4">
      <c r="F217" s="1">
        <v>27942</v>
      </c>
      <c r="G217" s="16">
        <v>333.05</v>
      </c>
      <c r="H217" s="16">
        <f t="shared" si="16"/>
        <v>332.9645421438795</v>
      </c>
      <c r="I217">
        <f t="shared" si="17"/>
        <v>7</v>
      </c>
      <c r="J217" s="16" cm="1">
        <f t="array" ref="J217">INDEX(Sm,I217)</f>
        <v>0.72373827090267417</v>
      </c>
      <c r="K217" s="16">
        <f t="shared" si="18"/>
        <v>333.68828041478218</v>
      </c>
      <c r="L217" s="16">
        <f t="shared" si="19"/>
        <v>-0.63828041478217301</v>
      </c>
      <c r="M217" s="16">
        <f t="shared" si="20"/>
        <v>0.40740188789450282</v>
      </c>
    </row>
    <row r="218" spans="6:13" x14ac:dyDescent="0.4">
      <c r="F218" s="1">
        <v>27973</v>
      </c>
      <c r="G218" s="16">
        <v>330.94</v>
      </c>
      <c r="H218" s="16">
        <f t="shared" si="16"/>
        <v>333.06994654403525</v>
      </c>
      <c r="I218">
        <f t="shared" si="17"/>
        <v>8</v>
      </c>
      <c r="J218" s="16" cm="1">
        <f t="array" ref="J218">INDEX(Sm,I218)</f>
        <v>-1.3971602749585079</v>
      </c>
      <c r="K218" s="16">
        <f t="shared" si="18"/>
        <v>331.67278626907677</v>
      </c>
      <c r="L218" s="16">
        <f t="shared" si="19"/>
        <v>-0.7327862690767688</v>
      </c>
      <c r="M218" s="16">
        <f t="shared" si="20"/>
        <v>0.53697571614745065</v>
      </c>
    </row>
    <row r="219" spans="6:13" x14ac:dyDescent="0.4">
      <c r="F219" s="1">
        <v>28004</v>
      </c>
      <c r="G219" s="16">
        <v>329.3</v>
      </c>
      <c r="H219" s="16">
        <f t="shared" si="16"/>
        <v>333.17553939112224</v>
      </c>
      <c r="I219">
        <f t="shared" si="17"/>
        <v>9</v>
      </c>
      <c r="J219" s="16" cm="1">
        <f t="array" ref="J219">INDEX(Sm,I219)</f>
        <v>-3.1930865277187257</v>
      </c>
      <c r="K219" s="16">
        <f t="shared" si="18"/>
        <v>329.98245286340352</v>
      </c>
      <c r="L219" s="16">
        <f t="shared" si="19"/>
        <v>-0.68245286340351186</v>
      </c>
      <c r="M219" s="16">
        <f t="shared" si="20"/>
        <v>0.46574191076765242</v>
      </c>
    </row>
    <row r="220" spans="6:13" x14ac:dyDescent="0.4">
      <c r="F220" s="1">
        <v>28034</v>
      </c>
      <c r="G220" s="16">
        <v>328.94</v>
      </c>
      <c r="H220" s="16">
        <f t="shared" si="16"/>
        <v>333.27790544391422</v>
      </c>
      <c r="I220">
        <f t="shared" si="17"/>
        <v>10</v>
      </c>
      <c r="J220" s="16" cm="1">
        <f t="array" ref="J220">INDEX(Sm,I220)</f>
        <v>-3.3364130066587929</v>
      </c>
      <c r="K220" s="16">
        <f t="shared" si="18"/>
        <v>329.94149243725542</v>
      </c>
      <c r="L220" s="16">
        <f t="shared" si="19"/>
        <v>-1.0014924372554219</v>
      </c>
      <c r="M220" s="16">
        <f t="shared" si="20"/>
        <v>1.0029871018798051</v>
      </c>
    </row>
    <row r="221" spans="6:13" x14ac:dyDescent="0.4">
      <c r="F221" s="1">
        <v>28065</v>
      </c>
      <c r="G221" s="16">
        <v>330.31</v>
      </c>
      <c r="H221" s="16">
        <f t="shared" si="16"/>
        <v>333.38386910593061</v>
      </c>
      <c r="I221">
        <f t="shared" si="17"/>
        <v>11</v>
      </c>
      <c r="J221" s="16" cm="1">
        <f t="array" ref="J221">INDEX(Sm,I221)</f>
        <v>-2.0587659549634894</v>
      </c>
      <c r="K221" s="16">
        <f t="shared" si="18"/>
        <v>331.32510315096715</v>
      </c>
      <c r="L221" s="16">
        <f t="shared" si="19"/>
        <v>-1.0151031509671498</v>
      </c>
      <c r="M221" s="16">
        <f t="shared" si="20"/>
        <v>1.0304344071034361</v>
      </c>
    </row>
    <row r="222" spans="6:13" x14ac:dyDescent="0.4">
      <c r="F222" s="1">
        <v>28095</v>
      </c>
      <c r="G222" s="16">
        <v>331.68</v>
      </c>
      <c r="H222" s="16">
        <f t="shared" si="16"/>
        <v>333.48659401187996</v>
      </c>
      <c r="I222">
        <f t="shared" si="17"/>
        <v>12</v>
      </c>
      <c r="J222" s="16" cm="1">
        <f t="array" ref="J222">INDEX(Sm,I222)</f>
        <v>-0.89092746367992248</v>
      </c>
      <c r="K222" s="16">
        <f t="shared" si="18"/>
        <v>332.59566654820003</v>
      </c>
      <c r="L222" s="16">
        <f t="shared" si="19"/>
        <v>-0.91566654820002213</v>
      </c>
      <c r="M222" s="16">
        <f t="shared" si="20"/>
        <v>0.83844522749254347</v>
      </c>
    </row>
    <row r="223" spans="6:13" x14ac:dyDescent="0.4">
      <c r="F223" s="1">
        <v>28126</v>
      </c>
      <c r="G223" s="16">
        <v>332.93</v>
      </c>
      <c r="H223" s="16">
        <f t="shared" si="16"/>
        <v>333.59292848882569</v>
      </c>
      <c r="I223">
        <f t="shared" si="17"/>
        <v>1</v>
      </c>
      <c r="J223" s="16" cm="1">
        <f t="array" ref="J223">INDEX(Sm,I223)</f>
        <v>6.1437951108157106E-2</v>
      </c>
      <c r="K223" s="16">
        <f t="shared" si="18"/>
        <v>333.65436643993382</v>
      </c>
      <c r="L223" s="16">
        <f t="shared" si="19"/>
        <v>-0.72436643993381722</v>
      </c>
      <c r="M223" s="16">
        <f t="shared" si="20"/>
        <v>0.52470673930239242</v>
      </c>
    </row>
    <row r="224" spans="6:13" x14ac:dyDescent="0.4">
      <c r="F224" s="1">
        <v>28157</v>
      </c>
      <c r="G224" s="16">
        <v>333.42</v>
      </c>
      <c r="H224" s="16">
        <f t="shared" si="16"/>
        <v>333.69945141270267</v>
      </c>
      <c r="I224">
        <f t="shared" si="17"/>
        <v>2</v>
      </c>
      <c r="J224" s="16" cm="1">
        <f t="array" ref="J224">INDEX(Sm,I224)</f>
        <v>0.69461918775013354</v>
      </c>
      <c r="K224" s="16">
        <f t="shared" si="18"/>
        <v>334.39407060045278</v>
      </c>
      <c r="L224" s="16">
        <f t="shared" si="19"/>
        <v>-0.97407060045276239</v>
      </c>
      <c r="M224" s="16">
        <f t="shared" si="20"/>
        <v>0.94881353466640506</v>
      </c>
    </row>
    <row r="225" spans="6:13" x14ac:dyDescent="0.4">
      <c r="F225" s="1">
        <v>28185</v>
      </c>
      <c r="G225" s="16">
        <v>334.7</v>
      </c>
      <c r="H225" s="16">
        <f t="shared" si="16"/>
        <v>333.79582764068448</v>
      </c>
      <c r="I225">
        <f t="shared" si="17"/>
        <v>3</v>
      </c>
      <c r="J225" s="16" cm="1">
        <f t="array" ref="J225">INDEX(Sm,I225)</f>
        <v>1.3737674679346947</v>
      </c>
      <c r="K225" s="16">
        <f t="shared" si="18"/>
        <v>335.16959510861915</v>
      </c>
      <c r="L225" s="16">
        <f t="shared" si="19"/>
        <v>-0.46959510861915987</v>
      </c>
      <c r="M225" s="16">
        <f t="shared" si="20"/>
        <v>0.22051956603904055</v>
      </c>
    </row>
    <row r="226" spans="6:13" x14ac:dyDescent="0.4">
      <c r="F226" s="1">
        <v>28216</v>
      </c>
      <c r="G226" s="16">
        <v>336.07</v>
      </c>
      <c r="H226" s="16">
        <f t="shared" si="16"/>
        <v>333.90270922162426</v>
      </c>
      <c r="I226">
        <f t="shared" si="17"/>
        <v>4</v>
      </c>
      <c r="J226" s="16" cm="1">
        <f t="array" ref="J226">INDEX(Sm,I226)</f>
        <v>2.6103146023823673</v>
      </c>
      <c r="K226" s="16">
        <f t="shared" si="18"/>
        <v>336.51302382400661</v>
      </c>
      <c r="L226" s="16">
        <f t="shared" si="19"/>
        <v>-0.443023824006616</v>
      </c>
      <c r="M226" s="16">
        <f t="shared" si="20"/>
        <v>0.19627010863744507</v>
      </c>
    </row>
    <row r="227" spans="6:13" x14ac:dyDescent="0.4">
      <c r="F227" s="1">
        <v>28246</v>
      </c>
      <c r="G227" s="16">
        <v>336.75</v>
      </c>
      <c r="H227" s="16">
        <f t="shared" si="16"/>
        <v>334.00632243620919</v>
      </c>
      <c r="I227">
        <f t="shared" si="17"/>
        <v>5</v>
      </c>
      <c r="J227" s="16" cm="1">
        <f t="array" ref="J227">INDEX(Sm,I227)</f>
        <v>3.0656878503632123</v>
      </c>
      <c r="K227" s="16">
        <f t="shared" si="18"/>
        <v>337.07201028657238</v>
      </c>
      <c r="L227" s="16">
        <f t="shared" si="19"/>
        <v>-0.32201028657237885</v>
      </c>
      <c r="M227" s="16">
        <f t="shared" si="20"/>
        <v>0.10369062465842555</v>
      </c>
    </row>
    <row r="228" spans="6:13" x14ac:dyDescent="0.4">
      <c r="F228" s="1">
        <v>28277</v>
      </c>
      <c r="G228" s="16">
        <v>336.27</v>
      </c>
      <c r="H228" s="16">
        <f t="shared" si="16"/>
        <v>334.11357483207831</v>
      </c>
      <c r="I228">
        <f t="shared" si="17"/>
        <v>6</v>
      </c>
      <c r="J228" s="16" cm="1">
        <f t="array" ref="J228">INDEX(Sm,I228)</f>
        <v>2.3467878975381979</v>
      </c>
      <c r="K228" s="16">
        <f t="shared" si="18"/>
        <v>336.46036272961652</v>
      </c>
      <c r="L228" s="16">
        <f t="shared" si="19"/>
        <v>-0.19036272961653822</v>
      </c>
      <c r="M228" s="16">
        <f t="shared" si="20"/>
        <v>3.6237968827059236E-2</v>
      </c>
    </row>
    <row r="229" spans="6:13" x14ac:dyDescent="0.4">
      <c r="F229" s="1">
        <v>28307</v>
      </c>
      <c r="G229" s="16">
        <v>334.92</v>
      </c>
      <c r="H229" s="16">
        <f t="shared" si="16"/>
        <v>334.21754689982072</v>
      </c>
      <c r="I229">
        <f t="shared" si="17"/>
        <v>7</v>
      </c>
      <c r="J229" s="16" cm="1">
        <f t="array" ref="J229">INDEX(Sm,I229)</f>
        <v>0.72373827090267417</v>
      </c>
      <c r="K229" s="16">
        <f t="shared" si="18"/>
        <v>334.9412851707234</v>
      </c>
      <c r="L229" s="16">
        <f t="shared" si="19"/>
        <v>-2.1285170723388092E-2</v>
      </c>
      <c r="M229" s="16">
        <f t="shared" si="20"/>
        <v>4.5305849272377752E-4</v>
      </c>
    </row>
    <row r="230" spans="6:13" x14ac:dyDescent="0.4">
      <c r="F230" s="1">
        <v>28338</v>
      </c>
      <c r="G230" s="16">
        <v>332.75</v>
      </c>
      <c r="H230" s="16">
        <f t="shared" si="16"/>
        <v>334.32517011061918</v>
      </c>
      <c r="I230">
        <f t="shared" si="17"/>
        <v>8</v>
      </c>
      <c r="J230" s="16" cm="1">
        <f t="array" ref="J230">INDEX(Sm,I230)</f>
        <v>-1.3971602749585079</v>
      </c>
      <c r="K230" s="16">
        <f t="shared" si="18"/>
        <v>332.9280098356607</v>
      </c>
      <c r="L230" s="16">
        <f t="shared" si="19"/>
        <v>-0.17800983566070272</v>
      </c>
      <c r="M230" s="16">
        <f t="shared" si="20"/>
        <v>3.1687501591950391E-2</v>
      </c>
    </row>
    <row r="231" spans="6:13" x14ac:dyDescent="0.4">
      <c r="F231" s="1">
        <v>28369</v>
      </c>
      <c r="G231" s="16">
        <v>331.59</v>
      </c>
      <c r="H231" s="16">
        <f t="shared" si="16"/>
        <v>334.43298176834895</v>
      </c>
      <c r="I231">
        <f t="shared" si="17"/>
        <v>9</v>
      </c>
      <c r="J231" s="16" cm="1">
        <f t="array" ref="J231">INDEX(Sm,I231)</f>
        <v>-3.1930865277187257</v>
      </c>
      <c r="K231" s="16">
        <f t="shared" si="18"/>
        <v>331.23989524063023</v>
      </c>
      <c r="L231" s="16">
        <f t="shared" si="19"/>
        <v>0.35010475936974217</v>
      </c>
      <c r="M231" s="16">
        <f t="shared" si="20"/>
        <v>0.12257334253334506</v>
      </c>
    </row>
    <row r="232" spans="6:13" x14ac:dyDescent="0.4">
      <c r="F232" s="1">
        <v>28399</v>
      </c>
      <c r="G232" s="16">
        <v>331.16</v>
      </c>
      <c r="H232" s="16">
        <f t="shared" si="16"/>
        <v>334.53749505724676</v>
      </c>
      <c r="I232">
        <f t="shared" si="17"/>
        <v>10</v>
      </c>
      <c r="J232" s="16" cm="1">
        <f t="array" ref="J232">INDEX(Sm,I232)</f>
        <v>-3.3364130066587929</v>
      </c>
      <c r="K232" s="16">
        <f t="shared" si="18"/>
        <v>331.20108205058796</v>
      </c>
      <c r="L232" s="16">
        <f t="shared" si="19"/>
        <v>-4.1082050587931462E-2</v>
      </c>
      <c r="M232" s="16">
        <f t="shared" si="20"/>
        <v>1.6877348805093598E-3</v>
      </c>
    </row>
    <row r="233" spans="6:13" x14ac:dyDescent="0.4">
      <c r="F233" s="1">
        <v>28430</v>
      </c>
      <c r="G233" s="16">
        <v>332.4</v>
      </c>
      <c r="H233" s="16">
        <f t="shared" si="16"/>
        <v>334.64567752990587</v>
      </c>
      <c r="I233">
        <f t="shared" si="17"/>
        <v>11</v>
      </c>
      <c r="J233" s="16" cm="1">
        <f t="array" ref="J233">INDEX(Sm,I233)</f>
        <v>-2.0587659549634894</v>
      </c>
      <c r="K233" s="16">
        <f t="shared" si="18"/>
        <v>332.58691157494241</v>
      </c>
      <c r="L233" s="16">
        <f t="shared" si="19"/>
        <v>-0.18691157494242816</v>
      </c>
      <c r="M233" s="16">
        <f t="shared" si="20"/>
        <v>3.4935936847458937E-2</v>
      </c>
    </row>
    <row r="234" spans="6:13" x14ac:dyDescent="0.4">
      <c r="F234" s="1">
        <v>28460</v>
      </c>
      <c r="G234" s="16">
        <v>333.85</v>
      </c>
      <c r="H234" s="16">
        <f t="shared" si="16"/>
        <v>334.7505496719611</v>
      </c>
      <c r="I234">
        <f t="shared" si="17"/>
        <v>12</v>
      </c>
      <c r="J234" s="16" cm="1">
        <f t="array" ref="J234">INDEX(Sm,I234)</f>
        <v>-0.89092746367992248</v>
      </c>
      <c r="K234" s="16">
        <f t="shared" si="18"/>
        <v>333.85962220828117</v>
      </c>
      <c r="L234" s="16">
        <f t="shared" si="19"/>
        <v>-9.6222082811436849E-3</v>
      </c>
      <c r="M234" s="16">
        <f t="shared" si="20"/>
        <v>9.2586892205710107E-5</v>
      </c>
    </row>
    <row r="235" spans="6:13" x14ac:dyDescent="0.4">
      <c r="F235" s="1">
        <v>28491</v>
      </c>
      <c r="G235" s="16">
        <v>334.97</v>
      </c>
      <c r="H235" s="16">
        <f t="shared" si="16"/>
        <v>334.85910295954955</v>
      </c>
      <c r="I235">
        <f t="shared" si="17"/>
        <v>1</v>
      </c>
      <c r="J235" s="16" cm="1">
        <f t="array" ref="J235">INDEX(Sm,I235)</f>
        <v>6.1437951108157106E-2</v>
      </c>
      <c r="K235" s="16">
        <f t="shared" si="18"/>
        <v>334.92054091065768</v>
      </c>
      <c r="L235" s="16">
        <f t="shared" si="19"/>
        <v>4.9459089342349216E-2</v>
      </c>
      <c r="M235" s="16">
        <f t="shared" si="20"/>
        <v>2.4462015185744818E-3</v>
      </c>
    </row>
    <row r="236" spans="6:13" x14ac:dyDescent="0.4">
      <c r="F236" s="1">
        <v>28522</v>
      </c>
      <c r="G236" s="16">
        <v>335.39</v>
      </c>
      <c r="H236" s="16">
        <f t="shared" si="16"/>
        <v>334.96784469406924</v>
      </c>
      <c r="I236">
        <f t="shared" si="17"/>
        <v>2</v>
      </c>
      <c r="J236" s="16" cm="1">
        <f t="array" ref="J236">INDEX(Sm,I236)</f>
        <v>0.69461918775013354</v>
      </c>
      <c r="K236" s="16">
        <f t="shared" si="18"/>
        <v>335.66246388181935</v>
      </c>
      <c r="L236" s="16">
        <f t="shared" si="19"/>
        <v>-0.27246388181936254</v>
      </c>
      <c r="M236" s="16">
        <f t="shared" si="20"/>
        <v>7.4236566896075551E-2</v>
      </c>
    </row>
    <row r="237" spans="6:13" x14ac:dyDescent="0.4">
      <c r="F237" s="1">
        <v>28550</v>
      </c>
      <c r="G237" s="16">
        <v>336.64</v>
      </c>
      <c r="H237" s="16">
        <f t="shared" si="16"/>
        <v>335.06622500908315</v>
      </c>
      <c r="I237">
        <f t="shared" si="17"/>
        <v>3</v>
      </c>
      <c r="J237" s="16" cm="1">
        <f t="array" ref="J237">INDEX(Sm,I237)</f>
        <v>1.3737674679346947</v>
      </c>
      <c r="K237" s="16">
        <f t="shared" si="18"/>
        <v>336.43999247701782</v>
      </c>
      <c r="L237" s="16">
        <f t="shared" si="19"/>
        <v>0.20000752298216184</v>
      </c>
      <c r="M237" s="16">
        <f t="shared" si="20"/>
        <v>4.000300924946E-2</v>
      </c>
    </row>
    <row r="238" spans="6:13" x14ac:dyDescent="0.4">
      <c r="F238" s="1">
        <v>28581</v>
      </c>
      <c r="G238" s="16">
        <v>337.76</v>
      </c>
      <c r="H238" s="16">
        <f t="shared" si="16"/>
        <v>335.17532540066571</v>
      </c>
      <c r="I238">
        <f t="shared" si="17"/>
        <v>4</v>
      </c>
      <c r="J238" s="16" cm="1">
        <f t="array" ref="J238">INDEX(Sm,I238)</f>
        <v>2.6103146023823673</v>
      </c>
      <c r="K238" s="16">
        <f t="shared" si="18"/>
        <v>337.78564000304806</v>
      </c>
      <c r="L238" s="16">
        <f t="shared" si="19"/>
        <v>-2.5640003048067683E-2</v>
      </c>
      <c r="M238" s="16">
        <f t="shared" si="20"/>
        <v>6.5740975630492013E-4</v>
      </c>
    </row>
    <row r="239" spans="6:13" x14ac:dyDescent="0.4">
      <c r="F239" s="1">
        <v>28611</v>
      </c>
      <c r="G239" s="16">
        <v>338.01</v>
      </c>
      <c r="H239" s="16">
        <f t="shared" si="16"/>
        <v>335.28108585135652</v>
      </c>
      <c r="I239">
        <f t="shared" si="17"/>
        <v>5</v>
      </c>
      <c r="J239" s="16" cm="1">
        <f t="array" ref="J239">INDEX(Sm,I239)</f>
        <v>3.0656878503632123</v>
      </c>
      <c r="K239" s="16">
        <f t="shared" si="18"/>
        <v>338.34677370171971</v>
      </c>
      <c r="L239" s="16">
        <f t="shared" si="19"/>
        <v>-0.33677370171972143</v>
      </c>
      <c r="M239" s="16">
        <f t="shared" si="20"/>
        <v>0.1134165261700039</v>
      </c>
    </row>
    <row r="240" spans="6:13" x14ac:dyDescent="0.4">
      <c r="F240" s="1">
        <v>28642</v>
      </c>
      <c r="G240" s="16">
        <v>337.9</v>
      </c>
      <c r="H240" s="16">
        <f t="shared" si="16"/>
        <v>335.39055705786836</v>
      </c>
      <c r="I240">
        <f t="shared" si="17"/>
        <v>6</v>
      </c>
      <c r="J240" s="16" cm="1">
        <f t="array" ref="J240">INDEX(Sm,I240)</f>
        <v>2.3467878975381979</v>
      </c>
      <c r="K240" s="16">
        <f t="shared" si="18"/>
        <v>337.73734495540657</v>
      </c>
      <c r="L240" s="16">
        <f t="shared" si="19"/>
        <v>0.16265504459340718</v>
      </c>
      <c r="M240" s="16">
        <f t="shared" si="20"/>
        <v>2.6456663531683279E-2</v>
      </c>
    </row>
    <row r="241" spans="6:13" x14ac:dyDescent="0.4">
      <c r="F241" s="1">
        <v>28672</v>
      </c>
      <c r="G241" s="16">
        <v>336.54</v>
      </c>
      <c r="H241" s="16">
        <f t="shared" si="16"/>
        <v>335.49667636171665</v>
      </c>
      <c r="I241">
        <f t="shared" si="17"/>
        <v>7</v>
      </c>
      <c r="J241" s="16" cm="1">
        <f t="array" ref="J241">INDEX(Sm,I241)</f>
        <v>0.72373827090267417</v>
      </c>
      <c r="K241" s="16">
        <f t="shared" si="18"/>
        <v>336.22041463261934</v>
      </c>
      <c r="L241" s="16">
        <f t="shared" si="19"/>
        <v>0.31958536738068233</v>
      </c>
      <c r="M241" s="16">
        <f t="shared" si="20"/>
        <v>0.1021348070438457</v>
      </c>
    </row>
    <row r="242" spans="6:13" x14ac:dyDescent="0.4">
      <c r="F242" s="1">
        <v>28703</v>
      </c>
      <c r="G242" s="16">
        <v>334.68</v>
      </c>
      <c r="H242" s="16">
        <f t="shared" si="16"/>
        <v>335.60651838315783</v>
      </c>
      <c r="I242">
        <f t="shared" si="17"/>
        <v>8</v>
      </c>
      <c r="J242" s="16" cm="1">
        <f t="array" ref="J242">INDEX(Sm,I242)</f>
        <v>-1.3971602749585079</v>
      </c>
      <c r="K242" s="16">
        <f t="shared" si="18"/>
        <v>334.20935810819935</v>
      </c>
      <c r="L242" s="16">
        <f t="shared" si="19"/>
        <v>0.47064189180065341</v>
      </c>
      <c r="M242" s="16">
        <f t="shared" si="20"/>
        <v>0.22150379031769796</v>
      </c>
    </row>
    <row r="243" spans="6:13" x14ac:dyDescent="0.4">
      <c r="F243" s="1">
        <v>28734</v>
      </c>
      <c r="G243" s="16">
        <v>332.76</v>
      </c>
      <c r="H243" s="16">
        <f t="shared" si="16"/>
        <v>335.71654885153032</v>
      </c>
      <c r="I243">
        <f t="shared" si="17"/>
        <v>9</v>
      </c>
      <c r="J243" s="16" cm="1">
        <f t="array" ref="J243">INDEX(Sm,I243)</f>
        <v>-3.1930865277187257</v>
      </c>
      <c r="K243" s="16">
        <f t="shared" si="18"/>
        <v>332.5234623238116</v>
      </c>
      <c r="L243" s="16">
        <f t="shared" si="19"/>
        <v>0.23653767618839083</v>
      </c>
      <c r="M243" s="16">
        <f t="shared" si="20"/>
        <v>5.5950072256604033E-2</v>
      </c>
    </row>
    <row r="244" spans="6:13" x14ac:dyDescent="0.4">
      <c r="F244" s="1">
        <v>28764</v>
      </c>
      <c r="G244" s="16">
        <v>332.55</v>
      </c>
      <c r="H244" s="16">
        <f t="shared" si="16"/>
        <v>335.82320937653401</v>
      </c>
      <c r="I244">
        <f t="shared" si="17"/>
        <v>10</v>
      </c>
      <c r="J244" s="16" cm="1">
        <f t="array" ref="J244">INDEX(Sm,I244)</f>
        <v>-3.3364130066587929</v>
      </c>
      <c r="K244" s="16">
        <f t="shared" si="18"/>
        <v>332.48679636987521</v>
      </c>
      <c r="L244" s="16">
        <f t="shared" si="19"/>
        <v>6.3203630124803567E-2</v>
      </c>
      <c r="M244" s="16">
        <f t="shared" si="20"/>
        <v>3.994698860952977E-3</v>
      </c>
    </row>
    <row r="245" spans="6:13" x14ac:dyDescent="0.4">
      <c r="F245" s="1">
        <v>28795</v>
      </c>
      <c r="G245" s="16">
        <v>333.92</v>
      </c>
      <c r="H245" s="16">
        <f t="shared" si="16"/>
        <v>335.93361065983584</v>
      </c>
      <c r="I245">
        <f t="shared" si="17"/>
        <v>11</v>
      </c>
      <c r="J245" s="16" cm="1">
        <f t="array" ref="J245">INDEX(Sm,I245)</f>
        <v>-2.0587659549634894</v>
      </c>
      <c r="K245" s="16">
        <f t="shared" si="18"/>
        <v>333.87484470487237</v>
      </c>
      <c r="L245" s="16">
        <f t="shared" si="19"/>
        <v>4.5155295127642603E-2</v>
      </c>
      <c r="M245" s="16">
        <f t="shared" si="20"/>
        <v>2.0390006780645039E-3</v>
      </c>
    </row>
    <row r="246" spans="6:13" x14ac:dyDescent="0.4">
      <c r="F246" s="1">
        <v>28825</v>
      </c>
      <c r="G246" s="16">
        <v>334.95</v>
      </c>
      <c r="H246" s="16">
        <f t="shared" si="16"/>
        <v>336.04063003799695</v>
      </c>
      <c r="I246">
        <f t="shared" si="17"/>
        <v>12</v>
      </c>
      <c r="J246" s="16" cm="1">
        <f t="array" ref="J246">INDEX(Sm,I246)</f>
        <v>-0.89092746367992248</v>
      </c>
      <c r="K246" s="16">
        <f t="shared" si="18"/>
        <v>335.14970257431702</v>
      </c>
      <c r="L246" s="16">
        <f t="shared" si="19"/>
        <v>-0.19970257431702976</v>
      </c>
      <c r="M246" s="16">
        <f t="shared" si="20"/>
        <v>3.9881118188848791E-2</v>
      </c>
    </row>
    <row r="247" spans="6:13" x14ac:dyDescent="0.4">
      <c r="F247" s="1">
        <v>28856</v>
      </c>
      <c r="G247" s="16">
        <v>336.23</v>
      </c>
      <c r="H247" s="16">
        <f t="shared" si="16"/>
        <v>336.15140213622811</v>
      </c>
      <c r="I247">
        <f t="shared" si="17"/>
        <v>1</v>
      </c>
      <c r="J247" s="16" cm="1">
        <f t="array" ref="J247">INDEX(Sm,I247)</f>
        <v>6.1437951108157106E-2</v>
      </c>
      <c r="K247" s="16">
        <f t="shared" si="18"/>
        <v>336.21284008733625</v>
      </c>
      <c r="L247" s="16">
        <f t="shared" si="19"/>
        <v>1.7159912663771593E-2</v>
      </c>
      <c r="M247" s="16">
        <f t="shared" si="20"/>
        <v>2.9446260262826868E-4</v>
      </c>
    </row>
    <row r="248" spans="6:13" x14ac:dyDescent="0.4">
      <c r="F248" s="1">
        <v>28887</v>
      </c>
      <c r="G248" s="16">
        <v>336.76</v>
      </c>
      <c r="H248" s="16">
        <f t="shared" si="16"/>
        <v>336.26236268139053</v>
      </c>
      <c r="I248">
        <f t="shared" si="17"/>
        <v>2</v>
      </c>
      <c r="J248" s="16" cm="1">
        <f t="array" ref="J248">INDEX(Sm,I248)</f>
        <v>0.69461918775013354</v>
      </c>
      <c r="K248" s="16">
        <f t="shared" si="18"/>
        <v>336.95698186914063</v>
      </c>
      <c r="L248" s="16">
        <f t="shared" si="19"/>
        <v>-0.19698186914064308</v>
      </c>
      <c r="M248" s="16">
        <f t="shared" si="20"/>
        <v>3.8801856770141439E-2</v>
      </c>
    </row>
    <row r="249" spans="6:13" x14ac:dyDescent="0.4">
      <c r="F249" s="1">
        <v>28915</v>
      </c>
      <c r="G249" s="16">
        <v>337.96</v>
      </c>
      <c r="H249" s="16">
        <f t="shared" si="16"/>
        <v>336.3627470834366</v>
      </c>
      <c r="I249">
        <f t="shared" si="17"/>
        <v>3</v>
      </c>
      <c r="J249" s="16" cm="1">
        <f t="array" ref="J249">INDEX(Sm,I249)</f>
        <v>1.3737674679346947</v>
      </c>
      <c r="K249" s="16">
        <f t="shared" si="18"/>
        <v>337.73651455137127</v>
      </c>
      <c r="L249" s="16">
        <f t="shared" si="19"/>
        <v>0.22348544862870767</v>
      </c>
      <c r="M249" s="16">
        <f t="shared" si="20"/>
        <v>4.9945745748774736E-2</v>
      </c>
    </row>
    <row r="250" spans="6:13" x14ac:dyDescent="0.4">
      <c r="F250" s="1">
        <v>28946</v>
      </c>
      <c r="G250" s="16">
        <v>338.88</v>
      </c>
      <c r="H250" s="16">
        <f t="shared" si="16"/>
        <v>336.47406628566188</v>
      </c>
      <c r="I250">
        <f t="shared" si="17"/>
        <v>4</v>
      </c>
      <c r="J250" s="16" cm="1">
        <f t="array" ref="J250">INDEX(Sm,I250)</f>
        <v>2.6103146023823673</v>
      </c>
      <c r="K250" s="16">
        <f t="shared" si="18"/>
        <v>339.08438088804422</v>
      </c>
      <c r="L250" s="16">
        <f t="shared" si="19"/>
        <v>-0.20438088804422705</v>
      </c>
      <c r="M250" s="16">
        <f t="shared" si="20"/>
        <v>4.1771547397746869E-2</v>
      </c>
    </row>
    <row r="251" spans="6:13" x14ac:dyDescent="0.4">
      <c r="F251" s="1">
        <v>28976</v>
      </c>
      <c r="G251" s="16">
        <v>339.47</v>
      </c>
      <c r="H251" s="16">
        <f t="shared" si="16"/>
        <v>336.58197397245857</v>
      </c>
      <c r="I251">
        <f t="shared" si="17"/>
        <v>5</v>
      </c>
      <c r="J251" s="16" cm="1">
        <f t="array" ref="J251">INDEX(Sm,I251)</f>
        <v>3.0656878503632123</v>
      </c>
      <c r="K251" s="16">
        <f t="shared" si="18"/>
        <v>339.64766182282176</v>
      </c>
      <c r="L251" s="16">
        <f t="shared" si="19"/>
        <v>-0.17766182282173304</v>
      </c>
      <c r="M251" s="16">
        <f t="shared" si="20"/>
        <v>3.156372328834086E-2</v>
      </c>
    </row>
    <row r="252" spans="6:13" x14ac:dyDescent="0.4">
      <c r="F252" s="1">
        <v>29007</v>
      </c>
      <c r="G252" s="16">
        <v>339.29</v>
      </c>
      <c r="H252" s="16">
        <f t="shared" si="16"/>
        <v>336.69366398961313</v>
      </c>
      <c r="I252">
        <f t="shared" si="17"/>
        <v>6</v>
      </c>
      <c r="J252" s="16" cm="1">
        <f t="array" ref="J252">INDEX(Sm,I252)</f>
        <v>2.3467878975381979</v>
      </c>
      <c r="K252" s="16">
        <f t="shared" si="18"/>
        <v>339.04045188715133</v>
      </c>
      <c r="L252" s="16">
        <f t="shared" si="19"/>
        <v>0.24954811284868583</v>
      </c>
      <c r="M252" s="16">
        <f t="shared" si="20"/>
        <v>6.2274260626340436E-2</v>
      </c>
    </row>
    <row r="253" spans="6:13" x14ac:dyDescent="0.4">
      <c r="F253" s="1">
        <v>29037</v>
      </c>
      <c r="G253" s="16">
        <v>337.73</v>
      </c>
      <c r="H253" s="16">
        <f t="shared" si="16"/>
        <v>336.80193052956724</v>
      </c>
      <c r="I253">
        <f t="shared" si="17"/>
        <v>7</v>
      </c>
      <c r="J253" s="16" cm="1">
        <f t="array" ref="J253">INDEX(Sm,I253)</f>
        <v>0.72373827090267417</v>
      </c>
      <c r="K253" s="16">
        <f t="shared" si="18"/>
        <v>337.52566880046993</v>
      </c>
      <c r="L253" s="16">
        <f t="shared" si="19"/>
        <v>0.20433119953008827</v>
      </c>
      <c r="M253" s="16">
        <f t="shared" si="20"/>
        <v>4.1751239101404748E-2</v>
      </c>
    </row>
    <row r="254" spans="6:13" x14ac:dyDescent="0.4">
      <c r="F254" s="1">
        <v>29068</v>
      </c>
      <c r="G254" s="16">
        <v>336.09</v>
      </c>
      <c r="H254" s="16">
        <f t="shared" si="16"/>
        <v>336.9139913616512</v>
      </c>
      <c r="I254">
        <f t="shared" si="17"/>
        <v>8</v>
      </c>
      <c r="J254" s="16" cm="1">
        <f t="array" ref="J254">INDEX(Sm,I254)</f>
        <v>-1.3971602749585079</v>
      </c>
      <c r="K254" s="16">
        <f t="shared" si="18"/>
        <v>335.51683108669272</v>
      </c>
      <c r="L254" s="16">
        <f t="shared" si="19"/>
        <v>0.57316891330725639</v>
      </c>
      <c r="M254" s="16">
        <f t="shared" si="20"/>
        <v>0.32852260318182119</v>
      </c>
    </row>
    <row r="255" spans="6:13" x14ac:dyDescent="0.4">
      <c r="F255" s="1">
        <v>29099</v>
      </c>
      <c r="G255" s="16">
        <v>333.92</v>
      </c>
      <c r="H255" s="16">
        <f t="shared" si="16"/>
        <v>337.0262406406664</v>
      </c>
      <c r="I255">
        <f t="shared" si="17"/>
        <v>9</v>
      </c>
      <c r="J255" s="16" cm="1">
        <f t="array" ref="J255">INDEX(Sm,I255)</f>
        <v>-3.1930865277187257</v>
      </c>
      <c r="K255" s="16">
        <f t="shared" si="18"/>
        <v>333.83315411294768</v>
      </c>
      <c r="L255" s="16">
        <f t="shared" si="19"/>
        <v>8.6845887052334092E-2</v>
      </c>
      <c r="M255" s="16">
        <f t="shared" si="20"/>
        <v>7.5422080979067703E-3</v>
      </c>
    </row>
    <row r="256" spans="6:13" x14ac:dyDescent="0.4">
      <c r="F256" s="1">
        <v>29129</v>
      </c>
      <c r="G256" s="16">
        <v>333.86</v>
      </c>
      <c r="H256" s="16">
        <f t="shared" si="16"/>
        <v>337.13504840177598</v>
      </c>
      <c r="I256">
        <f t="shared" si="17"/>
        <v>10</v>
      </c>
      <c r="J256" s="16" cm="1">
        <f t="array" ref="J256">INDEX(Sm,I256)</f>
        <v>-3.3364130066587929</v>
      </c>
      <c r="K256" s="16">
        <f t="shared" si="18"/>
        <v>333.79863539511717</v>
      </c>
      <c r="L256" s="16">
        <f t="shared" si="19"/>
        <v>6.1364604882840013E-2</v>
      </c>
      <c r="M256" s="16">
        <f t="shared" si="20"/>
        <v>3.7656147324270721E-3</v>
      </c>
    </row>
    <row r="257" spans="6:13" x14ac:dyDescent="0.4">
      <c r="F257" s="1">
        <v>29160</v>
      </c>
      <c r="G257" s="16">
        <v>335.29</v>
      </c>
      <c r="H257" s="16">
        <f t="shared" si="16"/>
        <v>337.24766849572052</v>
      </c>
      <c r="I257">
        <f t="shared" si="17"/>
        <v>11</v>
      </c>
      <c r="J257" s="16" cm="1">
        <f t="array" ref="J257">INDEX(Sm,I257)</f>
        <v>-2.0587659549634894</v>
      </c>
      <c r="K257" s="16">
        <f t="shared" si="18"/>
        <v>335.18890254075706</v>
      </c>
      <c r="L257" s="16">
        <f t="shared" si="19"/>
        <v>0.10109745924296476</v>
      </c>
      <c r="M257" s="16">
        <f t="shared" si="20"/>
        <v>1.022069626538292E-2</v>
      </c>
    </row>
    <row r="258" spans="6:13" x14ac:dyDescent="0.4">
      <c r="F258" s="1">
        <v>29190</v>
      </c>
      <c r="G258" s="16">
        <v>336.73</v>
      </c>
      <c r="H258" s="16">
        <f t="shared" si="16"/>
        <v>337.35683510998751</v>
      </c>
      <c r="I258">
        <f t="shared" si="17"/>
        <v>12</v>
      </c>
      <c r="J258" s="16" cm="1">
        <f t="array" ref="J258">INDEX(Sm,I258)</f>
        <v>-0.89092746367992248</v>
      </c>
      <c r="K258" s="16">
        <f t="shared" si="18"/>
        <v>336.46590764630758</v>
      </c>
      <c r="L258" s="16">
        <f t="shared" si="19"/>
        <v>0.26409235369243333</v>
      </c>
      <c r="M258" s="16">
        <f t="shared" si="20"/>
        <v>6.9744771278809306E-2</v>
      </c>
    </row>
    <row r="259" spans="6:13" x14ac:dyDescent="0.4">
      <c r="F259" s="1">
        <v>29221</v>
      </c>
      <c r="G259" s="16">
        <v>338.01</v>
      </c>
      <c r="H259" s="16">
        <f t="shared" ref="H259:H322" si="21">_A*F259*F259+_B*F259+_C</f>
        <v>337.4698260188614</v>
      </c>
      <c r="I259">
        <f t="shared" ref="I259:I322" si="22">MONTH(F259)</f>
        <v>1</v>
      </c>
      <c r="J259" s="16" cm="1">
        <f t="array" ref="J259">INDEX(Sm,I259)</f>
        <v>6.1437951108157106E-2</v>
      </c>
      <c r="K259" s="16">
        <f t="shared" ref="K259:K322" si="23">H259+J259</f>
        <v>337.53126396996953</v>
      </c>
      <c r="L259" s="16">
        <f t="shared" ref="L259:L322" si="24">G259-K259</f>
        <v>0.47873603003046128</v>
      </c>
      <c r="M259" s="16">
        <f t="shared" ref="M259:M322" si="25">L259*L259</f>
        <v>0.22918818644932673</v>
      </c>
    </row>
    <row r="260" spans="6:13" x14ac:dyDescent="0.4">
      <c r="F260" s="1">
        <v>29252</v>
      </c>
      <c r="G260" s="16">
        <v>338.36</v>
      </c>
      <c r="H260" s="16">
        <f t="shared" si="21"/>
        <v>337.58300537466658</v>
      </c>
      <c r="I260">
        <f t="shared" si="22"/>
        <v>2</v>
      </c>
      <c r="J260" s="16" cm="1">
        <f t="array" ref="J260">INDEX(Sm,I260)</f>
        <v>0.69461918775013354</v>
      </c>
      <c r="K260" s="16">
        <f t="shared" si="23"/>
        <v>338.27762456241669</v>
      </c>
      <c r="L260" s="16">
        <f t="shared" si="24"/>
        <v>8.2375437583323219E-2</v>
      </c>
      <c r="M260" s="16">
        <f t="shared" si="25"/>
        <v>6.785712717043979E-3</v>
      </c>
    </row>
    <row r="261" spans="6:13" x14ac:dyDescent="0.4">
      <c r="F261" s="1">
        <v>29281</v>
      </c>
      <c r="G261" s="16">
        <v>340.07</v>
      </c>
      <c r="H261" s="16">
        <f t="shared" si="21"/>
        <v>337.68905343886956</v>
      </c>
      <c r="I261">
        <f t="shared" si="22"/>
        <v>3</v>
      </c>
      <c r="J261" s="16" cm="1">
        <f t="array" ref="J261">INDEX(Sm,I261)</f>
        <v>1.3737674679346947</v>
      </c>
      <c r="K261" s="16">
        <f t="shared" si="23"/>
        <v>339.06282090680423</v>
      </c>
      <c r="L261" s="16">
        <f t="shared" si="24"/>
        <v>1.0071790931957594</v>
      </c>
      <c r="M261" s="16">
        <f t="shared" si="25"/>
        <v>1.0144097257706322</v>
      </c>
    </row>
    <row r="262" spans="6:13" x14ac:dyDescent="0.4">
      <c r="F262" s="1">
        <v>29312</v>
      </c>
      <c r="G262" s="16">
        <v>340.76</v>
      </c>
      <c r="H262" s="16">
        <f t="shared" si="21"/>
        <v>337.80259753067082</v>
      </c>
      <c r="I262">
        <f t="shared" si="22"/>
        <v>4</v>
      </c>
      <c r="J262" s="16" cm="1">
        <f t="array" ref="J262">INDEX(Sm,I262)</f>
        <v>2.6103146023823673</v>
      </c>
      <c r="K262" s="16">
        <f t="shared" si="23"/>
        <v>340.41291213305317</v>
      </c>
      <c r="L262" s="16">
        <f t="shared" si="24"/>
        <v>0.34708786694682203</v>
      </c>
      <c r="M262" s="16">
        <f t="shared" si="25"/>
        <v>0.12046998738169483</v>
      </c>
    </row>
    <row r="263" spans="6:13" x14ac:dyDescent="0.4">
      <c r="F263" s="1">
        <v>29342</v>
      </c>
      <c r="G263" s="16">
        <v>341.47</v>
      </c>
      <c r="H263" s="16">
        <f t="shared" si="21"/>
        <v>337.91265833641205</v>
      </c>
      <c r="I263">
        <f t="shared" si="22"/>
        <v>5</v>
      </c>
      <c r="J263" s="16" cm="1">
        <f t="array" ref="J263">INDEX(Sm,I263)</f>
        <v>3.0656878503632123</v>
      </c>
      <c r="K263" s="16">
        <f t="shared" si="23"/>
        <v>340.97834618677524</v>
      </c>
      <c r="L263" s="16">
        <f t="shared" si="24"/>
        <v>0.49165381322478652</v>
      </c>
      <c r="M263" s="16">
        <f t="shared" si="25"/>
        <v>0.24172347205847328</v>
      </c>
    </row>
    <row r="264" spans="6:13" x14ac:dyDescent="0.4">
      <c r="F264" s="1">
        <v>29373</v>
      </c>
      <c r="G264" s="16">
        <v>341.17</v>
      </c>
      <c r="H264" s="16">
        <f t="shared" si="21"/>
        <v>338.02657324314265</v>
      </c>
      <c r="I264">
        <f t="shared" si="22"/>
        <v>6</v>
      </c>
      <c r="J264" s="16" cm="1">
        <f t="array" ref="J264">INDEX(Sm,I264)</f>
        <v>2.3467878975381979</v>
      </c>
      <c r="K264" s="16">
        <f t="shared" si="23"/>
        <v>340.37336114068086</v>
      </c>
      <c r="L264" s="16">
        <f t="shared" si="24"/>
        <v>0.79663885931915956</v>
      </c>
      <c r="M264" s="16">
        <f t="shared" si="25"/>
        <v>0.63463347217733168</v>
      </c>
    </row>
    <row r="265" spans="6:13" x14ac:dyDescent="0.4">
      <c r="F265" s="1">
        <v>29403</v>
      </c>
      <c r="G265" s="16">
        <v>339.56</v>
      </c>
      <c r="H265" s="16">
        <f t="shared" si="21"/>
        <v>338.13699290204124</v>
      </c>
      <c r="I265">
        <f t="shared" si="22"/>
        <v>7</v>
      </c>
      <c r="J265" s="16" cm="1">
        <f t="array" ref="J265">INDEX(Sm,I265)</f>
        <v>0.72373827090267417</v>
      </c>
      <c r="K265" s="16">
        <f t="shared" si="23"/>
        <v>338.86073117294393</v>
      </c>
      <c r="L265" s="16">
        <f t="shared" si="24"/>
        <v>0.69926882705607341</v>
      </c>
      <c r="M265" s="16">
        <f t="shared" si="25"/>
        <v>0.48897689249237669</v>
      </c>
    </row>
    <row r="266" spans="6:13" x14ac:dyDescent="0.4">
      <c r="F266" s="1">
        <v>29434</v>
      </c>
      <c r="G266" s="16">
        <v>337.6</v>
      </c>
      <c r="H266" s="16">
        <f t="shared" si="21"/>
        <v>338.25127862370118</v>
      </c>
      <c r="I266">
        <f t="shared" si="22"/>
        <v>8</v>
      </c>
      <c r="J266" s="16" cm="1">
        <f t="array" ref="J266">INDEX(Sm,I266)</f>
        <v>-1.3971602749585079</v>
      </c>
      <c r="K266" s="16">
        <f t="shared" si="23"/>
        <v>336.8541183487427</v>
      </c>
      <c r="L266" s="16">
        <f t="shared" si="24"/>
        <v>0.74588165125732075</v>
      </c>
      <c r="M266" s="16">
        <f t="shared" si="25"/>
        <v>0.5563394376823475</v>
      </c>
    </row>
    <row r="267" spans="6:13" x14ac:dyDescent="0.4">
      <c r="F267" s="1">
        <v>29465</v>
      </c>
      <c r="G267" s="16">
        <v>335.88</v>
      </c>
      <c r="H267" s="16">
        <f t="shared" si="21"/>
        <v>338.36575279229237</v>
      </c>
      <c r="I267">
        <f t="shared" si="22"/>
        <v>9</v>
      </c>
      <c r="J267" s="16" cm="1">
        <f t="array" ref="J267">INDEX(Sm,I267)</f>
        <v>-3.1930865277187257</v>
      </c>
      <c r="K267" s="16">
        <f t="shared" si="23"/>
        <v>335.17266626457365</v>
      </c>
      <c r="L267" s="16">
        <f t="shared" si="24"/>
        <v>0.70733373542634581</v>
      </c>
      <c r="M267" s="16">
        <f t="shared" si="25"/>
        <v>0.50032101327218781</v>
      </c>
    </row>
    <row r="268" spans="6:13" x14ac:dyDescent="0.4">
      <c r="F268" s="1">
        <v>29495</v>
      </c>
      <c r="G268" s="16">
        <v>336.02</v>
      </c>
      <c r="H268" s="16">
        <f t="shared" si="21"/>
        <v>338.47671367234648</v>
      </c>
      <c r="I268">
        <f t="shared" si="22"/>
        <v>10</v>
      </c>
      <c r="J268" s="16" cm="1">
        <f t="array" ref="J268">INDEX(Sm,I268)</f>
        <v>-3.3364130066587929</v>
      </c>
      <c r="K268" s="16">
        <f t="shared" si="23"/>
        <v>335.14030066568768</v>
      </c>
      <c r="L268" s="16">
        <f t="shared" si="24"/>
        <v>0.87969933431230629</v>
      </c>
      <c r="M268" s="16">
        <f t="shared" si="25"/>
        <v>0.77387091878951486</v>
      </c>
    </row>
    <row r="269" spans="6:13" x14ac:dyDescent="0.4">
      <c r="F269" s="1">
        <v>29526</v>
      </c>
      <c r="G269" s="16">
        <v>337.1</v>
      </c>
      <c r="H269" s="16">
        <f t="shared" si="21"/>
        <v>338.591558655867</v>
      </c>
      <c r="I269">
        <f t="shared" si="22"/>
        <v>11</v>
      </c>
      <c r="J269" s="16" cm="1">
        <f t="array" ref="J269">INDEX(Sm,I269)</f>
        <v>-2.0587659549634894</v>
      </c>
      <c r="K269" s="16">
        <f t="shared" si="23"/>
        <v>336.53279270090354</v>
      </c>
      <c r="L269" s="16">
        <f t="shared" si="24"/>
        <v>0.56720729909648071</v>
      </c>
      <c r="M269" s="16">
        <f t="shared" si="25"/>
        <v>0.32172412014832452</v>
      </c>
    </row>
    <row r="270" spans="6:13" x14ac:dyDescent="0.4">
      <c r="F270" s="1">
        <v>29556</v>
      </c>
      <c r="G270" s="16">
        <v>338.21</v>
      </c>
      <c r="H270" s="16">
        <f t="shared" si="21"/>
        <v>338.70287838907853</v>
      </c>
      <c r="I270">
        <f t="shared" si="22"/>
        <v>12</v>
      </c>
      <c r="J270" s="16" cm="1">
        <f t="array" ref="J270">INDEX(Sm,I270)</f>
        <v>-0.89092746367992248</v>
      </c>
      <c r="K270" s="16">
        <f t="shared" si="23"/>
        <v>337.81195092539861</v>
      </c>
      <c r="L270" s="16">
        <f t="shared" si="24"/>
        <v>0.39804907460137429</v>
      </c>
      <c r="M270" s="16">
        <f t="shared" si="25"/>
        <v>0.15844306579101045</v>
      </c>
    </row>
    <row r="271" spans="6:13" x14ac:dyDescent="0.4">
      <c r="F271" s="1">
        <v>29587</v>
      </c>
      <c r="G271" s="16">
        <v>339.24</v>
      </c>
      <c r="H271" s="16">
        <f t="shared" si="21"/>
        <v>338.8180941875284</v>
      </c>
      <c r="I271">
        <f t="shared" si="22"/>
        <v>1</v>
      </c>
      <c r="J271" s="16" cm="1">
        <f t="array" ref="J271">INDEX(Sm,I271)</f>
        <v>6.1437951108157106E-2</v>
      </c>
      <c r="K271" s="16">
        <f t="shared" si="23"/>
        <v>338.87953213863653</v>
      </c>
      <c r="L271" s="16">
        <f t="shared" si="24"/>
        <v>0.36046786136347464</v>
      </c>
      <c r="M271" s="16">
        <f t="shared" si="25"/>
        <v>0.12993707907595717</v>
      </c>
    </row>
    <row r="272" spans="6:13" x14ac:dyDescent="0.4">
      <c r="F272" s="1">
        <v>29618</v>
      </c>
      <c r="G272" s="16">
        <v>340.48</v>
      </c>
      <c r="H272" s="16">
        <f t="shared" si="21"/>
        <v>338.93349843290957</v>
      </c>
      <c r="I272">
        <f t="shared" si="22"/>
        <v>2</v>
      </c>
      <c r="J272" s="16" cm="1">
        <f t="array" ref="J272">INDEX(Sm,I272)</f>
        <v>0.69461918775013354</v>
      </c>
      <c r="K272" s="16">
        <f t="shared" si="23"/>
        <v>339.62811762065968</v>
      </c>
      <c r="L272" s="16">
        <f t="shared" si="24"/>
        <v>0.8518823793403385</v>
      </c>
      <c r="M272" s="16">
        <f t="shared" si="25"/>
        <v>0.72570358823055636</v>
      </c>
    </row>
    <row r="273" spans="6:13" x14ac:dyDescent="0.4">
      <c r="F273" s="1">
        <v>29646</v>
      </c>
      <c r="G273" s="16">
        <v>341.38</v>
      </c>
      <c r="H273" s="16">
        <f t="shared" si="21"/>
        <v>339.03789649966933</v>
      </c>
      <c r="I273">
        <f t="shared" si="22"/>
        <v>3</v>
      </c>
      <c r="J273" s="16" cm="1">
        <f t="array" ref="J273">INDEX(Sm,I273)</f>
        <v>1.3737674679346947</v>
      </c>
      <c r="K273" s="16">
        <f t="shared" si="23"/>
        <v>340.411663967604</v>
      </c>
      <c r="L273" s="16">
        <f t="shared" si="24"/>
        <v>0.96833603239599597</v>
      </c>
      <c r="M273" s="16">
        <f t="shared" si="25"/>
        <v>0.93767467163641938</v>
      </c>
    </row>
    <row r="274" spans="6:13" x14ac:dyDescent="0.4">
      <c r="F274" s="1">
        <v>29677</v>
      </c>
      <c r="G274" s="16">
        <v>342.5</v>
      </c>
      <c r="H274" s="16">
        <f t="shared" si="21"/>
        <v>339.15365940211331</v>
      </c>
      <c r="I274">
        <f t="shared" si="22"/>
        <v>4</v>
      </c>
      <c r="J274" s="16" cm="1">
        <f t="array" ref="J274">INDEX(Sm,I274)</f>
        <v>2.6103146023823673</v>
      </c>
      <c r="K274" s="16">
        <f t="shared" si="23"/>
        <v>341.76397400449565</v>
      </c>
      <c r="L274" s="16">
        <f t="shared" si="24"/>
        <v>0.73602599550434888</v>
      </c>
      <c r="M274" s="16">
        <f t="shared" si="25"/>
        <v>0.54173426605816777</v>
      </c>
    </row>
    <row r="275" spans="6:13" x14ac:dyDescent="0.4">
      <c r="F275" s="1">
        <v>29707</v>
      </c>
      <c r="G275" s="16">
        <v>342.91</v>
      </c>
      <c r="H275" s="16">
        <f t="shared" si="21"/>
        <v>339.26586744396036</v>
      </c>
      <c r="I275">
        <f t="shared" si="22"/>
        <v>5</v>
      </c>
      <c r="J275" s="16" cm="1">
        <f t="array" ref="J275">INDEX(Sm,I275)</f>
        <v>3.0656878503632123</v>
      </c>
      <c r="K275" s="16">
        <f t="shared" si="23"/>
        <v>342.33155529432355</v>
      </c>
      <c r="L275" s="16">
        <f t="shared" si="24"/>
        <v>0.57844470567647477</v>
      </c>
      <c r="M275" s="16">
        <f t="shared" si="25"/>
        <v>0.33459827752514354</v>
      </c>
    </row>
    <row r="276" spans="6:13" x14ac:dyDescent="0.4">
      <c r="F276" s="1">
        <v>29738</v>
      </c>
      <c r="G276" s="16">
        <v>342.25</v>
      </c>
      <c r="H276" s="16">
        <f t="shared" si="21"/>
        <v>339.38200116133368</v>
      </c>
      <c r="I276">
        <f t="shared" si="22"/>
        <v>6</v>
      </c>
      <c r="J276" s="16" cm="1">
        <f t="array" ref="J276">INDEX(Sm,I276)</f>
        <v>2.3467878975381979</v>
      </c>
      <c r="K276" s="16">
        <f t="shared" si="23"/>
        <v>341.72878905887188</v>
      </c>
      <c r="L276" s="16">
        <f t="shared" si="24"/>
        <v>0.52121094112811761</v>
      </c>
      <c r="M276" s="16">
        <f t="shared" si="25"/>
        <v>0.27166084515165806</v>
      </c>
    </row>
    <row r="277" spans="6:13" x14ac:dyDescent="0.4">
      <c r="F277" s="1">
        <v>29768</v>
      </c>
      <c r="G277" s="16">
        <v>340.49</v>
      </c>
      <c r="H277" s="16">
        <f t="shared" si="21"/>
        <v>339.49456805633821</v>
      </c>
      <c r="I277">
        <f t="shared" si="22"/>
        <v>7</v>
      </c>
      <c r="J277" s="16" cm="1">
        <f t="array" ref="J277">INDEX(Sm,I277)</f>
        <v>0.72373827090267417</v>
      </c>
      <c r="K277" s="16">
        <f t="shared" si="23"/>
        <v>340.2183063272409</v>
      </c>
      <c r="L277" s="16">
        <f t="shared" si="24"/>
        <v>0.27169367275911327</v>
      </c>
      <c r="M277" s="16">
        <f t="shared" si="25"/>
        <v>7.3817451817336122E-2</v>
      </c>
    </row>
    <row r="278" spans="6:13" x14ac:dyDescent="0.4">
      <c r="F278" s="1">
        <v>29799</v>
      </c>
      <c r="G278" s="16">
        <v>338.43</v>
      </c>
      <c r="H278" s="16">
        <f t="shared" si="21"/>
        <v>339.61107258864081</v>
      </c>
      <c r="I278">
        <f t="shared" si="22"/>
        <v>8</v>
      </c>
      <c r="J278" s="16" cm="1">
        <f t="array" ref="J278">INDEX(Sm,I278)</f>
        <v>-1.3971602749585079</v>
      </c>
      <c r="K278" s="16">
        <f t="shared" si="23"/>
        <v>338.21391231368233</v>
      </c>
      <c r="L278" s="16">
        <f t="shared" si="24"/>
        <v>0.21608768631767816</v>
      </c>
      <c r="M278" s="16">
        <f t="shared" si="25"/>
        <v>4.6693888178127273E-2</v>
      </c>
    </row>
    <row r="279" spans="6:13" x14ac:dyDescent="0.4">
      <c r="F279" s="1">
        <v>29830</v>
      </c>
      <c r="G279" s="16">
        <v>336.69</v>
      </c>
      <c r="H279" s="16">
        <f t="shared" si="21"/>
        <v>339.72776556787477</v>
      </c>
      <c r="I279">
        <f t="shared" si="22"/>
        <v>9</v>
      </c>
      <c r="J279" s="16" cm="1">
        <f t="array" ref="J279">INDEX(Sm,I279)</f>
        <v>-3.1930865277187257</v>
      </c>
      <c r="K279" s="16">
        <f t="shared" si="23"/>
        <v>336.53467904015605</v>
      </c>
      <c r="L279" s="16">
        <f t="shared" si="24"/>
        <v>0.155320959843948</v>
      </c>
      <c r="M279" s="16">
        <f t="shared" si="25"/>
        <v>2.412460056684531E-2</v>
      </c>
    </row>
    <row r="280" spans="6:13" x14ac:dyDescent="0.4">
      <c r="F280" s="1">
        <v>29860</v>
      </c>
      <c r="G280" s="16">
        <v>336.86</v>
      </c>
      <c r="H280" s="16">
        <f t="shared" si="21"/>
        <v>339.8408736840347</v>
      </c>
      <c r="I280">
        <f t="shared" si="22"/>
        <v>10</v>
      </c>
      <c r="J280" s="16" cm="1">
        <f t="array" ref="J280">INDEX(Sm,I280)</f>
        <v>-3.3364130066587929</v>
      </c>
      <c r="K280" s="16">
        <f t="shared" si="23"/>
        <v>336.5044606773759</v>
      </c>
      <c r="L280" s="16">
        <f t="shared" si="24"/>
        <v>0.35553932262411081</v>
      </c>
      <c r="M280" s="16">
        <f t="shared" si="25"/>
        <v>0.12640820993201154</v>
      </c>
    </row>
    <row r="281" spans="6:13" x14ac:dyDescent="0.4">
      <c r="F281" s="1">
        <v>29891</v>
      </c>
      <c r="G281" s="16">
        <v>338.36</v>
      </c>
      <c r="H281" s="16">
        <f t="shared" si="21"/>
        <v>339.95793747819801</v>
      </c>
      <c r="I281">
        <f t="shared" si="22"/>
        <v>11</v>
      </c>
      <c r="J281" s="16" cm="1">
        <f t="array" ref="J281">INDEX(Sm,I281)</f>
        <v>-2.0587659549634894</v>
      </c>
      <c r="K281" s="16">
        <f t="shared" si="23"/>
        <v>337.89917152323454</v>
      </c>
      <c r="L281" s="16">
        <f t="shared" si="24"/>
        <v>0.4608284767654709</v>
      </c>
      <c r="M281" s="16">
        <f t="shared" si="25"/>
        <v>0.21236288499798414</v>
      </c>
    </row>
    <row r="282" spans="6:13" x14ac:dyDescent="0.4">
      <c r="F282" s="1">
        <v>29921</v>
      </c>
      <c r="G282" s="16">
        <v>339.61</v>
      </c>
      <c r="H282" s="16">
        <f t="shared" si="21"/>
        <v>340.07140444751536</v>
      </c>
      <c r="I282">
        <f t="shared" si="22"/>
        <v>12</v>
      </c>
      <c r="J282" s="16" cm="1">
        <f t="array" ref="J282">INDEX(Sm,I282)</f>
        <v>-0.89092746367992248</v>
      </c>
      <c r="K282" s="16">
        <f t="shared" si="23"/>
        <v>339.18047698383543</v>
      </c>
      <c r="L282" s="16">
        <f t="shared" si="24"/>
        <v>0.42952301616458044</v>
      </c>
      <c r="M282" s="16">
        <f t="shared" si="25"/>
        <v>0.18449002141511844</v>
      </c>
    </row>
    <row r="283" spans="6:13" x14ac:dyDescent="0.4">
      <c r="F283" s="1">
        <v>29952</v>
      </c>
      <c r="G283" s="16">
        <v>340.75</v>
      </c>
      <c r="H283" s="16">
        <f t="shared" si="21"/>
        <v>340.188839056608</v>
      </c>
      <c r="I283">
        <f t="shared" si="22"/>
        <v>1</v>
      </c>
      <c r="J283" s="16" cm="1">
        <f t="array" ref="J283">INDEX(Sm,I283)</f>
        <v>6.1437951108157106E-2</v>
      </c>
      <c r="K283" s="16">
        <f t="shared" si="23"/>
        <v>340.25027700771614</v>
      </c>
      <c r="L283" s="16">
        <f t="shared" si="24"/>
        <v>0.49972299228386419</v>
      </c>
      <c r="M283" s="16">
        <f t="shared" si="25"/>
        <v>0.24972306901713898</v>
      </c>
    </row>
    <row r="284" spans="6:13" x14ac:dyDescent="0.4">
      <c r="F284" s="1">
        <v>29983</v>
      </c>
      <c r="G284" s="16">
        <v>341.61</v>
      </c>
      <c r="H284" s="16">
        <f t="shared" si="21"/>
        <v>340.30646211263189</v>
      </c>
      <c r="I284">
        <f t="shared" si="22"/>
        <v>2</v>
      </c>
      <c r="J284" s="16" cm="1">
        <f t="array" ref="J284">INDEX(Sm,I284)</f>
        <v>0.69461918775013354</v>
      </c>
      <c r="K284" s="16">
        <f t="shared" si="23"/>
        <v>341.001081300382</v>
      </c>
      <c r="L284" s="16">
        <f t="shared" si="24"/>
        <v>0.60891869961801603</v>
      </c>
      <c r="M284" s="16">
        <f t="shared" si="25"/>
        <v>0.37078198274449564</v>
      </c>
    </row>
    <row r="285" spans="6:13" x14ac:dyDescent="0.4">
      <c r="F285" s="1">
        <v>30011</v>
      </c>
      <c r="G285" s="16">
        <v>342.7</v>
      </c>
      <c r="H285" s="16">
        <f t="shared" si="21"/>
        <v>340.41286426642381</v>
      </c>
      <c r="I285">
        <f t="shared" si="22"/>
        <v>3</v>
      </c>
      <c r="J285" s="16" cm="1">
        <f t="array" ref="J285">INDEX(Sm,I285)</f>
        <v>1.3737674679346947</v>
      </c>
      <c r="K285" s="16">
        <f t="shared" si="23"/>
        <v>341.78663173435848</v>
      </c>
      <c r="L285" s="16">
        <f t="shared" si="24"/>
        <v>0.91336826564150897</v>
      </c>
      <c r="M285" s="16">
        <f t="shared" si="25"/>
        <v>0.83424158868097809</v>
      </c>
    </row>
    <row r="286" spans="6:13" x14ac:dyDescent="0.4">
      <c r="F286" s="1">
        <v>30042</v>
      </c>
      <c r="G286" s="16">
        <v>343.57</v>
      </c>
      <c r="H286" s="16">
        <f t="shared" si="21"/>
        <v>340.5308459795105</v>
      </c>
      <c r="I286">
        <f t="shared" si="22"/>
        <v>4</v>
      </c>
      <c r="J286" s="16" cm="1">
        <f t="array" ref="J286">INDEX(Sm,I286)</f>
        <v>2.6103146023823673</v>
      </c>
      <c r="K286" s="16">
        <f t="shared" si="23"/>
        <v>343.14116058189285</v>
      </c>
      <c r="L286" s="16">
        <f t="shared" si="24"/>
        <v>0.42883941810714532</v>
      </c>
      <c r="M286" s="16">
        <f t="shared" si="25"/>
        <v>0.183903246522475</v>
      </c>
    </row>
    <row r="287" spans="6:13" x14ac:dyDescent="0.4">
      <c r="F287" s="1">
        <v>30072</v>
      </c>
      <c r="G287" s="16">
        <v>344.14</v>
      </c>
      <c r="H287" s="16">
        <f t="shared" si="21"/>
        <v>340.64520125746344</v>
      </c>
      <c r="I287">
        <f t="shared" si="22"/>
        <v>5</v>
      </c>
      <c r="J287" s="16" cm="1">
        <f t="array" ref="J287">INDEX(Sm,I287)</f>
        <v>3.0656878503632123</v>
      </c>
      <c r="K287" s="16">
        <f t="shared" si="23"/>
        <v>343.71088910782663</v>
      </c>
      <c r="L287" s="16">
        <f t="shared" si="24"/>
        <v>0.4291108921733553</v>
      </c>
      <c r="M287" s="16">
        <f t="shared" si="25"/>
        <v>0.18413615778181294</v>
      </c>
    </row>
    <row r="288" spans="6:13" x14ac:dyDescent="0.4">
      <c r="F288" s="1">
        <v>30103</v>
      </c>
      <c r="G288" s="16">
        <v>343.35</v>
      </c>
      <c r="H288" s="16">
        <f t="shared" si="21"/>
        <v>340.76355378547947</v>
      </c>
      <c r="I288">
        <f t="shared" si="22"/>
        <v>6</v>
      </c>
      <c r="J288" s="16" cm="1">
        <f t="array" ref="J288">INDEX(Sm,I288)</f>
        <v>2.3467878975381979</v>
      </c>
      <c r="K288" s="16">
        <f t="shared" si="23"/>
        <v>343.11034168301768</v>
      </c>
      <c r="L288" s="16">
        <f t="shared" si="24"/>
        <v>0.23965831698234297</v>
      </c>
      <c r="M288" s="16">
        <f t="shared" si="25"/>
        <v>5.7436108898809179E-2</v>
      </c>
    </row>
    <row r="289" spans="6:13" x14ac:dyDescent="0.4">
      <c r="F289" s="1">
        <v>30133</v>
      </c>
      <c r="G289" s="16">
        <v>342.06</v>
      </c>
      <c r="H289" s="16">
        <f t="shared" si="21"/>
        <v>340.87826791658983</v>
      </c>
      <c r="I289">
        <f t="shared" si="22"/>
        <v>7</v>
      </c>
      <c r="J289" s="16" cm="1">
        <f t="array" ref="J289">INDEX(Sm,I289)</f>
        <v>0.72373827090267417</v>
      </c>
      <c r="K289" s="16">
        <f t="shared" si="23"/>
        <v>341.60200618749252</v>
      </c>
      <c r="L289" s="16">
        <f t="shared" si="24"/>
        <v>0.45799381250748183</v>
      </c>
      <c r="M289" s="16">
        <f t="shared" si="25"/>
        <v>0.20975833229513843</v>
      </c>
    </row>
    <row r="290" spans="6:13" x14ac:dyDescent="0.4">
      <c r="F290" s="1">
        <v>30164</v>
      </c>
      <c r="G290" s="16">
        <v>339.81</v>
      </c>
      <c r="H290" s="16">
        <f t="shared" si="21"/>
        <v>340.99699125953521</v>
      </c>
      <c r="I290">
        <f t="shared" si="22"/>
        <v>8</v>
      </c>
      <c r="J290" s="16" cm="1">
        <f t="array" ref="J290">INDEX(Sm,I290)</f>
        <v>-1.3971602749585079</v>
      </c>
      <c r="K290" s="16">
        <f t="shared" si="23"/>
        <v>339.59983098457673</v>
      </c>
      <c r="L290" s="16">
        <f t="shared" si="24"/>
        <v>0.2101690154232756</v>
      </c>
      <c r="M290" s="16">
        <f t="shared" si="25"/>
        <v>4.4171015043989056E-2</v>
      </c>
    </row>
    <row r="291" spans="6:13" x14ac:dyDescent="0.4">
      <c r="F291" s="1">
        <v>30195</v>
      </c>
      <c r="G291" s="16">
        <v>337.98</v>
      </c>
      <c r="H291" s="16">
        <f t="shared" si="21"/>
        <v>341.11590304941188</v>
      </c>
      <c r="I291">
        <f t="shared" si="22"/>
        <v>9</v>
      </c>
      <c r="J291" s="16" cm="1">
        <f t="array" ref="J291">INDEX(Sm,I291)</f>
        <v>-3.1930865277187257</v>
      </c>
      <c r="K291" s="16">
        <f t="shared" si="23"/>
        <v>337.92281652169316</v>
      </c>
      <c r="L291" s="16">
        <f t="shared" si="24"/>
        <v>5.7183478306853885E-2</v>
      </c>
      <c r="M291" s="16">
        <f t="shared" si="25"/>
        <v>3.2699501912704289E-3</v>
      </c>
    </row>
    <row r="292" spans="6:13" x14ac:dyDescent="0.4">
      <c r="F292" s="1">
        <v>30225</v>
      </c>
      <c r="G292" s="16">
        <v>337.86</v>
      </c>
      <c r="H292" s="16">
        <f t="shared" si="21"/>
        <v>341.2311584016777</v>
      </c>
      <c r="I292">
        <f t="shared" si="22"/>
        <v>10</v>
      </c>
      <c r="J292" s="16" cm="1">
        <f t="array" ref="J292">INDEX(Sm,I292)</f>
        <v>-3.3364130066587929</v>
      </c>
      <c r="K292" s="16">
        <f t="shared" si="23"/>
        <v>337.8947453950189</v>
      </c>
      <c r="L292" s="16">
        <f t="shared" si="24"/>
        <v>-3.4745395018887848E-2</v>
      </c>
      <c r="M292" s="16">
        <f t="shared" si="25"/>
        <v>1.2072424750185565E-3</v>
      </c>
    </row>
    <row r="293" spans="6:13" x14ac:dyDescent="0.4">
      <c r="F293" s="1">
        <v>30256</v>
      </c>
      <c r="G293" s="16">
        <v>339.26</v>
      </c>
      <c r="H293" s="16">
        <f t="shared" si="21"/>
        <v>341.35044100648372</v>
      </c>
      <c r="I293">
        <f t="shared" si="22"/>
        <v>11</v>
      </c>
      <c r="J293" s="16" cm="1">
        <f t="array" ref="J293">INDEX(Sm,I293)</f>
        <v>-2.0587659549634894</v>
      </c>
      <c r="K293" s="16">
        <f t="shared" si="23"/>
        <v>339.29167505152026</v>
      </c>
      <c r="L293" s="16">
        <f t="shared" si="24"/>
        <v>-3.1675051520267061E-2</v>
      </c>
      <c r="M293" s="16">
        <f t="shared" si="25"/>
        <v>1.0033088888115726E-3</v>
      </c>
    </row>
    <row r="294" spans="6:13" x14ac:dyDescent="0.4">
      <c r="F294" s="1">
        <v>30286</v>
      </c>
      <c r="G294" s="16">
        <v>340.49</v>
      </c>
      <c r="H294" s="16">
        <f t="shared" si="21"/>
        <v>341.46605521190696</v>
      </c>
      <c r="I294">
        <f t="shared" si="22"/>
        <v>12</v>
      </c>
      <c r="J294" s="16" cm="1">
        <f t="array" ref="J294">INDEX(Sm,I294)</f>
        <v>-0.89092746367992248</v>
      </c>
      <c r="K294" s="16">
        <f t="shared" si="23"/>
        <v>340.57512774822703</v>
      </c>
      <c r="L294" s="16">
        <f t="shared" si="24"/>
        <v>-8.5127748227023403E-2</v>
      </c>
      <c r="M294" s="16">
        <f t="shared" si="25"/>
        <v>7.2467335182034862E-3</v>
      </c>
    </row>
    <row r="295" spans="6:13" x14ac:dyDescent="0.4">
      <c r="F295" s="1">
        <v>30317</v>
      </c>
      <c r="G295" s="16">
        <v>341.38</v>
      </c>
      <c r="H295" s="16">
        <f t="shared" si="21"/>
        <v>341.58570863164232</v>
      </c>
      <c r="I295">
        <f t="shared" si="22"/>
        <v>1</v>
      </c>
      <c r="J295" s="16" cm="1">
        <f t="array" ref="J295">INDEX(Sm,I295)</f>
        <v>6.1437951108157106E-2</v>
      </c>
      <c r="K295" s="16">
        <f t="shared" si="23"/>
        <v>341.64714658275045</v>
      </c>
      <c r="L295" s="16">
        <f t="shared" si="24"/>
        <v>-0.26714658275045622</v>
      </c>
      <c r="M295" s="16">
        <f t="shared" si="25"/>
        <v>7.1367296675246356E-2</v>
      </c>
    </row>
    <row r="296" spans="6:13" x14ac:dyDescent="0.4">
      <c r="F296" s="1">
        <v>30348</v>
      </c>
      <c r="G296" s="16">
        <v>342.52</v>
      </c>
      <c r="H296" s="16">
        <f t="shared" si="21"/>
        <v>341.70555049830892</v>
      </c>
      <c r="I296">
        <f t="shared" si="22"/>
        <v>2</v>
      </c>
      <c r="J296" s="16" cm="1">
        <f t="array" ref="J296">INDEX(Sm,I296)</f>
        <v>0.69461918775013354</v>
      </c>
      <c r="K296" s="16">
        <f t="shared" si="23"/>
        <v>342.40016968605903</v>
      </c>
      <c r="L296" s="16">
        <f t="shared" si="24"/>
        <v>0.11983031394095178</v>
      </c>
      <c r="M296" s="16">
        <f t="shared" si="25"/>
        <v>1.4359304139187063E-2</v>
      </c>
    </row>
    <row r="297" spans="6:13" x14ac:dyDescent="0.4">
      <c r="F297" s="1">
        <v>30376</v>
      </c>
      <c r="G297" s="16">
        <v>343.1</v>
      </c>
      <c r="H297" s="16">
        <f t="shared" si="21"/>
        <v>341.813956739133</v>
      </c>
      <c r="I297">
        <f t="shared" si="22"/>
        <v>3</v>
      </c>
      <c r="J297" s="16" cm="1">
        <f t="array" ref="J297">INDEX(Sm,I297)</f>
        <v>1.3737674679346947</v>
      </c>
      <c r="K297" s="16">
        <f t="shared" si="23"/>
        <v>343.18772420706767</v>
      </c>
      <c r="L297" s="16">
        <f t="shared" si="24"/>
        <v>-8.7724207067651605E-2</v>
      </c>
      <c r="M297" s="16">
        <f t="shared" si="25"/>
        <v>7.6955365056482162E-3</v>
      </c>
    </row>
    <row r="298" spans="6:13" x14ac:dyDescent="0.4">
      <c r="F298" s="1">
        <v>30407</v>
      </c>
      <c r="G298" s="16">
        <v>344.94</v>
      </c>
      <c r="H298" s="16">
        <f t="shared" si="21"/>
        <v>341.93415726286241</v>
      </c>
      <c r="I298">
        <f t="shared" si="22"/>
        <v>4</v>
      </c>
      <c r="J298" s="16" cm="1">
        <f t="array" ref="J298">INDEX(Sm,I298)</f>
        <v>2.6103146023823673</v>
      </c>
      <c r="K298" s="16">
        <f t="shared" si="23"/>
        <v>344.54447186524476</v>
      </c>
      <c r="L298" s="16">
        <f t="shared" si="24"/>
        <v>0.39552813475523863</v>
      </c>
      <c r="M298" s="16">
        <f t="shared" si="25"/>
        <v>0.1564425053829582</v>
      </c>
    </row>
    <row r="299" spans="6:13" x14ac:dyDescent="0.4">
      <c r="F299" s="1">
        <v>30437</v>
      </c>
      <c r="G299" s="16">
        <v>345.76</v>
      </c>
      <c r="H299" s="16">
        <f t="shared" si="21"/>
        <v>342.05065977692124</v>
      </c>
      <c r="I299">
        <f t="shared" si="22"/>
        <v>5</v>
      </c>
      <c r="J299" s="16" cm="1">
        <f t="array" ref="J299">INDEX(Sm,I299)</f>
        <v>3.0656878503632123</v>
      </c>
      <c r="K299" s="16">
        <f t="shared" si="23"/>
        <v>345.11634762728443</v>
      </c>
      <c r="L299" s="16">
        <f t="shared" si="24"/>
        <v>0.64365237271556452</v>
      </c>
      <c r="M299" s="16">
        <f t="shared" si="25"/>
        <v>0.41428837690237597</v>
      </c>
    </row>
    <row r="300" spans="6:13" x14ac:dyDescent="0.4">
      <c r="F300" s="1">
        <v>30468</v>
      </c>
      <c r="G300" s="16">
        <v>345.32</v>
      </c>
      <c r="H300" s="16">
        <f t="shared" si="21"/>
        <v>342.17123111557999</v>
      </c>
      <c r="I300">
        <f t="shared" si="22"/>
        <v>6</v>
      </c>
      <c r="J300" s="16" cm="1">
        <f t="array" ref="J300">INDEX(Sm,I300)</f>
        <v>2.3467878975381979</v>
      </c>
      <c r="K300" s="16">
        <f t="shared" si="23"/>
        <v>344.51801901311819</v>
      </c>
      <c r="L300" s="16">
        <f t="shared" si="24"/>
        <v>0.80198098688180153</v>
      </c>
      <c r="M300" s="16">
        <f t="shared" si="25"/>
        <v>0.6431735033199083</v>
      </c>
    </row>
    <row r="301" spans="6:13" x14ac:dyDescent="0.4">
      <c r="F301" s="1">
        <v>30498</v>
      </c>
      <c r="G301" s="16">
        <v>343.98</v>
      </c>
      <c r="H301" s="16">
        <f t="shared" si="21"/>
        <v>342.28809248279623</v>
      </c>
      <c r="I301">
        <f t="shared" si="22"/>
        <v>7</v>
      </c>
      <c r="J301" s="16" cm="1">
        <f t="array" ref="J301">INDEX(Sm,I301)</f>
        <v>0.72373827090267417</v>
      </c>
      <c r="K301" s="16">
        <f t="shared" si="23"/>
        <v>343.01183075369892</v>
      </c>
      <c r="L301" s="16">
        <f t="shared" si="24"/>
        <v>0.96816924630110179</v>
      </c>
      <c r="M301" s="16">
        <f t="shared" si="25"/>
        <v>0.93735168948324354</v>
      </c>
    </row>
    <row r="302" spans="6:13" x14ac:dyDescent="0.4">
      <c r="F302" s="1">
        <v>30529</v>
      </c>
      <c r="G302" s="16">
        <v>342.38</v>
      </c>
      <c r="H302" s="16">
        <f t="shared" si="21"/>
        <v>342.40903463638432</v>
      </c>
      <c r="I302">
        <f t="shared" si="22"/>
        <v>8</v>
      </c>
      <c r="J302" s="16" cm="1">
        <f t="array" ref="J302">INDEX(Sm,I302)</f>
        <v>-1.3971602749585079</v>
      </c>
      <c r="K302" s="16">
        <f t="shared" si="23"/>
        <v>341.01187436142584</v>
      </c>
      <c r="L302" s="16">
        <f t="shared" si="24"/>
        <v>1.3681256385741563</v>
      </c>
      <c r="M302" s="16">
        <f t="shared" si="25"/>
        <v>1.8717677629239429</v>
      </c>
    </row>
    <row r="303" spans="6:13" x14ac:dyDescent="0.4">
      <c r="F303" s="1">
        <v>30560</v>
      </c>
      <c r="G303" s="16">
        <v>339.87</v>
      </c>
      <c r="H303" s="16">
        <f t="shared" si="21"/>
        <v>342.53016523690371</v>
      </c>
      <c r="I303">
        <f t="shared" si="22"/>
        <v>9</v>
      </c>
      <c r="J303" s="16" cm="1">
        <f t="array" ref="J303">INDEX(Sm,I303)</f>
        <v>-3.1930865277187257</v>
      </c>
      <c r="K303" s="16">
        <f t="shared" si="23"/>
        <v>339.33707870918499</v>
      </c>
      <c r="L303" s="16">
        <f t="shared" si="24"/>
        <v>0.53292129081501116</v>
      </c>
      <c r="M303" s="16">
        <f t="shared" si="25"/>
        <v>0.28400510220393771</v>
      </c>
    </row>
    <row r="304" spans="6:13" x14ac:dyDescent="0.4">
      <c r="F304" s="1">
        <v>30590</v>
      </c>
      <c r="G304" s="16">
        <v>339.99</v>
      </c>
      <c r="H304" s="16">
        <f t="shared" si="21"/>
        <v>342.64756782527542</v>
      </c>
      <c r="I304">
        <f t="shared" si="22"/>
        <v>10</v>
      </c>
      <c r="J304" s="16" cm="1">
        <f t="array" ref="J304">INDEX(Sm,I304)</f>
        <v>-3.3364130066587929</v>
      </c>
      <c r="K304" s="16">
        <f t="shared" si="23"/>
        <v>339.31115481861661</v>
      </c>
      <c r="L304" s="16">
        <f t="shared" si="24"/>
        <v>0.67884518138339445</v>
      </c>
      <c r="M304" s="16">
        <f t="shared" si="25"/>
        <v>0.46083078028745372</v>
      </c>
    </row>
    <row r="305" spans="6:13" x14ac:dyDescent="0.4">
      <c r="F305" s="1">
        <v>30621</v>
      </c>
      <c r="G305" s="16">
        <v>341.15</v>
      </c>
      <c r="H305" s="16">
        <f t="shared" si="21"/>
        <v>342.76906924072415</v>
      </c>
      <c r="I305">
        <f t="shared" si="22"/>
        <v>11</v>
      </c>
      <c r="J305" s="16" cm="1">
        <f t="array" ref="J305">INDEX(Sm,I305)</f>
        <v>-2.0587659549634894</v>
      </c>
      <c r="K305" s="16">
        <f t="shared" si="23"/>
        <v>340.71030328576069</v>
      </c>
      <c r="L305" s="16">
        <f t="shared" si="24"/>
        <v>0.43969671423928958</v>
      </c>
      <c r="M305" s="16">
        <f t="shared" si="25"/>
        <v>0.19333320051282749</v>
      </c>
    </row>
    <row r="306" spans="6:13" x14ac:dyDescent="0.4">
      <c r="F306" s="1">
        <v>30651</v>
      </c>
      <c r="G306" s="16">
        <v>342.99</v>
      </c>
      <c r="H306" s="16">
        <f t="shared" si="21"/>
        <v>342.88683068225328</v>
      </c>
      <c r="I306">
        <f t="shared" si="22"/>
        <v>12</v>
      </c>
      <c r="J306" s="16" cm="1">
        <f t="array" ref="J306">INDEX(Sm,I306)</f>
        <v>-0.89092746367992248</v>
      </c>
      <c r="K306" s="16">
        <f t="shared" si="23"/>
        <v>341.99590321857335</v>
      </c>
      <c r="L306" s="16">
        <f t="shared" si="24"/>
        <v>0.9940967814266628</v>
      </c>
      <c r="M306" s="16">
        <f t="shared" si="25"/>
        <v>0.98822841084285018</v>
      </c>
    </row>
    <row r="307" spans="6:13" x14ac:dyDescent="0.4">
      <c r="F307" s="1">
        <v>30682</v>
      </c>
      <c r="G307" s="16">
        <v>343.7</v>
      </c>
      <c r="H307" s="16">
        <f t="shared" si="21"/>
        <v>343.00870291263129</v>
      </c>
      <c r="I307">
        <f t="shared" si="22"/>
        <v>1</v>
      </c>
      <c r="J307" s="16" cm="1">
        <f t="array" ref="J307">INDEX(Sm,I307)</f>
        <v>6.1437951108157106E-2</v>
      </c>
      <c r="K307" s="16">
        <f t="shared" si="23"/>
        <v>343.07014086373943</v>
      </c>
      <c r="L307" s="16">
        <f t="shared" si="24"/>
        <v>0.62985913626056345</v>
      </c>
      <c r="M307" s="16">
        <f t="shared" si="25"/>
        <v>0.39672253153090303</v>
      </c>
    </row>
    <row r="308" spans="6:13" x14ac:dyDescent="0.4">
      <c r="F308" s="1">
        <v>30713</v>
      </c>
      <c r="G308" s="16">
        <v>344.5</v>
      </c>
      <c r="H308" s="16">
        <f t="shared" si="21"/>
        <v>343.13076358994067</v>
      </c>
      <c r="I308">
        <f t="shared" si="22"/>
        <v>2</v>
      </c>
      <c r="J308" s="16" cm="1">
        <f t="array" ref="J308">INDEX(Sm,I308)</f>
        <v>0.69461918775013354</v>
      </c>
      <c r="K308" s="16">
        <f t="shared" si="23"/>
        <v>343.82538277769078</v>
      </c>
      <c r="L308" s="16">
        <f t="shared" si="24"/>
        <v>0.67461722230922305</v>
      </c>
      <c r="M308" s="16">
        <f t="shared" si="25"/>
        <v>0.45510839663621167</v>
      </c>
    </row>
    <row r="309" spans="6:13" x14ac:dyDescent="0.4">
      <c r="F309" s="1">
        <v>30742</v>
      </c>
      <c r="G309" s="16">
        <v>345.28</v>
      </c>
      <c r="H309" s="16">
        <f t="shared" si="21"/>
        <v>343.24511998716372</v>
      </c>
      <c r="I309">
        <f t="shared" si="22"/>
        <v>3</v>
      </c>
      <c r="J309" s="16" cm="1">
        <f t="array" ref="J309">INDEX(Sm,I309)</f>
        <v>1.3737674679346947</v>
      </c>
      <c r="K309" s="16">
        <f t="shared" si="23"/>
        <v>344.61888745509839</v>
      </c>
      <c r="L309" s="16">
        <f t="shared" si="24"/>
        <v>0.66111254490158444</v>
      </c>
      <c r="M309" s="16">
        <f t="shared" si="25"/>
        <v>0.43706979702624948</v>
      </c>
    </row>
    <row r="310" spans="6:13" x14ac:dyDescent="0.4">
      <c r="F310" s="1">
        <v>30773</v>
      </c>
      <c r="G310" s="16">
        <v>347.05</v>
      </c>
      <c r="H310" s="16">
        <f t="shared" si="21"/>
        <v>343.36754540046917</v>
      </c>
      <c r="I310">
        <f t="shared" si="22"/>
        <v>4</v>
      </c>
      <c r="J310" s="16" cm="1">
        <f t="array" ref="J310">INDEX(Sm,I310)</f>
        <v>2.6103146023823673</v>
      </c>
      <c r="K310" s="16">
        <f t="shared" si="23"/>
        <v>345.97786000285151</v>
      </c>
      <c r="L310" s="16">
        <f t="shared" si="24"/>
        <v>1.0721399971484971</v>
      </c>
      <c r="M310" s="16">
        <f t="shared" si="25"/>
        <v>1.1494841734855792</v>
      </c>
    </row>
    <row r="311" spans="6:13" x14ac:dyDescent="0.4">
      <c r="F311" s="1">
        <v>30803</v>
      </c>
      <c r="G311" s="16">
        <v>347.43</v>
      </c>
      <c r="H311" s="16">
        <f t="shared" si="21"/>
        <v>343.48620103347253</v>
      </c>
      <c r="I311">
        <f t="shared" si="22"/>
        <v>5</v>
      </c>
      <c r="J311" s="16" cm="1">
        <f t="array" ref="J311">INDEX(Sm,I311)</f>
        <v>3.0656878503632123</v>
      </c>
      <c r="K311" s="16">
        <f t="shared" si="23"/>
        <v>346.55188888383572</v>
      </c>
      <c r="L311" s="16">
        <f t="shared" si="24"/>
        <v>0.87811111616429116</v>
      </c>
      <c r="M311" s="16">
        <f t="shared" si="25"/>
        <v>0.77107913233129721</v>
      </c>
    </row>
    <row r="312" spans="6:13" x14ac:dyDescent="0.4">
      <c r="F312" s="1">
        <v>30834</v>
      </c>
      <c r="G312" s="16">
        <v>346.8</v>
      </c>
      <c r="H312" s="16">
        <f t="shared" si="21"/>
        <v>343.60899726170726</v>
      </c>
      <c r="I312">
        <f t="shared" si="22"/>
        <v>6</v>
      </c>
      <c r="J312" s="16" cm="1">
        <f t="array" ref="J312">INDEX(Sm,I312)</f>
        <v>2.3467878975381979</v>
      </c>
      <c r="K312" s="16">
        <f t="shared" si="23"/>
        <v>345.95578515924547</v>
      </c>
      <c r="L312" s="16">
        <f t="shared" si="24"/>
        <v>0.844214840754546</v>
      </c>
      <c r="M312" s="16">
        <f t="shared" si="25"/>
        <v>0.71269869735022351</v>
      </c>
    </row>
    <row r="313" spans="6:13" x14ac:dyDescent="0.4">
      <c r="F313" s="1">
        <v>30864</v>
      </c>
      <c r="G313" s="16">
        <v>345.39</v>
      </c>
      <c r="H313" s="16">
        <f t="shared" si="21"/>
        <v>343.72801174786798</v>
      </c>
      <c r="I313">
        <f t="shared" si="22"/>
        <v>7</v>
      </c>
      <c r="J313" s="16" cm="1">
        <f t="array" ref="J313">INDEX(Sm,I313)</f>
        <v>0.72373827090267417</v>
      </c>
      <c r="K313" s="16">
        <f t="shared" si="23"/>
        <v>344.45175001877067</v>
      </c>
      <c r="L313" s="16">
        <f t="shared" si="24"/>
        <v>0.93824998122931902</v>
      </c>
      <c r="M313" s="16">
        <f t="shared" si="25"/>
        <v>0.88031302727681748</v>
      </c>
    </row>
    <row r="314" spans="6:13" x14ac:dyDescent="0.4">
      <c r="F314" s="1">
        <v>30895</v>
      </c>
      <c r="G314" s="16">
        <v>343.28</v>
      </c>
      <c r="H314" s="16">
        <f t="shared" si="21"/>
        <v>343.85117879103211</v>
      </c>
      <c r="I314">
        <f t="shared" si="22"/>
        <v>8</v>
      </c>
      <c r="J314" s="16" cm="1">
        <f t="array" ref="J314">INDEX(Sm,I314)</f>
        <v>-1.3971602749585079</v>
      </c>
      <c r="K314" s="16">
        <f t="shared" si="23"/>
        <v>342.45401851607363</v>
      </c>
      <c r="L314" s="16">
        <f t="shared" si="24"/>
        <v>0.8259814839263413</v>
      </c>
      <c r="M314" s="16">
        <f t="shared" si="25"/>
        <v>0.68224541178916076</v>
      </c>
    </row>
    <row r="315" spans="6:13" x14ac:dyDescent="0.4">
      <c r="F315" s="1">
        <v>30926</v>
      </c>
      <c r="G315" s="16">
        <v>341.07</v>
      </c>
      <c r="H315" s="16">
        <f t="shared" si="21"/>
        <v>343.97453428112749</v>
      </c>
      <c r="I315">
        <f t="shared" si="22"/>
        <v>9</v>
      </c>
      <c r="J315" s="16" cm="1">
        <f t="array" ref="J315">INDEX(Sm,I315)</f>
        <v>-3.1930865277187257</v>
      </c>
      <c r="K315" s="16">
        <f t="shared" si="23"/>
        <v>340.78144775340877</v>
      </c>
      <c r="L315" s="16">
        <f t="shared" si="24"/>
        <v>0.28855224659122314</v>
      </c>
      <c r="M315" s="16">
        <f t="shared" si="25"/>
        <v>8.3262399012842048E-2</v>
      </c>
    </row>
    <row r="316" spans="6:13" x14ac:dyDescent="0.4">
      <c r="F316" s="1">
        <v>30956</v>
      </c>
      <c r="G316" s="16">
        <v>341.35</v>
      </c>
      <c r="H316" s="16">
        <f t="shared" si="21"/>
        <v>344.09408998844373</v>
      </c>
      <c r="I316">
        <f t="shared" si="22"/>
        <v>10</v>
      </c>
      <c r="J316" s="16" cm="1">
        <f t="array" ref="J316">INDEX(Sm,I316)</f>
        <v>-3.3364130066587929</v>
      </c>
      <c r="K316" s="16">
        <f t="shared" si="23"/>
        <v>340.75767698178493</v>
      </c>
      <c r="L316" s="16">
        <f t="shared" si="24"/>
        <v>0.59232301821509736</v>
      </c>
      <c r="M316" s="16">
        <f t="shared" si="25"/>
        <v>0.35084655790744257</v>
      </c>
    </row>
    <row r="317" spans="6:13" x14ac:dyDescent="0.4">
      <c r="F317" s="1">
        <v>30987</v>
      </c>
      <c r="G317" s="16">
        <v>342.98</v>
      </c>
      <c r="H317" s="16">
        <f t="shared" si="21"/>
        <v>344.21781629346845</v>
      </c>
      <c r="I317">
        <f t="shared" si="22"/>
        <v>11</v>
      </c>
      <c r="J317" s="16" cm="1">
        <f t="array" ref="J317">INDEX(Sm,I317)</f>
        <v>-2.0587659549634894</v>
      </c>
      <c r="K317" s="16">
        <f t="shared" si="23"/>
        <v>342.15905033850498</v>
      </c>
      <c r="L317" s="16">
        <f t="shared" si="24"/>
        <v>0.82094966149503534</v>
      </c>
      <c r="M317" s="16">
        <f t="shared" si="25"/>
        <v>0.67395834670881316</v>
      </c>
    </row>
    <row r="318" spans="6:13" x14ac:dyDescent="0.4">
      <c r="F318" s="1">
        <v>31017</v>
      </c>
      <c r="G318" s="16">
        <v>344.22</v>
      </c>
      <c r="H318" s="16">
        <f t="shared" si="21"/>
        <v>344.33773085394205</v>
      </c>
      <c r="I318">
        <f t="shared" si="22"/>
        <v>12</v>
      </c>
      <c r="J318" s="16" cm="1">
        <f t="array" ref="J318">INDEX(Sm,I318)</f>
        <v>-0.89092746367992248</v>
      </c>
      <c r="K318" s="16">
        <f t="shared" si="23"/>
        <v>343.44680339026212</v>
      </c>
      <c r="L318" s="16">
        <f t="shared" si="24"/>
        <v>0.7731966097379086</v>
      </c>
      <c r="M318" s="16">
        <f t="shared" si="25"/>
        <v>0.59783299731019579</v>
      </c>
    </row>
    <row r="319" spans="6:13" x14ac:dyDescent="0.4">
      <c r="F319" s="1">
        <v>31048</v>
      </c>
      <c r="G319" s="16">
        <v>344.97</v>
      </c>
      <c r="H319" s="16">
        <f t="shared" si="21"/>
        <v>344.46182797389611</v>
      </c>
      <c r="I319">
        <f t="shared" si="22"/>
        <v>1</v>
      </c>
      <c r="J319" s="16" cm="1">
        <f t="array" ref="J319">INDEX(Sm,I319)</f>
        <v>6.1437951108157106E-2</v>
      </c>
      <c r="K319" s="16">
        <f t="shared" si="23"/>
        <v>344.52326592500424</v>
      </c>
      <c r="L319" s="16">
        <f t="shared" si="24"/>
        <v>0.44673407499578843</v>
      </c>
      <c r="M319" s="16">
        <f t="shared" si="25"/>
        <v>0.19957133376234273</v>
      </c>
    </row>
    <row r="320" spans="6:13" x14ac:dyDescent="0.4">
      <c r="F320" s="1">
        <v>31079</v>
      </c>
      <c r="G320" s="16">
        <v>345.99</v>
      </c>
      <c r="H320" s="16">
        <f t="shared" si="21"/>
        <v>344.58611354078153</v>
      </c>
      <c r="I320">
        <f t="shared" si="22"/>
        <v>2</v>
      </c>
      <c r="J320" s="16" cm="1">
        <f t="array" ref="J320">INDEX(Sm,I320)</f>
        <v>0.69461918775013354</v>
      </c>
      <c r="K320" s="16">
        <f t="shared" si="23"/>
        <v>345.28073272853163</v>
      </c>
      <c r="L320" s="16">
        <f t="shared" si="24"/>
        <v>0.7092672714683772</v>
      </c>
      <c r="M320" s="16">
        <f t="shared" si="25"/>
        <v>0.50306006237619671</v>
      </c>
    </row>
    <row r="321" spans="6:13" x14ac:dyDescent="0.4">
      <c r="F321" s="1">
        <v>31107</v>
      </c>
      <c r="G321" s="16">
        <v>347.42</v>
      </c>
      <c r="H321" s="16">
        <f t="shared" si="21"/>
        <v>344.69853344631923</v>
      </c>
      <c r="I321">
        <f t="shared" si="22"/>
        <v>3</v>
      </c>
      <c r="J321" s="16" cm="1">
        <f t="array" ref="J321">INDEX(Sm,I321)</f>
        <v>1.3737674679346947</v>
      </c>
      <c r="K321" s="16">
        <f t="shared" si="23"/>
        <v>346.0723009142539</v>
      </c>
      <c r="L321" s="16">
        <f t="shared" si="24"/>
        <v>1.3476990857461146</v>
      </c>
      <c r="M321" s="16">
        <f t="shared" si="25"/>
        <v>1.8162928257209132</v>
      </c>
    </row>
    <row r="322" spans="6:13" x14ac:dyDescent="0.4">
      <c r="F322" s="1">
        <v>31138</v>
      </c>
      <c r="G322" s="16">
        <v>348.35</v>
      </c>
      <c r="H322" s="16">
        <f t="shared" si="21"/>
        <v>344.82317767026734</v>
      </c>
      <c r="I322">
        <f t="shared" si="22"/>
        <v>4</v>
      </c>
      <c r="J322" s="16" cm="1">
        <f t="array" ref="J322">INDEX(Sm,I322)</f>
        <v>2.6103146023823673</v>
      </c>
      <c r="K322" s="16">
        <f t="shared" si="23"/>
        <v>347.43349227264969</v>
      </c>
      <c r="L322" s="16">
        <f t="shared" si="24"/>
        <v>0.9165077273503357</v>
      </c>
      <c r="M322" s="16">
        <f t="shared" si="25"/>
        <v>0.83998641429287724</v>
      </c>
    </row>
    <row r="323" spans="6:13" x14ac:dyDescent="0.4">
      <c r="F323" s="1">
        <v>31168</v>
      </c>
      <c r="G323" s="16">
        <v>348.93</v>
      </c>
      <c r="H323" s="16">
        <f t="shared" ref="H323:H386" si="26">_A*F323*F323+_B*F323+_C</f>
        <v>344.94398053937658</v>
      </c>
      <c r="I323">
        <f t="shared" ref="I323:I386" si="27">MONTH(F323)</f>
        <v>5</v>
      </c>
      <c r="J323" s="16" cm="1">
        <f t="array" ref="J323">INDEX(Sm,I323)</f>
        <v>3.0656878503632123</v>
      </c>
      <c r="K323" s="16">
        <f t="shared" ref="K323:K386" si="28">H323+J323</f>
        <v>348.00966838973977</v>
      </c>
      <c r="L323" s="16">
        <f t="shared" ref="L323:L386" si="29">G323-K323</f>
        <v>0.92033161026023436</v>
      </c>
      <c r="M323" s="16">
        <f t="shared" ref="M323:M386" si="30">L323*L323</f>
        <v>0.84701027284419594</v>
      </c>
    </row>
    <row r="324" spans="6:13" x14ac:dyDescent="0.4">
      <c r="F324" s="1">
        <v>31199</v>
      </c>
      <c r="G324" s="16">
        <v>348.25</v>
      </c>
      <c r="H324" s="16">
        <f t="shared" si="26"/>
        <v>345.06899557825409</v>
      </c>
      <c r="I324">
        <f t="shared" si="27"/>
        <v>6</v>
      </c>
      <c r="J324" s="16" cm="1">
        <f t="array" ref="J324">INDEX(Sm,I324)</f>
        <v>2.3467878975381979</v>
      </c>
      <c r="K324" s="16">
        <f t="shared" si="28"/>
        <v>347.4157834757923</v>
      </c>
      <c r="L324" s="16">
        <f t="shared" si="29"/>
        <v>0.83421652420770442</v>
      </c>
      <c r="M324" s="16">
        <f t="shared" si="30"/>
        <v>0.6959172092611835</v>
      </c>
    </row>
    <row r="325" spans="6:13" x14ac:dyDescent="0.4">
      <c r="F325" s="1">
        <v>31229</v>
      </c>
      <c r="G325" s="16">
        <v>346.56</v>
      </c>
      <c r="H325" s="16">
        <f t="shared" si="26"/>
        <v>345.1901573005207</v>
      </c>
      <c r="I325">
        <f t="shared" si="27"/>
        <v>7</v>
      </c>
      <c r="J325" s="16" cm="1">
        <f t="array" ref="J325">INDEX(Sm,I325)</f>
        <v>0.72373827090267417</v>
      </c>
      <c r="K325" s="16">
        <f t="shared" si="28"/>
        <v>345.91389557142338</v>
      </c>
      <c r="L325" s="16">
        <f t="shared" si="29"/>
        <v>0.64610442857662065</v>
      </c>
      <c r="M325" s="16">
        <f t="shared" si="30"/>
        <v>0.41745093262632149</v>
      </c>
    </row>
    <row r="326" spans="6:13" x14ac:dyDescent="0.4">
      <c r="F326" s="1">
        <v>31260</v>
      </c>
      <c r="G326" s="16">
        <v>344.67</v>
      </c>
      <c r="H326" s="16">
        <f t="shared" si="26"/>
        <v>345.31554315432754</v>
      </c>
      <c r="I326">
        <f t="shared" si="27"/>
        <v>8</v>
      </c>
      <c r="J326" s="16" cm="1">
        <f t="array" ref="J326">INDEX(Sm,I326)</f>
        <v>-1.3971602749585079</v>
      </c>
      <c r="K326" s="16">
        <f t="shared" si="28"/>
        <v>343.91838287936906</v>
      </c>
      <c r="L326" s="16">
        <f t="shared" si="29"/>
        <v>0.75161712063095365</v>
      </c>
      <c r="M326" s="16">
        <f t="shared" si="30"/>
        <v>0.56492829602556549</v>
      </c>
    </row>
    <row r="327" spans="6:13" x14ac:dyDescent="0.4">
      <c r="F327" s="1">
        <v>31291</v>
      </c>
      <c r="G327" s="16">
        <v>343.09</v>
      </c>
      <c r="H327" s="16">
        <f t="shared" si="26"/>
        <v>345.44111745506564</v>
      </c>
      <c r="I327">
        <f t="shared" si="27"/>
        <v>9</v>
      </c>
      <c r="J327" s="16" cm="1">
        <f t="array" ref="J327">INDEX(Sm,I327)</f>
        <v>-3.1930865277187257</v>
      </c>
      <c r="K327" s="16">
        <f t="shared" si="28"/>
        <v>342.24803092734692</v>
      </c>
      <c r="L327" s="16">
        <f t="shared" si="29"/>
        <v>0.84196907265305754</v>
      </c>
      <c r="M327" s="16">
        <f t="shared" si="30"/>
        <v>0.70891191930424968</v>
      </c>
    </row>
    <row r="328" spans="6:13" x14ac:dyDescent="0.4">
      <c r="F328" s="1">
        <v>31321</v>
      </c>
      <c r="G328" s="16">
        <v>342.8</v>
      </c>
      <c r="H328" s="16">
        <f t="shared" si="26"/>
        <v>345.5628203984877</v>
      </c>
      <c r="I328">
        <f t="shared" si="27"/>
        <v>10</v>
      </c>
      <c r="J328" s="16" cm="1">
        <f t="array" ref="J328">INDEX(Sm,I328)</f>
        <v>-3.3364130066587929</v>
      </c>
      <c r="K328" s="16">
        <f t="shared" si="28"/>
        <v>342.2264073918289</v>
      </c>
      <c r="L328" s="16">
        <f t="shared" si="29"/>
        <v>0.57359260817111135</v>
      </c>
      <c r="M328" s="16">
        <f t="shared" si="30"/>
        <v>0.32900848014853806</v>
      </c>
    </row>
    <row r="329" spans="6:13" x14ac:dyDescent="0.4">
      <c r="F329" s="1">
        <v>31352</v>
      </c>
      <c r="G329" s="16">
        <v>344.24</v>
      </c>
      <c r="H329" s="16">
        <f t="shared" si="26"/>
        <v>345.68876551415519</v>
      </c>
      <c r="I329">
        <f t="shared" si="27"/>
        <v>11</v>
      </c>
      <c r="J329" s="16" cm="1">
        <f t="array" ref="J329">INDEX(Sm,I329)</f>
        <v>-2.0587659549634894</v>
      </c>
      <c r="K329" s="16">
        <f t="shared" si="28"/>
        <v>343.62999955919173</v>
      </c>
      <c r="L329" s="16">
        <f t="shared" si="29"/>
        <v>0.6100004408082782</v>
      </c>
      <c r="M329" s="16">
        <f t="shared" si="30"/>
        <v>0.37210053778629371</v>
      </c>
    </row>
    <row r="330" spans="6:13" x14ac:dyDescent="0.4">
      <c r="F330" s="1">
        <v>31382</v>
      </c>
      <c r="G330" s="16">
        <v>345.56</v>
      </c>
      <c r="H330" s="16">
        <f t="shared" si="26"/>
        <v>345.81082731073462</v>
      </c>
      <c r="I330">
        <f t="shared" si="27"/>
        <v>12</v>
      </c>
      <c r="J330" s="16" cm="1">
        <f t="array" ref="J330">INDEX(Sm,I330)</f>
        <v>-0.89092746367992248</v>
      </c>
      <c r="K330" s="16">
        <f t="shared" si="28"/>
        <v>344.91989984705469</v>
      </c>
      <c r="L330" s="16">
        <f t="shared" si="29"/>
        <v>0.64010015294530831</v>
      </c>
      <c r="M330" s="16">
        <f t="shared" si="30"/>
        <v>0.40972820580060709</v>
      </c>
    </row>
    <row r="331" spans="6:13" x14ac:dyDescent="0.4">
      <c r="F331" s="1">
        <v>31413</v>
      </c>
      <c r="G331" s="16">
        <v>346.3</v>
      </c>
      <c r="H331" s="16">
        <f t="shared" si="26"/>
        <v>345.93714324133146</v>
      </c>
      <c r="I331">
        <f t="shared" si="27"/>
        <v>1</v>
      </c>
      <c r="J331" s="16" cm="1">
        <f t="array" ref="J331">INDEX(Sm,I331)</f>
        <v>6.1437951108157106E-2</v>
      </c>
      <c r="K331" s="16">
        <f t="shared" si="28"/>
        <v>345.99858119243959</v>
      </c>
      <c r="L331" s="16">
        <f t="shared" si="29"/>
        <v>0.30141880756042383</v>
      </c>
      <c r="M331" s="16">
        <f t="shared" si="30"/>
        <v>9.0853297551147807E-2</v>
      </c>
    </row>
    <row r="332" spans="6:13" x14ac:dyDescent="0.4">
      <c r="F332" s="1">
        <v>31444</v>
      </c>
      <c r="G332" s="16">
        <v>346.95</v>
      </c>
      <c r="H332" s="16">
        <f t="shared" si="26"/>
        <v>346.06364761885953</v>
      </c>
      <c r="I332">
        <f t="shared" si="27"/>
        <v>2</v>
      </c>
      <c r="J332" s="16" cm="1">
        <f t="array" ref="J332">INDEX(Sm,I332)</f>
        <v>0.69461918775013354</v>
      </c>
      <c r="K332" s="16">
        <f t="shared" si="28"/>
        <v>346.75826680660964</v>
      </c>
      <c r="L332" s="16">
        <f t="shared" si="29"/>
        <v>0.19173319339034833</v>
      </c>
      <c r="M332" s="16">
        <f t="shared" si="30"/>
        <v>3.676161744766071E-2</v>
      </c>
    </row>
    <row r="333" spans="6:13" x14ac:dyDescent="0.4">
      <c r="F333" s="1">
        <v>31472</v>
      </c>
      <c r="G333" s="16">
        <v>347.85</v>
      </c>
      <c r="H333" s="16">
        <f t="shared" si="26"/>
        <v>346.1780716114294</v>
      </c>
      <c r="I333">
        <f t="shared" si="27"/>
        <v>3</v>
      </c>
      <c r="J333" s="16" cm="1">
        <f t="array" ref="J333">INDEX(Sm,I333)</f>
        <v>1.3737674679346947</v>
      </c>
      <c r="K333" s="16">
        <f t="shared" si="28"/>
        <v>347.55183907936407</v>
      </c>
      <c r="L333" s="16">
        <f t="shared" si="29"/>
        <v>0.29816092063595079</v>
      </c>
      <c r="M333" s="16">
        <f t="shared" si="30"/>
        <v>8.8899934594477745E-2</v>
      </c>
    </row>
    <row r="334" spans="6:13" x14ac:dyDescent="0.4">
      <c r="F334" s="1">
        <v>31503</v>
      </c>
      <c r="G334" s="16">
        <v>349.55</v>
      </c>
      <c r="H334" s="16">
        <f t="shared" si="26"/>
        <v>346.30493464602029</v>
      </c>
      <c r="I334">
        <f t="shared" si="27"/>
        <v>4</v>
      </c>
      <c r="J334" s="16" cm="1">
        <f t="array" ref="J334">INDEX(Sm,I334)</f>
        <v>2.6103146023823673</v>
      </c>
      <c r="K334" s="16">
        <f t="shared" si="28"/>
        <v>348.91524924840263</v>
      </c>
      <c r="L334" s="16">
        <f t="shared" si="29"/>
        <v>0.63475075159738026</v>
      </c>
      <c r="M334" s="16">
        <f t="shared" si="30"/>
        <v>0.40290851665343913</v>
      </c>
    </row>
    <row r="335" spans="6:13" x14ac:dyDescent="0.4">
      <c r="F335" s="1">
        <v>31533</v>
      </c>
      <c r="G335" s="16">
        <v>350.22</v>
      </c>
      <c r="H335" s="16">
        <f t="shared" si="26"/>
        <v>346.42788475123535</v>
      </c>
      <c r="I335">
        <f t="shared" si="27"/>
        <v>5</v>
      </c>
      <c r="J335" s="16" cm="1">
        <f t="array" ref="J335">INDEX(Sm,I335)</f>
        <v>3.0656878503632123</v>
      </c>
      <c r="K335" s="16">
        <f t="shared" si="28"/>
        <v>349.49357260159854</v>
      </c>
      <c r="L335" s="16">
        <f t="shared" si="29"/>
        <v>0.72642739840148352</v>
      </c>
      <c r="M335" s="16">
        <f t="shared" si="30"/>
        <v>0.52769676514834762</v>
      </c>
    </row>
    <row r="336" spans="6:13" x14ac:dyDescent="0.4">
      <c r="F336" s="1">
        <v>31564</v>
      </c>
      <c r="G336" s="16">
        <v>349.55</v>
      </c>
      <c r="H336" s="16">
        <f t="shared" si="26"/>
        <v>346.55511860075558</v>
      </c>
      <c r="I336">
        <f t="shared" si="27"/>
        <v>6</v>
      </c>
      <c r="J336" s="16" cm="1">
        <f t="array" ref="J336">INDEX(Sm,I336)</f>
        <v>2.3467878975381979</v>
      </c>
      <c r="K336" s="16">
        <f t="shared" si="28"/>
        <v>348.90190649829378</v>
      </c>
      <c r="L336" s="16">
        <f t="shared" si="29"/>
        <v>0.64809350170622793</v>
      </c>
      <c r="M336" s="16">
        <f t="shared" si="30"/>
        <v>0.42002518695384045</v>
      </c>
    </row>
    <row r="337" spans="6:13" x14ac:dyDescent="0.4">
      <c r="F337" s="1">
        <v>31594</v>
      </c>
      <c r="G337" s="16">
        <v>347.94</v>
      </c>
      <c r="H337" s="16">
        <f t="shared" si="26"/>
        <v>346.67842755912807</v>
      </c>
      <c r="I337">
        <f t="shared" si="27"/>
        <v>7</v>
      </c>
      <c r="J337" s="16" cm="1">
        <f t="array" ref="J337">INDEX(Sm,I337)</f>
        <v>0.72373827090267417</v>
      </c>
      <c r="K337" s="16">
        <f t="shared" si="28"/>
        <v>347.40216583003075</v>
      </c>
      <c r="L337" s="16">
        <f t="shared" si="29"/>
        <v>0.53783416996924416</v>
      </c>
      <c r="M337" s="16">
        <f t="shared" si="30"/>
        <v>0.28926559438650584</v>
      </c>
    </row>
    <row r="338" spans="6:13" x14ac:dyDescent="0.4">
      <c r="F338" s="1">
        <v>31625</v>
      </c>
      <c r="G338" s="16">
        <v>345.9</v>
      </c>
      <c r="H338" s="16">
        <f t="shared" si="26"/>
        <v>346.80603222357763</v>
      </c>
      <c r="I338">
        <f t="shared" si="27"/>
        <v>8</v>
      </c>
      <c r="J338" s="16" cm="1">
        <f t="array" ref="J338">INDEX(Sm,I338)</f>
        <v>-1.3971602749585079</v>
      </c>
      <c r="K338" s="16">
        <f t="shared" si="28"/>
        <v>345.40887194861915</v>
      </c>
      <c r="L338" s="16">
        <f t="shared" si="29"/>
        <v>0.49112805138082649</v>
      </c>
      <c r="M338" s="16">
        <f t="shared" si="30"/>
        <v>0.24120676285312775</v>
      </c>
    </row>
    <row r="339" spans="6:13" x14ac:dyDescent="0.4">
      <c r="F339" s="1">
        <v>31656</v>
      </c>
      <c r="G339" s="16">
        <v>344.85</v>
      </c>
      <c r="H339" s="16">
        <f t="shared" si="26"/>
        <v>346.9338253349585</v>
      </c>
      <c r="I339">
        <f t="shared" si="27"/>
        <v>9</v>
      </c>
      <c r="J339" s="16" cm="1">
        <f t="array" ref="J339">INDEX(Sm,I339)</f>
        <v>-3.1930865277187257</v>
      </c>
      <c r="K339" s="16">
        <f t="shared" si="28"/>
        <v>343.74073880723978</v>
      </c>
      <c r="L339" s="16">
        <f t="shared" si="29"/>
        <v>1.1092611927602434</v>
      </c>
      <c r="M339" s="16">
        <f t="shared" si="30"/>
        <v>1.2304603937638778</v>
      </c>
    </row>
    <row r="340" spans="6:13" x14ac:dyDescent="0.4">
      <c r="F340" s="1">
        <v>31686</v>
      </c>
      <c r="G340" s="16">
        <v>344.17</v>
      </c>
      <c r="H340" s="16">
        <f t="shared" si="26"/>
        <v>347.05767551448639</v>
      </c>
      <c r="I340">
        <f t="shared" si="27"/>
        <v>10</v>
      </c>
      <c r="J340" s="16" cm="1">
        <f t="array" ref="J340">INDEX(Sm,I340)</f>
        <v>-3.3364130066587929</v>
      </c>
      <c r="K340" s="16">
        <f t="shared" si="28"/>
        <v>343.72126250782759</v>
      </c>
      <c r="L340" s="16">
        <f t="shared" si="29"/>
        <v>0.44873749217242676</v>
      </c>
      <c r="M340" s="16">
        <f t="shared" si="30"/>
        <v>0.20136533688119876</v>
      </c>
    </row>
    <row r="341" spans="6:13" x14ac:dyDescent="0.4">
      <c r="F341" s="1">
        <v>31717</v>
      </c>
      <c r="G341" s="16">
        <v>345.66</v>
      </c>
      <c r="H341" s="16">
        <f t="shared" si="26"/>
        <v>347.1858394407966</v>
      </c>
      <c r="I341">
        <f t="shared" si="27"/>
        <v>11</v>
      </c>
      <c r="J341" s="16" cm="1">
        <f t="array" ref="J341">INDEX(Sm,I341)</f>
        <v>-2.0587659549634894</v>
      </c>
      <c r="K341" s="16">
        <f t="shared" si="28"/>
        <v>345.12707348583314</v>
      </c>
      <c r="L341" s="16">
        <f t="shared" si="29"/>
        <v>0.53292651416688841</v>
      </c>
      <c r="M341" s="16">
        <f t="shared" si="30"/>
        <v>0.28401066950207071</v>
      </c>
    </row>
    <row r="342" spans="6:13" x14ac:dyDescent="0.4">
      <c r="F342" s="1">
        <v>31747</v>
      </c>
      <c r="G342" s="16">
        <v>346.9</v>
      </c>
      <c r="H342" s="16">
        <f t="shared" si="26"/>
        <v>347.31004847348197</v>
      </c>
      <c r="I342">
        <f t="shared" si="27"/>
        <v>12</v>
      </c>
      <c r="J342" s="16" cm="1">
        <f t="array" ref="J342">INDEX(Sm,I342)</f>
        <v>-0.89092746367992248</v>
      </c>
      <c r="K342" s="16">
        <f t="shared" si="28"/>
        <v>346.41912100980204</v>
      </c>
      <c r="L342" s="16">
        <f t="shared" si="29"/>
        <v>0.48087899019793667</v>
      </c>
      <c r="M342" s="16">
        <f t="shared" si="30"/>
        <v>0.23124460321378729</v>
      </c>
    </row>
    <row r="343" spans="6:13" x14ac:dyDescent="0.4">
      <c r="F343" s="1">
        <v>31778</v>
      </c>
      <c r="G343" s="16">
        <v>348.02</v>
      </c>
      <c r="H343" s="16">
        <f t="shared" si="26"/>
        <v>347.43858321472146</v>
      </c>
      <c r="I343">
        <f t="shared" si="27"/>
        <v>1</v>
      </c>
      <c r="J343" s="16" cm="1">
        <f t="array" ref="J343">INDEX(Sm,I343)</f>
        <v>6.1437951108157106E-2</v>
      </c>
      <c r="K343" s="16">
        <f t="shared" si="28"/>
        <v>347.50002116582959</v>
      </c>
      <c r="L343" s="16">
        <f t="shared" si="29"/>
        <v>0.51997883417038793</v>
      </c>
      <c r="M343" s="16">
        <f t="shared" si="30"/>
        <v>0.2703779879851958</v>
      </c>
    </row>
    <row r="344" spans="6:13" x14ac:dyDescent="0.4">
      <c r="F344" s="1">
        <v>31809</v>
      </c>
      <c r="G344" s="16">
        <v>348.48</v>
      </c>
      <c r="H344" s="16">
        <f t="shared" si="26"/>
        <v>347.56730640289231</v>
      </c>
      <c r="I344">
        <f t="shared" si="27"/>
        <v>2</v>
      </c>
      <c r="J344" s="16" cm="1">
        <f t="array" ref="J344">INDEX(Sm,I344)</f>
        <v>0.69461918775013354</v>
      </c>
      <c r="K344" s="16">
        <f t="shared" si="28"/>
        <v>348.26192559064242</v>
      </c>
      <c r="L344" s="16">
        <f t="shared" si="29"/>
        <v>0.21807440935759814</v>
      </c>
      <c r="M344" s="16">
        <f t="shared" si="30"/>
        <v>4.7556448016665288E-2</v>
      </c>
    </row>
    <row r="345" spans="6:13" x14ac:dyDescent="0.4">
      <c r="F345" s="1">
        <v>31837</v>
      </c>
      <c r="G345" s="16">
        <v>349.42</v>
      </c>
      <c r="H345" s="16">
        <f t="shared" si="26"/>
        <v>347.68373448249429</v>
      </c>
      <c r="I345">
        <f t="shared" si="27"/>
        <v>3</v>
      </c>
      <c r="J345" s="16" cm="1">
        <f t="array" ref="J345">INDEX(Sm,I345)</f>
        <v>1.3737674679346947</v>
      </c>
      <c r="K345" s="16">
        <f t="shared" si="28"/>
        <v>349.05750195042896</v>
      </c>
      <c r="L345" s="16">
        <f t="shared" si="29"/>
        <v>0.3624980495710588</v>
      </c>
      <c r="M345" s="16">
        <f t="shared" si="30"/>
        <v>0.13140483594282179</v>
      </c>
    </row>
    <row r="346" spans="6:13" x14ac:dyDescent="0.4">
      <c r="F346" s="1">
        <v>31868</v>
      </c>
      <c r="G346" s="16">
        <v>350.98</v>
      </c>
      <c r="H346" s="16">
        <f t="shared" si="26"/>
        <v>347.81281632772794</v>
      </c>
      <c r="I346">
        <f t="shared" si="27"/>
        <v>4</v>
      </c>
      <c r="J346" s="16" cm="1">
        <f t="array" ref="J346">INDEX(Sm,I346)</f>
        <v>2.6103146023823673</v>
      </c>
      <c r="K346" s="16">
        <f t="shared" si="28"/>
        <v>350.42313093011029</v>
      </c>
      <c r="L346" s="16">
        <f t="shared" si="29"/>
        <v>0.55686906988972851</v>
      </c>
      <c r="M346" s="16">
        <f t="shared" si="30"/>
        <v>0.31010316099985136</v>
      </c>
    </row>
    <row r="347" spans="6:13" x14ac:dyDescent="0.4">
      <c r="F347" s="1">
        <v>31898</v>
      </c>
      <c r="G347" s="16">
        <v>351.85</v>
      </c>
      <c r="H347" s="16">
        <f t="shared" si="26"/>
        <v>347.93791366904884</v>
      </c>
      <c r="I347">
        <f t="shared" si="27"/>
        <v>5</v>
      </c>
      <c r="J347" s="16" cm="1">
        <f t="array" ref="J347">INDEX(Sm,I347)</f>
        <v>3.0656878503632123</v>
      </c>
      <c r="K347" s="16">
        <f t="shared" si="28"/>
        <v>351.00360151941203</v>
      </c>
      <c r="L347" s="16">
        <f t="shared" si="29"/>
        <v>0.84639848058799316</v>
      </c>
      <c r="M347" s="16">
        <f t="shared" si="30"/>
        <v>0.71639038794166343</v>
      </c>
    </row>
    <row r="348" spans="6:13" x14ac:dyDescent="0.4">
      <c r="F348" s="1">
        <v>31929</v>
      </c>
      <c r="G348" s="16">
        <v>351.26</v>
      </c>
      <c r="H348" s="16">
        <f t="shared" si="26"/>
        <v>348.06736632921184</v>
      </c>
      <c r="I348">
        <f t="shared" si="27"/>
        <v>6</v>
      </c>
      <c r="J348" s="16" cm="1">
        <f t="array" ref="J348">INDEX(Sm,I348)</f>
        <v>2.3467878975381979</v>
      </c>
      <c r="K348" s="16">
        <f t="shared" si="28"/>
        <v>350.41415422675004</v>
      </c>
      <c r="L348" s="16">
        <f t="shared" si="29"/>
        <v>0.84584577324994825</v>
      </c>
      <c r="M348" s="16">
        <f t="shared" si="30"/>
        <v>0.71545507212480286</v>
      </c>
    </row>
    <row r="349" spans="6:13" x14ac:dyDescent="0.4">
      <c r="F349" s="1">
        <v>31959</v>
      </c>
      <c r="G349" s="16">
        <v>349.51</v>
      </c>
      <c r="H349" s="16">
        <f t="shared" si="26"/>
        <v>348.19282252369015</v>
      </c>
      <c r="I349">
        <f t="shared" si="27"/>
        <v>7</v>
      </c>
      <c r="J349" s="16" cm="1">
        <f t="array" ref="J349">INDEX(Sm,I349)</f>
        <v>0.72373827090267417</v>
      </c>
      <c r="K349" s="16">
        <f t="shared" si="28"/>
        <v>348.91656079459284</v>
      </c>
      <c r="L349" s="16">
        <f t="shared" si="29"/>
        <v>0.59343920540715089</v>
      </c>
      <c r="M349" s="16">
        <f t="shared" si="30"/>
        <v>0.35217009051427062</v>
      </c>
    </row>
    <row r="350" spans="6:13" x14ac:dyDescent="0.4">
      <c r="F350" s="1">
        <v>31990</v>
      </c>
      <c r="G350" s="16">
        <v>348.1</v>
      </c>
      <c r="H350" s="16">
        <f t="shared" si="26"/>
        <v>348.32264599878249</v>
      </c>
      <c r="I350">
        <f t="shared" si="27"/>
        <v>8</v>
      </c>
      <c r="J350" s="16" cm="1">
        <f t="array" ref="J350">INDEX(Sm,I350)</f>
        <v>-1.3971602749585079</v>
      </c>
      <c r="K350" s="16">
        <f t="shared" si="28"/>
        <v>346.92548572382401</v>
      </c>
      <c r="L350" s="16">
        <f t="shared" si="29"/>
        <v>1.1745142761760121</v>
      </c>
      <c r="M350" s="16">
        <f t="shared" si="30"/>
        <v>1.3794837849412616</v>
      </c>
    </row>
    <row r="351" spans="6:13" x14ac:dyDescent="0.4">
      <c r="F351" s="1">
        <v>32021</v>
      </c>
      <c r="G351" s="16">
        <v>346.45</v>
      </c>
      <c r="H351" s="16">
        <f t="shared" si="26"/>
        <v>348.45265792080602</v>
      </c>
      <c r="I351">
        <f t="shared" si="27"/>
        <v>9</v>
      </c>
      <c r="J351" s="16" cm="1">
        <f t="array" ref="J351">INDEX(Sm,I351)</f>
        <v>-3.1930865277187257</v>
      </c>
      <c r="K351" s="16">
        <f t="shared" si="28"/>
        <v>345.2595713930873</v>
      </c>
      <c r="L351" s="16">
        <f t="shared" si="29"/>
        <v>1.1904286069126897</v>
      </c>
      <c r="M351" s="16">
        <f t="shared" si="30"/>
        <v>1.417120268156087</v>
      </c>
    </row>
    <row r="352" spans="6:13" x14ac:dyDescent="0.4">
      <c r="F352" s="1">
        <v>32051</v>
      </c>
      <c r="G352" s="16">
        <v>346.36</v>
      </c>
      <c r="H352" s="16">
        <f t="shared" si="26"/>
        <v>348.57865533643985</v>
      </c>
      <c r="I352">
        <f t="shared" si="27"/>
        <v>10</v>
      </c>
      <c r="J352" s="16" cm="1">
        <f t="array" ref="J352">INDEX(Sm,I352)</f>
        <v>-3.3364130066587929</v>
      </c>
      <c r="K352" s="16">
        <f t="shared" si="28"/>
        <v>345.24224232978105</v>
      </c>
      <c r="L352" s="16">
        <f t="shared" si="29"/>
        <v>1.117757670218964</v>
      </c>
      <c r="M352" s="16">
        <f t="shared" si="30"/>
        <v>1.2493822093333262</v>
      </c>
    </row>
    <row r="353" spans="6:13" x14ac:dyDescent="0.4">
      <c r="F353" s="1">
        <v>32082</v>
      </c>
      <c r="G353" s="16">
        <v>347.81</v>
      </c>
      <c r="H353" s="16">
        <f t="shared" si="26"/>
        <v>348.70903807339278</v>
      </c>
      <c r="I353">
        <f t="shared" si="27"/>
        <v>11</v>
      </c>
      <c r="J353" s="16" cm="1">
        <f t="array" ref="J353">INDEX(Sm,I353)</f>
        <v>-2.0587659549634894</v>
      </c>
      <c r="K353" s="16">
        <f t="shared" si="28"/>
        <v>346.65027211842931</v>
      </c>
      <c r="L353" s="16">
        <f t="shared" si="29"/>
        <v>1.1597278815706886</v>
      </c>
      <c r="M353" s="16">
        <f t="shared" si="30"/>
        <v>1.3449687592924371</v>
      </c>
    </row>
    <row r="354" spans="6:13" x14ac:dyDescent="0.4">
      <c r="F354" s="1">
        <v>32112</v>
      </c>
      <c r="G354" s="16">
        <v>348.96</v>
      </c>
      <c r="H354" s="16">
        <f t="shared" si="26"/>
        <v>348.83539434218397</v>
      </c>
      <c r="I354">
        <f t="shared" si="27"/>
        <v>12</v>
      </c>
      <c r="J354" s="16" cm="1">
        <f t="array" ref="J354">INDEX(Sm,I354)</f>
        <v>-0.89092746367992248</v>
      </c>
      <c r="K354" s="16">
        <f t="shared" si="28"/>
        <v>347.94446687850404</v>
      </c>
      <c r="L354" s="16">
        <f t="shared" si="29"/>
        <v>1.0155331214959347</v>
      </c>
      <c r="M354" s="16">
        <f t="shared" si="30"/>
        <v>1.0313075208552769</v>
      </c>
    </row>
    <row r="355" spans="6:13" x14ac:dyDescent="0.4">
      <c r="F355" s="1">
        <v>32143</v>
      </c>
      <c r="G355" s="16">
        <v>350.43</v>
      </c>
      <c r="H355" s="16">
        <f t="shared" si="26"/>
        <v>348.96614789406624</v>
      </c>
      <c r="I355">
        <f t="shared" si="27"/>
        <v>1</v>
      </c>
      <c r="J355" s="16" cm="1">
        <f t="array" ref="J355">INDEX(Sm,I355)</f>
        <v>6.1437951108157106E-2</v>
      </c>
      <c r="K355" s="16">
        <f t="shared" si="28"/>
        <v>349.02758584517437</v>
      </c>
      <c r="L355" s="16">
        <f t="shared" si="29"/>
        <v>1.4024141548256353</v>
      </c>
      <c r="M355" s="16">
        <f t="shared" si="30"/>
        <v>1.9667654616553008</v>
      </c>
    </row>
    <row r="356" spans="6:13" x14ac:dyDescent="0.4">
      <c r="F356" s="1">
        <v>32174</v>
      </c>
      <c r="G356" s="16">
        <v>351.73</v>
      </c>
      <c r="H356" s="16">
        <f t="shared" si="26"/>
        <v>349.09708989287981</v>
      </c>
      <c r="I356">
        <f t="shared" si="27"/>
        <v>2</v>
      </c>
      <c r="J356" s="16" cm="1">
        <f t="array" ref="J356">INDEX(Sm,I356)</f>
        <v>0.69461918775013354</v>
      </c>
      <c r="K356" s="16">
        <f t="shared" si="28"/>
        <v>349.79170908062991</v>
      </c>
      <c r="L356" s="16">
        <f t="shared" si="29"/>
        <v>1.9382909193701039</v>
      </c>
      <c r="M356" s="16">
        <f t="shared" si="30"/>
        <v>3.7569716881126025</v>
      </c>
    </row>
    <row r="357" spans="6:13" x14ac:dyDescent="0.4">
      <c r="F357" s="1">
        <v>32203</v>
      </c>
      <c r="G357" s="16">
        <v>352.22</v>
      </c>
      <c r="H357" s="16">
        <f t="shared" si="26"/>
        <v>349.21975462312287</v>
      </c>
      <c r="I357">
        <f t="shared" si="27"/>
        <v>3</v>
      </c>
      <c r="J357" s="16" cm="1">
        <f t="array" ref="J357">INDEX(Sm,I357)</f>
        <v>1.3737674679346947</v>
      </c>
      <c r="K357" s="16">
        <f t="shared" si="28"/>
        <v>350.59352209105754</v>
      </c>
      <c r="L357" s="16">
        <f t="shared" si="29"/>
        <v>1.6264779089424906</v>
      </c>
      <c r="M357" s="16">
        <f t="shared" si="30"/>
        <v>2.6454303882779366</v>
      </c>
    </row>
    <row r="358" spans="6:13" x14ac:dyDescent="0.4">
      <c r="F358" s="1">
        <v>32234</v>
      </c>
      <c r="G358" s="16">
        <v>353.59</v>
      </c>
      <c r="H358" s="16">
        <f t="shared" si="26"/>
        <v>349.35106135793251</v>
      </c>
      <c r="I358">
        <f t="shared" si="27"/>
        <v>4</v>
      </c>
      <c r="J358" s="16" cm="1">
        <f t="array" ref="J358">INDEX(Sm,I358)</f>
        <v>2.6103146023823673</v>
      </c>
      <c r="K358" s="16">
        <f t="shared" si="28"/>
        <v>351.96137596031485</v>
      </c>
      <c r="L358" s="16">
        <f t="shared" si="29"/>
        <v>1.6286240396851213</v>
      </c>
      <c r="M358" s="16">
        <f t="shared" si="30"/>
        <v>2.6524162626402834</v>
      </c>
    </row>
    <row r="359" spans="6:13" x14ac:dyDescent="0.4">
      <c r="F359" s="1">
        <v>32264</v>
      </c>
      <c r="G359" s="16">
        <v>354.22</v>
      </c>
      <c r="H359" s="16">
        <f t="shared" si="26"/>
        <v>349.47831181819794</v>
      </c>
      <c r="I359">
        <f t="shared" si="27"/>
        <v>5</v>
      </c>
      <c r="J359" s="16" cm="1">
        <f t="array" ref="J359">INDEX(Sm,I359)</f>
        <v>3.0656878503632123</v>
      </c>
      <c r="K359" s="16">
        <f t="shared" si="28"/>
        <v>352.54399966856113</v>
      </c>
      <c r="L359" s="16">
        <f t="shared" si="29"/>
        <v>1.6760003314388996</v>
      </c>
      <c r="M359" s="16">
        <f t="shared" si="30"/>
        <v>2.8089771109833013</v>
      </c>
    </row>
    <row r="360" spans="6:13" x14ac:dyDescent="0.4">
      <c r="F360" s="1">
        <v>32295</v>
      </c>
      <c r="G360" s="16">
        <v>353.8</v>
      </c>
      <c r="H360" s="16">
        <f t="shared" si="26"/>
        <v>349.60998936793692</v>
      </c>
      <c r="I360">
        <f t="shared" si="27"/>
        <v>6</v>
      </c>
      <c r="J360" s="16" cm="1">
        <f t="array" ref="J360">INDEX(Sm,I360)</f>
        <v>2.3467878975381979</v>
      </c>
      <c r="K360" s="16">
        <f t="shared" si="28"/>
        <v>351.95677726547513</v>
      </c>
      <c r="L360" s="16">
        <f t="shared" si="29"/>
        <v>1.8432227345248862</v>
      </c>
      <c r="M360" s="16">
        <f t="shared" si="30"/>
        <v>3.397470049069399</v>
      </c>
    </row>
    <row r="361" spans="6:13" x14ac:dyDescent="0.4">
      <c r="F361" s="1">
        <v>32325</v>
      </c>
      <c r="G361" s="16">
        <v>352.38</v>
      </c>
      <c r="H361" s="16">
        <f t="shared" si="26"/>
        <v>349.73759868135977</v>
      </c>
      <c r="I361">
        <f t="shared" si="27"/>
        <v>7</v>
      </c>
      <c r="J361" s="16" cm="1">
        <f t="array" ref="J361">INDEX(Sm,I361)</f>
        <v>0.72373827090267417</v>
      </c>
      <c r="K361" s="16">
        <f t="shared" si="28"/>
        <v>350.46133695226246</v>
      </c>
      <c r="L361" s="16">
        <f t="shared" si="29"/>
        <v>1.9186630477375388</v>
      </c>
      <c r="M361" s="16">
        <f t="shared" si="30"/>
        <v>3.6812678907535012</v>
      </c>
    </row>
    <row r="362" spans="6:13" x14ac:dyDescent="0.4">
      <c r="F362" s="1">
        <v>32356</v>
      </c>
      <c r="G362" s="16">
        <v>350.43</v>
      </c>
      <c r="H362" s="16">
        <f t="shared" si="26"/>
        <v>349.86964704602804</v>
      </c>
      <c r="I362">
        <f t="shared" si="27"/>
        <v>8</v>
      </c>
      <c r="J362" s="16" cm="1">
        <f t="array" ref="J362">INDEX(Sm,I362)</f>
        <v>-1.3971602749585079</v>
      </c>
      <c r="K362" s="16">
        <f t="shared" si="28"/>
        <v>348.47248677106955</v>
      </c>
      <c r="L362" s="16">
        <f t="shared" si="29"/>
        <v>1.957513228930452</v>
      </c>
      <c r="M362" s="16">
        <f t="shared" si="30"/>
        <v>3.8318580414377243</v>
      </c>
    </row>
    <row r="363" spans="6:13" x14ac:dyDescent="0.4">
      <c r="F363" s="1">
        <v>32387</v>
      </c>
      <c r="G363" s="16">
        <v>348.73</v>
      </c>
      <c r="H363" s="16">
        <f t="shared" si="26"/>
        <v>350.00188385762766</v>
      </c>
      <c r="I363">
        <f t="shared" si="27"/>
        <v>9</v>
      </c>
      <c r="J363" s="16" cm="1">
        <f t="array" ref="J363">INDEX(Sm,I363)</f>
        <v>-3.1930865277187257</v>
      </c>
      <c r="K363" s="16">
        <f t="shared" si="28"/>
        <v>346.80879732990894</v>
      </c>
      <c r="L363" s="16">
        <f t="shared" si="29"/>
        <v>1.9212026700910769</v>
      </c>
      <c r="M363" s="16">
        <f t="shared" si="30"/>
        <v>3.6910196995650835</v>
      </c>
    </row>
    <row r="364" spans="6:13" x14ac:dyDescent="0.4">
      <c r="F364" s="1">
        <v>32417</v>
      </c>
      <c r="G364" s="16">
        <v>348.88</v>
      </c>
      <c r="H364" s="16">
        <f t="shared" si="26"/>
        <v>350.13003439220597</v>
      </c>
      <c r="I364">
        <f t="shared" si="27"/>
        <v>10</v>
      </c>
      <c r="J364" s="16" cm="1">
        <f t="array" ref="J364">INDEX(Sm,I364)</f>
        <v>-3.3364130066587929</v>
      </c>
      <c r="K364" s="16">
        <f t="shared" si="28"/>
        <v>346.79362138554717</v>
      </c>
      <c r="L364" s="16">
        <f t="shared" si="29"/>
        <v>2.0863786144528262</v>
      </c>
      <c r="M364" s="16">
        <f t="shared" si="30"/>
        <v>4.3529757228460948</v>
      </c>
    </row>
    <row r="365" spans="6:13" x14ac:dyDescent="0.4">
      <c r="F365" s="1">
        <v>32448</v>
      </c>
      <c r="G365" s="16">
        <v>350.07</v>
      </c>
      <c r="H365" s="16">
        <f t="shared" si="26"/>
        <v>350.26264201873488</v>
      </c>
      <c r="I365">
        <f t="shared" si="27"/>
        <v>11</v>
      </c>
      <c r="J365" s="16" cm="1">
        <f t="array" ref="J365">INDEX(Sm,I365)</f>
        <v>-2.0587659549634894</v>
      </c>
      <c r="K365" s="16">
        <f t="shared" si="28"/>
        <v>348.20387606377142</v>
      </c>
      <c r="L365" s="16">
        <f t="shared" si="29"/>
        <v>1.8661239362285755</v>
      </c>
      <c r="M365" s="16">
        <f t="shared" si="30"/>
        <v>3.4824185453652325</v>
      </c>
    </row>
    <row r="366" spans="6:13" x14ac:dyDescent="0.4">
      <c r="F366" s="1">
        <v>32478</v>
      </c>
      <c r="G366" s="16">
        <v>351.34</v>
      </c>
      <c r="H366" s="16">
        <f t="shared" si="26"/>
        <v>350.39115140647061</v>
      </c>
      <c r="I366">
        <f t="shared" si="27"/>
        <v>12</v>
      </c>
      <c r="J366" s="16" cm="1">
        <f t="array" ref="J366">INDEX(Sm,I366)</f>
        <v>-0.89092746367992248</v>
      </c>
      <c r="K366" s="16">
        <f t="shared" si="28"/>
        <v>349.50022394279068</v>
      </c>
      <c r="L366" s="16">
        <f t="shared" si="29"/>
        <v>1.839776057209292</v>
      </c>
      <c r="M366" s="16">
        <f t="shared" si="30"/>
        <v>3.3847759406805684</v>
      </c>
    </row>
    <row r="367" spans="6:13" x14ac:dyDescent="0.4">
      <c r="F367" s="1">
        <v>32509</v>
      </c>
      <c r="G367" s="16">
        <v>352.76</v>
      </c>
      <c r="H367" s="16">
        <f t="shared" si="26"/>
        <v>350.52412984792886</v>
      </c>
      <c r="I367">
        <f t="shared" si="27"/>
        <v>1</v>
      </c>
      <c r="J367" s="16" cm="1">
        <f t="array" ref="J367">INDEX(Sm,I367)</f>
        <v>6.1437951108157106E-2</v>
      </c>
      <c r="K367" s="16">
        <f t="shared" si="28"/>
        <v>350.58556779903699</v>
      </c>
      <c r="L367" s="16">
        <f t="shared" si="29"/>
        <v>2.1744322009629968</v>
      </c>
      <c r="M367" s="16">
        <f t="shared" si="30"/>
        <v>4.7281553965847829</v>
      </c>
    </row>
    <row r="368" spans="6:13" x14ac:dyDescent="0.4">
      <c r="F368" s="1">
        <v>32540</v>
      </c>
      <c r="G368" s="16">
        <v>353.07</v>
      </c>
      <c r="H368" s="16">
        <f t="shared" si="26"/>
        <v>350.65729673631841</v>
      </c>
      <c r="I368">
        <f t="shared" si="27"/>
        <v>2</v>
      </c>
      <c r="J368" s="16" cm="1">
        <f t="array" ref="J368">INDEX(Sm,I368)</f>
        <v>0.69461918775013354</v>
      </c>
      <c r="K368" s="16">
        <f t="shared" si="28"/>
        <v>351.35191592406852</v>
      </c>
      <c r="L368" s="16">
        <f t="shared" si="29"/>
        <v>1.7180840759314719</v>
      </c>
      <c r="M368" s="16">
        <f t="shared" si="30"/>
        <v>2.9518128919692996</v>
      </c>
    </row>
    <row r="369" spans="6:13" x14ac:dyDescent="0.4">
      <c r="F369" s="1">
        <v>32568</v>
      </c>
      <c r="G369" s="16">
        <v>353.68</v>
      </c>
      <c r="H369" s="16">
        <f t="shared" si="26"/>
        <v>350.77773848063407</v>
      </c>
      <c r="I369">
        <f t="shared" si="27"/>
        <v>3</v>
      </c>
      <c r="J369" s="16" cm="1">
        <f t="array" ref="J369">INDEX(Sm,I369)</f>
        <v>1.3737674679346947</v>
      </c>
      <c r="K369" s="16">
        <f t="shared" si="28"/>
        <v>352.15150594856874</v>
      </c>
      <c r="L369" s="16">
        <f t="shared" si="29"/>
        <v>1.5284940514312666</v>
      </c>
      <c r="M369" s="16">
        <f t="shared" si="30"/>
        <v>2.3362940652607675</v>
      </c>
    </row>
    <row r="370" spans="6:13" x14ac:dyDescent="0.4">
      <c r="F370" s="1">
        <v>32599</v>
      </c>
      <c r="G370" s="16">
        <v>355.42</v>
      </c>
      <c r="H370" s="16">
        <f t="shared" si="26"/>
        <v>350.91126402608643</v>
      </c>
      <c r="I370">
        <f t="shared" si="27"/>
        <v>4</v>
      </c>
      <c r="J370" s="16" cm="1">
        <f t="array" ref="J370">INDEX(Sm,I370)</f>
        <v>2.6103146023823673</v>
      </c>
      <c r="K370" s="16">
        <f t="shared" si="28"/>
        <v>353.52157862846877</v>
      </c>
      <c r="L370" s="16">
        <f t="shared" si="29"/>
        <v>1.8984213715312421</v>
      </c>
      <c r="M370" s="16">
        <f t="shared" si="30"/>
        <v>3.6040037038865624</v>
      </c>
    </row>
    <row r="371" spans="6:13" x14ac:dyDescent="0.4">
      <c r="F371" s="1">
        <v>32629</v>
      </c>
      <c r="G371" s="16">
        <v>355.67</v>
      </c>
      <c r="H371" s="16">
        <f t="shared" si="26"/>
        <v>351.04066172245774</v>
      </c>
      <c r="I371">
        <f t="shared" si="27"/>
        <v>5</v>
      </c>
      <c r="J371" s="16" cm="1">
        <f t="array" ref="J371">INDEX(Sm,I371)</f>
        <v>3.0656878503632123</v>
      </c>
      <c r="K371" s="16">
        <f t="shared" si="28"/>
        <v>354.10634957282093</v>
      </c>
      <c r="L371" s="16">
        <f t="shared" si="29"/>
        <v>1.5636504271790841</v>
      </c>
      <c r="M371" s="16">
        <f t="shared" si="30"/>
        <v>2.4450026584173323</v>
      </c>
    </row>
    <row r="372" spans="6:13" x14ac:dyDescent="0.4">
      <c r="F372" s="1">
        <v>32660</v>
      </c>
      <c r="G372" s="16">
        <v>355.12</v>
      </c>
      <c r="H372" s="16">
        <f t="shared" si="26"/>
        <v>351.17455808283944</v>
      </c>
      <c r="I372">
        <f t="shared" si="27"/>
        <v>6</v>
      </c>
      <c r="J372" s="16" cm="1">
        <f t="array" ref="J372">INDEX(Sm,I372)</f>
        <v>2.3467878975381979</v>
      </c>
      <c r="K372" s="16">
        <f t="shared" si="28"/>
        <v>353.52134598037765</v>
      </c>
      <c r="L372" s="16">
        <f t="shared" si="29"/>
        <v>1.5986540196223586</v>
      </c>
      <c r="M372" s="16">
        <f t="shared" si="30"/>
        <v>2.5556946744547249</v>
      </c>
    </row>
    <row r="373" spans="6:13" x14ac:dyDescent="0.4">
      <c r="F373" s="1">
        <v>32690</v>
      </c>
      <c r="G373" s="16">
        <v>353.9</v>
      </c>
      <c r="H373" s="16">
        <f t="shared" si="26"/>
        <v>351.30431463236818</v>
      </c>
      <c r="I373">
        <f t="shared" si="27"/>
        <v>7</v>
      </c>
      <c r="J373" s="16" cm="1">
        <f t="array" ref="J373">INDEX(Sm,I373)</f>
        <v>0.72373827090267417</v>
      </c>
      <c r="K373" s="16">
        <f t="shared" si="28"/>
        <v>352.02805290327086</v>
      </c>
      <c r="L373" s="16">
        <f t="shared" si="29"/>
        <v>1.8719470967291159</v>
      </c>
      <c r="M373" s="16">
        <f t="shared" si="30"/>
        <v>3.504185932952566</v>
      </c>
    </row>
    <row r="374" spans="6:13" x14ac:dyDescent="0.4">
      <c r="F374" s="1">
        <v>32721</v>
      </c>
      <c r="G374" s="16">
        <v>351.67</v>
      </c>
      <c r="H374" s="16">
        <f t="shared" si="26"/>
        <v>351.43858180767916</v>
      </c>
      <c r="I374">
        <f t="shared" si="27"/>
        <v>8</v>
      </c>
      <c r="J374" s="16" cm="1">
        <f t="array" ref="J374">INDEX(Sm,I374)</f>
        <v>-1.3971602749585079</v>
      </c>
      <c r="K374" s="16">
        <f t="shared" si="28"/>
        <v>350.04142153272068</v>
      </c>
      <c r="L374" s="16">
        <f t="shared" si="29"/>
        <v>1.6285784672793397</v>
      </c>
      <c r="M374" s="16">
        <f t="shared" si="30"/>
        <v>2.6522678240859237</v>
      </c>
    </row>
    <row r="375" spans="6:13" x14ac:dyDescent="0.4">
      <c r="F375" s="1">
        <v>32752</v>
      </c>
      <c r="G375" s="16">
        <v>349.81</v>
      </c>
      <c r="H375" s="16">
        <f t="shared" si="26"/>
        <v>351.5730374299215</v>
      </c>
      <c r="I375">
        <f t="shared" si="27"/>
        <v>9</v>
      </c>
      <c r="J375" s="16" cm="1">
        <f t="array" ref="J375">INDEX(Sm,I375)</f>
        <v>-3.1930865277187257</v>
      </c>
      <c r="K375" s="16">
        <f t="shared" si="28"/>
        <v>348.37995090220278</v>
      </c>
      <c r="L375" s="16">
        <f t="shared" si="29"/>
        <v>1.4300490977972231</v>
      </c>
      <c r="M375" s="16">
        <f t="shared" si="30"/>
        <v>2.045040422110652</v>
      </c>
    </row>
    <row r="376" spans="6:13" x14ac:dyDescent="0.4">
      <c r="F376" s="1">
        <v>32782</v>
      </c>
      <c r="G376" s="16">
        <v>349.99</v>
      </c>
      <c r="H376" s="16">
        <f t="shared" si="26"/>
        <v>351.70333520060569</v>
      </c>
      <c r="I376">
        <f t="shared" si="27"/>
        <v>10</v>
      </c>
      <c r="J376" s="16" cm="1">
        <f t="array" ref="J376">INDEX(Sm,I376)</f>
        <v>-3.3364130066587929</v>
      </c>
      <c r="K376" s="16">
        <f t="shared" si="28"/>
        <v>348.36692219394689</v>
      </c>
      <c r="L376" s="16">
        <f t="shared" si="29"/>
        <v>1.6230778060531179</v>
      </c>
      <c r="M376" s="16">
        <f t="shared" si="30"/>
        <v>2.6343815645022026</v>
      </c>
    </row>
    <row r="377" spans="6:13" x14ac:dyDescent="0.4">
      <c r="F377" s="1">
        <v>32813</v>
      </c>
      <c r="G377" s="16">
        <v>351.3</v>
      </c>
      <c r="H377" s="16">
        <f t="shared" si="26"/>
        <v>351.83816163777732</v>
      </c>
      <c r="I377">
        <f t="shared" si="27"/>
        <v>11</v>
      </c>
      <c r="J377" s="16" cm="1">
        <f t="array" ref="J377">INDEX(Sm,I377)</f>
        <v>-2.0587659549634894</v>
      </c>
      <c r="K377" s="16">
        <f t="shared" si="28"/>
        <v>349.77939568281386</v>
      </c>
      <c r="L377" s="16">
        <f t="shared" si="29"/>
        <v>1.5206043171861552</v>
      </c>
      <c r="M377" s="16">
        <f t="shared" si="30"/>
        <v>2.3122374894451734</v>
      </c>
    </row>
    <row r="378" spans="6:13" x14ac:dyDescent="0.4">
      <c r="F378" s="1">
        <v>32843</v>
      </c>
      <c r="G378" s="16">
        <v>352.52</v>
      </c>
      <c r="H378" s="16">
        <f t="shared" si="26"/>
        <v>351.96881826161894</v>
      </c>
      <c r="I378">
        <f t="shared" si="27"/>
        <v>12</v>
      </c>
      <c r="J378" s="16" cm="1">
        <f t="array" ref="J378">INDEX(Sm,I378)</f>
        <v>-0.89092746367992248</v>
      </c>
      <c r="K378" s="16">
        <f t="shared" si="28"/>
        <v>351.07789079793901</v>
      </c>
      <c r="L378" s="16">
        <f t="shared" si="29"/>
        <v>1.4421092020609763</v>
      </c>
      <c r="M378" s="16">
        <f t="shared" si="30"/>
        <v>2.0796789506689457</v>
      </c>
    </row>
    <row r="379" spans="6:13" x14ac:dyDescent="0.4">
      <c r="F379" s="1">
        <v>32874</v>
      </c>
      <c r="G379" s="16">
        <v>353.66</v>
      </c>
      <c r="H379" s="16">
        <f t="shared" si="26"/>
        <v>352.1040155137199</v>
      </c>
      <c r="I379">
        <f t="shared" si="27"/>
        <v>1</v>
      </c>
      <c r="J379" s="16" cm="1">
        <f t="array" ref="J379">INDEX(Sm,I379)</f>
        <v>6.1437951108157106E-2</v>
      </c>
      <c r="K379" s="16">
        <f t="shared" si="28"/>
        <v>352.16545346482803</v>
      </c>
      <c r="L379" s="16">
        <f t="shared" si="29"/>
        <v>1.4945465351719918</v>
      </c>
      <c r="M379" s="16">
        <f t="shared" si="30"/>
        <v>2.2336693457946057</v>
      </c>
    </row>
    <row r="380" spans="6:13" x14ac:dyDescent="0.4">
      <c r="F380" s="1">
        <v>32905</v>
      </c>
      <c r="G380" s="16">
        <v>354.7</v>
      </c>
      <c r="H380" s="16">
        <f t="shared" si="26"/>
        <v>352.23940121275223</v>
      </c>
      <c r="I380">
        <f t="shared" si="27"/>
        <v>2</v>
      </c>
      <c r="J380" s="16" cm="1">
        <f t="array" ref="J380">INDEX(Sm,I380)</f>
        <v>0.69461918775013354</v>
      </c>
      <c r="K380" s="16">
        <f t="shared" si="28"/>
        <v>352.93402040050233</v>
      </c>
      <c r="L380" s="16">
        <f t="shared" si="29"/>
        <v>1.7659795994976548</v>
      </c>
      <c r="M380" s="16">
        <f t="shared" si="30"/>
        <v>3.1186839458418971</v>
      </c>
    </row>
    <row r="381" spans="6:13" x14ac:dyDescent="0.4">
      <c r="F381" s="1">
        <v>32933</v>
      </c>
      <c r="G381" s="16">
        <v>355.38</v>
      </c>
      <c r="H381" s="16">
        <f t="shared" si="26"/>
        <v>352.36184704410005</v>
      </c>
      <c r="I381">
        <f t="shared" si="27"/>
        <v>3</v>
      </c>
      <c r="J381" s="16" cm="1">
        <f t="array" ref="J381">INDEX(Sm,I381)</f>
        <v>1.3737674679346947</v>
      </c>
      <c r="K381" s="16">
        <f t="shared" si="28"/>
        <v>353.73561451203472</v>
      </c>
      <c r="L381" s="16">
        <f t="shared" si="29"/>
        <v>1.6443854879652804</v>
      </c>
      <c r="M381" s="16">
        <f t="shared" si="30"/>
        <v>2.7040036330308133</v>
      </c>
    </row>
    <row r="382" spans="6:13" x14ac:dyDescent="0.4">
      <c r="F382" s="1">
        <v>32964</v>
      </c>
      <c r="G382" s="16">
        <v>356.2</v>
      </c>
      <c r="H382" s="16">
        <f t="shared" si="26"/>
        <v>352.49759140019512</v>
      </c>
      <c r="I382">
        <f t="shared" si="27"/>
        <v>4</v>
      </c>
      <c r="J382" s="16" cm="1">
        <f t="array" ref="J382">INDEX(Sm,I382)</f>
        <v>2.6103146023823673</v>
      </c>
      <c r="K382" s="16">
        <f t="shared" si="28"/>
        <v>355.10790600257747</v>
      </c>
      <c r="L382" s="16">
        <f t="shared" si="29"/>
        <v>1.0920939974225234</v>
      </c>
      <c r="M382" s="16">
        <f t="shared" si="30"/>
        <v>1.1926692992063066</v>
      </c>
    </row>
    <row r="383" spans="6:13" x14ac:dyDescent="0.4">
      <c r="F383" s="1">
        <v>32994</v>
      </c>
      <c r="G383" s="16">
        <v>357.16</v>
      </c>
      <c r="H383" s="16">
        <f t="shared" si="26"/>
        <v>352.62913633267226</v>
      </c>
      <c r="I383">
        <f t="shared" si="27"/>
        <v>5</v>
      </c>
      <c r="J383" s="16" cm="1">
        <f t="array" ref="J383">INDEX(Sm,I383)</f>
        <v>3.0656878503632123</v>
      </c>
      <c r="K383" s="16">
        <f t="shared" si="28"/>
        <v>355.69482418303545</v>
      </c>
      <c r="L383" s="16">
        <f t="shared" si="29"/>
        <v>1.4651758169645746</v>
      </c>
      <c r="M383" s="16">
        <f t="shared" si="30"/>
        <v>2.1467401746178085</v>
      </c>
    </row>
    <row r="384" spans="6:13" x14ac:dyDescent="0.4">
      <c r="F384" s="1">
        <v>33025</v>
      </c>
      <c r="G384" s="16">
        <v>356.23</v>
      </c>
      <c r="H384" s="16">
        <f t="shared" si="26"/>
        <v>352.76525150369673</v>
      </c>
      <c r="I384">
        <f t="shared" si="27"/>
        <v>6</v>
      </c>
      <c r="J384" s="16" cm="1">
        <f t="array" ref="J384">INDEX(Sm,I384)</f>
        <v>2.3467878975381979</v>
      </c>
      <c r="K384" s="16">
        <f t="shared" si="28"/>
        <v>355.11203940123494</v>
      </c>
      <c r="L384" s="16">
        <f t="shared" si="29"/>
        <v>1.1179605987650802</v>
      </c>
      <c r="M384" s="16">
        <f t="shared" si="30"/>
        <v>1.2498359003911768</v>
      </c>
    </row>
    <row r="385" spans="6:13" x14ac:dyDescent="0.4">
      <c r="F385" s="1">
        <v>33055</v>
      </c>
      <c r="G385" s="16">
        <v>354.81</v>
      </c>
      <c r="H385" s="16">
        <f t="shared" si="26"/>
        <v>352.89715528933129</v>
      </c>
      <c r="I385">
        <f t="shared" si="27"/>
        <v>7</v>
      </c>
      <c r="J385" s="16" cm="1">
        <f t="array" ref="J385">INDEX(Sm,I385)</f>
        <v>0.72373827090267417</v>
      </c>
      <c r="K385" s="16">
        <f t="shared" si="28"/>
        <v>353.62089356023398</v>
      </c>
      <c r="L385" s="16">
        <f t="shared" si="29"/>
        <v>1.1891064397660216</v>
      </c>
      <c r="M385" s="16">
        <f t="shared" si="30"/>
        <v>1.4139741250930231</v>
      </c>
    </row>
    <row r="386" spans="6:13" x14ac:dyDescent="0.4">
      <c r="F386" s="1">
        <v>33086</v>
      </c>
      <c r="G386" s="16">
        <v>352.91</v>
      </c>
      <c r="H386" s="16">
        <f t="shared" si="26"/>
        <v>353.03364127528505</v>
      </c>
      <c r="I386">
        <f t="shared" si="27"/>
        <v>8</v>
      </c>
      <c r="J386" s="16" cm="1">
        <f t="array" ref="J386">INDEX(Sm,I386)</f>
        <v>-1.3971602749585079</v>
      </c>
      <c r="K386" s="16">
        <f t="shared" si="28"/>
        <v>351.63648100032657</v>
      </c>
      <c r="L386" s="16">
        <f t="shared" si="29"/>
        <v>1.2735189996734562</v>
      </c>
      <c r="M386" s="16">
        <f t="shared" si="30"/>
        <v>1.6218506425292805</v>
      </c>
    </row>
    <row r="387" spans="6:13" x14ac:dyDescent="0.4">
      <c r="F387" s="1">
        <v>33117</v>
      </c>
      <c r="G387" s="16">
        <v>350.96</v>
      </c>
      <c r="H387" s="16">
        <f t="shared" ref="H387:H450" si="31">_A*F387*F387+_B*F387+_C</f>
        <v>353.17031570817011</v>
      </c>
      <c r="I387">
        <f t="shared" ref="I387:I450" si="32">MONTH(F387)</f>
        <v>9</v>
      </c>
      <c r="J387" s="16" cm="1">
        <f t="array" ref="J387">INDEX(Sm,I387)</f>
        <v>-3.1930865277187257</v>
      </c>
      <c r="K387" s="16">
        <f t="shared" ref="K387:K450" si="33">H387+J387</f>
        <v>349.97722918045139</v>
      </c>
      <c r="L387" s="16">
        <f t="shared" ref="L387:L450" si="34">G387-K387</f>
        <v>0.98277081954859113</v>
      </c>
      <c r="M387" s="16">
        <f t="shared" ref="M387:M450" si="35">L387*L387</f>
        <v>0.96583848375620951</v>
      </c>
    </row>
    <row r="388" spans="6:13" x14ac:dyDescent="0.4">
      <c r="F388" s="1">
        <v>33147</v>
      </c>
      <c r="G388" s="16">
        <v>351.18</v>
      </c>
      <c r="H388" s="16">
        <f t="shared" si="31"/>
        <v>353.30276071496013</v>
      </c>
      <c r="I388">
        <f t="shared" si="32"/>
        <v>10</v>
      </c>
      <c r="J388" s="16" cm="1">
        <f t="array" ref="J388">INDEX(Sm,I388)</f>
        <v>-3.3364130066587929</v>
      </c>
      <c r="K388" s="16">
        <f t="shared" si="33"/>
        <v>349.96634770830133</v>
      </c>
      <c r="L388" s="16">
        <f t="shared" si="34"/>
        <v>1.2136522916986792</v>
      </c>
      <c r="M388" s="16">
        <f t="shared" si="35"/>
        <v>1.4729518851454557</v>
      </c>
    </row>
    <row r="389" spans="6:13" x14ac:dyDescent="0.4">
      <c r="F389" s="1">
        <v>33178</v>
      </c>
      <c r="G389" s="16">
        <v>352.83</v>
      </c>
      <c r="H389" s="16">
        <f t="shared" si="31"/>
        <v>353.43980596277447</v>
      </c>
      <c r="I389">
        <f t="shared" si="32"/>
        <v>11</v>
      </c>
      <c r="J389" s="16" cm="1">
        <f t="array" ref="J389">INDEX(Sm,I389)</f>
        <v>-2.0587659549634894</v>
      </c>
      <c r="K389" s="16">
        <f t="shared" si="33"/>
        <v>351.38104000781101</v>
      </c>
      <c r="L389" s="16">
        <f t="shared" si="34"/>
        <v>1.4489599921889749</v>
      </c>
      <c r="M389" s="16">
        <f t="shared" si="35"/>
        <v>2.099485058964274</v>
      </c>
    </row>
    <row r="390" spans="6:13" x14ac:dyDescent="0.4">
      <c r="F390" s="1">
        <v>33208</v>
      </c>
      <c r="G390" s="16">
        <v>354.21</v>
      </c>
      <c r="H390" s="16">
        <f t="shared" si="31"/>
        <v>353.57260982272197</v>
      </c>
      <c r="I390">
        <f t="shared" si="32"/>
        <v>12</v>
      </c>
      <c r="J390" s="16" cm="1">
        <f t="array" ref="J390">INDEX(Sm,I390)</f>
        <v>-0.89092746367992248</v>
      </c>
      <c r="K390" s="16">
        <f t="shared" si="33"/>
        <v>352.68168235904204</v>
      </c>
      <c r="L390" s="16">
        <f t="shared" si="34"/>
        <v>1.5283176409579369</v>
      </c>
      <c r="M390" s="16">
        <f t="shared" si="35"/>
        <v>2.3357548116632332</v>
      </c>
    </row>
    <row r="391" spans="6:13" x14ac:dyDescent="0.4">
      <c r="F391" s="1">
        <v>33239</v>
      </c>
      <c r="G391" s="16">
        <v>354.72</v>
      </c>
      <c r="H391" s="16">
        <f t="shared" si="31"/>
        <v>353.71002588546565</v>
      </c>
      <c r="I391">
        <f t="shared" si="32"/>
        <v>1</v>
      </c>
      <c r="J391" s="16" cm="1">
        <f t="array" ref="J391">INDEX(Sm,I391)</f>
        <v>6.1437951108157106E-2</v>
      </c>
      <c r="K391" s="16">
        <f t="shared" si="33"/>
        <v>353.77146383657379</v>
      </c>
      <c r="L391" s="16">
        <f t="shared" si="34"/>
        <v>0.94853616342624036</v>
      </c>
      <c r="M391" s="16">
        <f t="shared" si="35"/>
        <v>0.89972085332737139</v>
      </c>
    </row>
    <row r="392" spans="6:13" x14ac:dyDescent="0.4">
      <c r="F392" s="1">
        <v>33270</v>
      </c>
      <c r="G392" s="16">
        <v>355.75</v>
      </c>
      <c r="H392" s="16">
        <f t="shared" si="31"/>
        <v>353.8476303951407</v>
      </c>
      <c r="I392">
        <f t="shared" si="32"/>
        <v>2</v>
      </c>
      <c r="J392" s="16" cm="1">
        <f t="array" ref="J392">INDEX(Sm,I392)</f>
        <v>0.69461918775013354</v>
      </c>
      <c r="K392" s="16">
        <f t="shared" si="33"/>
        <v>354.5422495828908</v>
      </c>
      <c r="L392" s="16">
        <f t="shared" si="34"/>
        <v>1.207750417109196</v>
      </c>
      <c r="M392" s="16">
        <f t="shared" si="35"/>
        <v>1.4586610700274367</v>
      </c>
    </row>
    <row r="393" spans="6:13" x14ac:dyDescent="0.4">
      <c r="F393" s="1">
        <v>33298</v>
      </c>
      <c r="G393" s="16">
        <v>357.16</v>
      </c>
      <c r="H393" s="16">
        <f t="shared" si="31"/>
        <v>353.97208031352068</v>
      </c>
      <c r="I393">
        <f t="shared" si="32"/>
        <v>3</v>
      </c>
      <c r="J393" s="16" cm="1">
        <f t="array" ref="J393">INDEX(Sm,I393)</f>
        <v>1.3737674679346947</v>
      </c>
      <c r="K393" s="16">
        <f t="shared" si="33"/>
        <v>355.34584778145535</v>
      </c>
      <c r="L393" s="16">
        <f t="shared" si="34"/>
        <v>1.8141522185446775</v>
      </c>
      <c r="M393" s="16">
        <f t="shared" si="35"/>
        <v>3.2911482720505751</v>
      </c>
    </row>
    <row r="394" spans="6:13" x14ac:dyDescent="0.4">
      <c r="F394" s="1">
        <v>33329</v>
      </c>
      <c r="G394" s="16">
        <v>358.6</v>
      </c>
      <c r="H394" s="16">
        <f t="shared" si="31"/>
        <v>354.11004348025847</v>
      </c>
      <c r="I394">
        <f t="shared" si="32"/>
        <v>4</v>
      </c>
      <c r="J394" s="16" cm="1">
        <f t="array" ref="J394">INDEX(Sm,I394)</f>
        <v>2.6103146023823673</v>
      </c>
      <c r="K394" s="16">
        <f t="shared" si="33"/>
        <v>356.72035808264081</v>
      </c>
      <c r="L394" s="16">
        <f t="shared" si="34"/>
        <v>1.8796419173592085</v>
      </c>
      <c r="M394" s="16">
        <f t="shared" si="35"/>
        <v>3.5330537374938014</v>
      </c>
    </row>
    <row r="395" spans="6:13" x14ac:dyDescent="0.4">
      <c r="F395" s="1">
        <v>33359</v>
      </c>
      <c r="G395" s="16">
        <v>359.34</v>
      </c>
      <c r="H395" s="16">
        <f t="shared" si="31"/>
        <v>354.24373564884149</v>
      </c>
      <c r="I395">
        <f t="shared" si="32"/>
        <v>5</v>
      </c>
      <c r="J395" s="16" cm="1">
        <f t="array" ref="J395">INDEX(Sm,I395)</f>
        <v>3.0656878503632123</v>
      </c>
      <c r="K395" s="16">
        <f t="shared" si="33"/>
        <v>357.30942349920468</v>
      </c>
      <c r="L395" s="16">
        <f t="shared" si="34"/>
        <v>2.0305765007952914</v>
      </c>
      <c r="M395" s="16">
        <f t="shared" si="35"/>
        <v>4.1232409255820501</v>
      </c>
    </row>
    <row r="396" spans="6:13" x14ac:dyDescent="0.4">
      <c r="F396" s="1">
        <v>33390</v>
      </c>
      <c r="G396" s="16">
        <v>358.24</v>
      </c>
      <c r="H396" s="16">
        <f t="shared" si="31"/>
        <v>354.38206963050868</v>
      </c>
      <c r="I396">
        <f t="shared" si="32"/>
        <v>6</v>
      </c>
      <c r="J396" s="16" cm="1">
        <f t="array" ref="J396">INDEX(Sm,I396)</f>
        <v>2.3467878975381979</v>
      </c>
      <c r="K396" s="16">
        <f t="shared" si="33"/>
        <v>356.72885752804689</v>
      </c>
      <c r="L396" s="16">
        <f t="shared" si="34"/>
        <v>1.5111424719531215</v>
      </c>
      <c r="M396" s="16">
        <f t="shared" si="35"/>
        <v>2.2835515705405904</v>
      </c>
    </row>
    <row r="397" spans="6:13" x14ac:dyDescent="0.4">
      <c r="F397" s="1">
        <v>33420</v>
      </c>
      <c r="G397" s="16">
        <v>356.17</v>
      </c>
      <c r="H397" s="16">
        <f t="shared" si="31"/>
        <v>354.51612065224913</v>
      </c>
      <c r="I397">
        <f t="shared" si="32"/>
        <v>7</v>
      </c>
      <c r="J397" s="16" cm="1">
        <f t="array" ref="J397">INDEX(Sm,I397)</f>
        <v>0.72373827090267417</v>
      </c>
      <c r="K397" s="16">
        <f t="shared" si="33"/>
        <v>355.23985892315181</v>
      </c>
      <c r="L397" s="16">
        <f t="shared" si="34"/>
        <v>0.93014107684820146</v>
      </c>
      <c r="M397" s="16">
        <f t="shared" si="35"/>
        <v>0.86516242284033185</v>
      </c>
    </row>
    <row r="398" spans="6:13" x14ac:dyDescent="0.4">
      <c r="F398" s="1">
        <v>33451</v>
      </c>
      <c r="G398" s="16">
        <v>354.01</v>
      </c>
      <c r="H398" s="16">
        <f t="shared" si="31"/>
        <v>354.6548254488456</v>
      </c>
      <c r="I398">
        <f t="shared" si="32"/>
        <v>8</v>
      </c>
      <c r="J398" s="16" cm="1">
        <f t="array" ref="J398">INDEX(Sm,I398)</f>
        <v>-1.3971602749585079</v>
      </c>
      <c r="K398" s="16">
        <f t="shared" si="33"/>
        <v>353.25766517388712</v>
      </c>
      <c r="L398" s="16">
        <f t="shared" si="34"/>
        <v>0.75233482611287172</v>
      </c>
      <c r="M398" s="16">
        <f t="shared" si="35"/>
        <v>0.56600769058228495</v>
      </c>
    </row>
    <row r="399" spans="6:13" x14ac:dyDescent="0.4">
      <c r="F399" s="1">
        <v>33482</v>
      </c>
      <c r="G399" s="16">
        <v>352.15</v>
      </c>
      <c r="H399" s="16">
        <f t="shared" si="31"/>
        <v>354.79371869237337</v>
      </c>
      <c r="I399">
        <f t="shared" si="32"/>
        <v>9</v>
      </c>
      <c r="J399" s="16" cm="1">
        <f t="array" ref="J399">INDEX(Sm,I399)</f>
        <v>-3.1930865277187257</v>
      </c>
      <c r="K399" s="16">
        <f t="shared" si="33"/>
        <v>351.60063216465466</v>
      </c>
      <c r="L399" s="16">
        <f t="shared" si="34"/>
        <v>0.54936783534532196</v>
      </c>
      <c r="M399" s="16">
        <f t="shared" si="35"/>
        <v>0.30180501851200481</v>
      </c>
    </row>
    <row r="400" spans="6:13" x14ac:dyDescent="0.4">
      <c r="F400" s="1">
        <v>33512</v>
      </c>
      <c r="G400" s="16">
        <v>352.21</v>
      </c>
      <c r="H400" s="16">
        <f t="shared" si="31"/>
        <v>354.92831093526928</v>
      </c>
      <c r="I400">
        <f t="shared" si="32"/>
        <v>10</v>
      </c>
      <c r="J400" s="16" cm="1">
        <f t="array" ref="J400">INDEX(Sm,I400)</f>
        <v>-3.3364130066587929</v>
      </c>
      <c r="K400" s="16">
        <f t="shared" si="33"/>
        <v>351.59189792861048</v>
      </c>
      <c r="L400" s="16">
        <f t="shared" si="34"/>
        <v>0.61810207138950091</v>
      </c>
      <c r="M400" s="16">
        <f t="shared" si="35"/>
        <v>0.38205017065599167</v>
      </c>
    </row>
    <row r="401" spans="6:13" x14ac:dyDescent="0.4">
      <c r="F401" s="1">
        <v>33543</v>
      </c>
      <c r="G401" s="16">
        <v>353.75</v>
      </c>
      <c r="H401" s="16">
        <f t="shared" si="31"/>
        <v>355.0675749937264</v>
      </c>
      <c r="I401">
        <f t="shared" si="32"/>
        <v>11</v>
      </c>
      <c r="J401" s="16" cm="1">
        <f t="array" ref="J401">INDEX(Sm,I401)</f>
        <v>-2.0587659549634894</v>
      </c>
      <c r="K401" s="16">
        <f t="shared" si="33"/>
        <v>353.00880903876293</v>
      </c>
      <c r="L401" s="16">
        <f t="shared" si="34"/>
        <v>0.7411909612370664</v>
      </c>
      <c r="M401" s="16">
        <f t="shared" si="35"/>
        <v>0.54936404101952652</v>
      </c>
    </row>
    <row r="402" spans="6:13" x14ac:dyDescent="0.4">
      <c r="F402" s="1">
        <v>33573</v>
      </c>
      <c r="G402" s="16">
        <v>354.99</v>
      </c>
      <c r="H402" s="16">
        <f t="shared" si="31"/>
        <v>355.20252608977972</v>
      </c>
      <c r="I402">
        <f t="shared" si="32"/>
        <v>12</v>
      </c>
      <c r="J402" s="16" cm="1">
        <f t="array" ref="J402">INDEX(Sm,I402)</f>
        <v>-0.89092746367992248</v>
      </c>
      <c r="K402" s="16">
        <f t="shared" si="33"/>
        <v>354.31159862609979</v>
      </c>
      <c r="L402" s="16">
        <f t="shared" si="34"/>
        <v>0.67840137390021482</v>
      </c>
      <c r="M402" s="16">
        <f t="shared" si="35"/>
        <v>0.46022842410969905</v>
      </c>
    </row>
    <row r="403" spans="6:13" x14ac:dyDescent="0.4">
      <c r="F403" s="1">
        <v>33604</v>
      </c>
      <c r="G403" s="16">
        <v>355.99</v>
      </c>
      <c r="H403" s="16">
        <f t="shared" si="31"/>
        <v>355.34216096316618</v>
      </c>
      <c r="I403">
        <f t="shared" si="32"/>
        <v>1</v>
      </c>
      <c r="J403" s="16" cm="1">
        <f t="array" ref="J403">INDEX(Sm,I403)</f>
        <v>6.1437951108157106E-2</v>
      </c>
      <c r="K403" s="16">
        <f t="shared" si="33"/>
        <v>355.40359891427431</v>
      </c>
      <c r="L403" s="16">
        <f t="shared" si="34"/>
        <v>0.58640108572569716</v>
      </c>
      <c r="M403" s="16">
        <f t="shared" si="35"/>
        <v>0.34386623334027644</v>
      </c>
    </row>
    <row r="404" spans="6:13" x14ac:dyDescent="0.4">
      <c r="F404" s="1">
        <v>33635</v>
      </c>
      <c r="G404" s="16">
        <v>356.72</v>
      </c>
      <c r="H404" s="16">
        <f t="shared" si="31"/>
        <v>355.48198428348394</v>
      </c>
      <c r="I404">
        <f t="shared" si="32"/>
        <v>2</v>
      </c>
      <c r="J404" s="16" cm="1">
        <f t="array" ref="J404">INDEX(Sm,I404)</f>
        <v>0.69461918775013354</v>
      </c>
      <c r="K404" s="16">
        <f t="shared" si="33"/>
        <v>356.17660347123405</v>
      </c>
      <c r="L404" s="16">
        <f t="shared" si="34"/>
        <v>0.54339652876598166</v>
      </c>
      <c r="M404" s="16">
        <f t="shared" si="35"/>
        <v>0.29527978747491834</v>
      </c>
    </row>
    <row r="405" spans="6:13" x14ac:dyDescent="0.4">
      <c r="F405" s="1">
        <v>33664</v>
      </c>
      <c r="G405" s="16">
        <v>357.81</v>
      </c>
      <c r="H405" s="16">
        <f t="shared" si="31"/>
        <v>355.61295734674707</v>
      </c>
      <c r="I405">
        <f t="shared" si="32"/>
        <v>3</v>
      </c>
      <c r="J405" s="16" cm="1">
        <f t="array" ref="J405">INDEX(Sm,I405)</f>
        <v>1.3737674679346947</v>
      </c>
      <c r="K405" s="16">
        <f t="shared" si="33"/>
        <v>356.98672481468174</v>
      </c>
      <c r="L405" s="16">
        <f t="shared" si="34"/>
        <v>0.82327518531826627</v>
      </c>
      <c r="M405" s="16">
        <f t="shared" si="35"/>
        <v>0.67778203076082566</v>
      </c>
    </row>
    <row r="406" spans="6:13" x14ac:dyDescent="0.4">
      <c r="F406" s="1">
        <v>33695</v>
      </c>
      <c r="G406" s="16">
        <v>359.15</v>
      </c>
      <c r="H406" s="16">
        <f t="shared" si="31"/>
        <v>355.75314540306084</v>
      </c>
      <c r="I406">
        <f t="shared" si="32"/>
        <v>4</v>
      </c>
      <c r="J406" s="16" cm="1">
        <f t="array" ref="J406">INDEX(Sm,I406)</f>
        <v>2.6103146023823673</v>
      </c>
      <c r="K406" s="16">
        <f t="shared" si="33"/>
        <v>358.36346000544319</v>
      </c>
      <c r="L406" s="16">
        <f t="shared" si="34"/>
        <v>0.78653999455679013</v>
      </c>
      <c r="M406" s="16">
        <f t="shared" si="35"/>
        <v>0.61864516303739547</v>
      </c>
    </row>
    <row r="407" spans="6:13" x14ac:dyDescent="0.4">
      <c r="F407" s="1">
        <v>33725</v>
      </c>
      <c r="G407" s="16">
        <v>359.66</v>
      </c>
      <c r="H407" s="16">
        <f t="shared" si="31"/>
        <v>355.8889906905884</v>
      </c>
      <c r="I407">
        <f t="shared" si="32"/>
        <v>5</v>
      </c>
      <c r="J407" s="16" cm="1">
        <f t="array" ref="J407">INDEX(Sm,I407)</f>
        <v>3.0656878503632123</v>
      </c>
      <c r="K407" s="16">
        <f t="shared" si="33"/>
        <v>358.95467854095159</v>
      </c>
      <c r="L407" s="16">
        <f t="shared" si="34"/>
        <v>0.70532145904843446</v>
      </c>
      <c r="M407" s="16">
        <f t="shared" si="35"/>
        <v>0.49747836059421241</v>
      </c>
    </row>
    <row r="408" spans="6:13" x14ac:dyDescent="0.4">
      <c r="F408" s="1">
        <v>33756</v>
      </c>
      <c r="G408" s="16">
        <v>359.25</v>
      </c>
      <c r="H408" s="16">
        <f t="shared" si="31"/>
        <v>356.02954956183157</v>
      </c>
      <c r="I408">
        <f t="shared" si="32"/>
        <v>6</v>
      </c>
      <c r="J408" s="16" cm="1">
        <f t="array" ref="J408">INDEX(Sm,I408)</f>
        <v>2.3467878975381979</v>
      </c>
      <c r="K408" s="16">
        <f t="shared" si="33"/>
        <v>358.37633745936978</v>
      </c>
      <c r="L408" s="16">
        <f t="shared" si="34"/>
        <v>0.87366254063022097</v>
      </c>
      <c r="M408" s="16">
        <f t="shared" si="35"/>
        <v>0.76328623490045255</v>
      </c>
    </row>
    <row r="409" spans="6:13" x14ac:dyDescent="0.4">
      <c r="F409" s="1">
        <v>33786</v>
      </c>
      <c r="G409" s="16">
        <v>357.02</v>
      </c>
      <c r="H409" s="16">
        <f t="shared" si="31"/>
        <v>356.16575370251655</v>
      </c>
      <c r="I409">
        <f t="shared" si="32"/>
        <v>7</v>
      </c>
      <c r="J409" s="16" cm="1">
        <f t="array" ref="J409">INDEX(Sm,I409)</f>
        <v>0.72373827090267417</v>
      </c>
      <c r="K409" s="16">
        <f t="shared" si="33"/>
        <v>356.88949197341924</v>
      </c>
      <c r="L409" s="16">
        <f t="shared" si="34"/>
        <v>0.1305080265807419</v>
      </c>
      <c r="M409" s="16">
        <f t="shared" si="35"/>
        <v>1.7032345001999634E-2</v>
      </c>
    </row>
    <row r="410" spans="6:13" x14ac:dyDescent="0.4">
      <c r="F410" s="1">
        <v>33817</v>
      </c>
      <c r="G410" s="16">
        <v>355</v>
      </c>
      <c r="H410" s="16">
        <f t="shared" si="31"/>
        <v>356.30668338868901</v>
      </c>
      <c r="I410">
        <f t="shared" si="32"/>
        <v>8</v>
      </c>
      <c r="J410" s="16" cm="1">
        <f t="array" ref="J410">INDEX(Sm,I410)</f>
        <v>-1.3971602749585079</v>
      </c>
      <c r="K410" s="16">
        <f t="shared" si="33"/>
        <v>354.90952311373053</v>
      </c>
      <c r="L410" s="16">
        <f t="shared" si="34"/>
        <v>9.0476886269470924E-2</v>
      </c>
      <c r="M410" s="16">
        <f t="shared" si="35"/>
        <v>8.1860669490187755E-3</v>
      </c>
    </row>
    <row r="411" spans="6:13" x14ac:dyDescent="0.4">
      <c r="F411" s="1">
        <v>33848</v>
      </c>
      <c r="G411" s="16">
        <v>353.01</v>
      </c>
      <c r="H411" s="16">
        <f t="shared" si="31"/>
        <v>356.44780152179277</v>
      </c>
      <c r="I411">
        <f t="shared" si="32"/>
        <v>9</v>
      </c>
      <c r="J411" s="16" cm="1">
        <f t="array" ref="J411">INDEX(Sm,I411)</f>
        <v>-3.1930865277187257</v>
      </c>
      <c r="K411" s="16">
        <f t="shared" si="33"/>
        <v>353.25471499407405</v>
      </c>
      <c r="L411" s="16">
        <f t="shared" si="34"/>
        <v>-0.24471499407405872</v>
      </c>
      <c r="M411" s="16">
        <f t="shared" si="35"/>
        <v>5.9885428324666597E-2</v>
      </c>
    </row>
    <row r="412" spans="6:13" x14ac:dyDescent="0.4">
      <c r="F412" s="1">
        <v>33878</v>
      </c>
      <c r="G412" s="16">
        <v>353.31</v>
      </c>
      <c r="H412" s="16">
        <f t="shared" si="31"/>
        <v>356.58454688363321</v>
      </c>
      <c r="I412">
        <f t="shared" si="32"/>
        <v>10</v>
      </c>
      <c r="J412" s="16" cm="1">
        <f t="array" ref="J412">INDEX(Sm,I412)</f>
        <v>-3.3364130066587929</v>
      </c>
      <c r="K412" s="16">
        <f t="shared" si="33"/>
        <v>353.24813387697441</v>
      </c>
      <c r="L412" s="16">
        <f t="shared" si="34"/>
        <v>6.1866123025595243E-2</v>
      </c>
      <c r="M412" s="16">
        <f t="shared" si="35"/>
        <v>3.8274171782180857E-3</v>
      </c>
    </row>
    <row r="413" spans="6:13" x14ac:dyDescent="0.4">
      <c r="F413" s="1">
        <v>33909</v>
      </c>
      <c r="G413" s="16">
        <v>354.16</v>
      </c>
      <c r="H413" s="16">
        <f t="shared" si="31"/>
        <v>356.72603583166631</v>
      </c>
      <c r="I413">
        <f t="shared" si="32"/>
        <v>11</v>
      </c>
      <c r="J413" s="16" cm="1">
        <f t="array" ref="J413">INDEX(Sm,I413)</f>
        <v>-2.0587659549634894</v>
      </c>
      <c r="K413" s="16">
        <f t="shared" si="33"/>
        <v>354.66726987670285</v>
      </c>
      <c r="L413" s="16">
        <f t="shared" si="34"/>
        <v>-0.50726987670282142</v>
      </c>
      <c r="M413" s="16">
        <f t="shared" si="35"/>
        <v>0.25732272781009563</v>
      </c>
    </row>
    <row r="414" spans="6:13" x14ac:dyDescent="0.4">
      <c r="F414" s="1">
        <v>33939</v>
      </c>
      <c r="G414" s="16">
        <v>355.4</v>
      </c>
      <c r="H414" s="16">
        <f t="shared" si="31"/>
        <v>356.86314004666417</v>
      </c>
      <c r="I414">
        <f t="shared" si="32"/>
        <v>12</v>
      </c>
      <c r="J414" s="16" cm="1">
        <f t="array" ref="J414">INDEX(Sm,I414)</f>
        <v>-0.89092746367992248</v>
      </c>
      <c r="K414" s="16">
        <f t="shared" si="33"/>
        <v>355.97221258298424</v>
      </c>
      <c r="L414" s="16">
        <f t="shared" si="34"/>
        <v>-0.57221258298426392</v>
      </c>
      <c r="M414" s="16">
        <f t="shared" si="35"/>
        <v>0.3274272401255231</v>
      </c>
    </row>
    <row r="415" spans="6:13" x14ac:dyDescent="0.4">
      <c r="F415" s="1">
        <v>33970</v>
      </c>
      <c r="G415" s="16">
        <v>356.7</v>
      </c>
      <c r="H415" s="16">
        <f t="shared" si="31"/>
        <v>357.00499980962661</v>
      </c>
      <c r="I415">
        <f t="shared" si="32"/>
        <v>1</v>
      </c>
      <c r="J415" s="16" cm="1">
        <f t="array" ref="J415">INDEX(Sm,I415)</f>
        <v>6.1437951108157106E-2</v>
      </c>
      <c r="K415" s="16">
        <f t="shared" si="33"/>
        <v>357.06643776073474</v>
      </c>
      <c r="L415" s="16">
        <f t="shared" si="34"/>
        <v>-0.36643776073475465</v>
      </c>
      <c r="M415" s="16">
        <f t="shared" si="35"/>
        <v>0.13427663249230129</v>
      </c>
    </row>
    <row r="416" spans="6:13" x14ac:dyDescent="0.4">
      <c r="F416" s="1">
        <v>34001</v>
      </c>
      <c r="G416" s="16">
        <v>357.17</v>
      </c>
      <c r="H416" s="16">
        <f t="shared" si="31"/>
        <v>357.1470480195203</v>
      </c>
      <c r="I416">
        <f t="shared" si="32"/>
        <v>2</v>
      </c>
      <c r="J416" s="16" cm="1">
        <f t="array" ref="J416">INDEX(Sm,I416)</f>
        <v>0.69461918775013354</v>
      </c>
      <c r="K416" s="16">
        <f t="shared" si="33"/>
        <v>357.8416672072704</v>
      </c>
      <c r="L416" s="16">
        <f t="shared" si="34"/>
        <v>-0.67166720727038864</v>
      </c>
      <c r="M416" s="16">
        <f t="shared" si="35"/>
        <v>0.45113683732240323</v>
      </c>
    </row>
    <row r="417" spans="6:13" x14ac:dyDescent="0.4">
      <c r="F417" s="1">
        <v>34029</v>
      </c>
      <c r="G417" s="16">
        <v>358.38</v>
      </c>
      <c r="H417" s="16">
        <f t="shared" si="31"/>
        <v>357.27551160261402</v>
      </c>
      <c r="I417">
        <f t="shared" si="32"/>
        <v>3</v>
      </c>
      <c r="J417" s="16" cm="1">
        <f t="array" ref="J417">INDEX(Sm,I417)</f>
        <v>1.3737674679346947</v>
      </c>
      <c r="K417" s="16">
        <f t="shared" si="33"/>
        <v>358.64927907054869</v>
      </c>
      <c r="L417" s="16">
        <f t="shared" si="34"/>
        <v>-0.26927907054869138</v>
      </c>
      <c r="M417" s="16">
        <f t="shared" si="35"/>
        <v>7.2511217835567104E-2</v>
      </c>
    </row>
    <row r="418" spans="6:13" x14ac:dyDescent="0.4">
      <c r="F418" s="1">
        <v>34060</v>
      </c>
      <c r="G418" s="16">
        <v>359.46</v>
      </c>
      <c r="H418" s="16">
        <f t="shared" si="31"/>
        <v>357.41791846957051</v>
      </c>
      <c r="I418">
        <f t="shared" si="32"/>
        <v>4</v>
      </c>
      <c r="J418" s="16" cm="1">
        <f t="array" ref="J418">INDEX(Sm,I418)</f>
        <v>2.6103146023823673</v>
      </c>
      <c r="K418" s="16">
        <f t="shared" si="33"/>
        <v>360.02823307195285</v>
      </c>
      <c r="L418" s="16">
        <f t="shared" si="34"/>
        <v>-0.56823307195287498</v>
      </c>
      <c r="M418" s="16">
        <f t="shared" si="35"/>
        <v>0.32288882406100117</v>
      </c>
    </row>
    <row r="419" spans="6:13" x14ac:dyDescent="0.4">
      <c r="F419" s="1">
        <v>34090</v>
      </c>
      <c r="G419" s="16">
        <v>360.28</v>
      </c>
      <c r="H419" s="16">
        <f t="shared" si="31"/>
        <v>357.55591099320395</v>
      </c>
      <c r="I419">
        <f t="shared" si="32"/>
        <v>5</v>
      </c>
      <c r="J419" s="16" cm="1">
        <f t="array" ref="J419">INDEX(Sm,I419)</f>
        <v>3.0656878503632123</v>
      </c>
      <c r="K419" s="16">
        <f t="shared" si="33"/>
        <v>360.62159884356714</v>
      </c>
      <c r="L419" s="16">
        <f t="shared" si="34"/>
        <v>-0.3415988435671693</v>
      </c>
      <c r="M419" s="16">
        <f t="shared" si="35"/>
        <v>0.11668976992642741</v>
      </c>
    </row>
    <row r="420" spans="6:13" x14ac:dyDescent="0.4">
      <c r="F420" s="1">
        <v>34121</v>
      </c>
      <c r="G420" s="16">
        <v>359.6</v>
      </c>
      <c r="H420" s="16">
        <f t="shared" si="31"/>
        <v>357.69868867508984</v>
      </c>
      <c r="I420">
        <f t="shared" si="32"/>
        <v>6</v>
      </c>
      <c r="J420" s="16" cm="1">
        <f t="array" ref="J420">INDEX(Sm,I420)</f>
        <v>2.3467878975381979</v>
      </c>
      <c r="K420" s="16">
        <f t="shared" si="33"/>
        <v>360.04547657262805</v>
      </c>
      <c r="L420" s="16">
        <f t="shared" si="34"/>
        <v>-0.44547657262802431</v>
      </c>
      <c r="M420" s="16">
        <f t="shared" si="35"/>
        <v>0.19844937676041141</v>
      </c>
    </row>
    <row r="421" spans="6:13" x14ac:dyDescent="0.4">
      <c r="F421" s="1">
        <v>34151</v>
      </c>
      <c r="G421" s="16">
        <v>357.57</v>
      </c>
      <c r="H421" s="16">
        <f t="shared" si="31"/>
        <v>357.83704005188065</v>
      </c>
      <c r="I421">
        <f t="shared" si="32"/>
        <v>7</v>
      </c>
      <c r="J421" s="16" cm="1">
        <f t="array" ref="J421">INDEX(Sm,I421)</f>
        <v>0.72373827090267417</v>
      </c>
      <c r="K421" s="16">
        <f t="shared" si="33"/>
        <v>358.56077832278334</v>
      </c>
      <c r="L421" s="16">
        <f t="shared" si="34"/>
        <v>-0.99077832278334199</v>
      </c>
      <c r="M421" s="16">
        <f t="shared" si="35"/>
        <v>0.98164168489737225</v>
      </c>
    </row>
    <row r="422" spans="6:13" x14ac:dyDescent="0.4">
      <c r="F422" s="1">
        <v>34182</v>
      </c>
      <c r="G422" s="16">
        <v>355.52</v>
      </c>
      <c r="H422" s="16">
        <f t="shared" si="31"/>
        <v>357.98018854869588</v>
      </c>
      <c r="I422">
        <f t="shared" si="32"/>
        <v>8</v>
      </c>
      <c r="J422" s="16" cm="1">
        <f t="array" ref="J422">INDEX(Sm,I422)</f>
        <v>-1.3971602749585079</v>
      </c>
      <c r="K422" s="16">
        <f t="shared" si="33"/>
        <v>356.5830282737374</v>
      </c>
      <c r="L422" s="16">
        <f t="shared" si="34"/>
        <v>-1.0630282737374159</v>
      </c>
      <c r="M422" s="16">
        <f t="shared" si="35"/>
        <v>1.1300291107651506</v>
      </c>
    </row>
    <row r="423" spans="6:13" x14ac:dyDescent="0.4">
      <c r="F423" s="1">
        <v>34213</v>
      </c>
      <c r="G423" s="16">
        <v>353.69</v>
      </c>
      <c r="H423" s="16">
        <f t="shared" si="31"/>
        <v>358.12352549244235</v>
      </c>
      <c r="I423">
        <f t="shared" si="32"/>
        <v>9</v>
      </c>
      <c r="J423" s="16" cm="1">
        <f t="array" ref="J423">INDEX(Sm,I423)</f>
        <v>-3.1930865277187257</v>
      </c>
      <c r="K423" s="16">
        <f t="shared" si="33"/>
        <v>354.93043896472363</v>
      </c>
      <c r="L423" s="16">
        <f t="shared" si="34"/>
        <v>-1.2404389647236371</v>
      </c>
      <c r="M423" s="16">
        <f t="shared" si="35"/>
        <v>1.5386888252046487</v>
      </c>
    </row>
    <row r="424" spans="6:13" x14ac:dyDescent="0.4">
      <c r="F424" s="1">
        <v>34243</v>
      </c>
      <c r="G424" s="16">
        <v>353.99</v>
      </c>
      <c r="H424" s="16">
        <f t="shared" si="31"/>
        <v>358.26241809038868</v>
      </c>
      <c r="I424">
        <f t="shared" si="32"/>
        <v>10</v>
      </c>
      <c r="J424" s="16" cm="1">
        <f t="array" ref="J424">INDEX(Sm,I424)</f>
        <v>-3.3364130066587929</v>
      </c>
      <c r="K424" s="16">
        <f t="shared" si="33"/>
        <v>354.92600508372988</v>
      </c>
      <c r="L424" s="16">
        <f t="shared" si="34"/>
        <v>-0.93600508372986724</v>
      </c>
      <c r="M424" s="16">
        <f t="shared" si="35"/>
        <v>0.87610551676815573</v>
      </c>
    </row>
    <row r="425" spans="6:13" x14ac:dyDescent="0.4">
      <c r="F425" s="1">
        <v>34274</v>
      </c>
      <c r="G425" s="16">
        <v>355.34</v>
      </c>
      <c r="H425" s="16">
        <f t="shared" si="31"/>
        <v>358.40612584906449</v>
      </c>
      <c r="I425">
        <f t="shared" si="32"/>
        <v>11</v>
      </c>
      <c r="J425" s="16" cm="1">
        <f t="array" ref="J425">INDEX(Sm,I425)</f>
        <v>-2.0587659549634894</v>
      </c>
      <c r="K425" s="16">
        <f t="shared" si="33"/>
        <v>356.34735989410103</v>
      </c>
      <c r="L425" s="16">
        <f t="shared" si="34"/>
        <v>-1.0073598941010573</v>
      </c>
      <c r="M425" s="16">
        <f t="shared" si="35"/>
        <v>1.0147739562432934</v>
      </c>
    </row>
    <row r="426" spans="6:13" x14ac:dyDescent="0.4">
      <c r="F426" s="1">
        <v>34304</v>
      </c>
      <c r="G426" s="16">
        <v>356.8</v>
      </c>
      <c r="H426" s="16">
        <f t="shared" si="31"/>
        <v>358.54537730016818</v>
      </c>
      <c r="I426">
        <f t="shared" si="32"/>
        <v>12</v>
      </c>
      <c r="J426" s="16" cm="1">
        <f t="array" ref="J426">INDEX(Sm,I426)</f>
        <v>-0.89092746367992248</v>
      </c>
      <c r="K426" s="16">
        <f t="shared" si="33"/>
        <v>357.65444983648825</v>
      </c>
      <c r="L426" s="16">
        <f t="shared" si="34"/>
        <v>-0.85444983648824291</v>
      </c>
      <c r="M426" s="16">
        <f t="shared" si="35"/>
        <v>0.730084523074785</v>
      </c>
    </row>
    <row r="427" spans="6:13" x14ac:dyDescent="0.4">
      <c r="F427" s="1">
        <v>34335</v>
      </c>
      <c r="G427" s="16">
        <v>358.37</v>
      </c>
      <c r="H427" s="16">
        <f t="shared" si="31"/>
        <v>358.6894558737734</v>
      </c>
      <c r="I427">
        <f t="shared" si="32"/>
        <v>1</v>
      </c>
      <c r="J427" s="16" cm="1">
        <f t="array" ref="J427">INDEX(Sm,I427)</f>
        <v>6.1437951108157106E-2</v>
      </c>
      <c r="K427" s="16">
        <f t="shared" si="33"/>
        <v>358.75089382488153</v>
      </c>
      <c r="L427" s="16">
        <f t="shared" si="34"/>
        <v>-0.38089382488152523</v>
      </c>
      <c r="M427" s="16">
        <f t="shared" si="35"/>
        <v>0.145080105832878</v>
      </c>
    </row>
    <row r="428" spans="6:13" x14ac:dyDescent="0.4">
      <c r="F428" s="1">
        <v>34366</v>
      </c>
      <c r="G428" s="16">
        <v>358.91</v>
      </c>
      <c r="H428" s="16">
        <f t="shared" si="31"/>
        <v>358.83372289430986</v>
      </c>
      <c r="I428">
        <f t="shared" si="32"/>
        <v>2</v>
      </c>
      <c r="J428" s="16" cm="1">
        <f t="array" ref="J428">INDEX(Sm,I428)</f>
        <v>0.69461918775013354</v>
      </c>
      <c r="K428" s="16">
        <f t="shared" si="33"/>
        <v>359.52834208205996</v>
      </c>
      <c r="L428" s="16">
        <f t="shared" si="34"/>
        <v>-0.61834208205993946</v>
      </c>
      <c r="M428" s="16">
        <f t="shared" si="35"/>
        <v>0.38234693044622092</v>
      </c>
    </row>
    <row r="429" spans="6:13" x14ac:dyDescent="0.4">
      <c r="F429" s="1">
        <v>34394</v>
      </c>
      <c r="G429" s="16">
        <v>359.97</v>
      </c>
      <c r="H429" s="16">
        <f t="shared" si="31"/>
        <v>358.96419056443563</v>
      </c>
      <c r="I429">
        <f t="shared" si="32"/>
        <v>3</v>
      </c>
      <c r="J429" s="16" cm="1">
        <f t="array" ref="J429">INDEX(Sm,I429)</f>
        <v>1.3737674679346947</v>
      </c>
      <c r="K429" s="16">
        <f t="shared" si="33"/>
        <v>360.3379580323703</v>
      </c>
      <c r="L429" s="16">
        <f t="shared" si="34"/>
        <v>-0.36795803237026803</v>
      </c>
      <c r="M429" s="16">
        <f t="shared" si="35"/>
        <v>0.13539311358579922</v>
      </c>
    </row>
    <row r="430" spans="6:13" x14ac:dyDescent="0.4">
      <c r="F430" s="1">
        <v>34425</v>
      </c>
      <c r="G430" s="16">
        <v>361.26</v>
      </c>
      <c r="H430" s="16">
        <f t="shared" si="31"/>
        <v>359.10881624203489</v>
      </c>
      <c r="I430">
        <f t="shared" si="32"/>
        <v>4</v>
      </c>
      <c r="J430" s="16" cm="1">
        <f t="array" ref="J430">INDEX(Sm,I430)</f>
        <v>2.6103146023823673</v>
      </c>
      <c r="K430" s="16">
        <f t="shared" si="33"/>
        <v>361.71913084441724</v>
      </c>
      <c r="L430" s="16">
        <f t="shared" si="34"/>
        <v>-0.4591308444172455</v>
      </c>
      <c r="M430" s="16">
        <f t="shared" si="35"/>
        <v>0.2108011322952929</v>
      </c>
    </row>
    <row r="431" spans="6:13" x14ac:dyDescent="0.4">
      <c r="F431" s="1">
        <v>34455</v>
      </c>
      <c r="G431" s="16">
        <v>361.69</v>
      </c>
      <c r="H431" s="16">
        <f t="shared" si="31"/>
        <v>359.24895600177422</v>
      </c>
      <c r="I431">
        <f t="shared" si="32"/>
        <v>5</v>
      </c>
      <c r="J431" s="16" cm="1">
        <f t="array" ref="J431">INDEX(Sm,I431)</f>
        <v>3.0656878503632123</v>
      </c>
      <c r="K431" s="16">
        <f t="shared" si="33"/>
        <v>362.31464385213741</v>
      </c>
      <c r="L431" s="16">
        <f t="shared" si="34"/>
        <v>-0.62464385213741025</v>
      </c>
      <c r="M431" s="16">
        <f t="shared" si="35"/>
        <v>0.39017994201306283</v>
      </c>
    </row>
    <row r="432" spans="6:13" x14ac:dyDescent="0.4">
      <c r="F432" s="1">
        <v>34486</v>
      </c>
      <c r="G432" s="16">
        <v>360.94</v>
      </c>
      <c r="H432" s="16">
        <f t="shared" si="31"/>
        <v>359.39395249430282</v>
      </c>
      <c r="I432">
        <f t="shared" si="32"/>
        <v>6</v>
      </c>
      <c r="J432" s="16" cm="1">
        <f t="array" ref="J432">INDEX(Sm,I432)</f>
        <v>2.3467878975381979</v>
      </c>
      <c r="K432" s="16">
        <f t="shared" si="33"/>
        <v>361.74074039184103</v>
      </c>
      <c r="L432" s="16">
        <f t="shared" si="34"/>
        <v>-0.80074039184103185</v>
      </c>
      <c r="M432" s="16">
        <f t="shared" si="35"/>
        <v>0.64118517512572926</v>
      </c>
    </row>
    <row r="433" spans="6:13" x14ac:dyDescent="0.4">
      <c r="F433" s="1">
        <v>34516</v>
      </c>
      <c r="G433" s="16">
        <v>359.55</v>
      </c>
      <c r="H433" s="16">
        <f t="shared" si="31"/>
        <v>359.53445110719952</v>
      </c>
      <c r="I433">
        <f t="shared" si="32"/>
        <v>7</v>
      </c>
      <c r="J433" s="16" cm="1">
        <f t="array" ref="J433">INDEX(Sm,I433)</f>
        <v>0.72373827090267417</v>
      </c>
      <c r="K433" s="16">
        <f t="shared" si="33"/>
        <v>360.2581893781022</v>
      </c>
      <c r="L433" s="16">
        <f t="shared" si="34"/>
        <v>-0.7081893781021904</v>
      </c>
      <c r="M433" s="16">
        <f t="shared" si="35"/>
        <v>0.50153219525676718</v>
      </c>
    </row>
    <row r="434" spans="6:13" x14ac:dyDescent="0.4">
      <c r="F434" s="1">
        <v>34547</v>
      </c>
      <c r="G434" s="16">
        <v>357.48</v>
      </c>
      <c r="H434" s="16">
        <f t="shared" si="31"/>
        <v>359.67981841465746</v>
      </c>
      <c r="I434">
        <f t="shared" si="32"/>
        <v>8</v>
      </c>
      <c r="J434" s="16" cm="1">
        <f t="array" ref="J434">INDEX(Sm,I434)</f>
        <v>-1.3971602749585079</v>
      </c>
      <c r="K434" s="16">
        <f t="shared" si="33"/>
        <v>358.28265813969898</v>
      </c>
      <c r="L434" s="16">
        <f t="shared" si="34"/>
        <v>-0.80265813969896271</v>
      </c>
      <c r="M434" s="16">
        <f t="shared" si="35"/>
        <v>0.64426008922499955</v>
      </c>
    </row>
    <row r="435" spans="6:13" x14ac:dyDescent="0.4">
      <c r="F435" s="1">
        <v>34578</v>
      </c>
      <c r="G435" s="16">
        <v>355.84</v>
      </c>
      <c r="H435" s="16">
        <f t="shared" si="31"/>
        <v>359.82537416904665</v>
      </c>
      <c r="I435">
        <f t="shared" si="32"/>
        <v>9</v>
      </c>
      <c r="J435" s="16" cm="1">
        <f t="array" ref="J435">INDEX(Sm,I435)</f>
        <v>-3.1930865277187257</v>
      </c>
      <c r="K435" s="16">
        <f t="shared" si="33"/>
        <v>356.63228764132793</v>
      </c>
      <c r="L435" s="16">
        <f t="shared" si="34"/>
        <v>-0.79228764132795959</v>
      </c>
      <c r="M435" s="16">
        <f t="shared" si="35"/>
        <v>0.6277197066010215</v>
      </c>
    </row>
    <row r="436" spans="6:13" x14ac:dyDescent="0.4">
      <c r="F436" s="1">
        <v>34608</v>
      </c>
      <c r="G436" s="16">
        <v>356</v>
      </c>
      <c r="H436" s="16">
        <f t="shared" si="31"/>
        <v>359.96641400309886</v>
      </c>
      <c r="I436">
        <f t="shared" si="32"/>
        <v>10</v>
      </c>
      <c r="J436" s="16" cm="1">
        <f t="array" ref="J436">INDEX(Sm,I436)</f>
        <v>-3.3364130066587929</v>
      </c>
      <c r="K436" s="16">
        <f t="shared" si="33"/>
        <v>356.63000099644006</v>
      </c>
      <c r="L436" s="16">
        <f t="shared" si="34"/>
        <v>-0.63000099644006013</v>
      </c>
      <c r="M436" s="16">
        <f t="shared" si="35"/>
        <v>0.39690125551546868</v>
      </c>
    </row>
    <row r="437" spans="6:13" x14ac:dyDescent="0.4">
      <c r="F437" s="1">
        <v>34639</v>
      </c>
      <c r="G437" s="16">
        <v>357.58</v>
      </c>
      <c r="H437" s="16">
        <f t="shared" si="31"/>
        <v>360.11234057241739</v>
      </c>
      <c r="I437">
        <f t="shared" si="32"/>
        <v>11</v>
      </c>
      <c r="J437" s="16" cm="1">
        <f t="array" ref="J437">INDEX(Sm,I437)</f>
        <v>-2.0587659549634894</v>
      </c>
      <c r="K437" s="16">
        <f t="shared" si="33"/>
        <v>358.05357461745393</v>
      </c>
      <c r="L437" s="16">
        <f t="shared" si="34"/>
        <v>-0.47357461745394858</v>
      </c>
      <c r="M437" s="16">
        <f t="shared" si="35"/>
        <v>0.22427291829665374</v>
      </c>
    </row>
    <row r="438" spans="6:13" x14ac:dyDescent="0.4">
      <c r="F438" s="1">
        <v>34669</v>
      </c>
      <c r="G438" s="16">
        <v>359.04</v>
      </c>
      <c r="H438" s="16">
        <f t="shared" si="31"/>
        <v>360.25373925962697</v>
      </c>
      <c r="I438">
        <f t="shared" si="32"/>
        <v>12</v>
      </c>
      <c r="J438" s="16" cm="1">
        <f t="array" ref="J438">INDEX(Sm,I438)</f>
        <v>-0.89092746367992248</v>
      </c>
      <c r="K438" s="16">
        <f t="shared" si="33"/>
        <v>359.36281179594704</v>
      </c>
      <c r="L438" s="16">
        <f t="shared" si="34"/>
        <v>-0.32281179594701825</v>
      </c>
      <c r="M438" s="16">
        <f t="shared" si="35"/>
        <v>0.10420745560253936</v>
      </c>
    </row>
    <row r="439" spans="6:13" x14ac:dyDescent="0.4">
      <c r="F439" s="1">
        <v>34700</v>
      </c>
      <c r="G439" s="16">
        <v>359.97</v>
      </c>
      <c r="H439" s="16">
        <f t="shared" si="31"/>
        <v>360.4000366438749</v>
      </c>
      <c r="I439">
        <f t="shared" si="32"/>
        <v>1</v>
      </c>
      <c r="J439" s="16" cm="1">
        <f t="array" ref="J439">INDEX(Sm,I439)</f>
        <v>6.1437951108157106E-2</v>
      </c>
      <c r="K439" s="16">
        <f t="shared" si="33"/>
        <v>360.46147459498303</v>
      </c>
      <c r="L439" s="16">
        <f t="shared" si="34"/>
        <v>-0.4914745949830035</v>
      </c>
      <c r="M439" s="16">
        <f t="shared" si="35"/>
        <v>0.24154727751370733</v>
      </c>
    </row>
    <row r="440" spans="6:13" x14ac:dyDescent="0.4">
      <c r="F440" s="1">
        <v>34731</v>
      </c>
      <c r="G440" s="16">
        <v>361</v>
      </c>
      <c r="H440" s="16">
        <f t="shared" si="31"/>
        <v>360.54652247505408</v>
      </c>
      <c r="I440">
        <f t="shared" si="32"/>
        <v>2</v>
      </c>
      <c r="J440" s="16" cm="1">
        <f t="array" ref="J440">INDEX(Sm,I440)</f>
        <v>0.69461918775013354</v>
      </c>
      <c r="K440" s="16">
        <f t="shared" si="33"/>
        <v>361.24114166280418</v>
      </c>
      <c r="L440" s="16">
        <f t="shared" si="34"/>
        <v>-0.24114166280418203</v>
      </c>
      <c r="M440" s="16">
        <f t="shared" si="35"/>
        <v>5.8149301539965829E-2</v>
      </c>
    </row>
    <row r="441" spans="6:13" x14ac:dyDescent="0.4">
      <c r="F441" s="1">
        <v>34759</v>
      </c>
      <c r="G441" s="16">
        <v>361.63</v>
      </c>
      <c r="H441" s="16">
        <f t="shared" si="31"/>
        <v>360.67899423221206</v>
      </c>
      <c r="I441">
        <f t="shared" si="32"/>
        <v>3</v>
      </c>
      <c r="J441" s="16" cm="1">
        <f t="array" ref="J441">INDEX(Sm,I441)</f>
        <v>1.3737674679346947</v>
      </c>
      <c r="K441" s="16">
        <f t="shared" si="33"/>
        <v>362.05276170014673</v>
      </c>
      <c r="L441" s="16">
        <f t="shared" si="34"/>
        <v>-0.42276170014673653</v>
      </c>
      <c r="M441" s="16">
        <f t="shared" si="35"/>
        <v>0.17872745511095917</v>
      </c>
    </row>
    <row r="442" spans="6:13" x14ac:dyDescent="0.4">
      <c r="F442" s="1">
        <v>34790</v>
      </c>
      <c r="G442" s="16">
        <v>363.45</v>
      </c>
      <c r="H442" s="16">
        <f t="shared" si="31"/>
        <v>360.82583872045404</v>
      </c>
      <c r="I442">
        <f t="shared" si="32"/>
        <v>4</v>
      </c>
      <c r="J442" s="16" cm="1">
        <f t="array" ref="J442">INDEX(Sm,I442)</f>
        <v>2.6103146023823673</v>
      </c>
      <c r="K442" s="16">
        <f t="shared" si="33"/>
        <v>363.43615332283639</v>
      </c>
      <c r="L442" s="16">
        <f t="shared" si="34"/>
        <v>1.3846677163598997E-2</v>
      </c>
      <c r="M442" s="16">
        <f t="shared" si="35"/>
        <v>1.9173046847293396E-4</v>
      </c>
    </row>
    <row r="443" spans="6:13" x14ac:dyDescent="0.4">
      <c r="F443" s="1">
        <v>34820</v>
      </c>
      <c r="G443" s="16">
        <v>363.8</v>
      </c>
      <c r="H443" s="16">
        <f t="shared" si="31"/>
        <v>360.9681257162992</v>
      </c>
      <c r="I443">
        <f t="shared" si="32"/>
        <v>5</v>
      </c>
      <c r="J443" s="16" cm="1">
        <f t="array" ref="J443">INDEX(Sm,I443)</f>
        <v>3.0656878503632123</v>
      </c>
      <c r="K443" s="16">
        <f t="shared" si="33"/>
        <v>364.03381356666239</v>
      </c>
      <c r="L443" s="16">
        <f t="shared" si="34"/>
        <v>-0.23381356666237707</v>
      </c>
      <c r="M443" s="16">
        <f t="shared" si="35"/>
        <v>5.4668783955381849E-2</v>
      </c>
    </row>
    <row r="444" spans="6:13" x14ac:dyDescent="0.4">
      <c r="F444" s="1">
        <v>34851</v>
      </c>
      <c r="G444" s="16">
        <v>363.26</v>
      </c>
      <c r="H444" s="16">
        <f t="shared" si="31"/>
        <v>361.11534101947052</v>
      </c>
      <c r="I444">
        <f t="shared" si="32"/>
        <v>6</v>
      </c>
      <c r="J444" s="16" cm="1">
        <f t="array" ref="J444">INDEX(Sm,I444)</f>
        <v>2.3467878975381979</v>
      </c>
      <c r="K444" s="16">
        <f t="shared" si="33"/>
        <v>363.46212891700873</v>
      </c>
      <c r="L444" s="16">
        <f t="shared" si="34"/>
        <v>-0.2021289170087357</v>
      </c>
      <c r="M444" s="16">
        <f t="shared" si="35"/>
        <v>4.0856099091124365E-2</v>
      </c>
    </row>
    <row r="445" spans="6:13" x14ac:dyDescent="0.4">
      <c r="F445" s="1">
        <v>34881</v>
      </c>
      <c r="G445" s="16">
        <v>361.89</v>
      </c>
      <c r="H445" s="16">
        <f t="shared" si="31"/>
        <v>361.2579868684731</v>
      </c>
      <c r="I445">
        <f t="shared" si="32"/>
        <v>7</v>
      </c>
      <c r="J445" s="16" cm="1">
        <f t="array" ref="J445">INDEX(Sm,I445)</f>
        <v>0.72373827090267417</v>
      </c>
      <c r="K445" s="16">
        <f t="shared" si="33"/>
        <v>361.98172513937578</v>
      </c>
      <c r="L445" s="16">
        <f t="shared" si="34"/>
        <v>-9.1725139375796516E-2</v>
      </c>
      <c r="M445" s="16">
        <f t="shared" si="35"/>
        <v>8.4135011935092957E-3</v>
      </c>
    </row>
    <row r="446" spans="6:13" x14ac:dyDescent="0.4">
      <c r="F446" s="1">
        <v>34912</v>
      </c>
      <c r="G446" s="16">
        <v>359.45</v>
      </c>
      <c r="H446" s="16">
        <f t="shared" si="31"/>
        <v>361.40557298657376</v>
      </c>
      <c r="I446">
        <f t="shared" si="32"/>
        <v>8</v>
      </c>
      <c r="J446" s="16" cm="1">
        <f t="array" ref="J446">INDEX(Sm,I446)</f>
        <v>-1.3971602749585079</v>
      </c>
      <c r="K446" s="16">
        <f t="shared" si="33"/>
        <v>360.00841271161528</v>
      </c>
      <c r="L446" s="16">
        <f t="shared" si="34"/>
        <v>-0.55841271161528994</v>
      </c>
      <c r="M446" s="16">
        <f t="shared" si="35"/>
        <v>0.31182475649354097</v>
      </c>
    </row>
    <row r="447" spans="6:13" x14ac:dyDescent="0.4">
      <c r="F447" s="1">
        <v>34943</v>
      </c>
      <c r="G447" s="16">
        <v>358.05</v>
      </c>
      <c r="H447" s="16">
        <f t="shared" si="31"/>
        <v>361.55334755160573</v>
      </c>
      <c r="I447">
        <f t="shared" si="32"/>
        <v>9</v>
      </c>
      <c r="J447" s="16" cm="1">
        <f t="array" ref="J447">INDEX(Sm,I447)</f>
        <v>-3.1930865277187257</v>
      </c>
      <c r="K447" s="16">
        <f t="shared" si="33"/>
        <v>358.36026102388701</v>
      </c>
      <c r="L447" s="16">
        <f t="shared" si="34"/>
        <v>-0.31026102388699428</v>
      </c>
      <c r="M447" s="16">
        <f t="shared" si="35"/>
        <v>9.626190294340603E-2</v>
      </c>
    </row>
    <row r="448" spans="6:13" x14ac:dyDescent="0.4">
      <c r="F448" s="1">
        <v>34973</v>
      </c>
      <c r="G448" s="16">
        <v>357.75</v>
      </c>
      <c r="H448" s="16">
        <f t="shared" si="31"/>
        <v>361.69653462176376</v>
      </c>
      <c r="I448">
        <f t="shared" si="32"/>
        <v>10</v>
      </c>
      <c r="J448" s="16" cm="1">
        <f t="array" ref="J448">INDEX(Sm,I448)</f>
        <v>-3.3364130066587929</v>
      </c>
      <c r="K448" s="16">
        <f t="shared" si="33"/>
        <v>358.36012161510496</v>
      </c>
      <c r="L448" s="16">
        <f t="shared" si="34"/>
        <v>-0.61012161510495844</v>
      </c>
      <c r="M448" s="16">
        <f t="shared" si="35"/>
        <v>0.37224838521828307</v>
      </c>
    </row>
    <row r="449" spans="6:13" x14ac:dyDescent="0.4">
      <c r="F449" s="1">
        <v>35004</v>
      </c>
      <c r="G449" s="16">
        <v>359.56</v>
      </c>
      <c r="H449" s="16">
        <f t="shared" si="31"/>
        <v>361.84468000172507</v>
      </c>
      <c r="I449">
        <f t="shared" si="32"/>
        <v>11</v>
      </c>
      <c r="J449" s="16" cm="1">
        <f t="array" ref="J449">INDEX(Sm,I449)</f>
        <v>-2.0587659549634894</v>
      </c>
      <c r="K449" s="16">
        <f t="shared" si="33"/>
        <v>359.7859140467616</v>
      </c>
      <c r="L449" s="16">
        <f t="shared" si="34"/>
        <v>-0.22591404676160209</v>
      </c>
      <c r="M449" s="16">
        <f t="shared" si="35"/>
        <v>5.1037156524203341E-2</v>
      </c>
    </row>
    <row r="450" spans="6:13" x14ac:dyDescent="0.4">
      <c r="F450" s="1">
        <v>35034</v>
      </c>
      <c r="G450" s="16">
        <v>360.7</v>
      </c>
      <c r="H450" s="16">
        <f t="shared" si="31"/>
        <v>361.98822592504047</v>
      </c>
      <c r="I450">
        <f t="shared" si="32"/>
        <v>12</v>
      </c>
      <c r="J450" s="16" cm="1">
        <f t="array" ref="J450">INDEX(Sm,I450)</f>
        <v>-0.89092746367992248</v>
      </c>
      <c r="K450" s="16">
        <f t="shared" si="33"/>
        <v>361.09729846136054</v>
      </c>
      <c r="L450" s="16">
        <f t="shared" si="34"/>
        <v>-0.39729846136054903</v>
      </c>
      <c r="M450" s="16">
        <f t="shared" si="35"/>
        <v>0.15784606739945967</v>
      </c>
    </row>
    <row r="451" spans="6:13" x14ac:dyDescent="0.4">
      <c r="F451" s="1">
        <v>35065</v>
      </c>
      <c r="G451" s="16">
        <v>362.05</v>
      </c>
      <c r="H451" s="16">
        <f t="shared" ref="H451:H514" si="36">_A*F451*F451+_B*F451+_C</f>
        <v>362.13674211993111</v>
      </c>
      <c r="I451">
        <f t="shared" ref="I451:I514" si="37">MONTH(F451)</f>
        <v>1</v>
      </c>
      <c r="J451" s="16" cm="1">
        <f t="array" ref="J451">INDEX(Sm,I451)</f>
        <v>6.1437951108157106E-2</v>
      </c>
      <c r="K451" s="16">
        <f t="shared" ref="K451:K514" si="38">H451+J451</f>
        <v>362.19818007103925</v>
      </c>
      <c r="L451" s="16">
        <f t="shared" ref="L451:L514" si="39">G451-K451</f>
        <v>-0.14818007103923492</v>
      </c>
      <c r="M451" s="16">
        <f t="shared" ref="M451:M514" si="40">L451*L451</f>
        <v>2.1957333453192708E-2</v>
      </c>
    </row>
    <row r="452" spans="6:13" x14ac:dyDescent="0.4">
      <c r="F452" s="1">
        <v>35096</v>
      </c>
      <c r="G452" s="16">
        <v>363.24</v>
      </c>
      <c r="H452" s="16">
        <f t="shared" si="36"/>
        <v>362.28544676175306</v>
      </c>
      <c r="I452">
        <f t="shared" si="37"/>
        <v>2</v>
      </c>
      <c r="J452" s="16" cm="1">
        <f t="array" ref="J452">INDEX(Sm,I452)</f>
        <v>0.69461918775013354</v>
      </c>
      <c r="K452" s="16">
        <f t="shared" si="38"/>
        <v>362.98006594950317</v>
      </c>
      <c r="L452" s="16">
        <f t="shared" si="39"/>
        <v>0.25993405049683815</v>
      </c>
      <c r="M452" s="16">
        <f t="shared" si="40"/>
        <v>6.7565710607692814E-2</v>
      </c>
    </row>
    <row r="453" spans="6:13" x14ac:dyDescent="0.4">
      <c r="F453" s="1">
        <v>35125</v>
      </c>
      <c r="G453" s="16">
        <v>364.02</v>
      </c>
      <c r="H453" s="16">
        <f t="shared" si="36"/>
        <v>362.42472815803626</v>
      </c>
      <c r="I453">
        <f t="shared" si="37"/>
        <v>3</v>
      </c>
      <c r="J453" s="16" cm="1">
        <f t="array" ref="J453">INDEX(Sm,I453)</f>
        <v>1.3737674679346947</v>
      </c>
      <c r="K453" s="16">
        <f t="shared" si="38"/>
        <v>363.79849562597093</v>
      </c>
      <c r="L453" s="16">
        <f t="shared" si="39"/>
        <v>0.22150437402905254</v>
      </c>
      <c r="M453" s="16">
        <f t="shared" si="40"/>
        <v>4.9064187714002408E-2</v>
      </c>
    </row>
    <row r="454" spans="6:13" x14ac:dyDescent="0.4">
      <c r="F454" s="1">
        <v>35156</v>
      </c>
      <c r="G454" s="16">
        <v>364.71</v>
      </c>
      <c r="H454" s="16">
        <f t="shared" si="36"/>
        <v>362.57379753585423</v>
      </c>
      <c r="I454">
        <f t="shared" si="37"/>
        <v>4</v>
      </c>
      <c r="J454" s="16" cm="1">
        <f t="array" ref="J454">INDEX(Sm,I454)</f>
        <v>2.6103146023823673</v>
      </c>
      <c r="K454" s="16">
        <f t="shared" si="38"/>
        <v>365.18411213823657</v>
      </c>
      <c r="L454" s="16">
        <f t="shared" si="39"/>
        <v>-0.47411213823659182</v>
      </c>
      <c r="M454" s="16">
        <f t="shared" si="40"/>
        <v>0.22478231962327314</v>
      </c>
    </row>
    <row r="455" spans="6:13" x14ac:dyDescent="0.4">
      <c r="F455" s="1">
        <v>35186</v>
      </c>
      <c r="G455" s="16">
        <v>365.42</v>
      </c>
      <c r="H455" s="16">
        <f t="shared" si="36"/>
        <v>362.71823765064391</v>
      </c>
      <c r="I455">
        <f t="shared" si="37"/>
        <v>5</v>
      </c>
      <c r="J455" s="16" cm="1">
        <f t="array" ref="J455">INDEX(Sm,I455)</f>
        <v>3.0656878503632123</v>
      </c>
      <c r="K455" s="16">
        <f t="shared" si="38"/>
        <v>365.7839255010071</v>
      </c>
      <c r="L455" s="16">
        <f t="shared" si="39"/>
        <v>-0.36392550100708831</v>
      </c>
      <c r="M455" s="16">
        <f t="shared" si="40"/>
        <v>0.13244177028326024</v>
      </c>
    </row>
    <row r="456" spans="6:13" x14ac:dyDescent="0.4">
      <c r="F456" s="1">
        <v>35217</v>
      </c>
      <c r="G456" s="16">
        <v>364.97</v>
      </c>
      <c r="H456" s="16">
        <f t="shared" si="36"/>
        <v>362.86767784339122</v>
      </c>
      <c r="I456">
        <f t="shared" si="37"/>
        <v>6</v>
      </c>
      <c r="J456" s="16" cm="1">
        <f t="array" ref="J456">INDEX(Sm,I456)</f>
        <v>2.3467878975381979</v>
      </c>
      <c r="K456" s="16">
        <f t="shared" si="38"/>
        <v>365.21446574092943</v>
      </c>
      <c r="L456" s="16">
        <f t="shared" si="39"/>
        <v>-0.24446574092939954</v>
      </c>
      <c r="M456" s="16">
        <f t="shared" si="40"/>
        <v>5.9763498488160295E-2</v>
      </c>
    </row>
    <row r="457" spans="6:13" x14ac:dyDescent="0.4">
      <c r="F457" s="1">
        <v>35247</v>
      </c>
      <c r="G457" s="16">
        <v>363.65</v>
      </c>
      <c r="H457" s="16">
        <f t="shared" si="36"/>
        <v>363.01247681133827</v>
      </c>
      <c r="I457">
        <f t="shared" si="37"/>
        <v>7</v>
      </c>
      <c r="J457" s="16" cm="1">
        <f t="array" ref="J457">INDEX(Sm,I457)</f>
        <v>0.72373827090267417</v>
      </c>
      <c r="K457" s="16">
        <f t="shared" si="38"/>
        <v>363.73621508224096</v>
      </c>
      <c r="L457" s="16">
        <f t="shared" si="39"/>
        <v>-8.6215082240983065E-2</v>
      </c>
      <c r="M457" s="16">
        <f t="shared" si="40"/>
        <v>7.4330404058194736E-3</v>
      </c>
    </row>
    <row r="458" spans="6:13" x14ac:dyDescent="0.4">
      <c r="F458" s="1">
        <v>35278</v>
      </c>
      <c r="G458" s="16">
        <v>361.48</v>
      </c>
      <c r="H458" s="16">
        <f t="shared" si="36"/>
        <v>363.16228781901498</v>
      </c>
      <c r="I458">
        <f t="shared" si="37"/>
        <v>8</v>
      </c>
      <c r="J458" s="16" cm="1">
        <f t="array" ref="J458">INDEX(Sm,I458)</f>
        <v>-1.3971602749585079</v>
      </c>
      <c r="K458" s="16">
        <f t="shared" si="38"/>
        <v>361.7651275440565</v>
      </c>
      <c r="L458" s="16">
        <f t="shared" si="39"/>
        <v>-0.28512754405647911</v>
      </c>
      <c r="M458" s="16">
        <f t="shared" si="40"/>
        <v>8.1297716379679433E-2</v>
      </c>
    </row>
    <row r="459" spans="6:13" x14ac:dyDescent="0.4">
      <c r="F459" s="1">
        <v>35309</v>
      </c>
      <c r="G459" s="16">
        <v>359.45</v>
      </c>
      <c r="H459" s="16">
        <f t="shared" si="36"/>
        <v>363.31228727362293</v>
      </c>
      <c r="I459">
        <f t="shared" si="37"/>
        <v>9</v>
      </c>
      <c r="J459" s="16" cm="1">
        <f t="array" ref="J459">INDEX(Sm,I459)</f>
        <v>-3.1930865277187257</v>
      </c>
      <c r="K459" s="16">
        <f t="shared" si="38"/>
        <v>360.11920074590421</v>
      </c>
      <c r="L459" s="16">
        <f t="shared" si="39"/>
        <v>-0.66920074590422018</v>
      </c>
      <c r="M459" s="16">
        <f t="shared" si="40"/>
        <v>0.44782963831876466</v>
      </c>
    </row>
    <row r="460" spans="6:13" x14ac:dyDescent="0.4">
      <c r="F460" s="1">
        <v>35339</v>
      </c>
      <c r="G460" s="16">
        <v>359.61</v>
      </c>
      <c r="H460" s="16">
        <f t="shared" si="36"/>
        <v>363.45762746272544</v>
      </c>
      <c r="I460">
        <f t="shared" si="37"/>
        <v>10</v>
      </c>
      <c r="J460" s="16" cm="1">
        <f t="array" ref="J460">INDEX(Sm,I460)</f>
        <v>-3.3364130066587929</v>
      </c>
      <c r="K460" s="16">
        <f t="shared" si="38"/>
        <v>360.12121445606664</v>
      </c>
      <c r="L460" s="16">
        <f t="shared" si="39"/>
        <v>-0.51121445606662519</v>
      </c>
      <c r="M460" s="16">
        <f t="shared" si="40"/>
        <v>0.26134022009149543</v>
      </c>
    </row>
    <row r="461" spans="6:13" x14ac:dyDescent="0.4">
      <c r="F461" s="1">
        <v>35370</v>
      </c>
      <c r="G461" s="16">
        <v>360.76</v>
      </c>
      <c r="H461" s="16">
        <f t="shared" si="36"/>
        <v>363.60799773226273</v>
      </c>
      <c r="I461">
        <f t="shared" si="37"/>
        <v>11</v>
      </c>
      <c r="J461" s="16" cm="1">
        <f t="array" ref="J461">INDEX(Sm,I461)</f>
        <v>-2.0587659549634894</v>
      </c>
      <c r="K461" s="16">
        <f t="shared" si="38"/>
        <v>361.54923177729927</v>
      </c>
      <c r="L461" s="16">
        <f t="shared" si="39"/>
        <v>-0.78923177729927829</v>
      </c>
      <c r="M461" s="16">
        <f t="shared" si="40"/>
        <v>0.62288679829897764</v>
      </c>
    </row>
    <row r="462" spans="6:13" x14ac:dyDescent="0.4">
      <c r="F462" s="1">
        <v>35400</v>
      </c>
      <c r="G462" s="16">
        <v>362.33</v>
      </c>
      <c r="H462" s="16">
        <f t="shared" si="36"/>
        <v>363.75369677452272</v>
      </c>
      <c r="I462">
        <f t="shared" si="37"/>
        <v>12</v>
      </c>
      <c r="J462" s="16" cm="1">
        <f t="array" ref="J462">INDEX(Sm,I462)</f>
        <v>-0.89092746367992248</v>
      </c>
      <c r="K462" s="16">
        <f t="shared" si="38"/>
        <v>362.86276931084279</v>
      </c>
      <c r="L462" s="16">
        <f t="shared" si="39"/>
        <v>-0.53276931084280932</v>
      </c>
      <c r="M462" s="16">
        <f t="shared" si="40"/>
        <v>0.28384313857592197</v>
      </c>
    </row>
    <row r="463" spans="6:13" x14ac:dyDescent="0.4">
      <c r="F463" s="1">
        <v>35431</v>
      </c>
      <c r="G463" s="16">
        <v>363.19</v>
      </c>
      <c r="H463" s="16">
        <f t="shared" si="36"/>
        <v>363.90443785898935</v>
      </c>
      <c r="I463">
        <f t="shared" si="37"/>
        <v>1</v>
      </c>
      <c r="J463" s="16" cm="1">
        <f t="array" ref="J463">INDEX(Sm,I463)</f>
        <v>6.1437951108157106E-2</v>
      </c>
      <c r="K463" s="16">
        <f t="shared" si="38"/>
        <v>363.96587581009749</v>
      </c>
      <c r="L463" s="16">
        <f t="shared" si="39"/>
        <v>-0.77587581009748874</v>
      </c>
      <c r="M463" s="16">
        <f t="shared" si="40"/>
        <v>0.60198327269443441</v>
      </c>
    </row>
    <row r="464" spans="6:13" x14ac:dyDescent="0.4">
      <c r="F464" s="1">
        <v>35462</v>
      </c>
      <c r="G464" s="16">
        <v>363.99</v>
      </c>
      <c r="H464" s="16">
        <f t="shared" si="36"/>
        <v>364.05536739038723</v>
      </c>
      <c r="I464">
        <f t="shared" si="37"/>
        <v>2</v>
      </c>
      <c r="J464" s="16" cm="1">
        <f t="array" ref="J464">INDEX(Sm,I464)</f>
        <v>0.69461918775013354</v>
      </c>
      <c r="K464" s="16">
        <f t="shared" si="38"/>
        <v>364.74998657813734</v>
      </c>
      <c r="L464" s="16">
        <f t="shared" si="39"/>
        <v>-0.75998657813732962</v>
      </c>
      <c r="M464" s="16">
        <f t="shared" si="40"/>
        <v>0.57757959894888744</v>
      </c>
    </row>
    <row r="465" spans="6:13" x14ac:dyDescent="0.4">
      <c r="F465" s="1">
        <v>35490</v>
      </c>
      <c r="G465" s="16">
        <v>364.56</v>
      </c>
      <c r="H465" s="16">
        <f t="shared" si="36"/>
        <v>364.1918528122589</v>
      </c>
      <c r="I465">
        <f t="shared" si="37"/>
        <v>3</v>
      </c>
      <c r="J465" s="16" cm="1">
        <f t="array" ref="J465">INDEX(Sm,I465)</f>
        <v>1.3737674679346947</v>
      </c>
      <c r="K465" s="16">
        <f t="shared" si="38"/>
        <v>365.56562028019357</v>
      </c>
      <c r="L465" s="16">
        <f t="shared" si="39"/>
        <v>-1.0056202801935683</v>
      </c>
      <c r="M465" s="16">
        <f t="shared" si="40"/>
        <v>1.0112721479365909</v>
      </c>
    </row>
    <row r="466" spans="6:13" x14ac:dyDescent="0.4">
      <c r="F466" s="1">
        <v>35521</v>
      </c>
      <c r="G466" s="16">
        <v>366.36</v>
      </c>
      <c r="H466" s="16">
        <f t="shared" si="36"/>
        <v>364.34314100071964</v>
      </c>
      <c r="I466">
        <f t="shared" si="37"/>
        <v>4</v>
      </c>
      <c r="J466" s="16" cm="1">
        <f t="array" ref="J466">INDEX(Sm,I466)</f>
        <v>2.6103146023823673</v>
      </c>
      <c r="K466" s="16">
        <f t="shared" si="38"/>
        <v>366.95345560310199</v>
      </c>
      <c r="L466" s="16">
        <f t="shared" si="39"/>
        <v>-0.59345560310197243</v>
      </c>
      <c r="M466" s="16">
        <f t="shared" si="40"/>
        <v>0.35218955285312581</v>
      </c>
    </row>
    <row r="467" spans="6:13" x14ac:dyDescent="0.4">
      <c r="F467" s="1">
        <v>35551</v>
      </c>
      <c r="G467" s="16">
        <v>366.8</v>
      </c>
      <c r="H467" s="16">
        <f t="shared" si="36"/>
        <v>364.48972835161516</v>
      </c>
      <c r="I467">
        <f t="shared" si="37"/>
        <v>5</v>
      </c>
      <c r="J467" s="16" cm="1">
        <f t="array" ref="J467">INDEX(Sm,I467)</f>
        <v>3.0656878503632123</v>
      </c>
      <c r="K467" s="16">
        <f t="shared" si="38"/>
        <v>367.55541620197835</v>
      </c>
      <c r="L467" s="16">
        <f t="shared" si="39"/>
        <v>-0.75541620197833481</v>
      </c>
      <c r="M467" s="16">
        <f t="shared" si="40"/>
        <v>0.57065363821137238</v>
      </c>
    </row>
    <row r="468" spans="6:13" x14ac:dyDescent="0.4">
      <c r="F468" s="1">
        <v>35582</v>
      </c>
      <c r="G468" s="16">
        <v>365.63</v>
      </c>
      <c r="H468" s="16">
        <f t="shared" si="36"/>
        <v>364.64138735500524</v>
      </c>
      <c r="I468">
        <f t="shared" si="37"/>
        <v>6</v>
      </c>
      <c r="J468" s="16" cm="1">
        <f t="array" ref="J468">INDEX(Sm,I468)</f>
        <v>2.3467878975381979</v>
      </c>
      <c r="K468" s="16">
        <f t="shared" si="38"/>
        <v>366.98817525254344</v>
      </c>
      <c r="L468" s="16">
        <f t="shared" si="39"/>
        <v>-1.3581752525434467</v>
      </c>
      <c r="M468" s="16">
        <f t="shared" si="40"/>
        <v>1.8446400166214554</v>
      </c>
    </row>
    <row r="469" spans="6:13" x14ac:dyDescent="0.4">
      <c r="F469" s="1">
        <v>35612</v>
      </c>
      <c r="G469" s="16">
        <v>364.47</v>
      </c>
      <c r="H469" s="16">
        <f t="shared" si="36"/>
        <v>364.78833355905817</v>
      </c>
      <c r="I469">
        <f t="shared" si="37"/>
        <v>7</v>
      </c>
      <c r="J469" s="16" cm="1">
        <f t="array" ref="J469">INDEX(Sm,I469)</f>
        <v>0.72373827090267417</v>
      </c>
      <c r="K469" s="16">
        <f t="shared" si="38"/>
        <v>365.51207182996086</v>
      </c>
      <c r="L469" s="16">
        <f t="shared" si="39"/>
        <v>-1.0420718299608325</v>
      </c>
      <c r="M469" s="16">
        <f t="shared" si="40"/>
        <v>1.0859136987979181</v>
      </c>
    </row>
    <row r="470" spans="6:13" x14ac:dyDescent="0.4">
      <c r="F470" s="1">
        <v>35643</v>
      </c>
      <c r="G470" s="16">
        <v>362.5</v>
      </c>
      <c r="H470" s="16">
        <f t="shared" si="36"/>
        <v>364.94036337737754</v>
      </c>
      <c r="I470">
        <f t="shared" si="37"/>
        <v>8</v>
      </c>
      <c r="J470" s="16" cm="1">
        <f t="array" ref="J470">INDEX(Sm,I470)</f>
        <v>-1.3971602749585079</v>
      </c>
      <c r="K470" s="16">
        <f t="shared" si="38"/>
        <v>363.54320310241906</v>
      </c>
      <c r="L470" s="16">
        <f t="shared" si="39"/>
        <v>-1.0432031024190564</v>
      </c>
      <c r="M470" s="16">
        <f t="shared" si="40"/>
        <v>1.0882727128967444</v>
      </c>
    </row>
    <row r="471" spans="6:13" x14ac:dyDescent="0.4">
      <c r="F471" s="1">
        <v>35674</v>
      </c>
      <c r="G471" s="16">
        <v>360.19</v>
      </c>
      <c r="H471" s="16">
        <f t="shared" si="36"/>
        <v>365.09258164262826</v>
      </c>
      <c r="I471">
        <f t="shared" si="37"/>
        <v>9</v>
      </c>
      <c r="J471" s="16" cm="1">
        <f t="array" ref="J471">INDEX(Sm,I471)</f>
        <v>-3.1930865277187257</v>
      </c>
      <c r="K471" s="16">
        <f t="shared" si="38"/>
        <v>361.89949511490954</v>
      </c>
      <c r="L471" s="16">
        <f t="shared" si="39"/>
        <v>-1.7094951149095436</v>
      </c>
      <c r="M471" s="16">
        <f t="shared" si="40"/>
        <v>2.922373547899594</v>
      </c>
    </row>
    <row r="472" spans="6:13" x14ac:dyDescent="0.4">
      <c r="F472" s="1">
        <v>35704</v>
      </c>
      <c r="G472" s="16">
        <v>360.78</v>
      </c>
      <c r="H472" s="16">
        <f t="shared" si="36"/>
        <v>365.24006906783666</v>
      </c>
      <c r="I472">
        <f t="shared" si="37"/>
        <v>10</v>
      </c>
      <c r="J472" s="16" cm="1">
        <f t="array" ref="J472">INDEX(Sm,I472)</f>
        <v>-3.3364130066587929</v>
      </c>
      <c r="K472" s="16">
        <f t="shared" si="38"/>
        <v>361.90365606117786</v>
      </c>
      <c r="L472" s="16">
        <f t="shared" si="39"/>
        <v>-1.1236560611778827</v>
      </c>
      <c r="M472" s="16">
        <f t="shared" si="40"/>
        <v>1.2626029438217938</v>
      </c>
    </row>
    <row r="473" spans="6:13" x14ac:dyDescent="0.4">
      <c r="F473" s="1">
        <v>35735</v>
      </c>
      <c r="G473" s="16">
        <v>362.43</v>
      </c>
      <c r="H473" s="16">
        <f t="shared" si="36"/>
        <v>365.39265814801666</v>
      </c>
      <c r="I473">
        <f t="shared" si="37"/>
        <v>11</v>
      </c>
      <c r="J473" s="16" cm="1">
        <f t="array" ref="J473">INDEX(Sm,I473)</f>
        <v>-2.0587659549634894</v>
      </c>
      <c r="K473" s="16">
        <f t="shared" si="38"/>
        <v>363.3338921930532</v>
      </c>
      <c r="L473" s="16">
        <f t="shared" si="39"/>
        <v>-0.90389219305319557</v>
      </c>
      <c r="M473" s="16">
        <f t="shared" si="40"/>
        <v>0.81702109666251532</v>
      </c>
    </row>
    <row r="474" spans="6:13" x14ac:dyDescent="0.4">
      <c r="F474" s="1">
        <v>35765</v>
      </c>
      <c r="G474" s="16">
        <v>364.28</v>
      </c>
      <c r="H474" s="16">
        <f t="shared" si="36"/>
        <v>365.54050442638254</v>
      </c>
      <c r="I474">
        <f t="shared" si="37"/>
        <v>12</v>
      </c>
      <c r="J474" s="16" cm="1">
        <f t="array" ref="J474">INDEX(Sm,I474)</f>
        <v>-0.89092746367992248</v>
      </c>
      <c r="K474" s="16">
        <f t="shared" si="38"/>
        <v>364.64957696270261</v>
      </c>
      <c r="L474" s="16">
        <f t="shared" si="39"/>
        <v>-0.36957696270263796</v>
      </c>
      <c r="M474" s="16">
        <f t="shared" si="40"/>
        <v>0.13658713136050704</v>
      </c>
    </row>
    <row r="475" spans="6:13" x14ac:dyDescent="0.4">
      <c r="F475" s="1">
        <v>35796</v>
      </c>
      <c r="G475" s="16">
        <v>365.33</v>
      </c>
      <c r="H475" s="16">
        <f t="shared" si="36"/>
        <v>365.69346432149183</v>
      </c>
      <c r="I475">
        <f t="shared" si="37"/>
        <v>1</v>
      </c>
      <c r="J475" s="16" cm="1">
        <f t="array" ref="J475">INDEX(Sm,I475)</f>
        <v>6.1437951108157106E-2</v>
      </c>
      <c r="K475" s="16">
        <f t="shared" si="38"/>
        <v>365.75490227259996</v>
      </c>
      <c r="L475" s="16">
        <f t="shared" si="39"/>
        <v>-0.42490227259997937</v>
      </c>
      <c r="M475" s="16">
        <f t="shared" si="40"/>
        <v>0.18054194126062717</v>
      </c>
    </row>
    <row r="476" spans="6:13" x14ac:dyDescent="0.4">
      <c r="F476" s="1">
        <v>35827</v>
      </c>
      <c r="G476" s="16">
        <v>366.15</v>
      </c>
      <c r="H476" s="16">
        <f t="shared" si="36"/>
        <v>365.84661266353248</v>
      </c>
      <c r="I476">
        <f t="shared" si="37"/>
        <v>2</v>
      </c>
      <c r="J476" s="16" cm="1">
        <f t="array" ref="J476">INDEX(Sm,I476)</f>
        <v>0.69461918775013354</v>
      </c>
      <c r="K476" s="16">
        <f t="shared" si="38"/>
        <v>366.54123185128259</v>
      </c>
      <c r="L476" s="16">
        <f t="shared" si="39"/>
        <v>-0.39123185128261184</v>
      </c>
      <c r="M476" s="16">
        <f t="shared" si="40"/>
        <v>0.15306236145801971</v>
      </c>
    </row>
    <row r="477" spans="6:13" x14ac:dyDescent="0.4">
      <c r="F477" s="1">
        <v>35855</v>
      </c>
      <c r="G477" s="16">
        <v>367.31</v>
      </c>
      <c r="H477" s="16">
        <f t="shared" si="36"/>
        <v>365.98510217243631</v>
      </c>
      <c r="I477">
        <f t="shared" si="37"/>
        <v>3</v>
      </c>
      <c r="J477" s="16" cm="1">
        <f t="array" ref="J477">INDEX(Sm,I477)</f>
        <v>1.3737674679346947</v>
      </c>
      <c r="K477" s="16">
        <f t="shared" si="38"/>
        <v>367.35886964037098</v>
      </c>
      <c r="L477" s="16">
        <f t="shared" si="39"/>
        <v>-4.886964037098096E-2</v>
      </c>
      <c r="M477" s="16">
        <f t="shared" si="40"/>
        <v>2.388241749989012E-3</v>
      </c>
    </row>
    <row r="478" spans="6:13" x14ac:dyDescent="0.4">
      <c r="F478" s="1">
        <v>35886</v>
      </c>
      <c r="G478" s="16">
        <v>368.61</v>
      </c>
      <c r="H478" s="16">
        <f t="shared" si="36"/>
        <v>366.13860917153977</v>
      </c>
      <c r="I478">
        <f t="shared" si="37"/>
        <v>4</v>
      </c>
      <c r="J478" s="16" cm="1">
        <f t="array" ref="J478">INDEX(Sm,I478)</f>
        <v>2.6103146023823673</v>
      </c>
      <c r="K478" s="16">
        <f t="shared" si="38"/>
        <v>368.74892377392212</v>
      </c>
      <c r="L478" s="16">
        <f t="shared" si="39"/>
        <v>-0.13892377392210165</v>
      </c>
      <c r="M478" s="16">
        <f t="shared" si="40"/>
        <v>1.929981496075921E-2</v>
      </c>
    </row>
    <row r="479" spans="6:13" x14ac:dyDescent="0.4">
      <c r="F479" s="1">
        <v>35916</v>
      </c>
      <c r="G479" s="16">
        <v>369.3</v>
      </c>
      <c r="H479" s="16">
        <f t="shared" si="36"/>
        <v>366.28734375854117</v>
      </c>
      <c r="I479">
        <f t="shared" si="37"/>
        <v>5</v>
      </c>
      <c r="J479" s="16" cm="1">
        <f t="array" ref="J479">INDEX(Sm,I479)</f>
        <v>3.0656878503632123</v>
      </c>
      <c r="K479" s="16">
        <f t="shared" si="38"/>
        <v>369.35303160890436</v>
      </c>
      <c r="L479" s="16">
        <f t="shared" si="39"/>
        <v>-5.3031608904348104E-2</v>
      </c>
      <c r="M479" s="16">
        <f t="shared" si="40"/>
        <v>2.8123515429837333E-3</v>
      </c>
    </row>
    <row r="480" spans="6:13" x14ac:dyDescent="0.4">
      <c r="F480" s="1">
        <v>35947</v>
      </c>
      <c r="G480" s="16">
        <v>368.88</v>
      </c>
      <c r="H480" s="16">
        <f t="shared" si="36"/>
        <v>366.44122157257391</v>
      </c>
      <c r="I480">
        <f t="shared" si="37"/>
        <v>6</v>
      </c>
      <c r="J480" s="16" cm="1">
        <f t="array" ref="J480">INDEX(Sm,I480)</f>
        <v>2.3467878975381979</v>
      </c>
      <c r="K480" s="16">
        <f t="shared" si="38"/>
        <v>368.78800947011212</v>
      </c>
      <c r="L480" s="16">
        <f t="shared" si="39"/>
        <v>9.1990529887880257E-2</v>
      </c>
      <c r="M480" s="16">
        <f t="shared" si="40"/>
        <v>8.4622575890529912E-3</v>
      </c>
    </row>
    <row r="481" spans="6:13" x14ac:dyDescent="0.4">
      <c r="F481" s="1">
        <v>35977</v>
      </c>
      <c r="G481" s="16">
        <v>367.64</v>
      </c>
      <c r="H481" s="16">
        <f t="shared" si="36"/>
        <v>366.59031501273273</v>
      </c>
      <c r="I481">
        <f t="shared" si="37"/>
        <v>7</v>
      </c>
      <c r="J481" s="16" cm="1">
        <f t="array" ref="J481">INDEX(Sm,I481)</f>
        <v>0.72373827090267417</v>
      </c>
      <c r="K481" s="16">
        <f t="shared" si="38"/>
        <v>367.31405328363542</v>
      </c>
      <c r="L481" s="16">
        <f t="shared" si="39"/>
        <v>0.32594671636456951</v>
      </c>
      <c r="M481" s="16">
        <f t="shared" si="40"/>
        <v>0.10624126190884513</v>
      </c>
    </row>
    <row r="482" spans="6:13" x14ac:dyDescent="0.4">
      <c r="F482" s="1">
        <v>36008</v>
      </c>
      <c r="G482" s="16">
        <v>365.78</v>
      </c>
      <c r="H482" s="16">
        <f t="shared" si="36"/>
        <v>366.74456364169487</v>
      </c>
      <c r="I482">
        <f t="shared" si="37"/>
        <v>8</v>
      </c>
      <c r="J482" s="16" cm="1">
        <f t="array" ref="J482">INDEX(Sm,I482)</f>
        <v>-1.3971602749585079</v>
      </c>
      <c r="K482" s="16">
        <f t="shared" si="38"/>
        <v>365.34740336673639</v>
      </c>
      <c r="L482" s="16">
        <f t="shared" si="39"/>
        <v>0.43259663326358577</v>
      </c>
      <c r="M482" s="16">
        <f t="shared" si="40"/>
        <v>0.18713984711098933</v>
      </c>
    </row>
    <row r="483" spans="6:13" x14ac:dyDescent="0.4">
      <c r="F483" s="1">
        <v>36039</v>
      </c>
      <c r="G483" s="16">
        <v>363.9</v>
      </c>
      <c r="H483" s="16">
        <f t="shared" si="36"/>
        <v>366.89900071758831</v>
      </c>
      <c r="I483">
        <f t="shared" si="37"/>
        <v>9</v>
      </c>
      <c r="J483" s="16" cm="1">
        <f t="array" ref="J483">INDEX(Sm,I483)</f>
        <v>-3.1930865277187257</v>
      </c>
      <c r="K483" s="16">
        <f t="shared" si="38"/>
        <v>363.70591418986959</v>
      </c>
      <c r="L483" s="16">
        <f t="shared" si="39"/>
        <v>0.19408581013038884</v>
      </c>
      <c r="M483" s="16">
        <f t="shared" si="40"/>
        <v>3.7669301693969343E-2</v>
      </c>
    </row>
    <row r="484" spans="6:13" x14ac:dyDescent="0.4">
      <c r="F484" s="1">
        <v>36069</v>
      </c>
      <c r="G484" s="16">
        <v>364.23</v>
      </c>
      <c r="H484" s="16">
        <f t="shared" si="36"/>
        <v>367.04863537890253</v>
      </c>
      <c r="I484">
        <f t="shared" si="37"/>
        <v>10</v>
      </c>
      <c r="J484" s="16" cm="1">
        <f t="array" ref="J484">INDEX(Sm,I484)</f>
        <v>-3.3364130066587929</v>
      </c>
      <c r="K484" s="16">
        <f t="shared" si="38"/>
        <v>363.71222237224373</v>
      </c>
      <c r="L484" s="16">
        <f t="shared" si="39"/>
        <v>0.51777762775628844</v>
      </c>
      <c r="M484" s="16">
        <f t="shared" si="40"/>
        <v>0.2680936718049296</v>
      </c>
    </row>
    <row r="485" spans="6:13" x14ac:dyDescent="0.4">
      <c r="F485" s="1">
        <v>36100</v>
      </c>
      <c r="G485" s="16">
        <v>365.46</v>
      </c>
      <c r="H485" s="16">
        <f t="shared" si="36"/>
        <v>367.20344326972531</v>
      </c>
      <c r="I485">
        <f t="shared" si="37"/>
        <v>11</v>
      </c>
      <c r="J485" s="16" cm="1">
        <f t="array" ref="J485">INDEX(Sm,I485)</f>
        <v>-2.0587659549634894</v>
      </c>
      <c r="K485" s="16">
        <f t="shared" si="38"/>
        <v>365.14467731476185</v>
      </c>
      <c r="L485" s="16">
        <f t="shared" si="39"/>
        <v>0.31532268523812945</v>
      </c>
      <c r="M485" s="16">
        <f t="shared" si="40"/>
        <v>9.9428395825784457E-2</v>
      </c>
    </row>
    <row r="486" spans="6:13" x14ac:dyDescent="0.4">
      <c r="F486" s="1">
        <v>36130</v>
      </c>
      <c r="G486" s="16">
        <v>366.97</v>
      </c>
      <c r="H486" s="16">
        <f t="shared" si="36"/>
        <v>367.35343678419702</v>
      </c>
      <c r="I486">
        <f t="shared" si="37"/>
        <v>12</v>
      </c>
      <c r="J486" s="16" cm="1">
        <f t="array" ref="J486">INDEX(Sm,I486)</f>
        <v>-0.89092746367992248</v>
      </c>
      <c r="K486" s="16">
        <f t="shared" si="38"/>
        <v>366.46250932051709</v>
      </c>
      <c r="L486" s="16">
        <f t="shared" si="39"/>
        <v>0.50749067948294169</v>
      </c>
      <c r="M486" s="16">
        <f t="shared" si="40"/>
        <v>0.25754678976205786</v>
      </c>
    </row>
    <row r="487" spans="6:13" x14ac:dyDescent="0.4">
      <c r="F487" s="1">
        <v>36161</v>
      </c>
      <c r="G487" s="16">
        <v>368.15</v>
      </c>
      <c r="H487" s="16">
        <f t="shared" si="36"/>
        <v>367.50861548994908</v>
      </c>
      <c r="I487">
        <f t="shared" si="37"/>
        <v>1</v>
      </c>
      <c r="J487" s="16" cm="1">
        <f t="array" ref="J487">INDEX(Sm,I487)</f>
        <v>6.1437951108157106E-2</v>
      </c>
      <c r="K487" s="16">
        <f t="shared" si="38"/>
        <v>367.57005344105721</v>
      </c>
      <c r="L487" s="16">
        <f t="shared" si="39"/>
        <v>0.57994655894276548</v>
      </c>
      <c r="M487" s="16">
        <f t="shared" si="40"/>
        <v>0.33633801122955453</v>
      </c>
    </row>
    <row r="488" spans="6:13" x14ac:dyDescent="0.4">
      <c r="F488" s="1">
        <v>36192</v>
      </c>
      <c r="G488" s="16">
        <v>368.87</v>
      </c>
      <c r="H488" s="16">
        <f t="shared" si="36"/>
        <v>367.66398264263245</v>
      </c>
      <c r="I488">
        <f t="shared" si="37"/>
        <v>2</v>
      </c>
      <c r="J488" s="16" cm="1">
        <f t="array" ref="J488">INDEX(Sm,I488)</f>
        <v>0.69461918775013354</v>
      </c>
      <c r="K488" s="16">
        <f t="shared" si="38"/>
        <v>368.35860183038255</v>
      </c>
      <c r="L488" s="16">
        <f t="shared" si="39"/>
        <v>0.51139816961745055</v>
      </c>
      <c r="M488" s="16">
        <f t="shared" si="40"/>
        <v>0.26152808788807874</v>
      </c>
    </row>
    <row r="489" spans="6:13" x14ac:dyDescent="0.4">
      <c r="F489" s="1">
        <v>36220</v>
      </c>
      <c r="G489" s="16">
        <v>369.59</v>
      </c>
      <c r="H489" s="16">
        <f t="shared" si="36"/>
        <v>367.80447623856844</v>
      </c>
      <c r="I489">
        <f t="shared" si="37"/>
        <v>3</v>
      </c>
      <c r="J489" s="16" cm="1">
        <f t="array" ref="J489">INDEX(Sm,I489)</f>
        <v>1.3737674679346947</v>
      </c>
      <c r="K489" s="16">
        <f t="shared" si="38"/>
        <v>369.17824370650311</v>
      </c>
      <c r="L489" s="16">
        <f t="shared" si="39"/>
        <v>0.4117562934968646</v>
      </c>
      <c r="M489" s="16">
        <f t="shared" si="40"/>
        <v>0.16954324523427611</v>
      </c>
    </row>
    <row r="490" spans="6:13" x14ac:dyDescent="0.4">
      <c r="F490" s="1">
        <v>36251</v>
      </c>
      <c r="G490" s="16">
        <v>371.14</v>
      </c>
      <c r="H490" s="16">
        <f t="shared" si="36"/>
        <v>367.96020204831461</v>
      </c>
      <c r="I490">
        <f t="shared" si="37"/>
        <v>4</v>
      </c>
      <c r="J490" s="16" cm="1">
        <f t="array" ref="J490">INDEX(Sm,I490)</f>
        <v>2.6103146023823673</v>
      </c>
      <c r="K490" s="16">
        <f t="shared" si="38"/>
        <v>370.57051665069696</v>
      </c>
      <c r="L490" s="16">
        <f t="shared" si="39"/>
        <v>0.56948334930302735</v>
      </c>
      <c r="M490" s="16">
        <f t="shared" si="40"/>
        <v>0.32431128513339386</v>
      </c>
    </row>
    <row r="491" spans="6:13" x14ac:dyDescent="0.4">
      <c r="F491" s="1">
        <v>36281</v>
      </c>
      <c r="G491" s="16">
        <v>371</v>
      </c>
      <c r="H491" s="16">
        <f t="shared" si="36"/>
        <v>368.11108387142184</v>
      </c>
      <c r="I491">
        <f t="shared" si="37"/>
        <v>5</v>
      </c>
      <c r="J491" s="16" cm="1">
        <f t="array" ref="J491">INDEX(Sm,I491)</f>
        <v>3.0656878503632123</v>
      </c>
      <c r="K491" s="16">
        <f t="shared" si="38"/>
        <v>371.17677172178503</v>
      </c>
      <c r="L491" s="16">
        <f t="shared" si="39"/>
        <v>-0.17677172178503042</v>
      </c>
      <c r="M491" s="16">
        <f t="shared" si="40"/>
        <v>3.1248241622844199E-2</v>
      </c>
    </row>
    <row r="492" spans="6:13" x14ac:dyDescent="0.4">
      <c r="F492" s="1">
        <v>36312</v>
      </c>
      <c r="G492" s="16">
        <v>370.35</v>
      </c>
      <c r="H492" s="16">
        <f t="shared" si="36"/>
        <v>368.26718049609741</v>
      </c>
      <c r="I492">
        <f t="shared" si="37"/>
        <v>6</v>
      </c>
      <c r="J492" s="16" cm="1">
        <f t="array" ref="J492">INDEX(Sm,I492)</f>
        <v>2.3467878975381979</v>
      </c>
      <c r="K492" s="16">
        <f t="shared" si="38"/>
        <v>370.61396839363562</v>
      </c>
      <c r="L492" s="16">
        <f t="shared" si="39"/>
        <v>-0.26396839363559366</v>
      </c>
      <c r="M492" s="16">
        <f t="shared" si="40"/>
        <v>6.9679312838555718E-2</v>
      </c>
    </row>
    <row r="493" spans="6:13" x14ac:dyDescent="0.4">
      <c r="F493" s="1">
        <v>36342</v>
      </c>
      <c r="G493" s="16">
        <v>369.27</v>
      </c>
      <c r="H493" s="16">
        <f t="shared" si="36"/>
        <v>368.41842117236206</v>
      </c>
      <c r="I493">
        <f t="shared" si="37"/>
        <v>7</v>
      </c>
      <c r="J493" s="16" cm="1">
        <f t="array" ref="J493">INDEX(Sm,I493)</f>
        <v>0.72373827090267417</v>
      </c>
      <c r="K493" s="16">
        <f t="shared" si="38"/>
        <v>369.14215944326475</v>
      </c>
      <c r="L493" s="16">
        <f t="shared" si="39"/>
        <v>0.12784055673523653</v>
      </c>
      <c r="M493" s="16">
        <f t="shared" si="40"/>
        <v>1.634320794637523E-2</v>
      </c>
    </row>
    <row r="494" spans="6:13" x14ac:dyDescent="0.4">
      <c r="F494" s="1">
        <v>36373</v>
      </c>
      <c r="G494" s="16">
        <v>366.93</v>
      </c>
      <c r="H494" s="16">
        <f t="shared" si="36"/>
        <v>368.57488861196691</v>
      </c>
      <c r="I494">
        <f t="shared" si="37"/>
        <v>8</v>
      </c>
      <c r="J494" s="16" cm="1">
        <f t="array" ref="J494">INDEX(Sm,I494)</f>
        <v>-1.3971602749585079</v>
      </c>
      <c r="K494" s="16">
        <f t="shared" si="38"/>
        <v>367.17772833700843</v>
      </c>
      <c r="L494" s="16">
        <f t="shared" si="39"/>
        <v>-0.24772833700842511</v>
      </c>
      <c r="M494" s="16">
        <f t="shared" si="40"/>
        <v>6.1369328956959845E-2</v>
      </c>
    </row>
    <row r="495" spans="6:13" x14ac:dyDescent="0.4">
      <c r="F495" s="1">
        <v>36404</v>
      </c>
      <c r="G495" s="16">
        <v>364.64</v>
      </c>
      <c r="H495" s="16">
        <f t="shared" si="36"/>
        <v>368.73154449850307</v>
      </c>
      <c r="I495">
        <f t="shared" si="37"/>
        <v>9</v>
      </c>
      <c r="J495" s="16" cm="1">
        <f t="array" ref="J495">INDEX(Sm,I495)</f>
        <v>-3.1930865277187257</v>
      </c>
      <c r="K495" s="16">
        <f t="shared" si="38"/>
        <v>365.53845797078435</v>
      </c>
      <c r="L495" s="16">
        <f t="shared" si="39"/>
        <v>-0.89845797078436362</v>
      </c>
      <c r="M495" s="16">
        <f t="shared" si="40"/>
        <v>0.8072267252659564</v>
      </c>
    </row>
    <row r="496" spans="6:13" x14ac:dyDescent="0.4">
      <c r="F496" s="1">
        <v>36434</v>
      </c>
      <c r="G496" s="16">
        <v>365.13</v>
      </c>
      <c r="H496" s="16">
        <f t="shared" si="36"/>
        <v>368.88332639592323</v>
      </c>
      <c r="I496">
        <f t="shared" si="37"/>
        <v>10</v>
      </c>
      <c r="J496" s="16" cm="1">
        <f t="array" ref="J496">INDEX(Sm,I496)</f>
        <v>-3.3364130066587929</v>
      </c>
      <c r="K496" s="16">
        <f t="shared" si="38"/>
        <v>365.54691338926443</v>
      </c>
      <c r="L496" s="16">
        <f t="shared" si="39"/>
        <v>-0.41691338926443677</v>
      </c>
      <c r="M496" s="16">
        <f t="shared" si="40"/>
        <v>0.17381677414795979</v>
      </c>
    </row>
    <row r="497" spans="6:13" x14ac:dyDescent="0.4">
      <c r="F497" s="1">
        <v>36465</v>
      </c>
      <c r="G497" s="16">
        <v>366.68</v>
      </c>
      <c r="H497" s="16">
        <f t="shared" si="36"/>
        <v>369.04035309738867</v>
      </c>
      <c r="I497">
        <f t="shared" si="37"/>
        <v>11</v>
      </c>
      <c r="J497" s="16" cm="1">
        <f t="array" ref="J497">INDEX(Sm,I497)</f>
        <v>-2.0587659549634894</v>
      </c>
      <c r="K497" s="16">
        <f t="shared" si="38"/>
        <v>366.98158714242521</v>
      </c>
      <c r="L497" s="16">
        <f t="shared" si="39"/>
        <v>-0.30158714242520546</v>
      </c>
      <c r="M497" s="16">
        <f t="shared" si="40"/>
        <v>9.0954804476201162E-2</v>
      </c>
    </row>
    <row r="498" spans="6:13" x14ac:dyDescent="0.4">
      <c r="F498" s="1">
        <v>36495</v>
      </c>
      <c r="G498" s="16">
        <v>368</v>
      </c>
      <c r="H498" s="16">
        <f t="shared" si="36"/>
        <v>369.19249384796626</v>
      </c>
      <c r="I498">
        <f t="shared" si="37"/>
        <v>12</v>
      </c>
      <c r="J498" s="16" cm="1">
        <f t="array" ref="J498">INDEX(Sm,I498)</f>
        <v>-0.89092746367992248</v>
      </c>
      <c r="K498" s="16">
        <f t="shared" si="38"/>
        <v>368.30156638428633</v>
      </c>
      <c r="L498" s="16">
        <f t="shared" si="39"/>
        <v>-0.30156638428633187</v>
      </c>
      <c r="M498" s="16">
        <f t="shared" si="40"/>
        <v>9.0942284131531589E-2</v>
      </c>
    </row>
    <row r="499" spans="6:13" x14ac:dyDescent="0.4">
      <c r="F499" s="1">
        <v>36526</v>
      </c>
      <c r="G499" s="16">
        <v>369.14</v>
      </c>
      <c r="H499" s="16">
        <f t="shared" si="36"/>
        <v>369.34989136436104</v>
      </c>
      <c r="I499">
        <f t="shared" si="37"/>
        <v>1</v>
      </c>
      <c r="J499" s="16" cm="1">
        <f t="array" ref="J499">INDEX(Sm,I499)</f>
        <v>6.1437951108157106E-2</v>
      </c>
      <c r="K499" s="16">
        <f t="shared" si="38"/>
        <v>369.41132931546917</v>
      </c>
      <c r="L499" s="16">
        <f t="shared" si="39"/>
        <v>-0.27132931546918826</v>
      </c>
      <c r="M499" s="16">
        <f t="shared" si="40"/>
        <v>7.3619597432978287E-2</v>
      </c>
    </row>
    <row r="500" spans="6:13" x14ac:dyDescent="0.4">
      <c r="F500" s="1">
        <v>36557</v>
      </c>
      <c r="G500" s="16">
        <v>369.46</v>
      </c>
      <c r="H500" s="16">
        <f t="shared" si="36"/>
        <v>369.50747732768718</v>
      </c>
      <c r="I500">
        <f t="shared" si="37"/>
        <v>2</v>
      </c>
      <c r="J500" s="16" cm="1">
        <f t="array" ref="J500">INDEX(Sm,I500)</f>
        <v>0.69461918775013354</v>
      </c>
      <c r="K500" s="16">
        <f t="shared" si="38"/>
        <v>370.20209651543729</v>
      </c>
      <c r="L500" s="16">
        <f t="shared" si="39"/>
        <v>-0.7420965154373107</v>
      </c>
      <c r="M500" s="16">
        <f t="shared" si="40"/>
        <v>0.55070723822419876</v>
      </c>
    </row>
    <row r="501" spans="6:13" x14ac:dyDescent="0.4">
      <c r="F501" s="1">
        <v>36586</v>
      </c>
      <c r="G501" s="16">
        <v>370.51</v>
      </c>
      <c r="H501" s="16">
        <f t="shared" si="36"/>
        <v>369.65506705699039</v>
      </c>
      <c r="I501">
        <f t="shared" si="37"/>
        <v>3</v>
      </c>
      <c r="J501" s="16" cm="1">
        <f t="array" ref="J501">INDEX(Sm,I501)</f>
        <v>1.3737674679346947</v>
      </c>
      <c r="K501" s="16">
        <f t="shared" si="38"/>
        <v>371.02883452492506</v>
      </c>
      <c r="L501" s="16">
        <f t="shared" si="39"/>
        <v>-0.51883452492506876</v>
      </c>
      <c r="M501" s="16">
        <f t="shared" si="40"/>
        <v>0.26918926425422179</v>
      </c>
    </row>
    <row r="502" spans="6:13" x14ac:dyDescent="0.4">
      <c r="F502" s="1">
        <v>36617</v>
      </c>
      <c r="G502" s="16">
        <v>371.66</v>
      </c>
      <c r="H502" s="16">
        <f t="shared" si="36"/>
        <v>369.81301775631255</v>
      </c>
      <c r="I502">
        <f t="shared" si="37"/>
        <v>4</v>
      </c>
      <c r="J502" s="16" cm="1">
        <f t="array" ref="J502">INDEX(Sm,I502)</f>
        <v>2.6103146023823673</v>
      </c>
      <c r="K502" s="16">
        <f t="shared" si="38"/>
        <v>372.42333235869489</v>
      </c>
      <c r="L502" s="16">
        <f t="shared" si="39"/>
        <v>-0.76333235869486771</v>
      </c>
      <c r="M502" s="16">
        <f t="shared" si="40"/>
        <v>0.58267628983067021</v>
      </c>
    </row>
    <row r="503" spans="6:13" x14ac:dyDescent="0.4">
      <c r="F503" s="1">
        <v>36647</v>
      </c>
      <c r="G503" s="16">
        <v>371.83</v>
      </c>
      <c r="H503" s="16">
        <f t="shared" si="36"/>
        <v>369.96605269836436</v>
      </c>
      <c r="I503">
        <f t="shared" si="37"/>
        <v>5</v>
      </c>
      <c r="J503" s="16" cm="1">
        <f t="array" ref="J503">INDEX(Sm,I503)</f>
        <v>3.0656878503632123</v>
      </c>
      <c r="K503" s="16">
        <f t="shared" si="38"/>
        <v>373.03174054872756</v>
      </c>
      <c r="L503" s="16">
        <f t="shared" si="39"/>
        <v>-1.201740548727571</v>
      </c>
      <c r="M503" s="16">
        <f t="shared" si="40"/>
        <v>1.4441803464560434</v>
      </c>
    </row>
    <row r="504" spans="6:13" x14ac:dyDescent="0.4">
      <c r="F504" s="1">
        <v>36678</v>
      </c>
      <c r="G504" s="16">
        <v>371.69</v>
      </c>
      <c r="H504" s="16">
        <f t="shared" si="36"/>
        <v>370.12437421261586</v>
      </c>
      <c r="I504">
        <f t="shared" si="37"/>
        <v>6</v>
      </c>
      <c r="J504" s="16" cm="1">
        <f t="array" ref="J504">INDEX(Sm,I504)</f>
        <v>2.3467878975381979</v>
      </c>
      <c r="K504" s="16">
        <f t="shared" si="38"/>
        <v>372.47116211015407</v>
      </c>
      <c r="L504" s="16">
        <f t="shared" si="39"/>
        <v>-0.78116211015407089</v>
      </c>
      <c r="M504" s="16">
        <f t="shared" si="40"/>
        <v>0.61021424234036081</v>
      </c>
    </row>
    <row r="505" spans="6:13" x14ac:dyDescent="0.4">
      <c r="F505" s="1">
        <v>36708</v>
      </c>
      <c r="G505" s="16">
        <v>370.12</v>
      </c>
      <c r="H505" s="16">
        <f t="shared" si="36"/>
        <v>370.2777680078251</v>
      </c>
      <c r="I505">
        <f t="shared" si="37"/>
        <v>7</v>
      </c>
      <c r="J505" s="16" cm="1">
        <f t="array" ref="J505">INDEX(Sm,I505)</f>
        <v>0.72373827090267417</v>
      </c>
      <c r="K505" s="16">
        <f t="shared" si="38"/>
        <v>371.00150627872779</v>
      </c>
      <c r="L505" s="16">
        <f t="shared" si="39"/>
        <v>-0.88150627872778387</v>
      </c>
      <c r="M505" s="16">
        <f t="shared" si="40"/>
        <v>0.77705331943650535</v>
      </c>
    </row>
    <row r="506" spans="6:13" x14ac:dyDescent="0.4">
      <c r="F506" s="1">
        <v>36739</v>
      </c>
      <c r="G506" s="16">
        <v>368.12</v>
      </c>
      <c r="H506" s="16">
        <f t="shared" si="36"/>
        <v>370.43646033700594</v>
      </c>
      <c r="I506">
        <f t="shared" si="37"/>
        <v>8</v>
      </c>
      <c r="J506" s="16" cm="1">
        <f t="array" ref="J506">INDEX(Sm,I506)</f>
        <v>-1.3971602749585079</v>
      </c>
      <c r="K506" s="16">
        <f t="shared" si="38"/>
        <v>369.03930006204746</v>
      </c>
      <c r="L506" s="16">
        <f t="shared" si="39"/>
        <v>-0.91930006204745496</v>
      </c>
      <c r="M506" s="16">
        <f t="shared" si="40"/>
        <v>0.84511260408045452</v>
      </c>
    </row>
    <row r="507" spans="6:13" x14ac:dyDescent="0.4">
      <c r="F507" s="1">
        <v>36770</v>
      </c>
      <c r="G507" s="16">
        <v>366.62</v>
      </c>
      <c r="H507" s="16">
        <f t="shared" si="36"/>
        <v>370.59534111311808</v>
      </c>
      <c r="I507">
        <f t="shared" si="37"/>
        <v>9</v>
      </c>
      <c r="J507" s="16" cm="1">
        <f t="array" ref="J507">INDEX(Sm,I507)</f>
        <v>-3.1930865277187257</v>
      </c>
      <c r="K507" s="16">
        <f t="shared" si="38"/>
        <v>367.40225458539936</v>
      </c>
      <c r="L507" s="16">
        <f t="shared" si="39"/>
        <v>-0.78225458539935744</v>
      </c>
      <c r="M507" s="16">
        <f t="shared" si="40"/>
        <v>0.61192223637832055</v>
      </c>
    </row>
    <row r="508" spans="6:13" x14ac:dyDescent="0.4">
      <c r="F508" s="1">
        <v>36800</v>
      </c>
      <c r="G508" s="16">
        <v>366.73</v>
      </c>
      <c r="H508" s="16">
        <f t="shared" si="36"/>
        <v>370.74927612948272</v>
      </c>
      <c r="I508">
        <f t="shared" si="37"/>
        <v>10</v>
      </c>
      <c r="J508" s="16" cm="1">
        <f t="array" ref="J508">INDEX(Sm,I508)</f>
        <v>-3.3364130066587929</v>
      </c>
      <c r="K508" s="16">
        <f t="shared" si="38"/>
        <v>367.41286312282392</v>
      </c>
      <c r="L508" s="16">
        <f t="shared" si="39"/>
        <v>-0.68286312282390327</v>
      </c>
      <c r="M508" s="16">
        <f t="shared" si="40"/>
        <v>0.46630204451281321</v>
      </c>
    </row>
    <row r="509" spans="6:13" x14ac:dyDescent="0.4">
      <c r="F509" s="1">
        <v>36831</v>
      </c>
      <c r="G509" s="16">
        <v>368.29</v>
      </c>
      <c r="H509" s="16">
        <f t="shared" si="36"/>
        <v>370.90852772052421</v>
      </c>
      <c r="I509">
        <f t="shared" si="37"/>
        <v>11</v>
      </c>
      <c r="J509" s="16" cm="1">
        <f t="array" ref="J509">INDEX(Sm,I509)</f>
        <v>-2.0587659549634894</v>
      </c>
      <c r="K509" s="16">
        <f t="shared" si="38"/>
        <v>368.84976176556074</v>
      </c>
      <c r="L509" s="16">
        <f t="shared" si="39"/>
        <v>-0.55976176556072232</v>
      </c>
      <c r="M509" s="16">
        <f t="shared" si="40"/>
        <v>0.31333323418365705</v>
      </c>
    </row>
    <row r="510" spans="6:13" x14ac:dyDescent="0.4">
      <c r="F510" s="1">
        <v>36861</v>
      </c>
      <c r="G510" s="16">
        <v>369.52</v>
      </c>
      <c r="H510" s="16">
        <f t="shared" si="36"/>
        <v>371.06282159004627</v>
      </c>
      <c r="I510">
        <f t="shared" si="37"/>
        <v>12</v>
      </c>
      <c r="J510" s="16" cm="1">
        <f t="array" ref="J510">INDEX(Sm,I510)</f>
        <v>-0.89092746367992248</v>
      </c>
      <c r="K510" s="16">
        <f t="shared" si="38"/>
        <v>370.17189412636634</v>
      </c>
      <c r="L510" s="16">
        <f t="shared" si="39"/>
        <v>-0.6518941263663578</v>
      </c>
      <c r="M510" s="16">
        <f t="shared" si="40"/>
        <v>0.42496595199095688</v>
      </c>
    </row>
    <row r="511" spans="6:13" x14ac:dyDescent="0.4">
      <c r="F511" s="1">
        <v>36892</v>
      </c>
      <c r="G511" s="16">
        <v>370.28</v>
      </c>
      <c r="H511" s="16">
        <f t="shared" si="36"/>
        <v>371.22244399601709</v>
      </c>
      <c r="I511">
        <f t="shared" si="37"/>
        <v>1</v>
      </c>
      <c r="J511" s="16" cm="1">
        <f t="array" ref="J511">INDEX(Sm,I511)</f>
        <v>6.1437951108157106E-2</v>
      </c>
      <c r="K511" s="16">
        <f t="shared" si="38"/>
        <v>371.28388194712522</v>
      </c>
      <c r="L511" s="16">
        <f t="shared" si="39"/>
        <v>-1.0038819471252509</v>
      </c>
      <c r="M511" s="16">
        <f t="shared" si="40"/>
        <v>1.0077789637639851</v>
      </c>
    </row>
    <row r="512" spans="6:13" x14ac:dyDescent="0.4">
      <c r="F512" s="1">
        <v>36923</v>
      </c>
      <c r="G512" s="16">
        <v>371.5</v>
      </c>
      <c r="H512" s="16">
        <f t="shared" si="36"/>
        <v>371.38225484891916</v>
      </c>
      <c r="I512">
        <f t="shared" si="37"/>
        <v>2</v>
      </c>
      <c r="J512" s="16" cm="1">
        <f t="array" ref="J512">INDEX(Sm,I512)</f>
        <v>0.69461918775013354</v>
      </c>
      <c r="K512" s="16">
        <f t="shared" si="38"/>
        <v>372.07687403666927</v>
      </c>
      <c r="L512" s="16">
        <f t="shared" si="39"/>
        <v>-0.57687403666926684</v>
      </c>
      <c r="M512" s="16">
        <f t="shared" si="40"/>
        <v>0.33278365418309463</v>
      </c>
    </row>
    <row r="513" spans="6:13" x14ac:dyDescent="0.4">
      <c r="F513" s="1">
        <v>36951</v>
      </c>
      <c r="G513" s="16">
        <v>372.12</v>
      </c>
      <c r="H513" s="16">
        <f t="shared" si="36"/>
        <v>371.52676210956878</v>
      </c>
      <c r="I513">
        <f t="shared" si="37"/>
        <v>3</v>
      </c>
      <c r="J513" s="16" cm="1">
        <f t="array" ref="J513">INDEX(Sm,I513)</f>
        <v>1.3737674679346947</v>
      </c>
      <c r="K513" s="16">
        <f t="shared" si="38"/>
        <v>372.90052957750345</v>
      </c>
      <c r="L513" s="16">
        <f t="shared" si="39"/>
        <v>-0.78052957750344376</v>
      </c>
      <c r="M513" s="16">
        <f t="shared" si="40"/>
        <v>0.60922642135770444</v>
      </c>
    </row>
    <row r="514" spans="6:13" x14ac:dyDescent="0.4">
      <c r="F514" s="1">
        <v>36982</v>
      </c>
      <c r="G514" s="16">
        <v>372.86</v>
      </c>
      <c r="H514" s="16">
        <f t="shared" si="36"/>
        <v>371.68693161953371</v>
      </c>
      <c r="I514">
        <f t="shared" si="37"/>
        <v>4</v>
      </c>
      <c r="J514" s="16" cm="1">
        <f t="array" ref="J514">INDEX(Sm,I514)</f>
        <v>2.6103146023823673</v>
      </c>
      <c r="K514" s="16">
        <f t="shared" si="38"/>
        <v>374.29724622191605</v>
      </c>
      <c r="L514" s="16">
        <f t="shared" si="39"/>
        <v>-1.4372462219160411</v>
      </c>
      <c r="M514" s="16">
        <f t="shared" si="40"/>
        <v>2.0656767024119342</v>
      </c>
    </row>
    <row r="515" spans="6:13" x14ac:dyDescent="0.4">
      <c r="F515" s="1">
        <v>37012</v>
      </c>
      <c r="G515" s="16">
        <v>374.02</v>
      </c>
      <c r="H515" s="16">
        <f t="shared" ref="H515:H578" si="41">_A*F515*F515+_B*F515+_C</f>
        <v>371.84211379769135</v>
      </c>
      <c r="I515">
        <f t="shared" ref="I515:I578" si="42">MONTH(F515)</f>
        <v>5</v>
      </c>
      <c r="J515" s="16" cm="1">
        <f t="array" ref="J515">INDEX(Sm,I515)</f>
        <v>3.0656878503632123</v>
      </c>
      <c r="K515" s="16">
        <f t="shared" ref="K515:K578" si="43">H515+J515</f>
        <v>374.90780164805454</v>
      </c>
      <c r="L515" s="16">
        <f t="shared" ref="L515:L578" si="44">G515-K515</f>
        <v>-0.88780164805456252</v>
      </c>
      <c r="M515" s="16">
        <f t="shared" ref="M515:M578" si="45">L515*L515</f>
        <v>0.78819176628839727</v>
      </c>
    </row>
    <row r="516" spans="6:13" x14ac:dyDescent="0.4">
      <c r="F516" s="1">
        <v>37043</v>
      </c>
      <c r="G516" s="16">
        <v>373.31</v>
      </c>
      <c r="H516" s="16">
        <f t="shared" si="41"/>
        <v>372.00265412258562</v>
      </c>
      <c r="I516">
        <f t="shared" si="42"/>
        <v>6</v>
      </c>
      <c r="J516" s="16" cm="1">
        <f t="array" ref="J516">INDEX(Sm,I516)</f>
        <v>2.3467878975381979</v>
      </c>
      <c r="K516" s="16">
        <f t="shared" si="43"/>
        <v>374.34944202012383</v>
      </c>
      <c r="L516" s="16">
        <f t="shared" si="44"/>
        <v>-1.039442020123829</v>
      </c>
      <c r="M516" s="16">
        <f t="shared" si="45"/>
        <v>1.0804397131991066</v>
      </c>
    </row>
    <row r="517" spans="6:13" x14ac:dyDescent="0.4">
      <c r="F517" s="1">
        <v>37073</v>
      </c>
      <c r="G517" s="16">
        <v>371.62</v>
      </c>
      <c r="H517" s="16">
        <f t="shared" si="41"/>
        <v>372.15819515390069</v>
      </c>
      <c r="I517">
        <f t="shared" si="42"/>
        <v>7</v>
      </c>
      <c r="J517" s="16" cm="1">
        <f t="array" ref="J517">INDEX(Sm,I517)</f>
        <v>0.72373827090267417</v>
      </c>
      <c r="K517" s="16">
        <f t="shared" si="43"/>
        <v>372.88193342480338</v>
      </c>
      <c r="L517" s="16">
        <f t="shared" si="44"/>
        <v>-1.2619334248033738</v>
      </c>
      <c r="M517" s="16">
        <f t="shared" si="45"/>
        <v>1.5924759686359722</v>
      </c>
    </row>
    <row r="518" spans="6:13" x14ac:dyDescent="0.4">
      <c r="F518" s="1">
        <v>37104</v>
      </c>
      <c r="G518" s="16">
        <v>369.55</v>
      </c>
      <c r="H518" s="16">
        <f t="shared" si="41"/>
        <v>372.31910629372425</v>
      </c>
      <c r="I518">
        <f t="shared" si="42"/>
        <v>8</v>
      </c>
      <c r="J518" s="16" cm="1">
        <f t="array" ref="J518">INDEX(Sm,I518)</f>
        <v>-1.3971602749585079</v>
      </c>
      <c r="K518" s="16">
        <f t="shared" si="43"/>
        <v>370.92194601876577</v>
      </c>
      <c r="L518" s="16">
        <f t="shared" si="44"/>
        <v>-1.3719460187657546</v>
      </c>
      <c r="M518" s="16">
        <f t="shared" si="45"/>
        <v>1.8822358784072044</v>
      </c>
    </row>
    <row r="519" spans="6:13" x14ac:dyDescent="0.4">
      <c r="F519" s="1">
        <v>37135</v>
      </c>
      <c r="G519" s="16">
        <v>367.96</v>
      </c>
      <c r="H519" s="16">
        <f t="shared" si="41"/>
        <v>372.48020588047916</v>
      </c>
      <c r="I519">
        <f t="shared" si="42"/>
        <v>9</v>
      </c>
      <c r="J519" s="16" cm="1">
        <f t="array" ref="J519">INDEX(Sm,I519)</f>
        <v>-3.1930865277187257</v>
      </c>
      <c r="K519" s="16">
        <f t="shared" si="43"/>
        <v>369.28711935276044</v>
      </c>
      <c r="L519" s="16">
        <f t="shared" si="44"/>
        <v>-1.3271193527604623</v>
      </c>
      <c r="M519" s="16">
        <f t="shared" si="45"/>
        <v>1.7612457764713485</v>
      </c>
    </row>
    <row r="520" spans="6:13" x14ac:dyDescent="0.4">
      <c r="F520" s="1">
        <v>37165</v>
      </c>
      <c r="G520" s="16">
        <v>368.09</v>
      </c>
      <c r="H520" s="16">
        <f t="shared" si="41"/>
        <v>372.63628813294963</v>
      </c>
      <c r="I520">
        <f t="shared" si="42"/>
        <v>10</v>
      </c>
      <c r="J520" s="16" cm="1">
        <f t="array" ref="J520">INDEX(Sm,I520)</f>
        <v>-3.3364130066587929</v>
      </c>
      <c r="K520" s="16">
        <f t="shared" si="43"/>
        <v>369.29987512629083</v>
      </c>
      <c r="L520" s="16">
        <f t="shared" si="44"/>
        <v>-1.2098751262908536</v>
      </c>
      <c r="M520" s="16">
        <f t="shared" si="45"/>
        <v>1.4637978212173088</v>
      </c>
    </row>
    <row r="521" spans="6:13" x14ac:dyDescent="0.4">
      <c r="F521" s="1">
        <v>37196</v>
      </c>
      <c r="G521" s="16">
        <v>369.68</v>
      </c>
      <c r="H521" s="16">
        <f t="shared" si="41"/>
        <v>372.79775853463389</v>
      </c>
      <c r="I521">
        <f t="shared" si="42"/>
        <v>11</v>
      </c>
      <c r="J521" s="16" cm="1">
        <f t="array" ref="J521">INDEX(Sm,I521)</f>
        <v>-2.0587659549634894</v>
      </c>
      <c r="K521" s="16">
        <f t="shared" si="43"/>
        <v>370.73899257967042</v>
      </c>
      <c r="L521" s="16">
        <f t="shared" si="44"/>
        <v>-1.0589925796704165</v>
      </c>
      <c r="M521" s="16">
        <f t="shared" si="45"/>
        <v>1.1214652837970034</v>
      </c>
    </row>
    <row r="522" spans="6:13" x14ac:dyDescent="0.4">
      <c r="F522" s="1">
        <v>37226</v>
      </c>
      <c r="G522" s="16">
        <v>371.24</v>
      </c>
      <c r="H522" s="16">
        <f t="shared" si="41"/>
        <v>372.95419964026178</v>
      </c>
      <c r="I522">
        <f t="shared" si="42"/>
        <v>12</v>
      </c>
      <c r="J522" s="16" cm="1">
        <f t="array" ref="J522">INDEX(Sm,I522)</f>
        <v>-0.89092746367992248</v>
      </c>
      <c r="K522" s="16">
        <f t="shared" si="43"/>
        <v>372.06327217658185</v>
      </c>
      <c r="L522" s="16">
        <f t="shared" si="44"/>
        <v>-0.82327217658183827</v>
      </c>
      <c r="M522" s="16">
        <f t="shared" si="45"/>
        <v>0.6777770767337975</v>
      </c>
    </row>
    <row r="523" spans="6:13" x14ac:dyDescent="0.4">
      <c r="F523" s="1">
        <v>37257</v>
      </c>
      <c r="G523" s="16">
        <v>372.44</v>
      </c>
      <c r="H523" s="16">
        <f t="shared" si="41"/>
        <v>373.11604085687532</v>
      </c>
      <c r="I523">
        <f t="shared" si="42"/>
        <v>1</v>
      </c>
      <c r="J523" s="16" cm="1">
        <f t="array" ref="J523">INDEX(Sm,I523)</f>
        <v>6.1437951108157106E-2</v>
      </c>
      <c r="K523" s="16">
        <f t="shared" si="43"/>
        <v>373.17747880798345</v>
      </c>
      <c r="L523" s="16">
        <f t="shared" si="44"/>
        <v>-0.73747880798345022</v>
      </c>
      <c r="M523" s="16">
        <f t="shared" si="45"/>
        <v>0.5438749922246906</v>
      </c>
    </row>
    <row r="524" spans="6:13" x14ac:dyDescent="0.4">
      <c r="F524" s="1">
        <v>37288</v>
      </c>
      <c r="G524" s="16">
        <v>373.08</v>
      </c>
      <c r="H524" s="16">
        <f t="shared" si="41"/>
        <v>373.27807052042016</v>
      </c>
      <c r="I524">
        <f t="shared" si="42"/>
        <v>2</v>
      </c>
      <c r="J524" s="16" cm="1">
        <f t="array" ref="J524">INDEX(Sm,I524)</f>
        <v>0.69461918775013354</v>
      </c>
      <c r="K524" s="16">
        <f t="shared" si="43"/>
        <v>373.97268970817026</v>
      </c>
      <c r="L524" s="16">
        <f t="shared" si="44"/>
        <v>-0.89268970817028048</v>
      </c>
      <c r="M524" s="16">
        <f t="shared" si="45"/>
        <v>0.79689491507314059</v>
      </c>
    </row>
    <row r="525" spans="6:13" x14ac:dyDescent="0.4">
      <c r="F525" s="1">
        <v>37316</v>
      </c>
      <c r="G525" s="16">
        <v>373.52</v>
      </c>
      <c r="H525" s="16">
        <f t="shared" si="41"/>
        <v>373.42458186810194</v>
      </c>
      <c r="I525">
        <f t="shared" si="42"/>
        <v>3</v>
      </c>
      <c r="J525" s="16" cm="1">
        <f t="array" ref="J525">INDEX(Sm,I525)</f>
        <v>1.3737674679346947</v>
      </c>
      <c r="K525" s="16">
        <f t="shared" si="43"/>
        <v>374.79834933603661</v>
      </c>
      <c r="L525" s="16">
        <f t="shared" si="44"/>
        <v>-1.2783493360366265</v>
      </c>
      <c r="M525" s="16">
        <f t="shared" si="45"/>
        <v>1.6341770249452838</v>
      </c>
    </row>
    <row r="526" spans="6:13" x14ac:dyDescent="0.4">
      <c r="F526" s="1">
        <v>37347</v>
      </c>
      <c r="G526" s="16">
        <v>374.85</v>
      </c>
      <c r="H526" s="16">
        <f t="shared" si="41"/>
        <v>373.58697018870953</v>
      </c>
      <c r="I526">
        <f t="shared" si="42"/>
        <v>4</v>
      </c>
      <c r="J526" s="16" cm="1">
        <f t="array" ref="J526">INDEX(Sm,I526)</f>
        <v>2.6103146023823673</v>
      </c>
      <c r="K526" s="16">
        <f t="shared" si="43"/>
        <v>376.19728479109187</v>
      </c>
      <c r="L526" s="16">
        <f t="shared" si="44"/>
        <v>-1.3472847910918517</v>
      </c>
      <c r="M526" s="16">
        <f t="shared" si="45"/>
        <v>1.8151763083074146</v>
      </c>
    </row>
    <row r="527" spans="6:13" x14ac:dyDescent="0.4">
      <c r="F527" s="1">
        <v>37377</v>
      </c>
      <c r="G527" s="16">
        <v>375.55</v>
      </c>
      <c r="H527" s="16">
        <f t="shared" si="41"/>
        <v>373.74429960297311</v>
      </c>
      <c r="I527">
        <f t="shared" si="42"/>
        <v>5</v>
      </c>
      <c r="J527" s="16" cm="1">
        <f t="array" ref="J527">INDEX(Sm,I527)</f>
        <v>3.0656878503632123</v>
      </c>
      <c r="K527" s="16">
        <f t="shared" si="43"/>
        <v>376.8099874533363</v>
      </c>
      <c r="L527" s="16">
        <f t="shared" si="44"/>
        <v>-1.2599874533362936</v>
      </c>
      <c r="M527" s="16">
        <f t="shared" si="45"/>
        <v>1.5875683825648785</v>
      </c>
    </row>
    <row r="528" spans="6:13" x14ac:dyDescent="0.4">
      <c r="F528" s="1">
        <v>37408</v>
      </c>
      <c r="G528" s="16">
        <v>375.4</v>
      </c>
      <c r="H528" s="16">
        <f t="shared" si="41"/>
        <v>373.90705873851005</v>
      </c>
      <c r="I528">
        <f t="shared" si="42"/>
        <v>6</v>
      </c>
      <c r="J528" s="16" cm="1">
        <f t="array" ref="J528">INDEX(Sm,I528)</f>
        <v>2.3467878975381979</v>
      </c>
      <c r="K528" s="16">
        <f t="shared" si="43"/>
        <v>376.25384663604825</v>
      </c>
      <c r="L528" s="16">
        <f t="shared" si="44"/>
        <v>-0.85384663604827438</v>
      </c>
      <c r="M528" s="16">
        <f t="shared" si="45"/>
        <v>0.72905407789095433</v>
      </c>
    </row>
    <row r="529" spans="6:13" x14ac:dyDescent="0.4">
      <c r="F529" s="1">
        <v>37438</v>
      </c>
      <c r="G529" s="16">
        <v>374.02</v>
      </c>
      <c r="H529" s="16">
        <f t="shared" si="41"/>
        <v>374.064747005931</v>
      </c>
      <c r="I529">
        <f t="shared" si="42"/>
        <v>7</v>
      </c>
      <c r="J529" s="16" cm="1">
        <f t="array" ref="J529">INDEX(Sm,I529)</f>
        <v>0.72373827090267417</v>
      </c>
      <c r="K529" s="16">
        <f t="shared" si="43"/>
        <v>374.78848527683368</v>
      </c>
      <c r="L529" s="16">
        <f t="shared" si="44"/>
        <v>-0.76848527683370094</v>
      </c>
      <c r="M529" s="16">
        <f t="shared" si="45"/>
        <v>0.59056962071016994</v>
      </c>
    </row>
    <row r="530" spans="6:13" x14ac:dyDescent="0.4">
      <c r="F530" s="1">
        <v>37469</v>
      </c>
      <c r="G530" s="16">
        <v>371.48</v>
      </c>
      <c r="H530" s="16">
        <f t="shared" si="41"/>
        <v>374.22787695639732</v>
      </c>
      <c r="I530">
        <f t="shared" si="42"/>
        <v>8</v>
      </c>
      <c r="J530" s="16" cm="1">
        <f t="array" ref="J530">INDEX(Sm,I530)</f>
        <v>-1.3971602749585079</v>
      </c>
      <c r="K530" s="16">
        <f t="shared" si="43"/>
        <v>372.83071668143884</v>
      </c>
      <c r="L530" s="16">
        <f t="shared" si="44"/>
        <v>-1.3507166814388256</v>
      </c>
      <c r="M530" s="16">
        <f t="shared" si="45"/>
        <v>1.824435553517114</v>
      </c>
    </row>
    <row r="531" spans="6:13" x14ac:dyDescent="0.4">
      <c r="F531" s="1">
        <v>37500</v>
      </c>
      <c r="G531" s="16">
        <v>370.7</v>
      </c>
      <c r="H531" s="16">
        <f t="shared" si="41"/>
        <v>374.3911953537949</v>
      </c>
      <c r="I531">
        <f t="shared" si="42"/>
        <v>9</v>
      </c>
      <c r="J531" s="16" cm="1">
        <f t="array" ref="J531">INDEX(Sm,I531)</f>
        <v>-3.1930865277187257</v>
      </c>
      <c r="K531" s="16">
        <f t="shared" si="43"/>
        <v>371.19810882607618</v>
      </c>
      <c r="L531" s="16">
        <f t="shared" si="44"/>
        <v>-0.49810882607619078</v>
      </c>
      <c r="M531" s="16">
        <f t="shared" si="45"/>
        <v>0.24811240261500087</v>
      </c>
    </row>
    <row r="532" spans="6:13" x14ac:dyDescent="0.4">
      <c r="F532" s="1">
        <v>37530</v>
      </c>
      <c r="G532" s="16">
        <v>370.25</v>
      </c>
      <c r="H532" s="16">
        <f t="shared" si="41"/>
        <v>374.54942484237131</v>
      </c>
      <c r="I532">
        <f t="shared" si="42"/>
        <v>10</v>
      </c>
      <c r="J532" s="16" cm="1">
        <f t="array" ref="J532">INDEX(Sm,I532)</f>
        <v>-3.3364130066587929</v>
      </c>
      <c r="K532" s="16">
        <f t="shared" si="43"/>
        <v>371.21301183571251</v>
      </c>
      <c r="L532" s="16">
        <f t="shared" si="44"/>
        <v>-0.96301183571250704</v>
      </c>
      <c r="M532" s="16">
        <f t="shared" si="45"/>
        <v>0.92739179572237262</v>
      </c>
    </row>
    <row r="533" spans="6:13" x14ac:dyDescent="0.4">
      <c r="F533" s="1">
        <v>37561</v>
      </c>
      <c r="G533" s="16">
        <v>372.08</v>
      </c>
      <c r="H533" s="16">
        <f t="shared" si="41"/>
        <v>374.71311405469822</v>
      </c>
      <c r="I533">
        <f t="shared" si="42"/>
        <v>11</v>
      </c>
      <c r="J533" s="16" cm="1">
        <f t="array" ref="J533">INDEX(Sm,I533)</f>
        <v>-2.0587659549634894</v>
      </c>
      <c r="K533" s="16">
        <f t="shared" si="43"/>
        <v>372.65434809973476</v>
      </c>
      <c r="L533" s="16">
        <f t="shared" si="44"/>
        <v>-0.57434809973477741</v>
      </c>
      <c r="M533" s="16">
        <f t="shared" si="45"/>
        <v>0.32987573966894984</v>
      </c>
    </row>
    <row r="534" spans="6:13" x14ac:dyDescent="0.4">
      <c r="F534" s="1">
        <v>37591</v>
      </c>
      <c r="G534" s="16">
        <v>373.78</v>
      </c>
      <c r="H534" s="16">
        <f t="shared" si="41"/>
        <v>374.87170239643206</v>
      </c>
      <c r="I534">
        <f t="shared" si="42"/>
        <v>12</v>
      </c>
      <c r="J534" s="16" cm="1">
        <f t="array" ref="J534">INDEX(Sm,I534)</f>
        <v>-0.89092746367992248</v>
      </c>
      <c r="K534" s="16">
        <f t="shared" si="43"/>
        <v>373.98077493275213</v>
      </c>
      <c r="L534" s="16">
        <f t="shared" si="44"/>
        <v>-0.20077493275215375</v>
      </c>
      <c r="M534" s="16">
        <f t="shared" si="45"/>
        <v>4.0310573621631859E-2</v>
      </c>
    </row>
    <row r="535" spans="6:13" x14ac:dyDescent="0.4">
      <c r="F535" s="1">
        <v>37622</v>
      </c>
      <c r="G535" s="16">
        <v>374.68</v>
      </c>
      <c r="H535" s="16">
        <f t="shared" si="41"/>
        <v>375.03576242368831</v>
      </c>
      <c r="I535">
        <f t="shared" si="42"/>
        <v>1</v>
      </c>
      <c r="J535" s="16" cm="1">
        <f t="array" ref="J535">INDEX(Sm,I535)</f>
        <v>6.1437951108157106E-2</v>
      </c>
      <c r="K535" s="16">
        <f t="shared" si="43"/>
        <v>375.09720037479644</v>
      </c>
      <c r="L535" s="16">
        <f t="shared" si="44"/>
        <v>-0.41720037479643679</v>
      </c>
      <c r="M535" s="16">
        <f t="shared" si="45"/>
        <v>0.17405615273028732</v>
      </c>
    </row>
    <row r="536" spans="6:13" x14ac:dyDescent="0.4">
      <c r="F536" s="1">
        <v>37653</v>
      </c>
      <c r="G536" s="16">
        <v>375.62</v>
      </c>
      <c r="H536" s="16">
        <f t="shared" si="41"/>
        <v>375.20001089787587</v>
      </c>
      <c r="I536">
        <f t="shared" si="42"/>
        <v>2</v>
      </c>
      <c r="J536" s="16" cm="1">
        <f t="array" ref="J536">INDEX(Sm,I536)</f>
        <v>0.69461918775013354</v>
      </c>
      <c r="K536" s="16">
        <f t="shared" si="43"/>
        <v>375.89463008562598</v>
      </c>
      <c r="L536" s="16">
        <f t="shared" si="44"/>
        <v>-0.27463008562597224</v>
      </c>
      <c r="M536" s="16">
        <f t="shared" si="45"/>
        <v>7.5421683930928851E-2</v>
      </c>
    </row>
    <row r="537" spans="6:13" x14ac:dyDescent="0.4">
      <c r="F537" s="1">
        <v>37681</v>
      </c>
      <c r="G537" s="16">
        <v>376.11</v>
      </c>
      <c r="H537" s="16">
        <f t="shared" si="41"/>
        <v>375.34852633258981</v>
      </c>
      <c r="I537">
        <f t="shared" si="42"/>
        <v>3</v>
      </c>
      <c r="J537" s="16" cm="1">
        <f t="array" ref="J537">INDEX(Sm,I537)</f>
        <v>1.3737674679346947</v>
      </c>
      <c r="K537" s="16">
        <f t="shared" si="43"/>
        <v>376.72229380052448</v>
      </c>
      <c r="L537" s="16">
        <f t="shared" si="44"/>
        <v>-0.61229380052446913</v>
      </c>
      <c r="M537" s="16">
        <f t="shared" si="45"/>
        <v>0.37490369816069841</v>
      </c>
    </row>
    <row r="538" spans="6:13" x14ac:dyDescent="0.4">
      <c r="F538" s="1">
        <v>37712</v>
      </c>
      <c r="G538" s="16">
        <v>377.65</v>
      </c>
      <c r="H538" s="16">
        <f t="shared" si="41"/>
        <v>375.51313346384018</v>
      </c>
      <c r="I538">
        <f t="shared" si="42"/>
        <v>4</v>
      </c>
      <c r="J538" s="16" cm="1">
        <f t="array" ref="J538">INDEX(Sm,I538)</f>
        <v>2.6103146023823673</v>
      </c>
      <c r="K538" s="16">
        <f t="shared" si="43"/>
        <v>378.12344806622252</v>
      </c>
      <c r="L538" s="16">
        <f t="shared" si="44"/>
        <v>-0.47344806622254509</v>
      </c>
      <c r="M538" s="16">
        <f t="shared" si="45"/>
        <v>0.22415307140986745</v>
      </c>
    </row>
    <row r="539" spans="6:13" x14ac:dyDescent="0.4">
      <c r="F539" s="1">
        <v>37742</v>
      </c>
      <c r="G539" s="16">
        <v>378.35</v>
      </c>
      <c r="H539" s="16">
        <f t="shared" si="41"/>
        <v>375.67261011420953</v>
      </c>
      <c r="I539">
        <f t="shared" si="42"/>
        <v>5</v>
      </c>
      <c r="J539" s="16" cm="1">
        <f t="array" ref="J539">INDEX(Sm,I539)</f>
        <v>3.0656878503632123</v>
      </c>
      <c r="K539" s="16">
        <f t="shared" si="43"/>
        <v>378.73829796457272</v>
      </c>
      <c r="L539" s="16">
        <f t="shared" si="44"/>
        <v>-0.38829796457270049</v>
      </c>
      <c r="M539" s="16">
        <f t="shared" si="45"/>
        <v>0.15077530929130217</v>
      </c>
    </row>
    <row r="540" spans="6:13" x14ac:dyDescent="0.4">
      <c r="F540" s="1">
        <v>37773</v>
      </c>
      <c r="G540" s="16">
        <v>378.13</v>
      </c>
      <c r="H540" s="16">
        <f t="shared" si="41"/>
        <v>375.83758806038924</v>
      </c>
      <c r="I540">
        <f t="shared" si="42"/>
        <v>6</v>
      </c>
      <c r="J540" s="16" cm="1">
        <f t="array" ref="J540">INDEX(Sm,I540)</f>
        <v>2.3467878975381979</v>
      </c>
      <c r="K540" s="16">
        <f t="shared" si="43"/>
        <v>378.18437595792744</v>
      </c>
      <c r="L540" s="16">
        <f t="shared" si="44"/>
        <v>-5.4375957927447871E-2</v>
      </c>
      <c r="M540" s="16">
        <f t="shared" si="45"/>
        <v>2.9567448005275812E-3</v>
      </c>
    </row>
    <row r="541" spans="6:13" x14ac:dyDescent="0.4">
      <c r="F541" s="1">
        <v>37803</v>
      </c>
      <c r="G541" s="16">
        <v>376.6</v>
      </c>
      <c r="H541" s="16">
        <f t="shared" si="41"/>
        <v>375.99742356391607</v>
      </c>
      <c r="I541">
        <f t="shared" si="42"/>
        <v>7</v>
      </c>
      <c r="J541" s="16" cm="1">
        <f t="array" ref="J541">INDEX(Sm,I541)</f>
        <v>0.72373827090267417</v>
      </c>
      <c r="K541" s="16">
        <f t="shared" si="43"/>
        <v>376.72116183481876</v>
      </c>
      <c r="L541" s="16">
        <f t="shared" si="44"/>
        <v>-0.12116183481873577</v>
      </c>
      <c r="M541" s="16">
        <f t="shared" si="45"/>
        <v>1.4680190216642611E-2</v>
      </c>
    </row>
    <row r="542" spans="6:13" x14ac:dyDescent="0.4">
      <c r="F542" s="1">
        <v>37834</v>
      </c>
      <c r="G542" s="16">
        <v>374.48</v>
      </c>
      <c r="H542" s="16">
        <f t="shared" si="41"/>
        <v>376.16277232502506</v>
      </c>
      <c r="I542">
        <f t="shared" si="42"/>
        <v>8</v>
      </c>
      <c r="J542" s="16" cm="1">
        <f t="array" ref="J542">INDEX(Sm,I542)</f>
        <v>-1.3971602749585079</v>
      </c>
      <c r="K542" s="16">
        <f t="shared" si="43"/>
        <v>374.76561205006658</v>
      </c>
      <c r="L542" s="16">
        <f t="shared" si="44"/>
        <v>-0.2856120500665611</v>
      </c>
      <c r="M542" s="16">
        <f t="shared" si="45"/>
        <v>8.1574243143223799E-2</v>
      </c>
    </row>
    <row r="543" spans="6:13" x14ac:dyDescent="0.4">
      <c r="F543" s="1">
        <v>37865</v>
      </c>
      <c r="G543" s="16">
        <v>372.98</v>
      </c>
      <c r="H543" s="16">
        <f t="shared" si="41"/>
        <v>376.32830953306541</v>
      </c>
      <c r="I543">
        <f t="shared" si="42"/>
        <v>9</v>
      </c>
      <c r="J543" s="16" cm="1">
        <f t="array" ref="J543">INDEX(Sm,I543)</f>
        <v>-3.1930865277187257</v>
      </c>
      <c r="K543" s="16">
        <f t="shared" si="43"/>
        <v>373.13522300534669</v>
      </c>
      <c r="L543" s="16">
        <f t="shared" si="44"/>
        <v>-0.15522300534667011</v>
      </c>
      <c r="M543" s="16">
        <f t="shared" si="45"/>
        <v>2.4094181388852377E-2</v>
      </c>
    </row>
    <row r="544" spans="6:13" x14ac:dyDescent="0.4">
      <c r="F544" s="1">
        <v>37895</v>
      </c>
      <c r="G544" s="16">
        <v>373</v>
      </c>
      <c r="H544" s="16">
        <f t="shared" si="41"/>
        <v>376.48868625774764</v>
      </c>
      <c r="I544">
        <f t="shared" si="42"/>
        <v>10</v>
      </c>
      <c r="J544" s="16" cm="1">
        <f t="array" ref="J544">INDEX(Sm,I544)</f>
        <v>-3.3364130066587929</v>
      </c>
      <c r="K544" s="16">
        <f t="shared" si="43"/>
        <v>373.15227325108884</v>
      </c>
      <c r="L544" s="16">
        <f t="shared" si="44"/>
        <v>-0.15227325108884315</v>
      </c>
      <c r="M544" s="16">
        <f t="shared" si="45"/>
        <v>2.3187142997165872E-2</v>
      </c>
    </row>
    <row r="545" spans="6:13" x14ac:dyDescent="0.4">
      <c r="F545" s="1">
        <v>37926</v>
      </c>
      <c r="G545" s="16">
        <v>374.35</v>
      </c>
      <c r="H545" s="16">
        <f t="shared" si="41"/>
        <v>376.65459428071733</v>
      </c>
      <c r="I545">
        <f t="shared" si="42"/>
        <v>11</v>
      </c>
      <c r="J545" s="16" cm="1">
        <f t="array" ref="J545">INDEX(Sm,I545)</f>
        <v>-2.0587659549634894</v>
      </c>
      <c r="K545" s="16">
        <f t="shared" si="43"/>
        <v>374.59582832575387</v>
      </c>
      <c r="L545" s="16">
        <f t="shared" si="44"/>
        <v>-0.24582832575384828</v>
      </c>
      <c r="M545" s="16">
        <f t="shared" si="45"/>
        <v>6.0431565742940146E-2</v>
      </c>
    </row>
    <row r="546" spans="6:13" x14ac:dyDescent="0.4">
      <c r="F546" s="1">
        <v>37956</v>
      </c>
      <c r="G546" s="16">
        <v>375.69</v>
      </c>
      <c r="H546" s="16">
        <f t="shared" si="41"/>
        <v>376.81532985855699</v>
      </c>
      <c r="I546">
        <f t="shared" si="42"/>
        <v>12</v>
      </c>
      <c r="J546" s="16" cm="1">
        <f t="array" ref="J546">INDEX(Sm,I546)</f>
        <v>-0.89092746367992248</v>
      </c>
      <c r="K546" s="16">
        <f t="shared" si="43"/>
        <v>375.92440239487706</v>
      </c>
      <c r="L546" s="16">
        <f t="shared" si="44"/>
        <v>-0.23440239487706549</v>
      </c>
      <c r="M546" s="16">
        <f t="shared" si="45"/>
        <v>5.4944482724103738E-2</v>
      </c>
    </row>
    <row r="547" spans="6:13" x14ac:dyDescent="0.4">
      <c r="F547" s="1">
        <v>37987</v>
      </c>
      <c r="G547" s="16">
        <v>376.79</v>
      </c>
      <c r="H547" s="16">
        <f t="shared" si="41"/>
        <v>376.98160869645602</v>
      </c>
      <c r="I547">
        <f t="shared" si="42"/>
        <v>1</v>
      </c>
      <c r="J547" s="16" cm="1">
        <f t="array" ref="J547">INDEX(Sm,I547)</f>
        <v>6.1437951108157106E-2</v>
      </c>
      <c r="K547" s="16">
        <f t="shared" si="43"/>
        <v>377.04304664756415</v>
      </c>
      <c r="L547" s="16">
        <f t="shared" si="44"/>
        <v>-0.25304664756413331</v>
      </c>
      <c r="M547" s="16">
        <f t="shared" si="45"/>
        <v>6.4032605843446694E-2</v>
      </c>
    </row>
    <row r="548" spans="6:13" x14ac:dyDescent="0.4">
      <c r="F548" s="1">
        <v>38018</v>
      </c>
      <c r="G548" s="16">
        <v>377.37</v>
      </c>
      <c r="H548" s="16">
        <f t="shared" si="41"/>
        <v>377.1480759812863</v>
      </c>
      <c r="I548">
        <f t="shared" si="42"/>
        <v>2</v>
      </c>
      <c r="J548" s="16" cm="1">
        <f t="array" ref="J548">INDEX(Sm,I548)</f>
        <v>0.69461918775013354</v>
      </c>
      <c r="K548" s="16">
        <f t="shared" si="43"/>
        <v>377.8426951690364</v>
      </c>
      <c r="L548" s="16">
        <f t="shared" si="44"/>
        <v>-0.47269516903639897</v>
      </c>
      <c r="M548" s="16">
        <f t="shared" si="45"/>
        <v>0.2234407228303498</v>
      </c>
    </row>
    <row r="549" spans="6:13" x14ac:dyDescent="0.4">
      <c r="F549" s="1">
        <v>38047</v>
      </c>
      <c r="G549" s="16">
        <v>378.39</v>
      </c>
      <c r="H549" s="16">
        <f t="shared" si="41"/>
        <v>377.30397404360957</v>
      </c>
      <c r="I549">
        <f t="shared" si="42"/>
        <v>3</v>
      </c>
      <c r="J549" s="16" cm="1">
        <f t="array" ref="J549">INDEX(Sm,I549)</f>
        <v>1.3737674679346947</v>
      </c>
      <c r="K549" s="16">
        <f t="shared" si="43"/>
        <v>378.67774151154424</v>
      </c>
      <c r="L549" s="16">
        <f t="shared" si="44"/>
        <v>-0.28774151154425454</v>
      </c>
      <c r="M549" s="16">
        <f t="shared" si="45"/>
        <v>8.2795177465772363E-2</v>
      </c>
    </row>
    <row r="550" spans="6:13" x14ac:dyDescent="0.4">
      <c r="F550" s="1">
        <v>38078</v>
      </c>
      <c r="G550" s="16">
        <v>380.5</v>
      </c>
      <c r="H550" s="16">
        <f t="shared" si="41"/>
        <v>377.47080606443592</v>
      </c>
      <c r="I550">
        <f t="shared" si="42"/>
        <v>4</v>
      </c>
      <c r="J550" s="16" cm="1">
        <f t="array" ref="J550">INDEX(Sm,I550)</f>
        <v>2.6103146023823673</v>
      </c>
      <c r="K550" s="16">
        <f t="shared" si="43"/>
        <v>380.08112066681826</v>
      </c>
      <c r="L550" s="16">
        <f t="shared" si="44"/>
        <v>0.41887933318173509</v>
      </c>
      <c r="M550" s="16">
        <f t="shared" si="45"/>
        <v>0.17545989576677504</v>
      </c>
    </row>
    <row r="551" spans="6:13" x14ac:dyDescent="0.4">
      <c r="F551" s="1">
        <v>38108</v>
      </c>
      <c r="G551" s="16">
        <v>380.62</v>
      </c>
      <c r="H551" s="16">
        <f t="shared" si="41"/>
        <v>377.63243583374981</v>
      </c>
      <c r="I551">
        <f t="shared" si="42"/>
        <v>5</v>
      </c>
      <c r="J551" s="16" cm="1">
        <f t="array" ref="J551">INDEX(Sm,I551)</f>
        <v>3.0656878503632123</v>
      </c>
      <c r="K551" s="16">
        <f t="shared" si="43"/>
        <v>380.698123684113</v>
      </c>
      <c r="L551" s="16">
        <f t="shared" si="44"/>
        <v>-7.8123684112995306E-2</v>
      </c>
      <c r="M551" s="16">
        <f t="shared" si="45"/>
        <v>6.1033100193870751E-3</v>
      </c>
    </row>
    <row r="552" spans="6:13" x14ac:dyDescent="0.4">
      <c r="F552" s="1">
        <v>38139</v>
      </c>
      <c r="G552" s="16">
        <v>379.55</v>
      </c>
      <c r="H552" s="16">
        <f t="shared" si="41"/>
        <v>377.79963866950555</v>
      </c>
      <c r="I552">
        <f t="shared" si="42"/>
        <v>6</v>
      </c>
      <c r="J552" s="16" cm="1">
        <f t="array" ref="J552">INDEX(Sm,I552)</f>
        <v>2.3467878975381979</v>
      </c>
      <c r="K552" s="16">
        <f t="shared" si="43"/>
        <v>380.14642656704376</v>
      </c>
      <c r="L552" s="16">
        <f t="shared" si="44"/>
        <v>-0.59642656704374986</v>
      </c>
      <c r="M552" s="16">
        <f t="shared" si="45"/>
        <v>0.35572464987559266</v>
      </c>
    </row>
    <row r="553" spans="6:13" x14ac:dyDescent="0.4">
      <c r="F553" s="1">
        <v>38169</v>
      </c>
      <c r="G553" s="16">
        <v>377.76</v>
      </c>
      <c r="H553" s="16">
        <f t="shared" si="41"/>
        <v>377.96162729197687</v>
      </c>
      <c r="I553">
        <f t="shared" si="42"/>
        <v>7</v>
      </c>
      <c r="J553" s="16" cm="1">
        <f t="array" ref="J553">INDEX(Sm,I553)</f>
        <v>0.72373827090267417</v>
      </c>
      <c r="K553" s="16">
        <f t="shared" si="43"/>
        <v>378.68536556287955</v>
      </c>
      <c r="L553" s="16">
        <f t="shared" si="44"/>
        <v>-0.92536556287956273</v>
      </c>
      <c r="M553" s="16">
        <f t="shared" si="45"/>
        <v>0.85630142496341</v>
      </c>
    </row>
    <row r="554" spans="6:13" x14ac:dyDescent="0.4">
      <c r="F554" s="1">
        <v>38200</v>
      </c>
      <c r="G554" s="16">
        <v>375.83</v>
      </c>
      <c r="H554" s="16">
        <f t="shared" si="41"/>
        <v>378.1292009426619</v>
      </c>
      <c r="I554">
        <f t="shared" si="42"/>
        <v>8</v>
      </c>
      <c r="J554" s="16" cm="1">
        <f t="array" ref="J554">INDEX(Sm,I554)</f>
        <v>-1.3971602749585079</v>
      </c>
      <c r="K554" s="16">
        <f t="shared" si="43"/>
        <v>376.73204066770342</v>
      </c>
      <c r="L554" s="16">
        <f t="shared" si="44"/>
        <v>-0.90204066770343161</v>
      </c>
      <c r="M554" s="16">
        <f t="shared" si="45"/>
        <v>0.81367736619085274</v>
      </c>
    </row>
    <row r="555" spans="6:13" x14ac:dyDescent="0.4">
      <c r="F555" s="1">
        <v>38231</v>
      </c>
      <c r="G555" s="16">
        <v>374.05</v>
      </c>
      <c r="H555" s="16">
        <f t="shared" si="41"/>
        <v>378.29696304027823</v>
      </c>
      <c r="I555">
        <f t="shared" si="42"/>
        <v>9</v>
      </c>
      <c r="J555" s="16" cm="1">
        <f t="array" ref="J555">INDEX(Sm,I555)</f>
        <v>-3.1930865277187257</v>
      </c>
      <c r="K555" s="16">
        <f t="shared" si="43"/>
        <v>375.10387651255951</v>
      </c>
      <c r="L555" s="16">
        <f t="shared" si="44"/>
        <v>-1.0538765125594978</v>
      </c>
      <c r="M555" s="16">
        <f t="shared" si="45"/>
        <v>1.1106557037245692</v>
      </c>
    </row>
    <row r="556" spans="6:13" x14ac:dyDescent="0.4">
      <c r="F556" s="1">
        <v>38261</v>
      </c>
      <c r="G556" s="16">
        <v>374.22</v>
      </c>
      <c r="H556" s="16">
        <f t="shared" si="41"/>
        <v>378.459492883905</v>
      </c>
      <c r="I556">
        <f t="shared" si="42"/>
        <v>10</v>
      </c>
      <c r="J556" s="16" cm="1">
        <f t="array" ref="J556">INDEX(Sm,I556)</f>
        <v>-3.3364130066587929</v>
      </c>
      <c r="K556" s="16">
        <f t="shared" si="43"/>
        <v>375.1230798772462</v>
      </c>
      <c r="L556" s="16">
        <f t="shared" si="44"/>
        <v>-0.90307987724617078</v>
      </c>
      <c r="M556" s="16">
        <f t="shared" si="45"/>
        <v>0.81555326468695888</v>
      </c>
    </row>
    <row r="557" spans="6:13" x14ac:dyDescent="0.4">
      <c r="F557" s="1">
        <v>38292</v>
      </c>
      <c r="G557" s="16">
        <v>375.84</v>
      </c>
      <c r="H557" s="16">
        <f t="shared" si="41"/>
        <v>378.62762579645062</v>
      </c>
      <c r="I557">
        <f t="shared" si="42"/>
        <v>11</v>
      </c>
      <c r="J557" s="16" cm="1">
        <f t="array" ref="J557">INDEX(Sm,I557)</f>
        <v>-2.0587659549634894</v>
      </c>
      <c r="K557" s="16">
        <f t="shared" si="43"/>
        <v>376.56885984148715</v>
      </c>
      <c r="L557" s="16">
        <f t="shared" si="44"/>
        <v>-0.72885984148717853</v>
      </c>
      <c r="M557" s="16">
        <f t="shared" si="45"/>
        <v>0.53123666853271501</v>
      </c>
    </row>
    <row r="558" spans="6:13" x14ac:dyDescent="0.4">
      <c r="F558" s="1">
        <v>38322</v>
      </c>
      <c r="G558" s="16">
        <v>377.44</v>
      </c>
      <c r="H558" s="16">
        <f t="shared" si="41"/>
        <v>378.79051449323487</v>
      </c>
      <c r="I558">
        <f t="shared" si="42"/>
        <v>12</v>
      </c>
      <c r="J558" s="16" cm="1">
        <f t="array" ref="J558">INDEX(Sm,I558)</f>
        <v>-0.89092746367992248</v>
      </c>
      <c r="K558" s="16">
        <f t="shared" si="43"/>
        <v>377.89958702955494</v>
      </c>
      <c r="L558" s="16">
        <f t="shared" si="44"/>
        <v>-0.45958702955493891</v>
      </c>
      <c r="M558" s="16">
        <f t="shared" si="45"/>
        <v>0.21122023773513229</v>
      </c>
    </row>
    <row r="559" spans="6:13" x14ac:dyDescent="0.4">
      <c r="F559" s="1">
        <v>38353</v>
      </c>
      <c r="G559" s="16">
        <v>378.34</v>
      </c>
      <c r="H559" s="16">
        <f t="shared" si="41"/>
        <v>378.95901822070982</v>
      </c>
      <c r="I559">
        <f t="shared" si="42"/>
        <v>1</v>
      </c>
      <c r="J559" s="16" cm="1">
        <f t="array" ref="J559">INDEX(Sm,I559)</f>
        <v>6.1437951108157106E-2</v>
      </c>
      <c r="K559" s="16">
        <f t="shared" si="43"/>
        <v>379.02045617181795</v>
      </c>
      <c r="L559" s="16">
        <f t="shared" si="44"/>
        <v>-0.68045617181797979</v>
      </c>
      <c r="M559" s="16">
        <f t="shared" si="45"/>
        <v>0.46302060176518006</v>
      </c>
    </row>
    <row r="560" spans="6:13" x14ac:dyDescent="0.4">
      <c r="F560" s="1">
        <v>38384</v>
      </c>
      <c r="G560" s="16">
        <v>379.61</v>
      </c>
      <c r="H560" s="16">
        <f t="shared" si="41"/>
        <v>379.12771039511614</v>
      </c>
      <c r="I560">
        <f t="shared" si="42"/>
        <v>2</v>
      </c>
      <c r="J560" s="16" cm="1">
        <f t="array" ref="J560">INDEX(Sm,I560)</f>
        <v>0.69461918775013354</v>
      </c>
      <c r="K560" s="16">
        <f t="shared" si="43"/>
        <v>379.82232958286625</v>
      </c>
      <c r="L560" s="16">
        <f t="shared" si="44"/>
        <v>-0.21232958286623216</v>
      </c>
      <c r="M560" s="16">
        <f t="shared" si="45"/>
        <v>4.5083851760148147E-2</v>
      </c>
    </row>
    <row r="561" spans="6:13" x14ac:dyDescent="0.4">
      <c r="F561" s="1">
        <v>38412</v>
      </c>
      <c r="G561" s="16">
        <v>380.08</v>
      </c>
      <c r="H561" s="16">
        <f t="shared" si="41"/>
        <v>379.28023949454371</v>
      </c>
      <c r="I561">
        <f t="shared" si="42"/>
        <v>3</v>
      </c>
      <c r="J561" s="16" cm="1">
        <f t="array" ref="J561">INDEX(Sm,I561)</f>
        <v>1.3737674679346947</v>
      </c>
      <c r="K561" s="16">
        <f t="shared" si="43"/>
        <v>380.65400696247838</v>
      </c>
      <c r="L561" s="16">
        <f t="shared" si="44"/>
        <v>-0.57400696247839278</v>
      </c>
      <c r="M561" s="16">
        <f t="shared" si="45"/>
        <v>0.32948399297367104</v>
      </c>
    </row>
    <row r="562" spans="6:13" x14ac:dyDescent="0.4">
      <c r="F562" s="1">
        <v>38443</v>
      </c>
      <c r="G562" s="16">
        <v>382.05</v>
      </c>
      <c r="H562" s="16">
        <f t="shared" si="41"/>
        <v>379.44929032601283</v>
      </c>
      <c r="I562">
        <f t="shared" si="42"/>
        <v>4</v>
      </c>
      <c r="J562" s="16" cm="1">
        <f t="array" ref="J562">INDEX(Sm,I562)</f>
        <v>2.6103146023823673</v>
      </c>
      <c r="K562" s="16">
        <f t="shared" si="43"/>
        <v>382.05960492839517</v>
      </c>
      <c r="L562" s="16">
        <f t="shared" si="44"/>
        <v>-9.604928395162915E-3</v>
      </c>
      <c r="M562" s="16">
        <f t="shared" si="45"/>
        <v>9.2254649476206853E-5</v>
      </c>
    </row>
    <row r="563" spans="6:13" x14ac:dyDescent="0.4">
      <c r="F563" s="1">
        <v>38473</v>
      </c>
      <c r="G563" s="16">
        <v>382.24</v>
      </c>
      <c r="H563" s="16">
        <f t="shared" si="41"/>
        <v>379.6130673314326</v>
      </c>
      <c r="I563">
        <f t="shared" si="42"/>
        <v>5</v>
      </c>
      <c r="J563" s="16" cm="1">
        <f t="array" ref="J563">INDEX(Sm,I563)</f>
        <v>3.0656878503632123</v>
      </c>
      <c r="K563" s="16">
        <f t="shared" si="43"/>
        <v>382.67875518179579</v>
      </c>
      <c r="L563" s="16">
        <f t="shared" si="44"/>
        <v>-0.43875518179578421</v>
      </c>
      <c r="M563" s="16">
        <f t="shared" si="45"/>
        <v>0.19250610955265166</v>
      </c>
    </row>
    <row r="564" spans="6:13" x14ac:dyDescent="0.4">
      <c r="F564" s="1">
        <v>38504</v>
      </c>
      <c r="G564" s="16">
        <v>382.08</v>
      </c>
      <c r="H564" s="16">
        <f t="shared" si="41"/>
        <v>379.78248897783101</v>
      </c>
      <c r="I564">
        <f t="shared" si="42"/>
        <v>6</v>
      </c>
      <c r="J564" s="16" cm="1">
        <f t="array" ref="J564">INDEX(Sm,I564)</f>
        <v>2.3467878975381979</v>
      </c>
      <c r="K564" s="16">
        <f t="shared" si="43"/>
        <v>382.12927687536921</v>
      </c>
      <c r="L564" s="16">
        <f t="shared" si="44"/>
        <v>-4.9276875369230311E-2</v>
      </c>
      <c r="M564" s="16">
        <f t="shared" si="45"/>
        <v>2.4282104461546567E-3</v>
      </c>
    </row>
    <row r="565" spans="6:13" x14ac:dyDescent="0.4">
      <c r="F565" s="1">
        <v>38534</v>
      </c>
      <c r="G565" s="16">
        <v>380.66</v>
      </c>
      <c r="H565" s="16">
        <f t="shared" si="41"/>
        <v>379.9466248364082</v>
      </c>
      <c r="I565">
        <f t="shared" si="42"/>
        <v>7</v>
      </c>
      <c r="J565" s="16" cm="1">
        <f t="array" ref="J565">INDEX(Sm,I565)</f>
        <v>0.72373827090267417</v>
      </c>
      <c r="K565" s="16">
        <f t="shared" si="43"/>
        <v>380.67036310731089</v>
      </c>
      <c r="L565" s="16">
        <f t="shared" si="44"/>
        <v>-1.0363107310865871E-2</v>
      </c>
      <c r="M565" s="16">
        <f t="shared" si="45"/>
        <v>1.0739399313652166E-4</v>
      </c>
    </row>
    <row r="566" spans="6:13" x14ac:dyDescent="0.4">
      <c r="F566" s="1">
        <v>38565</v>
      </c>
      <c r="G566" s="16">
        <v>378.67</v>
      </c>
      <c r="H566" s="16">
        <f t="shared" si="41"/>
        <v>380.11641729773595</v>
      </c>
      <c r="I566">
        <f t="shared" si="42"/>
        <v>8</v>
      </c>
      <c r="J566" s="16" cm="1">
        <f t="array" ref="J566">INDEX(Sm,I566)</f>
        <v>-1.3971602749585079</v>
      </c>
      <c r="K566" s="16">
        <f t="shared" si="43"/>
        <v>378.71925702277747</v>
      </c>
      <c r="L566" s="16">
        <f t="shared" si="44"/>
        <v>-4.9257022777453585E-2</v>
      </c>
      <c r="M566" s="16">
        <f t="shared" si="45"/>
        <v>2.4262542928985813E-3</v>
      </c>
    </row>
    <row r="567" spans="6:13" x14ac:dyDescent="0.4">
      <c r="F567" s="1">
        <v>38596</v>
      </c>
      <c r="G567" s="16">
        <v>376.42</v>
      </c>
      <c r="H567" s="16">
        <f t="shared" si="41"/>
        <v>380.28639820599506</v>
      </c>
      <c r="I567">
        <f t="shared" si="42"/>
        <v>9</v>
      </c>
      <c r="J567" s="16" cm="1">
        <f t="array" ref="J567">INDEX(Sm,I567)</f>
        <v>-3.1930865277187257</v>
      </c>
      <c r="K567" s="16">
        <f t="shared" si="43"/>
        <v>377.09331167827634</v>
      </c>
      <c r="L567" s="16">
        <f t="shared" si="44"/>
        <v>-0.67331167827632044</v>
      </c>
      <c r="M567" s="16">
        <f t="shared" si="45"/>
        <v>0.45334861610327526</v>
      </c>
    </row>
    <row r="568" spans="6:13" x14ac:dyDescent="0.4">
      <c r="F568" s="1">
        <v>38626</v>
      </c>
      <c r="G568" s="16">
        <v>376.8</v>
      </c>
      <c r="H568" s="16">
        <f t="shared" si="41"/>
        <v>380.45107528572765</v>
      </c>
      <c r="I568">
        <f t="shared" si="42"/>
        <v>10</v>
      </c>
      <c r="J568" s="16" cm="1">
        <f t="array" ref="J568">INDEX(Sm,I568)</f>
        <v>-3.3364130066587929</v>
      </c>
      <c r="K568" s="16">
        <f t="shared" si="43"/>
        <v>377.11466227906885</v>
      </c>
      <c r="L568" s="16">
        <f t="shared" si="44"/>
        <v>-0.31466227906884114</v>
      </c>
      <c r="M568" s="16">
        <f t="shared" si="45"/>
        <v>9.901234986879727E-2</v>
      </c>
    </row>
    <row r="569" spans="6:13" x14ac:dyDescent="0.4">
      <c r="F569" s="1">
        <v>38657</v>
      </c>
      <c r="G569" s="16">
        <v>378.31</v>
      </c>
      <c r="H569" s="16">
        <f t="shared" si="41"/>
        <v>380.62142700891604</v>
      </c>
      <c r="I569">
        <f t="shared" si="42"/>
        <v>11</v>
      </c>
      <c r="J569" s="16" cm="1">
        <f t="array" ref="J569">INDEX(Sm,I569)</f>
        <v>-2.0587659549634894</v>
      </c>
      <c r="K569" s="16">
        <f t="shared" si="43"/>
        <v>378.56266105395258</v>
      </c>
      <c r="L569" s="16">
        <f t="shared" si="44"/>
        <v>-0.2526610539525791</v>
      </c>
      <c r="M569" s="16">
        <f t="shared" si="45"/>
        <v>6.3837608184428088E-2</v>
      </c>
    </row>
    <row r="570" spans="6:13" x14ac:dyDescent="0.4">
      <c r="F570" s="1">
        <v>38687</v>
      </c>
      <c r="G570" s="16">
        <v>379.96</v>
      </c>
      <c r="H570" s="16">
        <f t="shared" si="41"/>
        <v>380.78646294180612</v>
      </c>
      <c r="I570">
        <f t="shared" si="42"/>
        <v>12</v>
      </c>
      <c r="J570" s="16" cm="1">
        <f t="array" ref="J570">INDEX(Sm,I570)</f>
        <v>-0.89092746367992248</v>
      </c>
      <c r="K570" s="16">
        <f t="shared" si="43"/>
        <v>379.89553547812619</v>
      </c>
      <c r="L570" s="16">
        <f t="shared" si="44"/>
        <v>6.4464521873787817E-2</v>
      </c>
      <c r="M570" s="16">
        <f t="shared" si="45"/>
        <v>4.1556745804160675E-3</v>
      </c>
    </row>
    <row r="571" spans="6:13" x14ac:dyDescent="0.4">
      <c r="F571" s="1">
        <v>38718</v>
      </c>
      <c r="G571" s="16">
        <v>381.37</v>
      </c>
      <c r="H571" s="16">
        <f t="shared" si="41"/>
        <v>380.95718547992385</v>
      </c>
      <c r="I571">
        <f t="shared" si="42"/>
        <v>1</v>
      </c>
      <c r="J571" s="16" cm="1">
        <f t="array" ref="J571">INDEX(Sm,I571)</f>
        <v>6.1437951108157106E-2</v>
      </c>
      <c r="K571" s="16">
        <f t="shared" si="43"/>
        <v>381.01862343103198</v>
      </c>
      <c r="L571" s="16">
        <f t="shared" si="44"/>
        <v>0.35137656896802127</v>
      </c>
      <c r="M571" s="16">
        <f t="shared" si="45"/>
        <v>0.12346549321973861</v>
      </c>
    </row>
    <row r="572" spans="6:13" x14ac:dyDescent="0.4">
      <c r="F572" s="1">
        <v>38749</v>
      </c>
      <c r="G572" s="16">
        <v>382.02</v>
      </c>
      <c r="H572" s="16">
        <f t="shared" si="41"/>
        <v>381.12809646497283</v>
      </c>
      <c r="I572">
        <f t="shared" si="42"/>
        <v>2</v>
      </c>
      <c r="J572" s="16" cm="1">
        <f t="array" ref="J572">INDEX(Sm,I572)</f>
        <v>0.69461918775013354</v>
      </c>
      <c r="K572" s="16">
        <f t="shared" si="43"/>
        <v>381.82271565272293</v>
      </c>
      <c r="L572" s="16">
        <f t="shared" si="44"/>
        <v>0.1972843472770478</v>
      </c>
      <c r="M572" s="16">
        <f t="shared" si="45"/>
        <v>3.8921113680530799E-2</v>
      </c>
    </row>
    <row r="573" spans="6:13" x14ac:dyDescent="0.4">
      <c r="F573" s="1">
        <v>38777</v>
      </c>
      <c r="G573" s="16">
        <v>382.56</v>
      </c>
      <c r="H573" s="16">
        <f t="shared" si="41"/>
        <v>381.28262965143256</v>
      </c>
      <c r="I573">
        <f t="shared" si="42"/>
        <v>3</v>
      </c>
      <c r="J573" s="16" cm="1">
        <f t="array" ref="J573">INDEX(Sm,I573)</f>
        <v>1.3737674679346947</v>
      </c>
      <c r="K573" s="16">
        <f t="shared" si="43"/>
        <v>382.65639711936723</v>
      </c>
      <c r="L573" s="16">
        <f t="shared" si="44"/>
        <v>-9.6397119367225059E-2</v>
      </c>
      <c r="M573" s="16">
        <f t="shared" si="45"/>
        <v>9.2924046222990359E-3</v>
      </c>
    </row>
    <row r="574" spans="6:13" x14ac:dyDescent="0.4">
      <c r="F574" s="1">
        <v>38808</v>
      </c>
      <c r="G574" s="16">
        <v>384.36</v>
      </c>
      <c r="H574" s="16">
        <f t="shared" si="41"/>
        <v>381.4538992935444</v>
      </c>
      <c r="I574">
        <f t="shared" si="42"/>
        <v>4</v>
      </c>
      <c r="J574" s="16" cm="1">
        <f t="array" ref="J574">INDEX(Sm,I574)</f>
        <v>2.6103146023823673</v>
      </c>
      <c r="K574" s="16">
        <f t="shared" si="43"/>
        <v>384.06421389592674</v>
      </c>
      <c r="L574" s="16">
        <f t="shared" si="44"/>
        <v>0.29578610407327233</v>
      </c>
      <c r="M574" s="16">
        <f t="shared" si="45"/>
        <v>8.7489419362844684E-2</v>
      </c>
    </row>
    <row r="575" spans="6:13" x14ac:dyDescent="0.4">
      <c r="F575" s="1">
        <v>38838</v>
      </c>
      <c r="G575" s="16">
        <v>384.92</v>
      </c>
      <c r="H575" s="16">
        <f t="shared" si="41"/>
        <v>381.61982353507005</v>
      </c>
      <c r="I575">
        <f t="shared" si="42"/>
        <v>5</v>
      </c>
      <c r="J575" s="16" cm="1">
        <f t="array" ref="J575">INDEX(Sm,I575)</f>
        <v>3.0656878503632123</v>
      </c>
      <c r="K575" s="16">
        <f t="shared" si="43"/>
        <v>384.68551138543324</v>
      </c>
      <c r="L575" s="16">
        <f t="shared" si="44"/>
        <v>0.2344886145667715</v>
      </c>
      <c r="M575" s="16">
        <f t="shared" si="45"/>
        <v>5.4984910361443921E-2</v>
      </c>
    </row>
    <row r="576" spans="6:13" x14ac:dyDescent="0.4">
      <c r="F576" s="1">
        <v>38869</v>
      </c>
      <c r="G576" s="16">
        <v>384.03</v>
      </c>
      <c r="H576" s="16">
        <f t="shared" si="41"/>
        <v>381.79146399211123</v>
      </c>
      <c r="I576">
        <f t="shared" si="42"/>
        <v>6</v>
      </c>
      <c r="J576" s="16" cm="1">
        <f t="array" ref="J576">INDEX(Sm,I576)</f>
        <v>2.3467878975381979</v>
      </c>
      <c r="K576" s="16">
        <f t="shared" si="43"/>
        <v>384.13825188964944</v>
      </c>
      <c r="L576" s="16">
        <f t="shared" si="44"/>
        <v>-0.10825188964946619</v>
      </c>
      <c r="M576" s="16">
        <f t="shared" si="45"/>
        <v>1.1718471612680206E-2</v>
      </c>
    </row>
    <row r="577" spans="6:13" x14ac:dyDescent="0.4">
      <c r="F577" s="1">
        <v>38899</v>
      </c>
      <c r="G577" s="16">
        <v>382.28</v>
      </c>
      <c r="H577" s="16">
        <f t="shared" si="41"/>
        <v>381.95774708679426</v>
      </c>
      <c r="I577">
        <f t="shared" si="42"/>
        <v>7</v>
      </c>
      <c r="J577" s="16" cm="1">
        <f t="array" ref="J577">INDEX(Sm,I577)</f>
        <v>0.72373827090267417</v>
      </c>
      <c r="K577" s="16">
        <f t="shared" si="43"/>
        <v>382.68148535769694</v>
      </c>
      <c r="L577" s="16">
        <f t="shared" si="44"/>
        <v>-0.40148535769696991</v>
      </c>
      <c r="M577" s="16">
        <f t="shared" si="45"/>
        <v>0.16119049244506387</v>
      </c>
    </row>
    <row r="578" spans="6:13" x14ac:dyDescent="0.4">
      <c r="F578" s="1">
        <v>38930</v>
      </c>
      <c r="G578" s="16">
        <v>380.48</v>
      </c>
      <c r="H578" s="16">
        <f t="shared" si="41"/>
        <v>382.12975835876478</v>
      </c>
      <c r="I578">
        <f t="shared" si="42"/>
        <v>8</v>
      </c>
      <c r="J578" s="16" cm="1">
        <f t="array" ref="J578">INDEX(Sm,I578)</f>
        <v>-1.3971602749585079</v>
      </c>
      <c r="K578" s="16">
        <f t="shared" si="43"/>
        <v>380.73259808380629</v>
      </c>
      <c r="L578" s="16">
        <f t="shared" si="44"/>
        <v>-0.25259808380627646</v>
      </c>
      <c r="M578" s="16">
        <f t="shared" si="45"/>
        <v>6.3805791942602663E-2</v>
      </c>
    </row>
    <row r="579" spans="6:13" x14ac:dyDescent="0.4">
      <c r="F579" s="1">
        <v>38961</v>
      </c>
      <c r="G579" s="16">
        <v>378.81</v>
      </c>
      <c r="H579" s="16">
        <f t="shared" ref="H579:H642" si="46">_A*F579*F579+_B*F579+_C</f>
        <v>382.30195807766654</v>
      </c>
      <c r="I579">
        <f t="shared" ref="I579:I642" si="47">MONTH(F579)</f>
        <v>9</v>
      </c>
      <c r="J579" s="16" cm="1">
        <f t="array" ref="J579">INDEX(Sm,I579)</f>
        <v>-3.1930865277187257</v>
      </c>
      <c r="K579" s="16">
        <f t="shared" ref="K579:K642" si="48">H579+J579</f>
        <v>379.10887154994782</v>
      </c>
      <c r="L579" s="16">
        <f t="shared" ref="L579:L642" si="49">G579-K579</f>
        <v>-0.29887154994781895</v>
      </c>
      <c r="M579" s="16">
        <f t="shared" ref="M579:M642" si="50">L579*L579</f>
        <v>8.9324203368211633E-2</v>
      </c>
    </row>
    <row r="580" spans="6:13" x14ac:dyDescent="0.4">
      <c r="F580" s="1">
        <v>38991</v>
      </c>
      <c r="G580" s="16">
        <v>379.06</v>
      </c>
      <c r="H580" s="16">
        <f t="shared" si="46"/>
        <v>382.46878239350502</v>
      </c>
      <c r="I580">
        <f t="shared" si="47"/>
        <v>10</v>
      </c>
      <c r="J580" s="16" cm="1">
        <f t="array" ref="J580">INDEX(Sm,I580)</f>
        <v>-3.3364130066587929</v>
      </c>
      <c r="K580" s="16">
        <f t="shared" si="48"/>
        <v>379.13236938684622</v>
      </c>
      <c r="L580" s="16">
        <f t="shared" si="49"/>
        <v>-7.2369386846219186E-2</v>
      </c>
      <c r="M580" s="16">
        <f t="shared" si="50"/>
        <v>5.2373281524977222E-3</v>
      </c>
    </row>
    <row r="581" spans="6:13" x14ac:dyDescent="0.4">
      <c r="F581" s="1">
        <v>39022</v>
      </c>
      <c r="G581" s="16">
        <v>380.14</v>
      </c>
      <c r="H581" s="16">
        <f t="shared" si="46"/>
        <v>382.64135292733613</v>
      </c>
      <c r="I581">
        <f t="shared" si="47"/>
        <v>11</v>
      </c>
      <c r="J581" s="16" cm="1">
        <f t="array" ref="J581">INDEX(Sm,I581)</f>
        <v>-2.0587659549634894</v>
      </c>
      <c r="K581" s="16">
        <f t="shared" si="48"/>
        <v>380.58258697237267</v>
      </c>
      <c r="L581" s="16">
        <f t="shared" si="49"/>
        <v>-0.44258697237268052</v>
      </c>
      <c r="M581" s="16">
        <f t="shared" si="50"/>
        <v>0.19588322811401587</v>
      </c>
    </row>
    <row r="582" spans="6:13" x14ac:dyDescent="0.4">
      <c r="F582" s="1">
        <v>39052</v>
      </c>
      <c r="G582" s="16">
        <v>381.66</v>
      </c>
      <c r="H582" s="16">
        <f t="shared" si="46"/>
        <v>382.80853609633209</v>
      </c>
      <c r="I582">
        <f t="shared" si="47"/>
        <v>12</v>
      </c>
      <c r="J582" s="16" cm="1">
        <f t="array" ref="J582">INDEX(Sm,I582)</f>
        <v>-0.89092746367992248</v>
      </c>
      <c r="K582" s="16">
        <f t="shared" si="48"/>
        <v>381.91760863265216</v>
      </c>
      <c r="L582" s="16">
        <f t="shared" si="49"/>
        <v>-0.25760863265213629</v>
      </c>
      <c r="M582" s="16">
        <f t="shared" si="50"/>
        <v>6.6362207616903299E-2</v>
      </c>
    </row>
    <row r="583" spans="6:13" x14ac:dyDescent="0.4">
      <c r="F583" s="1">
        <v>39083</v>
      </c>
      <c r="G583" s="16">
        <v>382.58</v>
      </c>
      <c r="H583" s="16">
        <f t="shared" si="46"/>
        <v>382.98147744509254</v>
      </c>
      <c r="I583">
        <f t="shared" si="47"/>
        <v>1</v>
      </c>
      <c r="J583" s="16" cm="1">
        <f t="array" ref="J583">INDEX(Sm,I583)</f>
        <v>6.1437951108157106E-2</v>
      </c>
      <c r="K583" s="16">
        <f t="shared" si="48"/>
        <v>383.04291539620067</v>
      </c>
      <c r="L583" s="16">
        <f t="shared" si="49"/>
        <v>-0.46291539620068534</v>
      </c>
      <c r="M583" s="16">
        <f t="shared" si="50"/>
        <v>0.21429066403963748</v>
      </c>
    </row>
    <row r="584" spans="6:13" x14ac:dyDescent="0.4">
      <c r="F584" s="1">
        <v>39114</v>
      </c>
      <c r="G584" s="16">
        <v>383.71</v>
      </c>
      <c r="H584" s="16">
        <f t="shared" si="46"/>
        <v>383.15460724078429</v>
      </c>
      <c r="I584">
        <f t="shared" si="47"/>
        <v>2</v>
      </c>
      <c r="J584" s="16" cm="1">
        <f t="array" ref="J584">INDEX(Sm,I584)</f>
        <v>0.69461918775013354</v>
      </c>
      <c r="K584" s="16">
        <f t="shared" si="48"/>
        <v>383.84922642853439</v>
      </c>
      <c r="L584" s="16">
        <f t="shared" si="49"/>
        <v>-0.13922642853441403</v>
      </c>
      <c r="M584" s="16">
        <f t="shared" si="50"/>
        <v>1.9383998402448296E-2</v>
      </c>
    </row>
    <row r="585" spans="6:13" x14ac:dyDescent="0.4">
      <c r="F585" s="1">
        <v>39142</v>
      </c>
      <c r="G585" s="16">
        <v>384.34</v>
      </c>
      <c r="H585" s="16">
        <f t="shared" si="46"/>
        <v>383.31114451427618</v>
      </c>
      <c r="I585">
        <f t="shared" si="47"/>
        <v>3</v>
      </c>
      <c r="J585" s="16" cm="1">
        <f t="array" ref="J585">INDEX(Sm,I585)</f>
        <v>1.3737674679346947</v>
      </c>
      <c r="K585" s="16">
        <f t="shared" si="48"/>
        <v>384.68491198221085</v>
      </c>
      <c r="L585" s="16">
        <f t="shared" si="49"/>
        <v>-0.34491198221087416</v>
      </c>
      <c r="M585" s="16">
        <f t="shared" si="50"/>
        <v>0.11896427547263437</v>
      </c>
    </row>
    <row r="586" spans="6:13" x14ac:dyDescent="0.4">
      <c r="F586" s="1">
        <v>39173</v>
      </c>
      <c r="G586" s="16">
        <v>386.23</v>
      </c>
      <c r="H586" s="16">
        <f t="shared" si="46"/>
        <v>383.48463296703073</v>
      </c>
      <c r="I586">
        <f t="shared" si="47"/>
        <v>4</v>
      </c>
      <c r="J586" s="16" cm="1">
        <f t="array" ref="J586">INDEX(Sm,I586)</f>
        <v>2.6103146023823673</v>
      </c>
      <c r="K586" s="16">
        <f t="shared" si="48"/>
        <v>386.09494756941308</v>
      </c>
      <c r="L586" s="16">
        <f t="shared" si="49"/>
        <v>0.1350524305869385</v>
      </c>
      <c r="M586" s="16">
        <f t="shared" si="50"/>
        <v>1.8239159007439842E-2</v>
      </c>
    </row>
    <row r="587" spans="6:13" x14ac:dyDescent="0.4">
      <c r="F587" s="1">
        <v>39203</v>
      </c>
      <c r="G587" s="16">
        <v>386.41</v>
      </c>
      <c r="H587" s="16">
        <f t="shared" si="46"/>
        <v>383.65270444466222</v>
      </c>
      <c r="I587">
        <f t="shared" si="47"/>
        <v>5</v>
      </c>
      <c r="J587" s="16" cm="1">
        <f t="array" ref="J587">INDEX(Sm,I587)</f>
        <v>3.0656878503632123</v>
      </c>
      <c r="K587" s="16">
        <f t="shared" si="48"/>
        <v>386.71839229502541</v>
      </c>
      <c r="L587" s="16">
        <f t="shared" si="49"/>
        <v>-0.30839229502538501</v>
      </c>
      <c r="M587" s="16">
        <f t="shared" si="50"/>
        <v>9.5105807631024109E-2</v>
      </c>
    </row>
    <row r="588" spans="6:13" x14ac:dyDescent="0.4">
      <c r="F588" s="1">
        <v>39234</v>
      </c>
      <c r="G588" s="16">
        <v>385.87</v>
      </c>
      <c r="H588" s="16">
        <f t="shared" si="46"/>
        <v>383.82656371234611</v>
      </c>
      <c r="I588">
        <f t="shared" si="47"/>
        <v>6</v>
      </c>
      <c r="J588" s="16" cm="1">
        <f t="array" ref="J588">INDEX(Sm,I588)</f>
        <v>2.3467878975381979</v>
      </c>
      <c r="K588" s="16">
        <f t="shared" si="48"/>
        <v>386.17335160988432</v>
      </c>
      <c r="L588" s="16">
        <f t="shared" si="49"/>
        <v>-0.30335160988431653</v>
      </c>
      <c r="M588" s="16">
        <f t="shared" si="50"/>
        <v>9.2022199219406561E-2</v>
      </c>
    </row>
    <row r="589" spans="6:13" x14ac:dyDescent="0.4">
      <c r="F589" s="1">
        <v>39264</v>
      </c>
      <c r="G589" s="16">
        <v>384.44</v>
      </c>
      <c r="H589" s="16">
        <f t="shared" si="46"/>
        <v>383.99499404313502</v>
      </c>
      <c r="I589">
        <f t="shared" si="47"/>
        <v>7</v>
      </c>
      <c r="J589" s="16" cm="1">
        <f t="array" ref="J589">INDEX(Sm,I589)</f>
        <v>0.72373827090267417</v>
      </c>
      <c r="K589" s="16">
        <f t="shared" si="48"/>
        <v>384.71873231403771</v>
      </c>
      <c r="L589" s="16">
        <f t="shared" si="49"/>
        <v>-0.27873231403771115</v>
      </c>
      <c r="M589" s="16">
        <f t="shared" si="50"/>
        <v>7.769170288881723E-2</v>
      </c>
    </row>
    <row r="590" spans="6:13" x14ac:dyDescent="0.4">
      <c r="F590" s="1">
        <v>39295</v>
      </c>
      <c r="G590" s="16">
        <v>381.84</v>
      </c>
      <c r="H590" s="16">
        <f t="shared" si="46"/>
        <v>384.16922412574826</v>
      </c>
      <c r="I590">
        <f t="shared" si="47"/>
        <v>8</v>
      </c>
      <c r="J590" s="16" cm="1">
        <f t="array" ref="J590">INDEX(Sm,I590)</f>
        <v>-1.3971602749585079</v>
      </c>
      <c r="K590" s="16">
        <f t="shared" si="48"/>
        <v>382.77206385078978</v>
      </c>
      <c r="L590" s="16">
        <f t="shared" si="49"/>
        <v>-0.93206385078980247</v>
      </c>
      <c r="M590" s="16">
        <f t="shared" si="50"/>
        <v>0.86874302194911512</v>
      </c>
    </row>
    <row r="591" spans="6:13" x14ac:dyDescent="0.4">
      <c r="F591" s="1">
        <v>39326</v>
      </c>
      <c r="G591" s="16">
        <v>380.86</v>
      </c>
      <c r="H591" s="16">
        <f t="shared" si="46"/>
        <v>384.34364265529274</v>
      </c>
      <c r="I591">
        <f t="shared" si="47"/>
        <v>9</v>
      </c>
      <c r="J591" s="16" cm="1">
        <f t="array" ref="J591">INDEX(Sm,I591)</f>
        <v>-3.1930865277187257</v>
      </c>
      <c r="K591" s="16">
        <f t="shared" si="48"/>
        <v>381.15055612757402</v>
      </c>
      <c r="L591" s="16">
        <f t="shared" si="49"/>
        <v>-0.29055612757400695</v>
      </c>
      <c r="M591" s="16">
        <f t="shared" si="50"/>
        <v>8.4422863270802603E-2</v>
      </c>
    </row>
    <row r="592" spans="6:13" x14ac:dyDescent="0.4">
      <c r="F592" s="1">
        <v>39356</v>
      </c>
      <c r="G592" s="16">
        <v>380.86</v>
      </c>
      <c r="H592" s="16">
        <f t="shared" si="46"/>
        <v>384.51261420723711</v>
      </c>
      <c r="I592">
        <f t="shared" si="47"/>
        <v>10</v>
      </c>
      <c r="J592" s="16" cm="1">
        <f t="array" ref="J592">INDEX(Sm,I592)</f>
        <v>-3.3364130066587929</v>
      </c>
      <c r="K592" s="16">
        <f t="shared" si="48"/>
        <v>381.1762012005783</v>
      </c>
      <c r="L592" s="16">
        <f t="shared" si="49"/>
        <v>-0.31620120057829126</v>
      </c>
      <c r="M592" s="16">
        <f t="shared" si="50"/>
        <v>9.9983199247152779E-2</v>
      </c>
    </row>
    <row r="593" spans="6:13" x14ac:dyDescent="0.4">
      <c r="F593" s="1">
        <v>39387</v>
      </c>
      <c r="G593" s="16">
        <v>382.36</v>
      </c>
      <c r="H593" s="16">
        <f t="shared" si="46"/>
        <v>384.68740355171099</v>
      </c>
      <c r="I593">
        <f t="shared" si="47"/>
        <v>11</v>
      </c>
      <c r="J593" s="16" cm="1">
        <f t="array" ref="J593">INDEX(Sm,I593)</f>
        <v>-2.0587659549634894</v>
      </c>
      <c r="K593" s="16">
        <f t="shared" si="48"/>
        <v>382.62863759674752</v>
      </c>
      <c r="L593" s="16">
        <f t="shared" si="49"/>
        <v>-0.26863759674751009</v>
      </c>
      <c r="M593" s="16">
        <f t="shared" si="50"/>
        <v>7.2166158386277837E-2</v>
      </c>
    </row>
    <row r="594" spans="6:13" x14ac:dyDescent="0.4">
      <c r="F594" s="1">
        <v>39417</v>
      </c>
      <c r="G594" s="16">
        <v>383.61</v>
      </c>
      <c r="H594" s="16">
        <f t="shared" si="46"/>
        <v>384.85673395681277</v>
      </c>
      <c r="I594">
        <f t="shared" si="47"/>
        <v>12</v>
      </c>
      <c r="J594" s="16" cm="1">
        <f t="array" ref="J594">INDEX(Sm,I594)</f>
        <v>-0.89092746367992248</v>
      </c>
      <c r="K594" s="16">
        <f t="shared" si="48"/>
        <v>383.96580649313285</v>
      </c>
      <c r="L594" s="16">
        <f t="shared" si="49"/>
        <v>-0.35580649313283175</v>
      </c>
      <c r="M594" s="16">
        <f t="shared" si="50"/>
        <v>0.12659826055548384</v>
      </c>
    </row>
    <row r="595" spans="6:13" x14ac:dyDescent="0.4">
      <c r="F595" s="1">
        <v>39448</v>
      </c>
      <c r="G595" s="16">
        <v>385.07</v>
      </c>
      <c r="H595" s="16">
        <f t="shared" si="46"/>
        <v>385.03189411621599</v>
      </c>
      <c r="I595">
        <f t="shared" si="47"/>
        <v>1</v>
      </c>
      <c r="J595" s="16" cm="1">
        <f t="array" ref="J595">INDEX(Sm,I595)</f>
        <v>6.1437951108157106E-2</v>
      </c>
      <c r="K595" s="16">
        <f t="shared" si="48"/>
        <v>385.09333206732413</v>
      </c>
      <c r="L595" s="16">
        <f t="shared" si="49"/>
        <v>-2.3332067324133732E-2</v>
      </c>
      <c r="M595" s="16">
        <f t="shared" si="50"/>
        <v>5.4438536561790898E-4</v>
      </c>
    </row>
    <row r="596" spans="6:13" x14ac:dyDescent="0.4">
      <c r="F596" s="1">
        <v>39479</v>
      </c>
      <c r="G596" s="16">
        <v>385.84</v>
      </c>
      <c r="H596" s="16">
        <f t="shared" si="46"/>
        <v>385.2072427225504</v>
      </c>
      <c r="I596">
        <f t="shared" si="47"/>
        <v>2</v>
      </c>
      <c r="J596" s="16" cm="1">
        <f t="array" ref="J596">INDEX(Sm,I596)</f>
        <v>0.69461918775013354</v>
      </c>
      <c r="K596" s="16">
        <f t="shared" si="48"/>
        <v>385.90186191030051</v>
      </c>
      <c r="L596" s="16">
        <f t="shared" si="49"/>
        <v>-6.1861910300535783E-2</v>
      </c>
      <c r="M596" s="16">
        <f t="shared" si="50"/>
        <v>3.8268959460315351E-3</v>
      </c>
    </row>
    <row r="597" spans="6:13" x14ac:dyDescent="0.4">
      <c r="F597" s="1">
        <v>39508</v>
      </c>
      <c r="G597" s="16">
        <v>385.83</v>
      </c>
      <c r="H597" s="16">
        <f t="shared" si="46"/>
        <v>385.37144911789375</v>
      </c>
      <c r="I597">
        <f t="shared" si="47"/>
        <v>3</v>
      </c>
      <c r="J597" s="16" cm="1">
        <f t="array" ref="J597">INDEX(Sm,I597)</f>
        <v>1.3737674679346947</v>
      </c>
      <c r="K597" s="16">
        <f t="shared" si="48"/>
        <v>386.74521658582842</v>
      </c>
      <c r="L597" s="16">
        <f t="shared" si="49"/>
        <v>-0.91521658582843202</v>
      </c>
      <c r="M597" s="16">
        <f t="shared" si="50"/>
        <v>0.83762139897545163</v>
      </c>
    </row>
    <row r="598" spans="6:13" x14ac:dyDescent="0.4">
      <c r="F598" s="1">
        <v>39539</v>
      </c>
      <c r="G598" s="16">
        <v>386.77</v>
      </c>
      <c r="H598" s="16">
        <f t="shared" si="46"/>
        <v>385.54716246022434</v>
      </c>
      <c r="I598">
        <f t="shared" si="47"/>
        <v>4</v>
      </c>
      <c r="J598" s="16" cm="1">
        <f t="array" ref="J598">INDEX(Sm,I598)</f>
        <v>2.6103146023823673</v>
      </c>
      <c r="K598" s="16">
        <f t="shared" si="48"/>
        <v>388.15747706260669</v>
      </c>
      <c r="L598" s="16">
        <f t="shared" si="49"/>
        <v>-1.3874770626067061</v>
      </c>
      <c r="M598" s="16">
        <f t="shared" si="50"/>
        <v>1.9250925992597334</v>
      </c>
    </row>
    <row r="599" spans="6:13" x14ac:dyDescent="0.4">
      <c r="F599" s="1">
        <v>39569</v>
      </c>
      <c r="G599" s="16">
        <v>388.51</v>
      </c>
      <c r="H599" s="16">
        <f t="shared" si="46"/>
        <v>385.71738705680036</v>
      </c>
      <c r="I599">
        <f t="shared" si="47"/>
        <v>5</v>
      </c>
      <c r="J599" s="16" cm="1">
        <f t="array" ref="J599">INDEX(Sm,I599)</f>
        <v>3.0656878503632123</v>
      </c>
      <c r="K599" s="16">
        <f t="shared" si="48"/>
        <v>388.78307490716355</v>
      </c>
      <c r="L599" s="16">
        <f t="shared" si="49"/>
        <v>-0.27307490716356142</v>
      </c>
      <c r="M599" s="16">
        <f t="shared" si="50"/>
        <v>7.4569904922387686E-2</v>
      </c>
    </row>
    <row r="600" spans="6:13" x14ac:dyDescent="0.4">
      <c r="F600" s="1">
        <v>39600</v>
      </c>
      <c r="G600" s="16">
        <v>388.05</v>
      </c>
      <c r="H600" s="16">
        <f t="shared" si="46"/>
        <v>385.89347121406024</v>
      </c>
      <c r="I600">
        <f t="shared" si="47"/>
        <v>6</v>
      </c>
      <c r="J600" s="16" cm="1">
        <f t="array" ref="J600">INDEX(Sm,I600)</f>
        <v>2.3467878975381979</v>
      </c>
      <c r="K600" s="16">
        <f t="shared" si="48"/>
        <v>388.24025911159845</v>
      </c>
      <c r="L600" s="16">
        <f t="shared" si="49"/>
        <v>-0.19025911159843645</v>
      </c>
      <c r="M600" s="16">
        <f t="shared" si="50"/>
        <v>3.6198529546226293E-2</v>
      </c>
    </row>
    <row r="601" spans="6:13" x14ac:dyDescent="0.4">
      <c r="F601" s="1">
        <v>39630</v>
      </c>
      <c r="G601" s="16">
        <v>386.25</v>
      </c>
      <c r="H601" s="16">
        <f t="shared" si="46"/>
        <v>386.06405466379363</v>
      </c>
      <c r="I601">
        <f t="shared" si="47"/>
        <v>7</v>
      </c>
      <c r="J601" s="16" cm="1">
        <f t="array" ref="J601">INDEX(Sm,I601)</f>
        <v>0.72373827090267417</v>
      </c>
      <c r="K601" s="16">
        <f t="shared" si="48"/>
        <v>386.78779293469631</v>
      </c>
      <c r="L601" s="16">
        <f t="shared" si="49"/>
        <v>-0.53779293469631284</v>
      </c>
      <c r="M601" s="16">
        <f t="shared" si="50"/>
        <v>0.28922124060927262</v>
      </c>
    </row>
    <row r="602" spans="6:13" x14ac:dyDescent="0.4">
      <c r="F602" s="1">
        <v>39661</v>
      </c>
      <c r="G602" s="16">
        <v>384.08</v>
      </c>
      <c r="H602" s="16">
        <f t="shared" si="46"/>
        <v>386.24050963598285</v>
      </c>
      <c r="I602">
        <f t="shared" si="47"/>
        <v>8</v>
      </c>
      <c r="J602" s="16" cm="1">
        <f t="array" ref="J602">INDEX(Sm,I602)</f>
        <v>-1.3971602749585079</v>
      </c>
      <c r="K602" s="16">
        <f t="shared" si="48"/>
        <v>384.84334936102437</v>
      </c>
      <c r="L602" s="16">
        <f t="shared" si="49"/>
        <v>-0.76334936102438178</v>
      </c>
      <c r="M602" s="16">
        <f t="shared" si="50"/>
        <v>0.58270224697633199</v>
      </c>
    </row>
    <row r="603" spans="6:13" x14ac:dyDescent="0.4">
      <c r="F603" s="1">
        <v>39692</v>
      </c>
      <c r="G603" s="16">
        <v>383.09</v>
      </c>
      <c r="H603" s="16">
        <f t="shared" si="46"/>
        <v>386.41715305510337</v>
      </c>
      <c r="I603">
        <f t="shared" si="47"/>
        <v>9</v>
      </c>
      <c r="J603" s="16" cm="1">
        <f t="array" ref="J603">INDEX(Sm,I603)</f>
        <v>-3.1930865277187257</v>
      </c>
      <c r="K603" s="16">
        <f t="shared" si="48"/>
        <v>383.22406652738465</v>
      </c>
      <c r="L603" s="16">
        <f t="shared" si="49"/>
        <v>-0.13406652738467528</v>
      </c>
      <c r="M603" s="16">
        <f t="shared" si="50"/>
        <v>1.7973833764985889E-2</v>
      </c>
    </row>
    <row r="604" spans="6:13" x14ac:dyDescent="0.4">
      <c r="F604" s="1">
        <v>39722</v>
      </c>
      <c r="G604" s="16">
        <v>382.78</v>
      </c>
      <c r="H604" s="16">
        <f t="shared" si="46"/>
        <v>386.58827772599227</v>
      </c>
      <c r="I604">
        <f t="shared" si="47"/>
        <v>10</v>
      </c>
      <c r="J604" s="16" cm="1">
        <f t="array" ref="J604">INDEX(Sm,I604)</f>
        <v>-3.3364130066587929</v>
      </c>
      <c r="K604" s="16">
        <f t="shared" si="48"/>
        <v>383.25186471933347</v>
      </c>
      <c r="L604" s="16">
        <f t="shared" si="49"/>
        <v>-0.47186471933349594</v>
      </c>
      <c r="M604" s="16">
        <f t="shared" si="50"/>
        <v>0.2226563133516789</v>
      </c>
    </row>
    <row r="605" spans="6:13" x14ac:dyDescent="0.4">
      <c r="F605" s="1">
        <v>39753</v>
      </c>
      <c r="G605" s="16">
        <v>384.01</v>
      </c>
      <c r="H605" s="16">
        <f t="shared" si="46"/>
        <v>386.76529196004213</v>
      </c>
      <c r="I605">
        <f t="shared" si="47"/>
        <v>11</v>
      </c>
      <c r="J605" s="16" cm="1">
        <f t="array" ref="J605">INDEX(Sm,I605)</f>
        <v>-2.0587659549634894</v>
      </c>
      <c r="K605" s="16">
        <f t="shared" si="48"/>
        <v>384.70652600507867</v>
      </c>
      <c r="L605" s="16">
        <f t="shared" si="49"/>
        <v>-0.69652600507868101</v>
      </c>
      <c r="M605" s="16">
        <f t="shared" si="50"/>
        <v>0.48514847575086678</v>
      </c>
    </row>
    <row r="606" spans="6:13" x14ac:dyDescent="0.4">
      <c r="F606" s="1">
        <v>39783</v>
      </c>
      <c r="G606" s="16">
        <v>385.11</v>
      </c>
      <c r="H606" s="16">
        <f t="shared" si="46"/>
        <v>386.9367754840884</v>
      </c>
      <c r="I606">
        <f t="shared" si="47"/>
        <v>12</v>
      </c>
      <c r="J606" s="16" cm="1">
        <f t="array" ref="J606">INDEX(Sm,I606)</f>
        <v>-0.89092746367992248</v>
      </c>
      <c r="K606" s="16">
        <f t="shared" si="48"/>
        <v>386.04584802040847</v>
      </c>
      <c r="L606" s="16">
        <f t="shared" si="49"/>
        <v>-0.93584802040845716</v>
      </c>
      <c r="M606" s="16">
        <f t="shared" si="50"/>
        <v>0.87581151730242801</v>
      </c>
    </row>
    <row r="607" spans="6:13" x14ac:dyDescent="0.4">
      <c r="F607" s="1">
        <v>39814</v>
      </c>
      <c r="G607" s="16">
        <v>386.65</v>
      </c>
      <c r="H607" s="16">
        <f t="shared" si="46"/>
        <v>387.1141605330676</v>
      </c>
      <c r="I607">
        <f t="shared" si="47"/>
        <v>1</v>
      </c>
      <c r="J607" s="16" cm="1">
        <f t="array" ref="J607">INDEX(Sm,I607)</f>
        <v>6.1437951108157106E-2</v>
      </c>
      <c r="K607" s="16">
        <f t="shared" si="48"/>
        <v>387.17559848417574</v>
      </c>
      <c r="L607" s="16">
        <f t="shared" si="49"/>
        <v>-0.52559848417575949</v>
      </c>
      <c r="M607" s="16">
        <f t="shared" si="50"/>
        <v>0.27625376656785611</v>
      </c>
    </row>
    <row r="608" spans="6:13" x14ac:dyDescent="0.4">
      <c r="F608" s="1">
        <v>39845</v>
      </c>
      <c r="G608" s="16">
        <v>387.12</v>
      </c>
      <c r="H608" s="16">
        <f t="shared" si="46"/>
        <v>387.29173402897806</v>
      </c>
      <c r="I608">
        <f t="shared" si="47"/>
        <v>2</v>
      </c>
      <c r="J608" s="16" cm="1">
        <f t="array" ref="J608">INDEX(Sm,I608)</f>
        <v>0.69461918775013354</v>
      </c>
      <c r="K608" s="16">
        <f t="shared" si="48"/>
        <v>387.98635321672816</v>
      </c>
      <c r="L608" s="16">
        <f t="shared" si="49"/>
        <v>-0.86635321672815735</v>
      </c>
      <c r="M608" s="16">
        <f t="shared" si="50"/>
        <v>0.75056789613522557</v>
      </c>
    </row>
    <row r="609" spans="6:13" x14ac:dyDescent="0.4">
      <c r="F609" s="1">
        <v>39873</v>
      </c>
      <c r="G609" s="16">
        <v>388.52</v>
      </c>
      <c r="H609" s="16">
        <f t="shared" si="46"/>
        <v>387.45228496718363</v>
      </c>
      <c r="I609">
        <f t="shared" si="47"/>
        <v>3</v>
      </c>
      <c r="J609" s="16" cm="1">
        <f t="array" ref="J609">INDEX(Sm,I609)</f>
        <v>1.3737674679346947</v>
      </c>
      <c r="K609" s="16">
        <f t="shared" si="48"/>
        <v>388.8260524351183</v>
      </c>
      <c r="L609" s="16">
        <f t="shared" si="49"/>
        <v>-0.30605243511831759</v>
      </c>
      <c r="M609" s="16">
        <f t="shared" si="50"/>
        <v>9.3668093041852002E-2</v>
      </c>
    </row>
    <row r="610" spans="6:13" x14ac:dyDescent="0.4">
      <c r="F610" s="1">
        <v>39904</v>
      </c>
      <c r="G610" s="16">
        <v>389.57</v>
      </c>
      <c r="H610" s="16">
        <f t="shared" si="46"/>
        <v>387.63021712015694</v>
      </c>
      <c r="I610">
        <f t="shared" si="47"/>
        <v>4</v>
      </c>
      <c r="J610" s="16" cm="1">
        <f t="array" ref="J610">INDEX(Sm,I610)</f>
        <v>2.6103146023823673</v>
      </c>
      <c r="K610" s="16">
        <f t="shared" si="48"/>
        <v>390.24053172253929</v>
      </c>
      <c r="L610" s="16">
        <f t="shared" si="49"/>
        <v>-0.67053172253929461</v>
      </c>
      <c r="M610" s="16">
        <f t="shared" si="50"/>
        <v>0.44961279093151357</v>
      </c>
    </row>
    <row r="611" spans="6:13" x14ac:dyDescent="0.4">
      <c r="F611" s="1">
        <v>39934</v>
      </c>
      <c r="G611" s="16">
        <v>390.17</v>
      </c>
      <c r="H611" s="16">
        <f t="shared" si="46"/>
        <v>387.80258895283879</v>
      </c>
      <c r="I611">
        <f t="shared" si="47"/>
        <v>5</v>
      </c>
      <c r="J611" s="16" cm="1">
        <f t="array" ref="J611">INDEX(Sm,I611)</f>
        <v>3.0656878503632123</v>
      </c>
      <c r="K611" s="16">
        <f t="shared" si="48"/>
        <v>390.86827680320198</v>
      </c>
      <c r="L611" s="16">
        <f t="shared" si="49"/>
        <v>-0.6982768032019635</v>
      </c>
      <c r="M611" s="16">
        <f t="shared" si="50"/>
        <v>0.48759049388995368</v>
      </c>
    </row>
    <row r="612" spans="6:13" x14ac:dyDescent="0.4">
      <c r="F612" s="1">
        <v>39965</v>
      </c>
      <c r="G612" s="16">
        <v>389.62</v>
      </c>
      <c r="H612" s="16">
        <f t="shared" si="46"/>
        <v>387.98089192074144</v>
      </c>
      <c r="I612">
        <f t="shared" si="47"/>
        <v>6</v>
      </c>
      <c r="J612" s="16" cm="1">
        <f t="array" ref="J612">INDEX(Sm,I612)</f>
        <v>2.3467878975381979</v>
      </c>
      <c r="K612" s="16">
        <f t="shared" si="48"/>
        <v>390.32767981827965</v>
      </c>
      <c r="L612" s="16">
        <f t="shared" si="49"/>
        <v>-0.70767981827964377</v>
      </c>
      <c r="M612" s="16">
        <f t="shared" si="50"/>
        <v>0.50081072520030967</v>
      </c>
    </row>
    <row r="613" spans="6:13" x14ac:dyDescent="0.4">
      <c r="F613" s="1">
        <v>39995</v>
      </c>
      <c r="G613" s="16">
        <v>388.07</v>
      </c>
      <c r="H613" s="16">
        <f t="shared" si="46"/>
        <v>388.15362260658071</v>
      </c>
      <c r="I613">
        <f t="shared" si="47"/>
        <v>7</v>
      </c>
      <c r="J613" s="16" cm="1">
        <f t="array" ref="J613">INDEX(Sm,I613)</f>
        <v>0.72373827090267417</v>
      </c>
      <c r="K613" s="16">
        <f t="shared" si="48"/>
        <v>388.8773608774834</v>
      </c>
      <c r="L613" s="16">
        <f t="shared" si="49"/>
        <v>-0.80736087748340424</v>
      </c>
      <c r="M613" s="16">
        <f t="shared" si="50"/>
        <v>0.65183158649077244</v>
      </c>
    </row>
    <row r="614" spans="6:13" x14ac:dyDescent="0.4">
      <c r="F614" s="1">
        <v>40026</v>
      </c>
      <c r="G614" s="16">
        <v>386.08</v>
      </c>
      <c r="H614" s="16">
        <f t="shared" si="46"/>
        <v>388.33229638941265</v>
      </c>
      <c r="I614">
        <f t="shared" si="47"/>
        <v>8</v>
      </c>
      <c r="J614" s="16" cm="1">
        <f t="array" ref="J614">INDEX(Sm,I614)</f>
        <v>-1.3971602749585079</v>
      </c>
      <c r="K614" s="16">
        <f t="shared" si="48"/>
        <v>386.93513611445417</v>
      </c>
      <c r="L614" s="16">
        <f t="shared" si="49"/>
        <v>-0.85513611445418292</v>
      </c>
      <c r="M614" s="16">
        <f t="shared" si="50"/>
        <v>0.73125777424379745</v>
      </c>
    </row>
    <row r="615" spans="6:13" x14ac:dyDescent="0.4">
      <c r="F615" s="1">
        <v>40057</v>
      </c>
      <c r="G615" s="16">
        <v>384.65</v>
      </c>
      <c r="H615" s="16">
        <f t="shared" si="46"/>
        <v>388.51115861917589</v>
      </c>
      <c r="I615">
        <f t="shared" si="47"/>
        <v>9</v>
      </c>
      <c r="J615" s="16" cm="1">
        <f t="array" ref="J615">INDEX(Sm,I615)</f>
        <v>-3.1930865277187257</v>
      </c>
      <c r="K615" s="16">
        <f t="shared" si="48"/>
        <v>385.31807209145717</v>
      </c>
      <c r="L615" s="16">
        <f t="shared" si="49"/>
        <v>-0.66807209145719071</v>
      </c>
      <c r="M615" s="16">
        <f t="shared" si="50"/>
        <v>0.44632031938398498</v>
      </c>
    </row>
    <row r="616" spans="6:13" x14ac:dyDescent="0.4">
      <c r="F616" s="1">
        <v>40087</v>
      </c>
      <c r="G616" s="16">
        <v>384.33</v>
      </c>
      <c r="H616" s="16">
        <f t="shared" si="46"/>
        <v>388.68443052617067</v>
      </c>
      <c r="I616">
        <f t="shared" si="47"/>
        <v>10</v>
      </c>
      <c r="J616" s="16" cm="1">
        <f t="array" ref="J616">INDEX(Sm,I616)</f>
        <v>-3.3364130066587929</v>
      </c>
      <c r="K616" s="16">
        <f t="shared" si="48"/>
        <v>385.34801751951187</v>
      </c>
      <c r="L616" s="16">
        <f t="shared" si="49"/>
        <v>-1.0180175195118863</v>
      </c>
      <c r="M616" s="16">
        <f t="shared" si="50"/>
        <v>1.0363596700331339</v>
      </c>
    </row>
    <row r="617" spans="6:13" x14ac:dyDescent="0.4">
      <c r="F617" s="1">
        <v>40118</v>
      </c>
      <c r="G617" s="16">
        <v>386.05</v>
      </c>
      <c r="H617" s="16">
        <f t="shared" si="46"/>
        <v>388.8636635708632</v>
      </c>
      <c r="I617">
        <f t="shared" si="47"/>
        <v>11</v>
      </c>
      <c r="J617" s="16" cm="1">
        <f t="array" ref="J617">INDEX(Sm,I617)</f>
        <v>-2.0587659549634894</v>
      </c>
      <c r="K617" s="16">
        <f t="shared" si="48"/>
        <v>386.80489761589973</v>
      </c>
      <c r="L617" s="16">
        <f t="shared" si="49"/>
        <v>-0.75489761589972204</v>
      </c>
      <c r="M617" s="16">
        <f t="shared" si="50"/>
        <v>0.56987041049108422</v>
      </c>
    </row>
    <row r="618" spans="6:13" x14ac:dyDescent="0.4">
      <c r="F618" s="1">
        <v>40148</v>
      </c>
      <c r="G618" s="16">
        <v>387.49</v>
      </c>
      <c r="H618" s="16">
        <f t="shared" si="46"/>
        <v>389.0372943310154</v>
      </c>
      <c r="I618">
        <f t="shared" si="47"/>
        <v>12</v>
      </c>
      <c r="J618" s="16" cm="1">
        <f t="array" ref="J618">INDEX(Sm,I618)</f>
        <v>-0.89092746367992248</v>
      </c>
      <c r="K618" s="16">
        <f t="shared" si="48"/>
        <v>388.14636686733547</v>
      </c>
      <c r="L618" s="16">
        <f t="shared" si="49"/>
        <v>-0.65636686733546412</v>
      </c>
      <c r="M618" s="16">
        <f t="shared" si="50"/>
        <v>0.43081746453577074</v>
      </c>
    </row>
    <row r="619" spans="6:13" x14ac:dyDescent="0.4">
      <c r="F619" s="1">
        <v>40179</v>
      </c>
      <c r="G619" s="16">
        <v>388.55</v>
      </c>
      <c r="H619" s="16">
        <f t="shared" si="46"/>
        <v>389.21689819063732</v>
      </c>
      <c r="I619">
        <f t="shared" si="47"/>
        <v>1</v>
      </c>
      <c r="J619" s="16" cm="1">
        <f t="array" ref="J619">INDEX(Sm,I619)</f>
        <v>6.1437951108157106E-2</v>
      </c>
      <c r="K619" s="16">
        <f t="shared" si="48"/>
        <v>389.27833614174546</v>
      </c>
      <c r="L619" s="16">
        <f t="shared" si="49"/>
        <v>-0.72833614174544437</v>
      </c>
      <c r="M619" s="16">
        <f t="shared" si="50"/>
        <v>0.53047353537264008</v>
      </c>
    </row>
    <row r="620" spans="6:13" x14ac:dyDescent="0.4">
      <c r="F620" s="1">
        <v>40210</v>
      </c>
      <c r="G620" s="16">
        <v>390.08</v>
      </c>
      <c r="H620" s="16">
        <f t="shared" si="46"/>
        <v>389.39669049719055</v>
      </c>
      <c r="I620">
        <f t="shared" si="47"/>
        <v>2</v>
      </c>
      <c r="J620" s="16" cm="1">
        <f t="array" ref="J620">INDEX(Sm,I620)</f>
        <v>0.69461918775013354</v>
      </c>
      <c r="K620" s="16">
        <f t="shared" si="48"/>
        <v>390.09130968494065</v>
      </c>
      <c r="L620" s="16">
        <f t="shared" si="49"/>
        <v>-1.1309684940670195E-2</v>
      </c>
      <c r="M620" s="16">
        <f t="shared" si="50"/>
        <v>1.279089734572222E-4</v>
      </c>
    </row>
    <row r="621" spans="6:13" x14ac:dyDescent="0.4">
      <c r="F621" s="1">
        <v>40238</v>
      </c>
      <c r="G621" s="16">
        <v>391.01</v>
      </c>
      <c r="H621" s="16">
        <f t="shared" si="46"/>
        <v>389.55924552242823</v>
      </c>
      <c r="I621">
        <f t="shared" si="47"/>
        <v>3</v>
      </c>
      <c r="J621" s="16" cm="1">
        <f t="array" ref="J621">INDEX(Sm,I621)</f>
        <v>1.3737674679346947</v>
      </c>
      <c r="K621" s="16">
        <f t="shared" si="48"/>
        <v>390.9330129903629</v>
      </c>
      <c r="L621" s="16">
        <f t="shared" si="49"/>
        <v>7.6987009637093706E-2</v>
      </c>
      <c r="M621" s="16">
        <f t="shared" si="50"/>
        <v>5.9269996528619594E-3</v>
      </c>
    </row>
    <row r="622" spans="6:13" x14ac:dyDescent="0.4">
      <c r="F622" s="1">
        <v>40269</v>
      </c>
      <c r="G622" s="16">
        <v>392.38</v>
      </c>
      <c r="H622" s="16">
        <f t="shared" si="46"/>
        <v>389.73939648604426</v>
      </c>
      <c r="I622">
        <f t="shared" si="47"/>
        <v>4</v>
      </c>
      <c r="J622" s="16" cm="1">
        <f t="array" ref="J622">INDEX(Sm,I622)</f>
        <v>2.6103146023823673</v>
      </c>
      <c r="K622" s="16">
        <f t="shared" si="48"/>
        <v>392.3497110884266</v>
      </c>
      <c r="L622" s="16">
        <f t="shared" si="49"/>
        <v>3.0288911573393307E-2</v>
      </c>
      <c r="M622" s="16">
        <f t="shared" si="50"/>
        <v>9.1741816430083902E-4</v>
      </c>
    </row>
    <row r="623" spans="6:13" x14ac:dyDescent="0.4">
      <c r="F623" s="1">
        <v>40299</v>
      </c>
      <c r="G623" s="16">
        <v>393.22</v>
      </c>
      <c r="H623" s="16">
        <f t="shared" si="46"/>
        <v>389.91391555483199</v>
      </c>
      <c r="I623">
        <f t="shared" si="47"/>
        <v>5</v>
      </c>
      <c r="J623" s="16" cm="1">
        <f t="array" ref="J623">INDEX(Sm,I623)</f>
        <v>3.0656878503632123</v>
      </c>
      <c r="K623" s="16">
        <f t="shared" si="48"/>
        <v>392.97960340519518</v>
      </c>
      <c r="L623" s="16">
        <f t="shared" si="49"/>
        <v>0.24039659480484943</v>
      </c>
      <c r="M623" s="16">
        <f t="shared" si="50"/>
        <v>5.7790522793766959E-2</v>
      </c>
    </row>
    <row r="624" spans="6:13" x14ac:dyDescent="0.4">
      <c r="F624" s="1">
        <v>40330</v>
      </c>
      <c r="G624" s="16">
        <v>392.24</v>
      </c>
      <c r="H624" s="16">
        <f t="shared" si="46"/>
        <v>390.09443733337736</v>
      </c>
      <c r="I624">
        <f t="shared" si="47"/>
        <v>6</v>
      </c>
      <c r="J624" s="16" cm="1">
        <f t="array" ref="J624">INDEX(Sm,I624)</f>
        <v>2.3467878975381979</v>
      </c>
      <c r="K624" s="16">
        <f t="shared" si="48"/>
        <v>392.44122523091556</v>
      </c>
      <c r="L624" s="16">
        <f t="shared" si="49"/>
        <v>-0.20122523091555422</v>
      </c>
      <c r="M624" s="16">
        <f t="shared" si="50"/>
        <v>4.0491593557018118E-2</v>
      </c>
    </row>
    <row r="625" spans="6:13" x14ac:dyDescent="0.4">
      <c r="F625" s="1">
        <v>40360</v>
      </c>
      <c r="G625" s="16">
        <v>390.33</v>
      </c>
      <c r="H625" s="16">
        <f t="shared" si="46"/>
        <v>390.26931525532251</v>
      </c>
      <c r="I625">
        <f t="shared" si="47"/>
        <v>7</v>
      </c>
      <c r="J625" s="16" cm="1">
        <f t="array" ref="J625">INDEX(Sm,I625)</f>
        <v>0.72373827090267417</v>
      </c>
      <c r="K625" s="16">
        <f t="shared" si="48"/>
        <v>390.9930535262252</v>
      </c>
      <c r="L625" s="16">
        <f t="shared" si="49"/>
        <v>-0.66305352622521241</v>
      </c>
      <c r="M625" s="16">
        <f t="shared" si="50"/>
        <v>0.43963997863968846</v>
      </c>
    </row>
    <row r="626" spans="6:13" x14ac:dyDescent="0.4">
      <c r="F626" s="1">
        <v>40391</v>
      </c>
      <c r="G626" s="16">
        <v>388.52</v>
      </c>
      <c r="H626" s="16">
        <f t="shared" si="46"/>
        <v>390.45020784879716</v>
      </c>
      <c r="I626">
        <f t="shared" si="47"/>
        <v>8</v>
      </c>
      <c r="J626" s="16" cm="1">
        <f t="array" ref="J626">INDEX(Sm,I626)</f>
        <v>-1.3971602749585079</v>
      </c>
      <c r="K626" s="16">
        <f t="shared" si="48"/>
        <v>389.05304757383868</v>
      </c>
      <c r="L626" s="16">
        <f t="shared" si="49"/>
        <v>-0.53304757383870083</v>
      </c>
      <c r="M626" s="16">
        <f t="shared" si="50"/>
        <v>0.28413971597532522</v>
      </c>
    </row>
    <row r="627" spans="6:13" x14ac:dyDescent="0.4">
      <c r="F627" s="1">
        <v>40422</v>
      </c>
      <c r="G627" s="16">
        <v>386.84</v>
      </c>
      <c r="H627" s="16">
        <f t="shared" si="46"/>
        <v>390.63128888920318</v>
      </c>
      <c r="I627">
        <f t="shared" si="47"/>
        <v>9</v>
      </c>
      <c r="J627" s="16" cm="1">
        <f t="array" ref="J627">INDEX(Sm,I627)</f>
        <v>-3.1930865277187257</v>
      </c>
      <c r="K627" s="16">
        <f t="shared" si="48"/>
        <v>387.43820236148446</v>
      </c>
      <c r="L627" s="16">
        <f t="shared" si="49"/>
        <v>-0.59820236148448203</v>
      </c>
      <c r="M627" s="16">
        <f t="shared" si="50"/>
        <v>0.35784606528561091</v>
      </c>
    </row>
    <row r="628" spans="6:13" x14ac:dyDescent="0.4">
      <c r="F628" s="1">
        <v>40452</v>
      </c>
      <c r="G628" s="16">
        <v>387.16</v>
      </c>
      <c r="H628" s="16">
        <f t="shared" si="46"/>
        <v>390.80670803230373</v>
      </c>
      <c r="I628">
        <f t="shared" si="47"/>
        <v>10</v>
      </c>
      <c r="J628" s="16" cm="1">
        <f t="array" ref="J628">INDEX(Sm,I628)</f>
        <v>-3.3364130066587929</v>
      </c>
      <c r="K628" s="16">
        <f t="shared" si="48"/>
        <v>387.47029502564493</v>
      </c>
      <c r="L628" s="16">
        <f t="shared" si="49"/>
        <v>-0.31029502564490485</v>
      </c>
      <c r="M628" s="16">
        <f t="shared" si="50"/>
        <v>9.6283002939972162E-2</v>
      </c>
    </row>
    <row r="629" spans="6:13" x14ac:dyDescent="0.4">
      <c r="F629" s="1">
        <v>40483</v>
      </c>
      <c r="G629" s="16">
        <v>388.67</v>
      </c>
      <c r="H629" s="16">
        <f t="shared" si="46"/>
        <v>390.98815988763909</v>
      </c>
      <c r="I629">
        <f t="shared" si="47"/>
        <v>11</v>
      </c>
      <c r="J629" s="16" cm="1">
        <f t="array" ref="J629">INDEX(Sm,I629)</f>
        <v>-2.0587659549634894</v>
      </c>
      <c r="K629" s="16">
        <f t="shared" si="48"/>
        <v>388.92939393267562</v>
      </c>
      <c r="L629" s="16">
        <f t="shared" si="49"/>
        <v>-0.25939393267560718</v>
      </c>
      <c r="M629" s="16">
        <f t="shared" si="50"/>
        <v>6.728521230891743E-2</v>
      </c>
    </row>
    <row r="630" spans="6:13" x14ac:dyDescent="0.4">
      <c r="F630" s="1">
        <v>40513</v>
      </c>
      <c r="G630" s="16">
        <v>389.81</v>
      </c>
      <c r="H630" s="16">
        <f t="shared" si="46"/>
        <v>391.16393788389712</v>
      </c>
      <c r="I630">
        <f t="shared" si="47"/>
        <v>12</v>
      </c>
      <c r="J630" s="16" cm="1">
        <f t="array" ref="J630">INDEX(Sm,I630)</f>
        <v>-0.89092746367992248</v>
      </c>
      <c r="K630" s="16">
        <f t="shared" si="48"/>
        <v>390.27301042021719</v>
      </c>
      <c r="L630" s="16">
        <f t="shared" si="49"/>
        <v>-0.46301042021718786</v>
      </c>
      <c r="M630" s="16">
        <f t="shared" si="50"/>
        <v>0.21437864922969688</v>
      </c>
    </row>
    <row r="631" spans="6:13" x14ac:dyDescent="0.4">
      <c r="F631" s="1">
        <v>40544</v>
      </c>
      <c r="G631" s="16">
        <v>391.3</v>
      </c>
      <c r="H631" s="16">
        <f t="shared" si="46"/>
        <v>391.34576055416176</v>
      </c>
      <c r="I631">
        <f t="shared" si="47"/>
        <v>1</v>
      </c>
      <c r="J631" s="16" cm="1">
        <f t="array" ref="J631">INDEX(Sm,I631)</f>
        <v>6.1437951108157106E-2</v>
      </c>
      <c r="K631" s="16">
        <f t="shared" si="48"/>
        <v>391.40719850526989</v>
      </c>
      <c r="L631" s="16">
        <f t="shared" si="49"/>
        <v>-0.10719850526987784</v>
      </c>
      <c r="M631" s="16">
        <f t="shared" si="50"/>
        <v>1.1491519532096027E-2</v>
      </c>
    </row>
    <row r="632" spans="6:13" x14ac:dyDescent="0.4">
      <c r="F632" s="1">
        <v>40575</v>
      </c>
      <c r="G632" s="16">
        <v>391.92</v>
      </c>
      <c r="H632" s="16">
        <f t="shared" si="46"/>
        <v>391.5277716713577</v>
      </c>
      <c r="I632">
        <f t="shared" si="47"/>
        <v>2</v>
      </c>
      <c r="J632" s="16" cm="1">
        <f t="array" ref="J632">INDEX(Sm,I632)</f>
        <v>0.69461918775013354</v>
      </c>
      <c r="K632" s="16">
        <f t="shared" si="48"/>
        <v>392.2223908591078</v>
      </c>
      <c r="L632" s="16">
        <f t="shared" si="49"/>
        <v>-0.3023908591077884</v>
      </c>
      <c r="M632" s="16">
        <f t="shared" si="50"/>
        <v>9.1440231671946329E-2</v>
      </c>
    </row>
    <row r="633" spans="6:13" x14ac:dyDescent="0.4">
      <c r="F633" s="1">
        <v>40603</v>
      </c>
      <c r="G633" s="16">
        <v>392.45</v>
      </c>
      <c r="H633" s="16">
        <f t="shared" si="46"/>
        <v>391.69233078362754</v>
      </c>
      <c r="I633">
        <f t="shared" si="47"/>
        <v>3</v>
      </c>
      <c r="J633" s="16" cm="1">
        <f t="array" ref="J633">INDEX(Sm,I633)</f>
        <v>1.3737674679346947</v>
      </c>
      <c r="K633" s="16">
        <f t="shared" si="48"/>
        <v>393.06609825156221</v>
      </c>
      <c r="L633" s="16">
        <f t="shared" si="49"/>
        <v>-0.61609825156222087</v>
      </c>
      <c r="M633" s="16">
        <f t="shared" si="50"/>
        <v>0.37957705557802557</v>
      </c>
    </row>
    <row r="634" spans="6:13" x14ac:dyDescent="0.4">
      <c r="F634" s="1">
        <v>40634</v>
      </c>
      <c r="G634" s="16">
        <v>393.37</v>
      </c>
      <c r="H634" s="16">
        <f t="shared" si="46"/>
        <v>391.87470055788629</v>
      </c>
      <c r="I634">
        <f t="shared" si="47"/>
        <v>4</v>
      </c>
      <c r="J634" s="16" cm="1">
        <f t="array" ref="J634">INDEX(Sm,I634)</f>
        <v>2.6103146023823673</v>
      </c>
      <c r="K634" s="16">
        <f t="shared" si="48"/>
        <v>394.48501516026863</v>
      </c>
      <c r="L634" s="16">
        <f t="shared" si="49"/>
        <v>-1.1150151602686265</v>
      </c>
      <c r="M634" s="16">
        <f t="shared" si="50"/>
        <v>1.2432588076288706</v>
      </c>
    </row>
    <row r="635" spans="6:13" x14ac:dyDescent="0.4">
      <c r="F635" s="1">
        <v>40664</v>
      </c>
      <c r="G635" s="16">
        <v>394.28</v>
      </c>
      <c r="H635" s="16">
        <f t="shared" si="46"/>
        <v>392.0513668627799</v>
      </c>
      <c r="I635">
        <f t="shared" si="47"/>
        <v>5</v>
      </c>
      <c r="J635" s="16" cm="1">
        <f t="array" ref="J635">INDEX(Sm,I635)</f>
        <v>3.0656878503632123</v>
      </c>
      <c r="K635" s="16">
        <f t="shared" si="48"/>
        <v>395.11705471314309</v>
      </c>
      <c r="L635" s="16">
        <f t="shared" si="49"/>
        <v>-0.83705471314311808</v>
      </c>
      <c r="M635" s="16">
        <f t="shared" si="50"/>
        <v>0.70066059279510773</v>
      </c>
    </row>
    <row r="636" spans="6:13" x14ac:dyDescent="0.4">
      <c r="F636" s="1">
        <v>40695</v>
      </c>
      <c r="G636" s="16">
        <v>393.69</v>
      </c>
      <c r="H636" s="16">
        <f t="shared" si="46"/>
        <v>392.23410745196799</v>
      </c>
      <c r="I636">
        <f t="shared" si="47"/>
        <v>6</v>
      </c>
      <c r="J636" s="16" cm="1">
        <f t="array" ref="J636">INDEX(Sm,I636)</f>
        <v>2.3467878975381979</v>
      </c>
      <c r="K636" s="16">
        <f t="shared" si="48"/>
        <v>394.58089534950619</v>
      </c>
      <c r="L636" s="16">
        <f t="shared" si="49"/>
        <v>-0.89089534950619509</v>
      </c>
      <c r="M636" s="16">
        <f t="shared" si="50"/>
        <v>0.79369452377176553</v>
      </c>
    </row>
    <row r="637" spans="6:13" x14ac:dyDescent="0.4">
      <c r="F637" s="1">
        <v>40725</v>
      </c>
      <c r="G637" s="16">
        <v>392.59</v>
      </c>
      <c r="H637" s="16">
        <f t="shared" si="46"/>
        <v>392.41113261001902</v>
      </c>
      <c r="I637">
        <f t="shared" si="47"/>
        <v>7</v>
      </c>
      <c r="J637" s="16" cm="1">
        <f t="array" ref="J637">INDEX(Sm,I637)</f>
        <v>0.72373827090267417</v>
      </c>
      <c r="K637" s="16">
        <f t="shared" si="48"/>
        <v>393.13487088092171</v>
      </c>
      <c r="L637" s="16">
        <f t="shared" si="49"/>
        <v>-0.54487088092173508</v>
      </c>
      <c r="M637" s="16">
        <f t="shared" si="50"/>
        <v>0.2968842768764276</v>
      </c>
    </row>
    <row r="638" spans="6:13" x14ac:dyDescent="0.4">
      <c r="F638" s="1">
        <v>40756</v>
      </c>
      <c r="G638" s="16">
        <v>390.21</v>
      </c>
      <c r="H638" s="16">
        <f t="shared" si="46"/>
        <v>392.59424401413639</v>
      </c>
      <c r="I638">
        <f t="shared" si="47"/>
        <v>8</v>
      </c>
      <c r="J638" s="16" cm="1">
        <f t="array" ref="J638">INDEX(Sm,I638)</f>
        <v>-1.3971602749585079</v>
      </c>
      <c r="K638" s="16">
        <f t="shared" si="48"/>
        <v>391.19708373917791</v>
      </c>
      <c r="L638" s="16">
        <f t="shared" si="49"/>
        <v>-0.98708373917793324</v>
      </c>
      <c r="M638" s="16">
        <f t="shared" si="50"/>
        <v>0.97433430814949018</v>
      </c>
    </row>
    <row r="639" spans="6:13" x14ac:dyDescent="0.4">
      <c r="F639" s="1">
        <v>40787</v>
      </c>
      <c r="G639" s="16">
        <v>389</v>
      </c>
      <c r="H639" s="16">
        <f t="shared" si="46"/>
        <v>392.77754386518512</v>
      </c>
      <c r="I639">
        <f t="shared" si="47"/>
        <v>9</v>
      </c>
      <c r="J639" s="16" cm="1">
        <f t="array" ref="J639">INDEX(Sm,I639)</f>
        <v>-3.1930865277187257</v>
      </c>
      <c r="K639" s="16">
        <f t="shared" si="48"/>
        <v>389.5844573374664</v>
      </c>
      <c r="L639" s="16">
        <f t="shared" si="49"/>
        <v>-0.58445733746640371</v>
      </c>
      <c r="M639" s="16">
        <f t="shared" si="50"/>
        <v>0.34159037931831771</v>
      </c>
    </row>
    <row r="640" spans="6:13" x14ac:dyDescent="0.4">
      <c r="F640" s="1">
        <v>40817</v>
      </c>
      <c r="G640" s="16">
        <v>388.93</v>
      </c>
      <c r="H640" s="16">
        <f t="shared" si="46"/>
        <v>392.95511024439162</v>
      </c>
      <c r="I640">
        <f t="shared" si="47"/>
        <v>10</v>
      </c>
      <c r="J640" s="16" cm="1">
        <f t="array" ref="J640">INDEX(Sm,I640)</f>
        <v>-3.3364130066587929</v>
      </c>
      <c r="K640" s="16">
        <f t="shared" si="48"/>
        <v>389.61869723773282</v>
      </c>
      <c r="L640" s="16">
        <f t="shared" si="49"/>
        <v>-0.68869723773281066</v>
      </c>
      <c r="M640" s="16">
        <f t="shared" si="50"/>
        <v>0.47430388526080353</v>
      </c>
    </row>
    <row r="641" spans="6:13" x14ac:dyDescent="0.4">
      <c r="F641" s="1">
        <v>40848</v>
      </c>
      <c r="G641" s="16">
        <v>390.24</v>
      </c>
      <c r="H641" s="16">
        <f t="shared" si="46"/>
        <v>393.13878091036963</v>
      </c>
      <c r="I641">
        <f t="shared" si="47"/>
        <v>11</v>
      </c>
      <c r="J641" s="16" cm="1">
        <f t="array" ref="J641">INDEX(Sm,I641)</f>
        <v>-2.0587659549634894</v>
      </c>
      <c r="K641" s="16">
        <f t="shared" si="48"/>
        <v>391.08001495540617</v>
      </c>
      <c r="L641" s="16">
        <f t="shared" si="49"/>
        <v>-0.84001495540616133</v>
      </c>
      <c r="M641" s="16">
        <f t="shared" si="50"/>
        <v>0.70562512530601518</v>
      </c>
    </row>
    <row r="642" spans="6:13" x14ac:dyDescent="0.4">
      <c r="F642" s="1">
        <v>40878</v>
      </c>
      <c r="G642" s="16">
        <v>391.8</v>
      </c>
      <c r="H642" s="16">
        <f t="shared" si="46"/>
        <v>393.31670614273355</v>
      </c>
      <c r="I642">
        <f t="shared" si="47"/>
        <v>12</v>
      </c>
      <c r="J642" s="16" cm="1">
        <f t="array" ref="J642">INDEX(Sm,I642)</f>
        <v>-0.89092746367992248</v>
      </c>
      <c r="K642" s="16">
        <f t="shared" si="48"/>
        <v>392.42577867905362</v>
      </c>
      <c r="L642" s="16">
        <f t="shared" si="49"/>
        <v>-0.62577867905361018</v>
      </c>
      <c r="M642" s="16">
        <f t="shared" si="50"/>
        <v>0.39159895515808124</v>
      </c>
    </row>
    <row r="643" spans="6:13" x14ac:dyDescent="0.4">
      <c r="F643" s="1">
        <v>40909</v>
      </c>
      <c r="G643" s="16">
        <v>393.07</v>
      </c>
      <c r="H643" s="16">
        <f t="shared" ref="H643:H706" si="51">_A*F643*F643+_B*F643+_C</f>
        <v>393.5007476236409</v>
      </c>
      <c r="I643">
        <f t="shared" ref="I643:I706" si="52">MONTH(F643)</f>
        <v>1</v>
      </c>
      <c r="J643" s="16" cm="1">
        <f t="array" ref="J643">INDEX(Sm,I643)</f>
        <v>6.1437951108157106E-2</v>
      </c>
      <c r="K643" s="16">
        <f t="shared" ref="K643:K706" si="53">H643+J643</f>
        <v>393.56218557474904</v>
      </c>
      <c r="L643" s="16">
        <f t="shared" ref="L643:L706" si="54">G643-K643</f>
        <v>-0.49218557474904401</v>
      </c>
      <c r="M643" s="16">
        <f t="shared" ref="M643:M706" si="55">L643*L643</f>
        <v>0.24224663999104679</v>
      </c>
    </row>
    <row r="644" spans="6:13" x14ac:dyDescent="0.4">
      <c r="F644" s="1">
        <v>40940</v>
      </c>
      <c r="G644" s="16">
        <v>393.35</v>
      </c>
      <c r="H644" s="16">
        <f t="shared" si="51"/>
        <v>393.68497755147956</v>
      </c>
      <c r="I644">
        <f t="shared" si="52"/>
        <v>2</v>
      </c>
      <c r="J644" s="16" cm="1">
        <f t="array" ref="J644">INDEX(Sm,I644)</f>
        <v>0.69461918775013354</v>
      </c>
      <c r="K644" s="16">
        <f t="shared" si="53"/>
        <v>394.37959673922967</v>
      </c>
      <c r="L644" s="16">
        <f t="shared" si="54"/>
        <v>-1.0295967392296461</v>
      </c>
      <c r="M644" s="16">
        <f t="shared" si="55"/>
        <v>1.0600694454323198</v>
      </c>
    </row>
    <row r="645" spans="6:13" x14ac:dyDescent="0.4">
      <c r="F645" s="1">
        <v>40969</v>
      </c>
      <c r="G645" s="16">
        <v>394.36</v>
      </c>
      <c r="H645" s="16">
        <f t="shared" si="51"/>
        <v>393.85749227984297</v>
      </c>
      <c r="I645">
        <f t="shared" si="52"/>
        <v>3</v>
      </c>
      <c r="J645" s="16" cm="1">
        <f t="array" ref="J645">INDEX(Sm,I645)</f>
        <v>1.3737674679346947</v>
      </c>
      <c r="K645" s="16">
        <f t="shared" si="53"/>
        <v>395.23125974777764</v>
      </c>
      <c r="L645" s="16">
        <f t="shared" si="54"/>
        <v>-0.87125974777762849</v>
      </c>
      <c r="M645" s="16">
        <f t="shared" si="55"/>
        <v>0.75909354809753682</v>
      </c>
    </row>
    <row r="646" spans="6:13" x14ac:dyDescent="0.4">
      <c r="F646" s="1">
        <v>41000</v>
      </c>
      <c r="G646" s="16">
        <v>396.43</v>
      </c>
      <c r="H646" s="16">
        <f t="shared" si="51"/>
        <v>394.0420869436777</v>
      </c>
      <c r="I646">
        <f t="shared" si="52"/>
        <v>4</v>
      </c>
      <c r="J646" s="16" cm="1">
        <f t="array" ref="J646">INDEX(Sm,I646)</f>
        <v>2.6103146023823673</v>
      </c>
      <c r="K646" s="16">
        <f t="shared" si="53"/>
        <v>396.65240154606005</v>
      </c>
      <c r="L646" s="16">
        <f t="shared" si="54"/>
        <v>-0.22240154606004126</v>
      </c>
      <c r="M646" s="16">
        <f t="shared" si="55"/>
        <v>4.9462447689896653E-2</v>
      </c>
    </row>
    <row r="647" spans="6:13" x14ac:dyDescent="0.4">
      <c r="F647" s="1">
        <v>41030</v>
      </c>
      <c r="G647" s="16">
        <v>396.87</v>
      </c>
      <c r="H647" s="16">
        <f t="shared" si="51"/>
        <v>394.22090636751585</v>
      </c>
      <c r="I647">
        <f t="shared" si="52"/>
        <v>5</v>
      </c>
      <c r="J647" s="16" cm="1">
        <f t="array" ref="J647">INDEX(Sm,I647)</f>
        <v>3.0656878503632123</v>
      </c>
      <c r="K647" s="16">
        <f t="shared" si="53"/>
        <v>397.28659421787904</v>
      </c>
      <c r="L647" s="16">
        <f t="shared" si="54"/>
        <v>-0.41659421787903739</v>
      </c>
      <c r="M647" s="16">
        <f t="shared" si="55"/>
        <v>0.17355074237024687</v>
      </c>
    </row>
    <row r="648" spans="6:13" x14ac:dyDescent="0.4">
      <c r="F648" s="1">
        <v>41061</v>
      </c>
      <c r="G648" s="16">
        <v>395.88</v>
      </c>
      <c r="H648" s="16">
        <f t="shared" si="51"/>
        <v>394.40587184627987</v>
      </c>
      <c r="I648">
        <f t="shared" si="52"/>
        <v>6</v>
      </c>
      <c r="J648" s="16" cm="1">
        <f t="array" ref="J648">INDEX(Sm,I648)</f>
        <v>2.3467878975381979</v>
      </c>
      <c r="K648" s="16">
        <f t="shared" si="53"/>
        <v>396.75265974381807</v>
      </c>
      <c r="L648" s="16">
        <f t="shared" si="54"/>
        <v>-0.87265974381807609</v>
      </c>
      <c r="M648" s="16">
        <f t="shared" si="55"/>
        <v>0.76153502848063015</v>
      </c>
    </row>
    <row r="649" spans="6:13" x14ac:dyDescent="0.4">
      <c r="F649" s="1">
        <v>41091</v>
      </c>
      <c r="G649" s="16">
        <v>394.52</v>
      </c>
      <c r="H649" s="16">
        <f t="shared" si="51"/>
        <v>394.58505012327544</v>
      </c>
      <c r="I649">
        <f t="shared" si="52"/>
        <v>7</v>
      </c>
      <c r="J649" s="16" cm="1">
        <f t="array" ref="J649">INDEX(Sm,I649)</f>
        <v>0.72373827090267417</v>
      </c>
      <c r="K649" s="16">
        <f t="shared" si="53"/>
        <v>395.30878839417812</v>
      </c>
      <c r="L649" s="16">
        <f t="shared" si="54"/>
        <v>-0.78878839417814106</v>
      </c>
      <c r="M649" s="16">
        <f t="shared" si="55"/>
        <v>0.62218713079013044</v>
      </c>
    </row>
    <row r="650" spans="6:13" x14ac:dyDescent="0.4">
      <c r="F650" s="1">
        <v>41122</v>
      </c>
      <c r="G650" s="16">
        <v>392.54</v>
      </c>
      <c r="H650" s="16">
        <f t="shared" si="51"/>
        <v>394.77038641696885</v>
      </c>
      <c r="I650">
        <f t="shared" si="52"/>
        <v>8</v>
      </c>
      <c r="J650" s="16" cm="1">
        <f t="array" ref="J650">INDEX(Sm,I650)</f>
        <v>-1.3971602749585079</v>
      </c>
      <c r="K650" s="16">
        <f t="shared" si="53"/>
        <v>393.37322614201037</v>
      </c>
      <c r="L650" s="16">
        <f t="shared" si="54"/>
        <v>-0.83322614201034639</v>
      </c>
      <c r="M650" s="16">
        <f t="shared" si="55"/>
        <v>0.69426580372944591</v>
      </c>
    </row>
    <row r="651" spans="6:13" x14ac:dyDescent="0.4">
      <c r="F651" s="1">
        <v>41153</v>
      </c>
      <c r="G651" s="16">
        <v>391.13</v>
      </c>
      <c r="H651" s="16">
        <f t="shared" si="51"/>
        <v>394.9559111575935</v>
      </c>
      <c r="I651">
        <f t="shared" si="52"/>
        <v>9</v>
      </c>
      <c r="J651" s="16" cm="1">
        <f t="array" ref="J651">INDEX(Sm,I651)</f>
        <v>-3.1930865277187257</v>
      </c>
      <c r="K651" s="16">
        <f t="shared" si="53"/>
        <v>391.76282462987479</v>
      </c>
      <c r="L651" s="16">
        <f t="shared" si="54"/>
        <v>-0.63282462987478993</v>
      </c>
      <c r="M651" s="16">
        <f t="shared" si="55"/>
        <v>0.40046701217616487</v>
      </c>
    </row>
    <row r="652" spans="6:13" x14ac:dyDescent="0.4">
      <c r="F652" s="1">
        <v>41183</v>
      </c>
      <c r="G652" s="16">
        <v>391.01</v>
      </c>
      <c r="H652" s="16">
        <f t="shared" si="51"/>
        <v>395.13563065574454</v>
      </c>
      <c r="I652">
        <f t="shared" si="52"/>
        <v>10</v>
      </c>
      <c r="J652" s="16" cm="1">
        <f t="array" ref="J652">INDEX(Sm,I652)</f>
        <v>-3.3364130066587929</v>
      </c>
      <c r="K652" s="16">
        <f t="shared" si="53"/>
        <v>391.79921764908573</v>
      </c>
      <c r="L652" s="16">
        <f t="shared" si="54"/>
        <v>-0.78921764908574232</v>
      </c>
      <c r="M652" s="16">
        <f t="shared" si="55"/>
        <v>0.62286449762842588</v>
      </c>
    </row>
    <row r="653" spans="6:13" x14ac:dyDescent="0.4">
      <c r="F653" s="1">
        <v>41214</v>
      </c>
      <c r="G653" s="16">
        <v>392.95</v>
      </c>
      <c r="H653" s="16">
        <f t="shared" si="51"/>
        <v>395.32152621129859</v>
      </c>
      <c r="I653">
        <f t="shared" si="52"/>
        <v>11</v>
      </c>
      <c r="J653" s="16" cm="1">
        <f t="array" ref="J653">INDEX(Sm,I653)</f>
        <v>-2.0587659549634894</v>
      </c>
      <c r="K653" s="16">
        <f t="shared" si="53"/>
        <v>393.26276025633513</v>
      </c>
      <c r="L653" s="16">
        <f t="shared" si="54"/>
        <v>-0.31276025633513882</v>
      </c>
      <c r="M653" s="16">
        <f t="shared" si="55"/>
        <v>9.7818977942821739E-2</v>
      </c>
    </row>
    <row r="654" spans="6:13" x14ac:dyDescent="0.4">
      <c r="F654" s="1">
        <v>41244</v>
      </c>
      <c r="G654" s="16">
        <v>394.33</v>
      </c>
      <c r="H654" s="16">
        <f t="shared" si="51"/>
        <v>395.50160456260699</v>
      </c>
      <c r="I654">
        <f t="shared" si="52"/>
        <v>12</v>
      </c>
      <c r="J654" s="16" cm="1">
        <f t="array" ref="J654">INDEX(Sm,I654)</f>
        <v>-0.89092746367992248</v>
      </c>
      <c r="K654" s="16">
        <f t="shared" si="53"/>
        <v>394.61067709892706</v>
      </c>
      <c r="L654" s="16">
        <f t="shared" si="54"/>
        <v>-0.28067709892707171</v>
      </c>
      <c r="M654" s="16">
        <f t="shared" si="55"/>
        <v>7.8779633862117199E-2</v>
      </c>
    </row>
    <row r="655" spans="6:13" x14ac:dyDescent="0.4">
      <c r="F655" s="1">
        <v>41275</v>
      </c>
      <c r="G655" s="16">
        <v>395.61</v>
      </c>
      <c r="H655" s="16">
        <f t="shared" si="51"/>
        <v>395.68787093309038</v>
      </c>
      <c r="I655">
        <f t="shared" si="52"/>
        <v>1</v>
      </c>
      <c r="J655" s="16" cm="1">
        <f t="array" ref="J655">INDEX(Sm,I655)</f>
        <v>6.1437951108157106E-2</v>
      </c>
      <c r="K655" s="16">
        <f t="shared" si="53"/>
        <v>395.74930888419851</v>
      </c>
      <c r="L655" s="16">
        <f t="shared" si="54"/>
        <v>-0.13930888419849907</v>
      </c>
      <c r="M655" s="16">
        <f t="shared" si="55"/>
        <v>1.9406965216630826E-2</v>
      </c>
    </row>
    <row r="656" spans="6:13" x14ac:dyDescent="0.4">
      <c r="F656" s="1">
        <v>41306</v>
      </c>
      <c r="G656" s="16">
        <v>396.85</v>
      </c>
      <c r="H656" s="16">
        <f t="shared" si="51"/>
        <v>395.87432575050502</v>
      </c>
      <c r="I656">
        <f t="shared" si="52"/>
        <v>2</v>
      </c>
      <c r="J656" s="16" cm="1">
        <f t="array" ref="J656">INDEX(Sm,I656)</f>
        <v>0.69461918775013354</v>
      </c>
      <c r="K656" s="16">
        <f t="shared" si="53"/>
        <v>396.56894493825513</v>
      </c>
      <c r="L656" s="16">
        <f t="shared" si="54"/>
        <v>0.28105506174489392</v>
      </c>
      <c r="M656" s="16">
        <f t="shared" si="55"/>
        <v>7.8991947732426127E-2</v>
      </c>
    </row>
    <row r="657" spans="6:13" x14ac:dyDescent="0.4">
      <c r="F657" s="1">
        <v>41334</v>
      </c>
      <c r="G657" s="16">
        <v>397.26</v>
      </c>
      <c r="H657" s="16">
        <f t="shared" si="51"/>
        <v>396.04289852748855</v>
      </c>
      <c r="I657">
        <f t="shared" si="52"/>
        <v>3</v>
      </c>
      <c r="J657" s="16" cm="1">
        <f t="array" ref="J657">INDEX(Sm,I657)</f>
        <v>1.3737674679346947</v>
      </c>
      <c r="K657" s="16">
        <f t="shared" si="53"/>
        <v>397.41666599542322</v>
      </c>
      <c r="L657" s="16">
        <f t="shared" si="54"/>
        <v>-0.15666599542322501</v>
      </c>
      <c r="M657" s="16">
        <f t="shared" si="55"/>
        <v>2.4544234121949962E-2</v>
      </c>
    </row>
    <row r="658" spans="6:13" x14ac:dyDescent="0.4">
      <c r="F658" s="1">
        <v>41365</v>
      </c>
      <c r="G658" s="16">
        <v>398.35</v>
      </c>
      <c r="H658" s="16">
        <f t="shared" si="51"/>
        <v>396.22971200196605</v>
      </c>
      <c r="I658">
        <f t="shared" si="52"/>
        <v>4</v>
      </c>
      <c r="J658" s="16" cm="1">
        <f t="array" ref="J658">INDEX(Sm,I658)</f>
        <v>2.6103146023823673</v>
      </c>
      <c r="K658" s="16">
        <f t="shared" si="53"/>
        <v>398.8400266043484</v>
      </c>
      <c r="L658" s="16">
        <f t="shared" si="54"/>
        <v>-0.49002660434837253</v>
      </c>
      <c r="M658" s="16">
        <f t="shared" si="55"/>
        <v>0.24012607296919644</v>
      </c>
    </row>
    <row r="659" spans="6:13" x14ac:dyDescent="0.4">
      <c r="F659" s="1">
        <v>41395</v>
      </c>
      <c r="G659" s="16">
        <v>399.98</v>
      </c>
      <c r="H659" s="16">
        <f t="shared" si="51"/>
        <v>396.41067866191003</v>
      </c>
      <c r="I659">
        <f t="shared" si="52"/>
        <v>5</v>
      </c>
      <c r="J659" s="16" cm="1">
        <f t="array" ref="J659">INDEX(Sm,I659)</f>
        <v>3.0656878503632123</v>
      </c>
      <c r="K659" s="16">
        <f t="shared" si="53"/>
        <v>399.47636651227322</v>
      </c>
      <c r="L659" s="16">
        <f t="shared" si="54"/>
        <v>0.50363348772680183</v>
      </c>
      <c r="M659" s="16">
        <f t="shared" si="55"/>
        <v>0.25364668995986267</v>
      </c>
    </row>
    <row r="660" spans="6:13" x14ac:dyDescent="0.4">
      <c r="F660" s="1">
        <v>41426</v>
      </c>
      <c r="G660" s="16">
        <v>398.87</v>
      </c>
      <c r="H660" s="16">
        <f t="shared" si="51"/>
        <v>396.59786295131687</v>
      </c>
      <c r="I660">
        <f t="shared" si="52"/>
        <v>6</v>
      </c>
      <c r="J660" s="16" cm="1">
        <f t="array" ref="J660">INDEX(Sm,I660)</f>
        <v>2.3467878975381979</v>
      </c>
      <c r="K660" s="16">
        <f t="shared" si="53"/>
        <v>398.94465084885508</v>
      </c>
      <c r="L660" s="16">
        <f t="shared" si="54"/>
        <v>-7.4650848855071672E-2</v>
      </c>
      <c r="M660" s="16">
        <f t="shared" si="55"/>
        <v>5.5727492347827558E-3</v>
      </c>
    </row>
    <row r="661" spans="6:13" x14ac:dyDescent="0.4">
      <c r="F661" s="1">
        <v>41456</v>
      </c>
      <c r="G661" s="16">
        <v>397.37</v>
      </c>
      <c r="H661" s="16">
        <f t="shared" si="51"/>
        <v>396.77918846441827</v>
      </c>
      <c r="I661">
        <f t="shared" si="52"/>
        <v>7</v>
      </c>
      <c r="J661" s="16" cm="1">
        <f t="array" ref="J661">INDEX(Sm,I661)</f>
        <v>0.72373827090267417</v>
      </c>
      <c r="K661" s="16">
        <f t="shared" si="53"/>
        <v>397.50292673532095</v>
      </c>
      <c r="L661" s="16">
        <f t="shared" si="54"/>
        <v>-0.13292673532095023</v>
      </c>
      <c r="M661" s="16">
        <f t="shared" si="55"/>
        <v>1.7669516963085958E-2</v>
      </c>
    </row>
    <row r="662" spans="6:13" x14ac:dyDescent="0.4">
      <c r="F662" s="1">
        <v>41487</v>
      </c>
      <c r="G662" s="16">
        <v>395.41</v>
      </c>
      <c r="H662" s="16">
        <f t="shared" si="51"/>
        <v>396.96674356875434</v>
      </c>
      <c r="I662">
        <f t="shared" si="52"/>
        <v>8</v>
      </c>
      <c r="J662" s="16" cm="1">
        <f t="array" ref="J662">INDEX(Sm,I662)</f>
        <v>-1.3971602749585079</v>
      </c>
      <c r="K662" s="16">
        <f t="shared" si="53"/>
        <v>395.56958329379586</v>
      </c>
      <c r="L662" s="16">
        <f t="shared" si="54"/>
        <v>-0.15958329379583347</v>
      </c>
      <c r="M662" s="16">
        <f t="shared" si="55"/>
        <v>2.5466827658727303E-2</v>
      </c>
    </row>
    <row r="663" spans="6:13" x14ac:dyDescent="0.4">
      <c r="F663" s="1">
        <v>41518</v>
      </c>
      <c r="G663" s="16">
        <v>393.39</v>
      </c>
      <c r="H663" s="16">
        <f t="shared" si="51"/>
        <v>397.15448712002183</v>
      </c>
      <c r="I663">
        <f t="shared" si="52"/>
        <v>9</v>
      </c>
      <c r="J663" s="16" cm="1">
        <f t="array" ref="J663">INDEX(Sm,I663)</f>
        <v>-3.1930865277187257</v>
      </c>
      <c r="K663" s="16">
        <f t="shared" si="53"/>
        <v>393.96140059230311</v>
      </c>
      <c r="L663" s="16">
        <f t="shared" si="54"/>
        <v>-0.5714005923031209</v>
      </c>
      <c r="M663" s="16">
        <f t="shared" si="55"/>
        <v>0.32649863688435737</v>
      </c>
    </row>
    <row r="664" spans="6:13" x14ac:dyDescent="0.4">
      <c r="F664" s="1">
        <v>41548</v>
      </c>
      <c r="G664" s="16">
        <v>393.7</v>
      </c>
      <c r="H664" s="16">
        <f t="shared" si="51"/>
        <v>397.33635385427868</v>
      </c>
      <c r="I664">
        <f t="shared" si="52"/>
        <v>10</v>
      </c>
      <c r="J664" s="16" cm="1">
        <f t="array" ref="J664">INDEX(Sm,I664)</f>
        <v>-3.3364130066587929</v>
      </c>
      <c r="K664" s="16">
        <f t="shared" si="53"/>
        <v>393.99994084761988</v>
      </c>
      <c r="L664" s="16">
        <f t="shared" si="54"/>
        <v>-0.2999408476198937</v>
      </c>
      <c r="M664" s="16">
        <f t="shared" si="55"/>
        <v>8.9964512070940292E-2</v>
      </c>
    </row>
    <row r="665" spans="6:13" x14ac:dyDescent="0.4">
      <c r="F665" s="1">
        <v>41579</v>
      </c>
      <c r="G665" s="16">
        <v>395.19</v>
      </c>
      <c r="H665" s="16">
        <f t="shared" si="51"/>
        <v>397.52446822047546</v>
      </c>
      <c r="I665">
        <f t="shared" si="52"/>
        <v>11</v>
      </c>
      <c r="J665" s="16" cm="1">
        <f t="array" ref="J665">INDEX(Sm,I665)</f>
        <v>-2.0587659549634894</v>
      </c>
      <c r="K665" s="16">
        <f t="shared" si="53"/>
        <v>395.46570226551199</v>
      </c>
      <c r="L665" s="16">
        <f t="shared" si="54"/>
        <v>-0.27570226551199539</v>
      </c>
      <c r="M665" s="16">
        <f t="shared" si="55"/>
        <v>7.601173920844681E-2</v>
      </c>
    </row>
    <row r="666" spans="6:13" x14ac:dyDescent="0.4">
      <c r="F666" s="1">
        <v>41609</v>
      </c>
      <c r="G666" s="16">
        <v>396.82</v>
      </c>
      <c r="H666" s="16">
        <f t="shared" si="51"/>
        <v>397.70669380788974</v>
      </c>
      <c r="I666">
        <f t="shared" si="52"/>
        <v>12</v>
      </c>
      <c r="J666" s="16" cm="1">
        <f t="array" ref="J666">INDEX(Sm,I666)</f>
        <v>-0.89092746367992248</v>
      </c>
      <c r="K666" s="16">
        <f t="shared" si="53"/>
        <v>396.81576634420981</v>
      </c>
      <c r="L666" s="16">
        <f t="shared" si="54"/>
        <v>4.2336557901876404E-3</v>
      </c>
      <c r="M666" s="16">
        <f t="shared" si="55"/>
        <v>1.7923841349789335E-5</v>
      </c>
    </row>
    <row r="667" spans="6:13" x14ac:dyDescent="0.4">
      <c r="F667" s="1">
        <v>41640</v>
      </c>
      <c r="G667" s="16">
        <v>397.93</v>
      </c>
      <c r="H667" s="16">
        <f t="shared" si="51"/>
        <v>397.89517898901585</v>
      </c>
      <c r="I667">
        <f t="shared" si="52"/>
        <v>1</v>
      </c>
      <c r="J667" s="16" cm="1">
        <f t="array" ref="J667">INDEX(Sm,I667)</f>
        <v>6.1437951108157106E-2</v>
      </c>
      <c r="K667" s="16">
        <f t="shared" si="53"/>
        <v>397.95661694012398</v>
      </c>
      <c r="L667" s="16">
        <f t="shared" si="54"/>
        <v>-2.6616940123972199E-2</v>
      </c>
      <c r="M667" s="16">
        <f t="shared" si="55"/>
        <v>7.0846150156312119E-4</v>
      </c>
    </row>
    <row r="668" spans="6:13" x14ac:dyDescent="0.4">
      <c r="F668" s="1">
        <v>41671</v>
      </c>
      <c r="G668" s="16">
        <v>398.1</v>
      </c>
      <c r="H668" s="16">
        <f t="shared" si="51"/>
        <v>398.08385261707321</v>
      </c>
      <c r="I668">
        <f t="shared" si="52"/>
        <v>2</v>
      </c>
      <c r="J668" s="16" cm="1">
        <f t="array" ref="J668">INDEX(Sm,I668)</f>
        <v>0.69461918775013354</v>
      </c>
      <c r="K668" s="16">
        <f t="shared" si="53"/>
        <v>398.77847180482331</v>
      </c>
      <c r="L668" s="16">
        <f t="shared" si="54"/>
        <v>-0.67847180482328895</v>
      </c>
      <c r="M668" s="16">
        <f t="shared" si="55"/>
        <v>0.4603239899401711</v>
      </c>
    </row>
    <row r="669" spans="6:13" x14ac:dyDescent="0.4">
      <c r="F669" s="1">
        <v>41699</v>
      </c>
      <c r="G669" s="16">
        <v>399.47</v>
      </c>
      <c r="H669" s="16">
        <f t="shared" si="51"/>
        <v>398.25442948108889</v>
      </c>
      <c r="I669">
        <f t="shared" si="52"/>
        <v>3</v>
      </c>
      <c r="J669" s="16" cm="1">
        <f t="array" ref="J669">INDEX(Sm,I669)</f>
        <v>1.3737674679346947</v>
      </c>
      <c r="K669" s="16">
        <f t="shared" si="53"/>
        <v>399.62819694902356</v>
      </c>
      <c r="L669" s="16">
        <f t="shared" si="54"/>
        <v>-0.15819694902353376</v>
      </c>
      <c r="M669" s="16">
        <f t="shared" si="55"/>
        <v>2.5026274680354541E-2</v>
      </c>
    </row>
    <row r="670" spans="6:13" x14ac:dyDescent="0.4">
      <c r="F670" s="1">
        <v>41730</v>
      </c>
      <c r="G670" s="16">
        <v>401.33</v>
      </c>
      <c r="H670" s="16">
        <f t="shared" si="51"/>
        <v>398.44346176620911</v>
      </c>
      <c r="I670">
        <f t="shared" si="52"/>
        <v>4</v>
      </c>
      <c r="J670" s="16" cm="1">
        <f t="array" ref="J670">INDEX(Sm,I670)</f>
        <v>2.6103146023823673</v>
      </c>
      <c r="K670" s="16">
        <f t="shared" si="53"/>
        <v>401.05377636859146</v>
      </c>
      <c r="L670" s="16">
        <f t="shared" si="54"/>
        <v>0.27622363140852713</v>
      </c>
      <c r="M670" s="16">
        <f t="shared" si="55"/>
        <v>7.6299494548513855E-2</v>
      </c>
    </row>
    <row r="671" spans="6:13" x14ac:dyDescent="0.4">
      <c r="F671" s="1">
        <v>41760</v>
      </c>
      <c r="G671" s="16">
        <v>401.88</v>
      </c>
      <c r="H671" s="16">
        <f t="shared" si="51"/>
        <v>398.62657566225897</v>
      </c>
      <c r="I671">
        <f t="shared" si="52"/>
        <v>5</v>
      </c>
      <c r="J671" s="16" cm="1">
        <f t="array" ref="J671">INDEX(Sm,I671)</f>
        <v>3.0656878503632123</v>
      </c>
      <c r="K671" s="16">
        <f t="shared" si="53"/>
        <v>401.69226351262216</v>
      </c>
      <c r="L671" s="16">
        <f t="shared" si="54"/>
        <v>0.18773648737783333</v>
      </c>
      <c r="M671" s="16">
        <f t="shared" si="55"/>
        <v>3.5244988692967369E-2</v>
      </c>
    </row>
    <row r="672" spans="6:13" x14ac:dyDescent="0.4">
      <c r="F672" s="1">
        <v>41791</v>
      </c>
      <c r="G672" s="16">
        <v>401.31</v>
      </c>
      <c r="H672" s="16">
        <f t="shared" si="51"/>
        <v>398.81597876230848</v>
      </c>
      <c r="I672">
        <f t="shared" si="52"/>
        <v>6</v>
      </c>
      <c r="J672" s="16" cm="1">
        <f t="array" ref="J672">INDEX(Sm,I672)</f>
        <v>2.3467878975381979</v>
      </c>
      <c r="K672" s="16">
        <f t="shared" si="53"/>
        <v>401.16276665984668</v>
      </c>
      <c r="L672" s="16">
        <f t="shared" si="54"/>
        <v>0.14723334015332057</v>
      </c>
      <c r="M672" s="16">
        <f t="shared" si="55"/>
        <v>2.1677656452703399E-2</v>
      </c>
    </row>
    <row r="673" spans="6:13" x14ac:dyDescent="0.4">
      <c r="F673" s="1">
        <v>41821</v>
      </c>
      <c r="G673" s="16">
        <v>399.07</v>
      </c>
      <c r="H673" s="16">
        <f t="shared" si="51"/>
        <v>398.99945151151576</v>
      </c>
      <c r="I673">
        <f t="shared" si="52"/>
        <v>7</v>
      </c>
      <c r="J673" s="16" cm="1">
        <f t="array" ref="J673">INDEX(Sm,I673)</f>
        <v>0.72373827090267417</v>
      </c>
      <c r="K673" s="16">
        <f t="shared" si="53"/>
        <v>399.72318978241844</v>
      </c>
      <c r="L673" s="16">
        <f t="shared" si="54"/>
        <v>-0.65318978241845116</v>
      </c>
      <c r="M673" s="16">
        <f t="shared" si="55"/>
        <v>0.42665689185586358</v>
      </c>
    </row>
    <row r="674" spans="6:13" x14ac:dyDescent="0.4">
      <c r="F674" s="1">
        <v>41852</v>
      </c>
      <c r="G674" s="16">
        <v>397.21</v>
      </c>
      <c r="H674" s="16">
        <f t="shared" si="51"/>
        <v>399.18922542649466</v>
      </c>
      <c r="I674">
        <f t="shared" si="52"/>
        <v>8</v>
      </c>
      <c r="J674" s="16" cm="1">
        <f t="array" ref="J674">INDEX(Sm,I674)</f>
        <v>-1.3971602749585079</v>
      </c>
      <c r="K674" s="16">
        <f t="shared" si="53"/>
        <v>397.79206515153618</v>
      </c>
      <c r="L674" s="16">
        <f t="shared" si="54"/>
        <v>-0.58206515153619875</v>
      </c>
      <c r="M674" s="16">
        <f t="shared" si="55"/>
        <v>0.33879984063285801</v>
      </c>
    </row>
    <row r="675" spans="6:13" x14ac:dyDescent="0.4">
      <c r="F675" s="1">
        <v>41883</v>
      </c>
      <c r="G675" s="16">
        <v>395.4</v>
      </c>
      <c r="H675" s="16">
        <f t="shared" si="51"/>
        <v>399.37918778840481</v>
      </c>
      <c r="I675">
        <f t="shared" si="52"/>
        <v>9</v>
      </c>
      <c r="J675" s="16" cm="1">
        <f t="array" ref="J675">INDEX(Sm,I675)</f>
        <v>-3.1930865277187257</v>
      </c>
      <c r="K675" s="16">
        <f t="shared" si="53"/>
        <v>396.18610126068609</v>
      </c>
      <c r="L675" s="16">
        <f t="shared" si="54"/>
        <v>-0.78610126068610953</v>
      </c>
      <c r="M675" s="16">
        <f t="shared" si="55"/>
        <v>0.61795519205229077</v>
      </c>
    </row>
    <row r="676" spans="6:13" x14ac:dyDescent="0.4">
      <c r="F676" s="1">
        <v>41913</v>
      </c>
      <c r="G676" s="16">
        <v>395.65</v>
      </c>
      <c r="H676" s="16">
        <f t="shared" si="51"/>
        <v>399.56320175876749</v>
      </c>
      <c r="I676">
        <f t="shared" si="52"/>
        <v>10</v>
      </c>
      <c r="J676" s="16" cm="1">
        <f t="array" ref="J676">INDEX(Sm,I676)</f>
        <v>-3.3364130066587929</v>
      </c>
      <c r="K676" s="16">
        <f t="shared" si="53"/>
        <v>396.22678875210869</v>
      </c>
      <c r="L676" s="16">
        <f t="shared" si="54"/>
        <v>-0.57678875210871183</v>
      </c>
      <c r="M676" s="16">
        <f t="shared" si="55"/>
        <v>0.332685264559125</v>
      </c>
    </row>
    <row r="677" spans="6:13" x14ac:dyDescent="0.4">
      <c r="F677" s="1">
        <v>41944</v>
      </c>
      <c r="G677" s="16">
        <v>397.23</v>
      </c>
      <c r="H677" s="16">
        <f t="shared" si="51"/>
        <v>399.75353493560704</v>
      </c>
      <c r="I677">
        <f t="shared" si="52"/>
        <v>11</v>
      </c>
      <c r="J677" s="16" cm="1">
        <f t="array" ref="J677">INDEX(Sm,I677)</f>
        <v>-2.0587659549634894</v>
      </c>
      <c r="K677" s="16">
        <f t="shared" si="53"/>
        <v>397.69476898064357</v>
      </c>
      <c r="L677" s="16">
        <f t="shared" si="54"/>
        <v>-0.4647689806435551</v>
      </c>
      <c r="M677" s="16">
        <f t="shared" si="55"/>
        <v>0.21601020536844928</v>
      </c>
    </row>
    <row r="678" spans="6:13" x14ac:dyDescent="0.4">
      <c r="F678" s="1">
        <v>41974</v>
      </c>
      <c r="G678" s="16">
        <v>398.79</v>
      </c>
      <c r="H678" s="16">
        <f t="shared" si="51"/>
        <v>399.93790775912714</v>
      </c>
      <c r="I678">
        <f t="shared" si="52"/>
        <v>12</v>
      </c>
      <c r="J678" s="16" cm="1">
        <f t="array" ref="J678">INDEX(Sm,I678)</f>
        <v>-0.89092746367992248</v>
      </c>
      <c r="K678" s="16">
        <f t="shared" si="53"/>
        <v>399.04698029544721</v>
      </c>
      <c r="L678" s="16">
        <f t="shared" si="54"/>
        <v>-0.25698029544719247</v>
      </c>
      <c r="M678" s="16">
        <f t="shared" si="55"/>
        <v>6.6038872248126337E-2</v>
      </c>
    </row>
    <row r="679" spans="6:13" x14ac:dyDescent="0.4">
      <c r="F679" s="1">
        <v>42005</v>
      </c>
      <c r="G679" s="16">
        <v>399.85</v>
      </c>
      <c r="H679" s="16">
        <f t="shared" si="51"/>
        <v>400.12861175089597</v>
      </c>
      <c r="I679">
        <f t="shared" si="52"/>
        <v>1</v>
      </c>
      <c r="J679" s="16" cm="1">
        <f t="array" ref="J679">INDEX(Sm,I679)</f>
        <v>6.1437951108157106E-2</v>
      </c>
      <c r="K679" s="16">
        <f t="shared" si="53"/>
        <v>400.1900497020041</v>
      </c>
      <c r="L679" s="16">
        <f t="shared" si="54"/>
        <v>-0.34004970200408025</v>
      </c>
      <c r="M679" s="16">
        <f t="shared" si="55"/>
        <v>0.11563379983306378</v>
      </c>
    </row>
    <row r="680" spans="6:13" x14ac:dyDescent="0.4">
      <c r="F680" s="1">
        <v>42036</v>
      </c>
      <c r="G680" s="16">
        <v>400.31</v>
      </c>
      <c r="H680" s="16">
        <f t="shared" si="51"/>
        <v>400.31950418959616</v>
      </c>
      <c r="I680">
        <f t="shared" si="52"/>
        <v>2</v>
      </c>
      <c r="J680" s="16" cm="1">
        <f t="array" ref="J680">INDEX(Sm,I680)</f>
        <v>0.69461918775013354</v>
      </c>
      <c r="K680" s="16">
        <f t="shared" si="53"/>
        <v>401.01412337734627</v>
      </c>
      <c r="L680" s="16">
        <f t="shared" si="54"/>
        <v>-0.70412337734626362</v>
      </c>
      <c r="M680" s="16">
        <f t="shared" si="55"/>
        <v>0.49578973052550873</v>
      </c>
    </row>
    <row r="681" spans="6:13" x14ac:dyDescent="0.4">
      <c r="F681" s="1">
        <v>42064</v>
      </c>
      <c r="G681" s="16">
        <v>401.51</v>
      </c>
      <c r="H681" s="16">
        <f t="shared" si="51"/>
        <v>400.49208514064395</v>
      </c>
      <c r="I681">
        <f t="shared" si="52"/>
        <v>3</v>
      </c>
      <c r="J681" s="16" cm="1">
        <f t="array" ref="J681">INDEX(Sm,I681)</f>
        <v>1.3737674679346947</v>
      </c>
      <c r="K681" s="16">
        <f t="shared" si="53"/>
        <v>401.86585260857862</v>
      </c>
      <c r="L681" s="16">
        <f t="shared" si="54"/>
        <v>-0.35585260857862977</v>
      </c>
      <c r="M681" s="16">
        <f t="shared" si="55"/>
        <v>0.12663107903221549</v>
      </c>
    </row>
    <row r="682" spans="6:13" x14ac:dyDescent="0.4">
      <c r="F682" s="1">
        <v>42095</v>
      </c>
      <c r="G682" s="16">
        <v>403.45</v>
      </c>
      <c r="H682" s="16">
        <f t="shared" si="51"/>
        <v>400.68333623640683</v>
      </c>
      <c r="I682">
        <f t="shared" si="52"/>
        <v>4</v>
      </c>
      <c r="J682" s="16" cm="1">
        <f t="array" ref="J682">INDEX(Sm,I682)</f>
        <v>2.6103146023823673</v>
      </c>
      <c r="K682" s="16">
        <f t="shared" si="53"/>
        <v>403.29365083878918</v>
      </c>
      <c r="L682" s="16">
        <f t="shared" si="54"/>
        <v>0.15634916121081233</v>
      </c>
      <c r="M682" s="16">
        <f t="shared" si="55"/>
        <v>2.444506021132458E-2</v>
      </c>
    </row>
    <row r="683" spans="6:13" x14ac:dyDescent="0.4">
      <c r="F683" s="1">
        <v>42125</v>
      </c>
      <c r="G683" s="16">
        <v>404.1</v>
      </c>
      <c r="H683" s="16">
        <f t="shared" si="51"/>
        <v>400.86859736856263</v>
      </c>
      <c r="I683">
        <f t="shared" si="52"/>
        <v>5</v>
      </c>
      <c r="J683" s="16" cm="1">
        <f t="array" ref="J683">INDEX(Sm,I683)</f>
        <v>3.0656878503632123</v>
      </c>
      <c r="K683" s="16">
        <f t="shared" si="53"/>
        <v>403.93428521892582</v>
      </c>
      <c r="L683" s="16">
        <f t="shared" si="54"/>
        <v>0.16571478107420035</v>
      </c>
      <c r="M683" s="16">
        <f t="shared" si="55"/>
        <v>2.746138866647015E-2</v>
      </c>
    </row>
    <row r="684" spans="6:13" x14ac:dyDescent="0.4">
      <c r="F684" s="1">
        <v>42156</v>
      </c>
      <c r="G684" s="16">
        <v>402.88</v>
      </c>
      <c r="H684" s="16">
        <f t="shared" si="51"/>
        <v>401.06021927925485</v>
      </c>
      <c r="I684">
        <f t="shared" si="52"/>
        <v>6</v>
      </c>
      <c r="J684" s="16" cm="1">
        <f t="array" ref="J684">INDEX(Sm,I684)</f>
        <v>2.3467878975381979</v>
      </c>
      <c r="K684" s="16">
        <f t="shared" si="53"/>
        <v>403.40700717679306</v>
      </c>
      <c r="L684" s="16">
        <f t="shared" si="54"/>
        <v>-0.52700717679306308</v>
      </c>
      <c r="M684" s="16">
        <f t="shared" si="55"/>
        <v>0.27773656439139482</v>
      </c>
    </row>
    <row r="685" spans="6:13" x14ac:dyDescent="0.4">
      <c r="F685" s="1">
        <v>42186</v>
      </c>
      <c r="G685" s="16">
        <v>401.61</v>
      </c>
      <c r="H685" s="16">
        <f t="shared" si="51"/>
        <v>401.24583926456802</v>
      </c>
      <c r="I685">
        <f t="shared" si="52"/>
        <v>7</v>
      </c>
      <c r="J685" s="16" cm="1">
        <f t="array" ref="J685">INDEX(Sm,I685)</f>
        <v>0.72373827090267417</v>
      </c>
      <c r="K685" s="16">
        <f t="shared" si="53"/>
        <v>401.96957753547071</v>
      </c>
      <c r="L685" s="16">
        <f t="shared" si="54"/>
        <v>-0.3595775354706916</v>
      </c>
      <c r="M685" s="16">
        <f t="shared" si="55"/>
        <v>0.12929600401517646</v>
      </c>
    </row>
    <row r="686" spans="6:13" x14ac:dyDescent="0.4">
      <c r="F686" s="1">
        <v>42217</v>
      </c>
      <c r="G686" s="16">
        <v>399</v>
      </c>
      <c r="H686" s="16">
        <f t="shared" si="51"/>
        <v>401.43783199018958</v>
      </c>
      <c r="I686">
        <f t="shared" si="52"/>
        <v>8</v>
      </c>
      <c r="J686" s="16" cm="1">
        <f t="array" ref="J686">INDEX(Sm,I686)</f>
        <v>-1.3971602749585079</v>
      </c>
      <c r="K686" s="16">
        <f t="shared" si="53"/>
        <v>400.0406717152311</v>
      </c>
      <c r="L686" s="16">
        <f t="shared" si="54"/>
        <v>-1.0406717152310989</v>
      </c>
      <c r="M686" s="16">
        <f t="shared" si="55"/>
        <v>1.0829976188820374</v>
      </c>
    </row>
    <row r="687" spans="6:13" x14ac:dyDescent="0.4">
      <c r="F687" s="1">
        <v>42248</v>
      </c>
      <c r="G687" s="16">
        <v>397.5</v>
      </c>
      <c r="H687" s="16">
        <f t="shared" si="51"/>
        <v>401.6300131627425</v>
      </c>
      <c r="I687">
        <f t="shared" si="52"/>
        <v>9</v>
      </c>
      <c r="J687" s="16" cm="1">
        <f t="array" ref="J687">INDEX(Sm,I687)</f>
        <v>-3.1930865277187257</v>
      </c>
      <c r="K687" s="16">
        <f t="shared" si="53"/>
        <v>398.43692663502378</v>
      </c>
      <c r="L687" s="16">
        <f t="shared" si="54"/>
        <v>-0.93692663502378082</v>
      </c>
      <c r="M687" s="16">
        <f t="shared" si="55"/>
        <v>0.87783151941698501</v>
      </c>
    </row>
    <row r="688" spans="6:13" x14ac:dyDescent="0.4">
      <c r="F688" s="1">
        <v>42278</v>
      </c>
      <c r="G688" s="16">
        <v>398.28</v>
      </c>
      <c r="H688" s="16">
        <f t="shared" si="51"/>
        <v>401.81617436921113</v>
      </c>
      <c r="I688">
        <f t="shared" si="52"/>
        <v>10</v>
      </c>
      <c r="J688" s="16" cm="1">
        <f t="array" ref="J688">INDEX(Sm,I688)</f>
        <v>-3.3364130066587929</v>
      </c>
      <c r="K688" s="16">
        <f t="shared" si="53"/>
        <v>398.47976136255232</v>
      </c>
      <c r="L688" s="16">
        <f t="shared" si="54"/>
        <v>-0.19976136255235133</v>
      </c>
      <c r="M688" s="16">
        <f t="shared" si="55"/>
        <v>3.9904601968771949E-2</v>
      </c>
    </row>
    <row r="689" spans="6:13" x14ac:dyDescent="0.4">
      <c r="F689" s="1">
        <v>42309</v>
      </c>
      <c r="G689" s="16">
        <v>400.24</v>
      </c>
      <c r="H689" s="16">
        <f t="shared" si="51"/>
        <v>402.00872635669333</v>
      </c>
      <c r="I689">
        <f t="shared" si="52"/>
        <v>11</v>
      </c>
      <c r="J689" s="16" cm="1">
        <f t="array" ref="J689">INDEX(Sm,I689)</f>
        <v>-2.0587659549634894</v>
      </c>
      <c r="K689" s="16">
        <f t="shared" si="53"/>
        <v>399.94996040172987</v>
      </c>
      <c r="L689" s="16">
        <f t="shared" si="54"/>
        <v>0.29003959827014114</v>
      </c>
      <c r="M689" s="16">
        <f t="shared" si="55"/>
        <v>8.4122968564704859E-2</v>
      </c>
    </row>
    <row r="690" spans="6:13" x14ac:dyDescent="0.4">
      <c r="F690" s="1">
        <v>42339</v>
      </c>
      <c r="G690" s="16">
        <v>401.89</v>
      </c>
      <c r="H690" s="16">
        <f t="shared" si="51"/>
        <v>402.19524641631938</v>
      </c>
      <c r="I690">
        <f t="shared" si="52"/>
        <v>12</v>
      </c>
      <c r="J690" s="16" cm="1">
        <f t="array" ref="J690">INDEX(Sm,I690)</f>
        <v>-0.89092746367992248</v>
      </c>
      <c r="K690" s="16">
        <f t="shared" si="53"/>
        <v>401.30431895263945</v>
      </c>
      <c r="L690" s="16">
        <f t="shared" si="54"/>
        <v>0.58568104736053783</v>
      </c>
      <c r="M690" s="16">
        <f t="shared" si="55"/>
        <v>0.34302228923733658</v>
      </c>
    </row>
    <row r="691" spans="6:13" x14ac:dyDescent="0.4">
      <c r="F691" s="1">
        <v>42370</v>
      </c>
      <c r="G691" s="16">
        <v>402.65</v>
      </c>
      <c r="H691" s="16">
        <f t="shared" si="51"/>
        <v>402.38816921873087</v>
      </c>
      <c r="I691">
        <f t="shared" si="52"/>
        <v>1</v>
      </c>
      <c r="J691" s="16" cm="1">
        <f t="array" ref="J691">INDEX(Sm,I691)</f>
        <v>6.1437951108157106E-2</v>
      </c>
      <c r="K691" s="16">
        <f t="shared" si="53"/>
        <v>402.449607169839</v>
      </c>
      <c r="L691" s="16">
        <f t="shared" si="54"/>
        <v>0.20039283016097897</v>
      </c>
      <c r="M691" s="16">
        <f t="shared" si="55"/>
        <v>4.0157286379926965E-2</v>
      </c>
    </row>
    <row r="692" spans="6:13" x14ac:dyDescent="0.4">
      <c r="F692" s="1">
        <v>42401</v>
      </c>
      <c r="G692" s="16">
        <v>404.16</v>
      </c>
      <c r="H692" s="16">
        <f t="shared" si="51"/>
        <v>402.58128046807371</v>
      </c>
      <c r="I692">
        <f t="shared" si="52"/>
        <v>2</v>
      </c>
      <c r="J692" s="16" cm="1">
        <f t="array" ref="J692">INDEX(Sm,I692)</f>
        <v>0.69461918775013354</v>
      </c>
      <c r="K692" s="16">
        <f t="shared" si="53"/>
        <v>403.27589965582382</v>
      </c>
      <c r="L692" s="16">
        <f t="shared" si="54"/>
        <v>0.88410034417620409</v>
      </c>
      <c r="M692" s="16">
        <f t="shared" si="55"/>
        <v>0.78163341857248247</v>
      </c>
    </row>
    <row r="693" spans="6:13" x14ac:dyDescent="0.4">
      <c r="F693" s="1">
        <v>42430</v>
      </c>
      <c r="G693" s="16">
        <v>404.85</v>
      </c>
      <c r="H693" s="16">
        <f t="shared" si="51"/>
        <v>402.76210352945714</v>
      </c>
      <c r="I693">
        <f t="shared" si="52"/>
        <v>3</v>
      </c>
      <c r="J693" s="16" cm="1">
        <f t="array" ref="J693">INDEX(Sm,I693)</f>
        <v>1.3737674679346947</v>
      </c>
      <c r="K693" s="16">
        <f t="shared" si="53"/>
        <v>404.13587099739181</v>
      </c>
      <c r="L693" s="16">
        <f t="shared" si="54"/>
        <v>0.71412900260821743</v>
      </c>
      <c r="M693" s="16">
        <f t="shared" si="55"/>
        <v>0.50998023236620738</v>
      </c>
    </row>
    <row r="694" spans="6:13" x14ac:dyDescent="0.4">
      <c r="F694" s="1">
        <v>42461</v>
      </c>
      <c r="G694" s="16">
        <v>407.57</v>
      </c>
      <c r="H694" s="16">
        <f t="shared" si="51"/>
        <v>402.95557951479611</v>
      </c>
      <c r="I694">
        <f t="shared" si="52"/>
        <v>4</v>
      </c>
      <c r="J694" s="16" cm="1">
        <f t="array" ref="J694">INDEX(Sm,I694)</f>
        <v>2.6103146023823673</v>
      </c>
      <c r="K694" s="16">
        <f t="shared" si="53"/>
        <v>405.56589411717846</v>
      </c>
      <c r="L694" s="16">
        <f t="shared" si="54"/>
        <v>2.0041058828215341</v>
      </c>
      <c r="M694" s="16">
        <f t="shared" si="55"/>
        <v>4.0164403895598806</v>
      </c>
    </row>
    <row r="695" spans="6:13" x14ac:dyDescent="0.4">
      <c r="F695" s="1">
        <v>42491</v>
      </c>
      <c r="G695" s="16">
        <v>407.66</v>
      </c>
      <c r="H695" s="16">
        <f t="shared" si="51"/>
        <v>403.14299376589628</v>
      </c>
      <c r="I695">
        <f t="shared" si="52"/>
        <v>5</v>
      </c>
      <c r="J695" s="16" cm="1">
        <f t="array" ref="J695">INDEX(Sm,I695)</f>
        <v>3.0656878503632123</v>
      </c>
      <c r="K695" s="16">
        <f t="shared" si="53"/>
        <v>406.20868161625947</v>
      </c>
      <c r="L695" s="16">
        <f t="shared" si="54"/>
        <v>1.4513183837405563</v>
      </c>
      <c r="M695" s="16">
        <f t="shared" si="55"/>
        <v>2.1063250509833007</v>
      </c>
    </row>
    <row r="696" spans="6:13" x14ac:dyDescent="0.4">
      <c r="F696" s="1">
        <v>42522</v>
      </c>
      <c r="G696" s="16">
        <v>407</v>
      </c>
      <c r="H696" s="16">
        <f t="shared" si="51"/>
        <v>403.3368405661646</v>
      </c>
      <c r="I696">
        <f t="shared" si="52"/>
        <v>6</v>
      </c>
      <c r="J696" s="16" cm="1">
        <f t="array" ref="J696">INDEX(Sm,I696)</f>
        <v>2.3467878975381979</v>
      </c>
      <c r="K696" s="16">
        <f t="shared" si="53"/>
        <v>405.6836284637028</v>
      </c>
      <c r="L696" s="16">
        <f t="shared" si="54"/>
        <v>1.3163715362971971</v>
      </c>
      <c r="M696" s="16">
        <f t="shared" si="55"/>
        <v>1.7328340215734428</v>
      </c>
    </row>
    <row r="697" spans="6:13" x14ac:dyDescent="0.4">
      <c r="F697" s="1">
        <v>42552</v>
      </c>
      <c r="G697" s="16">
        <v>404.5</v>
      </c>
      <c r="H697" s="16">
        <f t="shared" si="51"/>
        <v>403.52461367042224</v>
      </c>
      <c r="I697">
        <f t="shared" si="52"/>
        <v>7</v>
      </c>
      <c r="J697" s="16" cm="1">
        <f t="array" ref="J697">INDEX(Sm,I697)</f>
        <v>0.72373827090267417</v>
      </c>
      <c r="K697" s="16">
        <f t="shared" si="53"/>
        <v>404.24835194132493</v>
      </c>
      <c r="L697" s="16">
        <f t="shared" si="54"/>
        <v>0.25164805867507312</v>
      </c>
      <c r="M697" s="16">
        <f t="shared" si="55"/>
        <v>6.3326745434933038E-2</v>
      </c>
    </row>
    <row r="698" spans="6:13" x14ac:dyDescent="0.4">
      <c r="F698" s="1">
        <v>42583</v>
      </c>
      <c r="G698" s="16">
        <v>402.24</v>
      </c>
      <c r="H698" s="16">
        <f t="shared" si="51"/>
        <v>403.71883128561979</v>
      </c>
      <c r="I698">
        <f t="shared" si="52"/>
        <v>8</v>
      </c>
      <c r="J698" s="16" cm="1">
        <f t="array" ref="J698">INDEX(Sm,I698)</f>
        <v>-1.3971602749585079</v>
      </c>
      <c r="K698" s="16">
        <f t="shared" si="53"/>
        <v>402.3216710106613</v>
      </c>
      <c r="L698" s="16">
        <f t="shared" si="54"/>
        <v>-8.1671010661295895E-2</v>
      </c>
      <c r="M698" s="16">
        <f t="shared" si="55"/>
        <v>6.6701539824375079E-3</v>
      </c>
    </row>
    <row r="699" spans="6:13" x14ac:dyDescent="0.4">
      <c r="F699" s="1">
        <v>42614</v>
      </c>
      <c r="G699" s="16">
        <v>401.01</v>
      </c>
      <c r="H699" s="16">
        <f t="shared" si="51"/>
        <v>403.91323734774869</v>
      </c>
      <c r="I699">
        <f t="shared" si="52"/>
        <v>9</v>
      </c>
      <c r="J699" s="16" cm="1">
        <f t="array" ref="J699">INDEX(Sm,I699)</f>
        <v>-3.1930865277187257</v>
      </c>
      <c r="K699" s="16">
        <f t="shared" si="53"/>
        <v>400.72015082002997</v>
      </c>
      <c r="L699" s="16">
        <f t="shared" si="54"/>
        <v>0.28984917997001958</v>
      </c>
      <c r="M699" s="16">
        <f t="shared" si="55"/>
        <v>8.4012547129292792E-2</v>
      </c>
    </row>
    <row r="700" spans="6:13" x14ac:dyDescent="0.4">
      <c r="F700" s="1">
        <v>42644</v>
      </c>
      <c r="G700" s="16">
        <v>401.5</v>
      </c>
      <c r="H700" s="16">
        <f t="shared" si="51"/>
        <v>404.10155167316185</v>
      </c>
      <c r="I700">
        <f t="shared" si="52"/>
        <v>10</v>
      </c>
      <c r="J700" s="16" cm="1">
        <f t="array" ref="J700">INDEX(Sm,I700)</f>
        <v>-3.3364130066587929</v>
      </c>
      <c r="K700" s="16">
        <f t="shared" si="53"/>
        <v>400.76513866650305</v>
      </c>
      <c r="L700" s="16">
        <f t="shared" si="54"/>
        <v>0.73486133349695137</v>
      </c>
      <c r="M700" s="16">
        <f t="shared" si="55"/>
        <v>0.54002117946891759</v>
      </c>
    </row>
    <row r="701" spans="6:13" x14ac:dyDescent="0.4">
      <c r="F701" s="1">
        <v>42675</v>
      </c>
      <c r="G701" s="16">
        <v>403.64</v>
      </c>
      <c r="H701" s="16">
        <f t="shared" si="51"/>
        <v>404.29632855022004</v>
      </c>
      <c r="I701">
        <f t="shared" si="52"/>
        <v>11</v>
      </c>
      <c r="J701" s="16" cm="1">
        <f t="array" ref="J701">INDEX(Sm,I701)</f>
        <v>-2.0587659549634894</v>
      </c>
      <c r="K701" s="16">
        <f t="shared" si="53"/>
        <v>402.23756259525658</v>
      </c>
      <c r="L701" s="16">
        <f t="shared" si="54"/>
        <v>1.4024374047434094</v>
      </c>
      <c r="M701" s="16">
        <f t="shared" si="55"/>
        <v>1.9668306742234294</v>
      </c>
    </row>
    <row r="702" spans="6:13" x14ac:dyDescent="0.4">
      <c r="F702" s="1">
        <v>42705</v>
      </c>
      <c r="G702" s="16">
        <v>404.55</v>
      </c>
      <c r="H702" s="16">
        <f t="shared" si="51"/>
        <v>404.48500172879062</v>
      </c>
      <c r="I702">
        <f t="shared" si="52"/>
        <v>12</v>
      </c>
      <c r="J702" s="16" cm="1">
        <f t="array" ref="J702">INDEX(Sm,I702)</f>
        <v>-0.89092746367992248</v>
      </c>
      <c r="K702" s="16">
        <f t="shared" si="53"/>
        <v>403.59407426511069</v>
      </c>
      <c r="L702" s="16">
        <f t="shared" si="54"/>
        <v>0.95592573488931976</v>
      </c>
      <c r="M702" s="16">
        <f t="shared" si="55"/>
        <v>0.91379401062368604</v>
      </c>
    </row>
    <row r="703" spans="6:13" x14ac:dyDescent="0.4">
      <c r="F703" s="1">
        <v>42736</v>
      </c>
      <c r="G703" s="16">
        <v>406.07</v>
      </c>
      <c r="H703" s="16">
        <f t="shared" si="51"/>
        <v>404.68014942077815</v>
      </c>
      <c r="I703">
        <f t="shared" si="52"/>
        <v>1</v>
      </c>
      <c r="J703" s="16" cm="1">
        <f t="array" ref="J703">INDEX(Sm,I703)</f>
        <v>6.1437951108157106E-2</v>
      </c>
      <c r="K703" s="16">
        <f t="shared" si="53"/>
        <v>404.74158737188628</v>
      </c>
      <c r="L703" s="16">
        <f t="shared" si="54"/>
        <v>1.3284126281137105</v>
      </c>
      <c r="M703" s="16">
        <f t="shared" si="55"/>
        <v>1.7646801105319754</v>
      </c>
    </row>
    <row r="704" spans="6:13" x14ac:dyDescent="0.4">
      <c r="F704" s="1">
        <v>42767</v>
      </c>
      <c r="G704" s="16">
        <v>406.64</v>
      </c>
      <c r="H704" s="16">
        <f t="shared" si="51"/>
        <v>404.87548555969698</v>
      </c>
      <c r="I704">
        <f t="shared" si="52"/>
        <v>2</v>
      </c>
      <c r="J704" s="16" cm="1">
        <f t="array" ref="J704">INDEX(Sm,I704)</f>
        <v>0.69461918775013354</v>
      </c>
      <c r="K704" s="16">
        <f t="shared" si="53"/>
        <v>405.57010474744709</v>
      </c>
      <c r="L704" s="16">
        <f t="shared" si="54"/>
        <v>1.0698952525528966</v>
      </c>
      <c r="M704" s="16">
        <f t="shared" si="55"/>
        <v>1.1446758514352264</v>
      </c>
    </row>
    <row r="705" spans="6:13" x14ac:dyDescent="0.4">
      <c r="F705" s="1">
        <v>42795</v>
      </c>
      <c r="G705" s="16">
        <v>407.05</v>
      </c>
      <c r="H705" s="16">
        <f t="shared" si="51"/>
        <v>405.05208017545851</v>
      </c>
      <c r="I705">
        <f t="shared" si="52"/>
        <v>3</v>
      </c>
      <c r="J705" s="16" cm="1">
        <f t="array" ref="J705">INDEX(Sm,I705)</f>
        <v>1.3737674679346947</v>
      </c>
      <c r="K705" s="16">
        <f t="shared" si="53"/>
        <v>406.42584764339318</v>
      </c>
      <c r="L705" s="16">
        <f t="shared" si="54"/>
        <v>0.62415235660682811</v>
      </c>
      <c r="M705" s="16">
        <f t="shared" si="55"/>
        <v>0.38956616425785712</v>
      </c>
    </row>
    <row r="706" spans="6:13" x14ac:dyDescent="0.4">
      <c r="F706" s="1">
        <v>42826</v>
      </c>
      <c r="G706" s="16">
        <v>408.95</v>
      </c>
      <c r="H706" s="16">
        <f t="shared" si="51"/>
        <v>405.24777497144015</v>
      </c>
      <c r="I706">
        <f t="shared" si="52"/>
        <v>4</v>
      </c>
      <c r="J706" s="16" cm="1">
        <f t="array" ref="J706">INDEX(Sm,I706)</f>
        <v>2.6103146023823673</v>
      </c>
      <c r="K706" s="16">
        <f t="shared" si="53"/>
        <v>407.8580895738225</v>
      </c>
      <c r="L706" s="16">
        <f t="shared" si="54"/>
        <v>1.0919104261774919</v>
      </c>
      <c r="M706" s="16">
        <f t="shared" si="55"/>
        <v>1.192268378795112</v>
      </c>
    </row>
    <row r="707" spans="6:13" x14ac:dyDescent="0.4">
      <c r="F707" s="1">
        <v>42856</v>
      </c>
      <c r="G707" s="16">
        <v>409.91</v>
      </c>
      <c r="H707" s="16">
        <f t="shared" ref="H707:H714" si="56">_A*F707*F707+_B*F707+_C</f>
        <v>405.43733645864626</v>
      </c>
      <c r="I707">
        <f t="shared" ref="I707:I714" si="57">MONTH(F707)</f>
        <v>5</v>
      </c>
      <c r="J707" s="16" cm="1">
        <f t="array" ref="J707">INDEX(Sm,I707)</f>
        <v>3.0656878503632123</v>
      </c>
      <c r="K707" s="16">
        <f t="shared" ref="K707:K714" si="58">H707+J707</f>
        <v>408.50302430900945</v>
      </c>
      <c r="L707" s="16">
        <f t="shared" ref="L707:L714" si="59">G707-K707</f>
        <v>1.4069756909905777</v>
      </c>
      <c r="M707" s="16">
        <f t="shared" ref="M707:M714" si="60">L707*L707</f>
        <v>1.9795805950384138</v>
      </c>
    </row>
    <row r="708" spans="6:13" x14ac:dyDescent="0.4">
      <c r="F708" s="1">
        <v>42887</v>
      </c>
      <c r="G708" s="16">
        <v>409.12</v>
      </c>
      <c r="H708" s="16">
        <f t="shared" si="56"/>
        <v>405.63340206955729</v>
      </c>
      <c r="I708">
        <f t="shared" si="57"/>
        <v>6</v>
      </c>
      <c r="J708" s="16" cm="1">
        <f t="array" ref="J708">INDEX(Sm,I708)</f>
        <v>2.3467878975381979</v>
      </c>
      <c r="K708" s="16">
        <f t="shared" si="58"/>
        <v>407.9801899670955</v>
      </c>
      <c r="L708" s="16">
        <f t="shared" si="59"/>
        <v>1.1398100329045064</v>
      </c>
      <c r="M708" s="16">
        <f t="shared" si="60"/>
        <v>1.2991669111097721</v>
      </c>
    </row>
    <row r="709" spans="6:13" x14ac:dyDescent="0.4">
      <c r="F709" s="1">
        <v>42917</v>
      </c>
      <c r="G709" s="16">
        <v>407.2</v>
      </c>
      <c r="H709" s="16">
        <f t="shared" si="56"/>
        <v>405.82332240992076</v>
      </c>
      <c r="I709">
        <f t="shared" si="57"/>
        <v>7</v>
      </c>
      <c r="J709" s="16" cm="1">
        <f t="array" ref="J709">INDEX(Sm,I709)</f>
        <v>0.72373827090267417</v>
      </c>
      <c r="K709" s="16">
        <f t="shared" si="58"/>
        <v>406.54706068082345</v>
      </c>
      <c r="L709" s="16">
        <f t="shared" si="59"/>
        <v>0.65293931917653936</v>
      </c>
      <c r="M709" s="16">
        <f t="shared" si="60"/>
        <v>0.42632975452672273</v>
      </c>
    </row>
    <row r="710" spans="6:13" x14ac:dyDescent="0.4">
      <c r="F710" s="1">
        <v>42948</v>
      </c>
      <c r="G710" s="16">
        <v>405.24</v>
      </c>
      <c r="H710" s="16">
        <f t="shared" si="56"/>
        <v>406.01975883576108</v>
      </c>
      <c r="I710">
        <f t="shared" si="57"/>
        <v>8</v>
      </c>
      <c r="J710" s="16" cm="1">
        <f t="array" ref="J710">INDEX(Sm,I710)</f>
        <v>-1.3971602749585079</v>
      </c>
      <c r="K710" s="16">
        <f t="shared" si="58"/>
        <v>404.6225985608026</v>
      </c>
      <c r="L710" s="16">
        <f t="shared" si="59"/>
        <v>0.61740143919740831</v>
      </c>
      <c r="M710" s="16">
        <f t="shared" si="60"/>
        <v>0.38118453712303108</v>
      </c>
    </row>
    <row r="711" spans="6:13" x14ac:dyDescent="0.4">
      <c r="F711" s="1">
        <v>42979</v>
      </c>
      <c r="G711" s="16">
        <v>403.27</v>
      </c>
      <c r="H711" s="16">
        <f t="shared" si="56"/>
        <v>406.21638370853276</v>
      </c>
      <c r="I711">
        <f t="shared" si="57"/>
        <v>9</v>
      </c>
      <c r="J711" s="16" cm="1">
        <f t="array" ref="J711">INDEX(Sm,I711)</f>
        <v>-3.1930865277187257</v>
      </c>
      <c r="K711" s="16">
        <f t="shared" si="58"/>
        <v>403.02329718081404</v>
      </c>
      <c r="L711" s="16">
        <f t="shared" si="59"/>
        <v>0.24670281918594128</v>
      </c>
      <c r="M711" s="16">
        <f t="shared" si="60"/>
        <v>6.0862280994291237E-2</v>
      </c>
    </row>
    <row r="712" spans="6:13" x14ac:dyDescent="0.4">
      <c r="F712" s="1">
        <v>43009</v>
      </c>
      <c r="G712" s="16">
        <v>403.64</v>
      </c>
      <c r="H712" s="16">
        <f t="shared" si="56"/>
        <v>406.40684527005169</v>
      </c>
      <c r="I712">
        <f t="shared" si="57"/>
        <v>10</v>
      </c>
      <c r="J712" s="16" cm="1">
        <f t="array" ref="J712">INDEX(Sm,I712)</f>
        <v>-3.3364130066587929</v>
      </c>
      <c r="K712" s="16">
        <f t="shared" si="58"/>
        <v>403.07043226339289</v>
      </c>
      <c r="L712" s="16">
        <f t="shared" si="59"/>
        <v>0.56956773660709814</v>
      </c>
      <c r="M712" s="16">
        <f t="shared" si="60"/>
        <v>0.32440740658373274</v>
      </c>
    </row>
    <row r="713" spans="6:13" x14ac:dyDescent="0.4">
      <c r="F713" s="1">
        <v>43040</v>
      </c>
      <c r="G713" s="16">
        <v>405.17</v>
      </c>
      <c r="H713" s="16">
        <f t="shared" si="56"/>
        <v>406.60384095775265</v>
      </c>
      <c r="I713">
        <f t="shared" si="57"/>
        <v>11</v>
      </c>
      <c r="J713" s="16" cm="1">
        <f t="array" ref="J713">INDEX(Sm,I713)</f>
        <v>-2.0587659549634894</v>
      </c>
      <c r="K713" s="16">
        <f t="shared" si="58"/>
        <v>404.54507500278919</v>
      </c>
      <c r="L713" s="16">
        <f t="shared" si="59"/>
        <v>0.62492499721082595</v>
      </c>
      <c r="M713" s="16">
        <f t="shared" si="60"/>
        <v>0.39053125213895085</v>
      </c>
    </row>
    <row r="714" spans="6:13" x14ac:dyDescent="0.4">
      <c r="F714" s="1">
        <v>43070</v>
      </c>
      <c r="G714" s="16">
        <v>406.75</v>
      </c>
      <c r="H714" s="16">
        <f t="shared" si="56"/>
        <v>406.79466137242906</v>
      </c>
      <c r="I714">
        <f t="shared" si="57"/>
        <v>12</v>
      </c>
      <c r="J714" s="16" cm="1">
        <f t="array" ref="J714">INDEX(Sm,I714)</f>
        <v>-0.89092746367992248</v>
      </c>
      <c r="K714" s="16">
        <f t="shared" si="58"/>
        <v>405.90373390874913</v>
      </c>
      <c r="L714" s="16">
        <f t="shared" si="59"/>
        <v>0.84626609125086816</v>
      </c>
      <c r="M714" s="16">
        <f t="shared" si="60"/>
        <v>0.71616629720102276</v>
      </c>
    </row>
    <row r="715" spans="6:13" x14ac:dyDescent="0.4">
      <c r="F715" s="1">
        <v>43101</v>
      </c>
      <c r="G715" s="16">
        <v>408.05</v>
      </c>
      <c r="H715" s="16">
        <f t="shared" ref="H715:H742" si="61">_A*F715*F715+_B*F715+_C</f>
        <v>406.99202787505931</v>
      </c>
      <c r="I715">
        <f t="shared" ref="I715:I742" si="62">MONTH(F715)</f>
        <v>1</v>
      </c>
      <c r="J715" s="16" cm="1">
        <f t="array" ref="J715">INDEX(Sm,I715)</f>
        <v>6.1437951108157106E-2</v>
      </c>
      <c r="K715" s="16">
        <f t="shared" ref="K715:K742" si="63">H715+J715</f>
        <v>407.05346582616744</v>
      </c>
      <c r="L715" s="16">
        <f t="shared" ref="L715:L742" si="64">G715-K715</f>
        <v>0.99653417383257192</v>
      </c>
      <c r="M715" s="16">
        <f t="shared" ref="M715:M742" si="65">L715*L715</f>
        <v>0.9930803596161667</v>
      </c>
    </row>
    <row r="716" spans="6:13" x14ac:dyDescent="0.4">
      <c r="F716" s="1">
        <v>43132</v>
      </c>
      <c r="G716" s="16">
        <v>408.34</v>
      </c>
      <c r="H716" s="16">
        <f t="shared" si="61"/>
        <v>407.18958282462091</v>
      </c>
      <c r="I716">
        <f t="shared" si="62"/>
        <v>2</v>
      </c>
      <c r="J716" s="16" cm="1">
        <f t="array" ref="J716">INDEX(Sm,I716)</f>
        <v>0.69461918775013354</v>
      </c>
      <c r="K716" s="16">
        <f t="shared" si="63"/>
        <v>407.88420201237102</v>
      </c>
      <c r="L716" s="16">
        <f t="shared" si="64"/>
        <v>0.45579798762895507</v>
      </c>
      <c r="M716" s="16">
        <f t="shared" si="65"/>
        <v>0.20775180552660508</v>
      </c>
    </row>
    <row r="717" spans="6:13" x14ac:dyDescent="0.4">
      <c r="F717" s="1">
        <v>43160</v>
      </c>
      <c r="G717" s="16">
        <v>409.25</v>
      </c>
      <c r="H717" s="16">
        <f t="shared" si="61"/>
        <v>407.36818152741455</v>
      </c>
      <c r="I717">
        <f t="shared" si="62"/>
        <v>3</v>
      </c>
      <c r="J717" s="16" cm="1">
        <f t="array" ref="J717">INDEX(Sm,I717)</f>
        <v>1.3737674679346947</v>
      </c>
      <c r="K717" s="16">
        <f t="shared" si="63"/>
        <v>408.74194899534922</v>
      </c>
      <c r="L717" s="16">
        <f t="shared" si="64"/>
        <v>0.50805100465078112</v>
      </c>
      <c r="M717" s="16">
        <f t="shared" si="65"/>
        <v>0.25811582332666805</v>
      </c>
    </row>
    <row r="718" spans="6:13" x14ac:dyDescent="0.4">
      <c r="F718" s="1">
        <v>43191</v>
      </c>
      <c r="G718" s="16">
        <v>410.3</v>
      </c>
      <c r="H718" s="16">
        <f t="shared" si="61"/>
        <v>407.56609513403896</v>
      </c>
      <c r="I718">
        <f t="shared" si="62"/>
        <v>4</v>
      </c>
      <c r="J718" s="16" cm="1">
        <f t="array" ref="J718">INDEX(Sm,I718)</f>
        <v>2.6103146023823673</v>
      </c>
      <c r="K718" s="16">
        <f t="shared" si="63"/>
        <v>410.17640973642131</v>
      </c>
      <c r="L718" s="16">
        <f t="shared" si="64"/>
        <v>0.12359026357870562</v>
      </c>
      <c r="M718" s="16">
        <f t="shared" si="65"/>
        <v>1.5274553251453929E-2</v>
      </c>
    </row>
    <row r="719" spans="6:13" x14ac:dyDescent="0.4">
      <c r="F719" s="1">
        <v>43221</v>
      </c>
      <c r="G719" s="16">
        <v>411.3</v>
      </c>
      <c r="H719" s="16">
        <f t="shared" si="61"/>
        <v>407.75780385735095</v>
      </c>
      <c r="I719">
        <f t="shared" si="62"/>
        <v>5</v>
      </c>
      <c r="J719" s="16" cm="1">
        <f t="array" ref="J719">INDEX(Sm,I719)</f>
        <v>3.0656878503632123</v>
      </c>
      <c r="K719" s="16">
        <f t="shared" si="63"/>
        <v>410.82349170771414</v>
      </c>
      <c r="L719" s="16">
        <f t="shared" si="64"/>
        <v>0.47650829228587099</v>
      </c>
      <c r="M719" s="16">
        <f t="shared" si="65"/>
        <v>0.22706015261719706</v>
      </c>
    </row>
    <row r="720" spans="6:13" x14ac:dyDescent="0.4">
      <c r="F720" s="1">
        <v>43252</v>
      </c>
      <c r="G720" s="16">
        <v>410.88</v>
      </c>
      <c r="H720" s="16">
        <f t="shared" si="61"/>
        <v>407.95608827890464</v>
      </c>
      <c r="I720">
        <f t="shared" si="62"/>
        <v>6</v>
      </c>
      <c r="J720" s="16" cm="1">
        <f t="array" ref="J720">INDEX(Sm,I720)</f>
        <v>2.3467878975381979</v>
      </c>
      <c r="K720" s="16">
        <f t="shared" si="63"/>
        <v>410.30287617644285</v>
      </c>
      <c r="L720" s="16">
        <f t="shared" si="64"/>
        <v>0.57712382355714453</v>
      </c>
      <c r="M720" s="16">
        <f t="shared" si="65"/>
        <v>0.33307190771721812</v>
      </c>
    </row>
    <row r="721" spans="6:13" x14ac:dyDescent="0.4">
      <c r="F721" s="1">
        <v>43282</v>
      </c>
      <c r="G721" s="16">
        <v>408.9</v>
      </c>
      <c r="H721" s="16">
        <f t="shared" si="61"/>
        <v>408.14815585537406</v>
      </c>
      <c r="I721">
        <f t="shared" si="62"/>
        <v>7</v>
      </c>
      <c r="J721" s="16" cm="1">
        <f t="array" ref="J721">INDEX(Sm,I721)</f>
        <v>0.72373827090267417</v>
      </c>
      <c r="K721" s="16">
        <f t="shared" si="63"/>
        <v>408.87189412627674</v>
      </c>
      <c r="L721" s="16">
        <f t="shared" si="64"/>
        <v>2.8105873723234254E-2</v>
      </c>
      <c r="M721" s="16">
        <f t="shared" si="65"/>
        <v>7.8994013774638964E-4</v>
      </c>
    </row>
    <row r="722" spans="6:13" x14ac:dyDescent="0.4">
      <c r="F722" s="1">
        <v>43313</v>
      </c>
      <c r="G722" s="16">
        <v>407.1</v>
      </c>
      <c r="H722" s="16">
        <f t="shared" si="61"/>
        <v>408.34681109185709</v>
      </c>
      <c r="I722">
        <f t="shared" si="62"/>
        <v>8</v>
      </c>
      <c r="J722" s="16" cm="1">
        <f t="array" ref="J722">INDEX(Sm,I722)</f>
        <v>-1.3971602749585079</v>
      </c>
      <c r="K722" s="16">
        <f t="shared" si="63"/>
        <v>406.94965081689861</v>
      </c>
      <c r="L722" s="16">
        <f t="shared" si="64"/>
        <v>0.15034918310141165</v>
      </c>
      <c r="M722" s="16">
        <f t="shared" si="65"/>
        <v>2.2604876859261807E-2</v>
      </c>
    </row>
    <row r="723" spans="6:13" x14ac:dyDescent="0.4">
      <c r="F723" s="1">
        <v>43344</v>
      </c>
      <c r="G723" s="16">
        <v>405.59</v>
      </c>
      <c r="H723" s="16">
        <f t="shared" si="61"/>
        <v>408.54565477527143</v>
      </c>
      <c r="I723">
        <f t="shared" si="62"/>
        <v>9</v>
      </c>
      <c r="J723" s="16" cm="1">
        <f t="array" ref="J723">INDEX(Sm,I723)</f>
        <v>-3.1930865277187257</v>
      </c>
      <c r="K723" s="16">
        <f t="shared" si="63"/>
        <v>405.35256824755271</v>
      </c>
      <c r="L723" s="16">
        <f t="shared" si="64"/>
        <v>0.23743175244726444</v>
      </c>
      <c r="M723" s="16">
        <f t="shared" si="65"/>
        <v>5.6373837070179067E-2</v>
      </c>
    </row>
    <row r="724" spans="6:13" x14ac:dyDescent="0.4">
      <c r="F724" s="1">
        <v>43374</v>
      </c>
      <c r="G724" s="16">
        <v>405.99</v>
      </c>
      <c r="H724" s="16">
        <f t="shared" si="61"/>
        <v>408.7382635728963</v>
      </c>
      <c r="I724">
        <f t="shared" si="62"/>
        <v>10</v>
      </c>
      <c r="J724" s="16" cm="1">
        <f t="array" ref="J724">INDEX(Sm,I724)</f>
        <v>-3.3364130066587929</v>
      </c>
      <c r="K724" s="16">
        <f t="shared" si="63"/>
        <v>405.4018505662375</v>
      </c>
      <c r="L724" s="16">
        <f t="shared" si="64"/>
        <v>0.58814943376250994</v>
      </c>
      <c r="M724" s="16">
        <f t="shared" si="65"/>
        <v>0.3459197564351611</v>
      </c>
    </row>
    <row r="725" spans="6:13" x14ac:dyDescent="0.4">
      <c r="F725" s="1">
        <v>43405</v>
      </c>
      <c r="G725" s="16">
        <v>408.12</v>
      </c>
      <c r="H725" s="16">
        <f t="shared" si="61"/>
        <v>408.93747807123992</v>
      </c>
      <c r="I725">
        <f t="shared" si="62"/>
        <v>11</v>
      </c>
      <c r="J725" s="16" cm="1">
        <f t="array" ref="J725">INDEX(Sm,I725)</f>
        <v>-2.0587659549634894</v>
      </c>
      <c r="K725" s="16">
        <f t="shared" si="63"/>
        <v>406.87871211627646</v>
      </c>
      <c r="L725" s="16">
        <f t="shared" si="64"/>
        <v>1.2412878837235439</v>
      </c>
      <c r="M725" s="16">
        <f t="shared" si="65"/>
        <v>1.5407956102788742</v>
      </c>
    </row>
    <row r="726" spans="6:13" x14ac:dyDescent="0.4">
      <c r="F726" s="1">
        <v>43435</v>
      </c>
      <c r="G726" s="16">
        <v>409.23</v>
      </c>
      <c r="H726" s="16">
        <f t="shared" si="61"/>
        <v>409.13044572202222</v>
      </c>
      <c r="I726">
        <f t="shared" si="62"/>
        <v>12</v>
      </c>
      <c r="J726" s="16" cm="1">
        <f t="array" ref="J726">INDEX(Sm,I726)</f>
        <v>-0.89092746367992248</v>
      </c>
      <c r="K726" s="16">
        <f t="shared" si="63"/>
        <v>408.23951825834229</v>
      </c>
      <c r="L726" s="16">
        <f t="shared" si="64"/>
        <v>0.99048174165773162</v>
      </c>
      <c r="M726" s="16">
        <f t="shared" si="65"/>
        <v>0.98105408055733345</v>
      </c>
    </row>
    <row r="727" spans="6:13" x14ac:dyDescent="0.4">
      <c r="F727" s="1">
        <v>43466</v>
      </c>
      <c r="G727" s="16">
        <v>410.92</v>
      </c>
      <c r="H727" s="16">
        <f t="shared" si="61"/>
        <v>409.33003103529524</v>
      </c>
      <c r="I727">
        <f t="shared" si="62"/>
        <v>1</v>
      </c>
      <c r="J727" s="16" cm="1">
        <f t="array" ref="J727">INDEX(Sm,I727)</f>
        <v>6.1437951108157106E-2</v>
      </c>
      <c r="K727" s="16">
        <f t="shared" si="63"/>
        <v>409.39146898640337</v>
      </c>
      <c r="L727" s="16">
        <f t="shared" si="64"/>
        <v>1.5285310135966483</v>
      </c>
      <c r="M727" s="16">
        <f t="shared" si="65"/>
        <v>2.3364070595267972</v>
      </c>
    </row>
    <row r="728" spans="6:13" x14ac:dyDescent="0.4">
      <c r="F728" s="1">
        <v>43497</v>
      </c>
      <c r="G728" s="16">
        <v>411.66</v>
      </c>
      <c r="H728" s="16">
        <f t="shared" si="61"/>
        <v>409.52980479549956</v>
      </c>
      <c r="I728">
        <f t="shared" si="62"/>
        <v>2</v>
      </c>
      <c r="J728" s="16" cm="1">
        <f t="array" ref="J728">INDEX(Sm,I728)</f>
        <v>0.69461918775013354</v>
      </c>
      <c r="K728" s="16">
        <f t="shared" si="63"/>
        <v>410.22442398324966</v>
      </c>
      <c r="L728" s="16">
        <f t="shared" si="64"/>
        <v>1.4355760167503604</v>
      </c>
      <c r="M728" s="16">
        <f t="shared" si="65"/>
        <v>2.060878499868831</v>
      </c>
    </row>
    <row r="729" spans="6:13" x14ac:dyDescent="0.4">
      <c r="F729" s="1">
        <v>43525</v>
      </c>
      <c r="G729" s="16">
        <v>412</v>
      </c>
      <c r="H729" s="16">
        <f t="shared" si="61"/>
        <v>409.71040758532536</v>
      </c>
      <c r="I729">
        <f t="shared" si="62"/>
        <v>3</v>
      </c>
      <c r="J729" s="16" cm="1">
        <f t="array" ref="J729">INDEX(Sm,I729)</f>
        <v>1.3737674679346947</v>
      </c>
      <c r="K729" s="16">
        <f t="shared" si="63"/>
        <v>411.08417505326003</v>
      </c>
      <c r="L729" s="16">
        <f t="shared" si="64"/>
        <v>0.91582494673997417</v>
      </c>
      <c r="M729" s="16">
        <f t="shared" si="65"/>
        <v>0.83873533307127657</v>
      </c>
    </row>
    <row r="730" spans="6:13" x14ac:dyDescent="0.4">
      <c r="F730" s="1">
        <v>43556</v>
      </c>
      <c r="G730" s="16">
        <v>413.52</v>
      </c>
      <c r="H730" s="16">
        <f t="shared" si="61"/>
        <v>409.91054000259248</v>
      </c>
      <c r="I730">
        <f t="shared" si="62"/>
        <v>4</v>
      </c>
      <c r="J730" s="16" cm="1">
        <f t="array" ref="J730">INDEX(Sm,I730)</f>
        <v>2.6103146023823673</v>
      </c>
      <c r="K730" s="16">
        <f t="shared" si="63"/>
        <v>412.52085460497483</v>
      </c>
      <c r="L730" s="16">
        <f t="shared" si="64"/>
        <v>0.99914539502515254</v>
      </c>
      <c r="M730" s="16">
        <f t="shared" si="65"/>
        <v>0.99829152039996816</v>
      </c>
    </row>
    <row r="731" spans="6:13" x14ac:dyDescent="0.4">
      <c r="F731" s="1">
        <v>43586</v>
      </c>
      <c r="G731" s="16">
        <v>414.83</v>
      </c>
      <c r="H731" s="16">
        <f t="shared" si="61"/>
        <v>410.1043959620103</v>
      </c>
      <c r="I731">
        <f t="shared" si="62"/>
        <v>5</v>
      </c>
      <c r="J731" s="16" cm="1">
        <f t="array" ref="J731">INDEX(Sm,I731)</f>
        <v>3.0656878503632123</v>
      </c>
      <c r="K731" s="16">
        <f t="shared" si="63"/>
        <v>413.17008381237349</v>
      </c>
      <c r="L731" s="16">
        <f t="shared" si="64"/>
        <v>1.659916187626493</v>
      </c>
      <c r="M731" s="16">
        <f t="shared" si="65"/>
        <v>2.7553217499444704</v>
      </c>
    </row>
    <row r="732" spans="6:13" x14ac:dyDescent="0.4">
      <c r="F732" s="1">
        <v>43617</v>
      </c>
      <c r="G732" s="16">
        <v>413.96</v>
      </c>
      <c r="H732" s="16">
        <f t="shared" si="61"/>
        <v>410.30489919420671</v>
      </c>
      <c r="I732">
        <f t="shared" si="62"/>
        <v>6</v>
      </c>
      <c r="J732" s="16" cm="1">
        <f t="array" ref="J732">INDEX(Sm,I732)</f>
        <v>2.3467878975381979</v>
      </c>
      <c r="K732" s="16">
        <f t="shared" si="63"/>
        <v>412.65168709174492</v>
      </c>
      <c r="L732" s="16">
        <f t="shared" si="64"/>
        <v>1.3083129082550613</v>
      </c>
      <c r="M732" s="16">
        <f t="shared" si="65"/>
        <v>1.7116826659068165</v>
      </c>
    </row>
    <row r="733" spans="6:13" x14ac:dyDescent="0.4">
      <c r="F733" s="1">
        <v>43647</v>
      </c>
      <c r="G733" s="16">
        <v>411.85</v>
      </c>
      <c r="H733" s="16">
        <f t="shared" si="61"/>
        <v>410.49911400678201</v>
      </c>
      <c r="I733">
        <f t="shared" si="62"/>
        <v>7</v>
      </c>
      <c r="J733" s="16" cm="1">
        <f t="array" ref="J733">INDEX(Sm,I733)</f>
        <v>0.72373827090267417</v>
      </c>
      <c r="K733" s="16">
        <f t="shared" si="63"/>
        <v>411.22285227768469</v>
      </c>
      <c r="L733" s="16">
        <f t="shared" si="64"/>
        <v>0.62714772231532834</v>
      </c>
      <c r="M733" s="16">
        <f t="shared" si="65"/>
        <v>0.39331426560530419</v>
      </c>
    </row>
    <row r="734" spans="6:13" x14ac:dyDescent="0.4">
      <c r="F734" s="1">
        <v>43678</v>
      </c>
      <c r="G734" s="16">
        <v>410.08</v>
      </c>
      <c r="H734" s="16">
        <f t="shared" si="61"/>
        <v>410.69998805390776</v>
      </c>
      <c r="I734">
        <f t="shared" si="62"/>
        <v>8</v>
      </c>
      <c r="J734" s="16" cm="1">
        <f t="array" ref="J734">INDEX(Sm,I734)</f>
        <v>-1.3971602749585079</v>
      </c>
      <c r="K734" s="16">
        <f t="shared" si="63"/>
        <v>409.30282777894928</v>
      </c>
      <c r="L734" s="16">
        <f t="shared" si="64"/>
        <v>0.77717222105070505</v>
      </c>
      <c r="M734" s="16">
        <f t="shared" si="65"/>
        <v>0.60399666117288597</v>
      </c>
    </row>
    <row r="735" spans="6:13" x14ac:dyDescent="0.4">
      <c r="F735" s="1">
        <v>43709</v>
      </c>
      <c r="G735" s="16">
        <v>408.55</v>
      </c>
      <c r="H735" s="16">
        <f t="shared" si="61"/>
        <v>410.90105054796481</v>
      </c>
      <c r="I735">
        <f t="shared" si="62"/>
        <v>9</v>
      </c>
      <c r="J735" s="16" cm="1">
        <f t="array" ref="J735">INDEX(Sm,I735)</f>
        <v>-3.1930865277187257</v>
      </c>
      <c r="K735" s="16">
        <f t="shared" si="63"/>
        <v>407.7079640202461</v>
      </c>
      <c r="L735" s="16">
        <f t="shared" si="64"/>
        <v>0.84203597975391631</v>
      </c>
      <c r="M735" s="16">
        <f t="shared" si="65"/>
        <v>0.70902459120013772</v>
      </c>
    </row>
    <row r="736" spans="6:13" x14ac:dyDescent="0.4">
      <c r="F736" s="1">
        <v>43739</v>
      </c>
      <c r="G736" s="16">
        <v>408.43</v>
      </c>
      <c r="H736" s="16">
        <f t="shared" si="61"/>
        <v>411.09580658169557</v>
      </c>
      <c r="I736">
        <f t="shared" si="62"/>
        <v>10</v>
      </c>
      <c r="J736" s="16" cm="1">
        <f t="array" ref="J736">INDEX(Sm,I736)</f>
        <v>-3.3364130066587929</v>
      </c>
      <c r="K736" s="16">
        <f t="shared" si="63"/>
        <v>407.75939357503677</v>
      </c>
      <c r="L736" s="16">
        <f t="shared" si="64"/>
        <v>0.67060642496323908</v>
      </c>
      <c r="M736" s="16">
        <f t="shared" si="65"/>
        <v>0.44971297720197639</v>
      </c>
    </row>
    <row r="737" spans="6:13" x14ac:dyDescent="0.4">
      <c r="F737" s="1">
        <v>43770</v>
      </c>
      <c r="G737" s="16">
        <v>410.29</v>
      </c>
      <c r="H737" s="16">
        <f t="shared" si="61"/>
        <v>411.29723989068202</v>
      </c>
      <c r="I737">
        <f t="shared" si="62"/>
        <v>11</v>
      </c>
      <c r="J737" s="16" cm="1">
        <f t="array" ref="J737">INDEX(Sm,I737)</f>
        <v>-2.0587659549634894</v>
      </c>
      <c r="K737" s="16">
        <f t="shared" si="63"/>
        <v>409.23847393571856</v>
      </c>
      <c r="L737" s="16">
        <f t="shared" si="64"/>
        <v>1.051526064281461</v>
      </c>
      <c r="M737" s="16">
        <f t="shared" si="65"/>
        <v>1.1057070638632593</v>
      </c>
    </row>
    <row r="738" spans="6:13" x14ac:dyDescent="0.4">
      <c r="F738" s="1">
        <v>43800</v>
      </c>
      <c r="G738" s="16">
        <v>411.85</v>
      </c>
      <c r="H738" s="16">
        <f t="shared" si="61"/>
        <v>411.49235477757014</v>
      </c>
      <c r="I738">
        <f t="shared" si="62"/>
        <v>12</v>
      </c>
      <c r="J738" s="16" cm="1">
        <f t="array" ref="J738">INDEX(Sm,I738)</f>
        <v>-0.89092746367992248</v>
      </c>
      <c r="K738" s="16">
        <f t="shared" si="63"/>
        <v>410.60142731389021</v>
      </c>
      <c r="L738" s="16">
        <f t="shared" si="64"/>
        <v>1.2485726861098101</v>
      </c>
      <c r="M738" s="16">
        <f t="shared" si="65"/>
        <v>1.5589337524994664</v>
      </c>
    </row>
    <row r="739" spans="6:13" x14ac:dyDescent="0.4">
      <c r="F739" s="1">
        <v>43831</v>
      </c>
      <c r="G739" s="16">
        <v>413.37</v>
      </c>
      <c r="H739" s="16">
        <f t="shared" si="61"/>
        <v>411.69415890148588</v>
      </c>
      <c r="I739">
        <f t="shared" si="62"/>
        <v>1</v>
      </c>
      <c r="J739" s="16" cm="1">
        <f t="array" ref="J739">INDEX(Sm,I739)</f>
        <v>6.1437951108157106E-2</v>
      </c>
      <c r="K739" s="16">
        <f t="shared" si="63"/>
        <v>411.75559685259401</v>
      </c>
      <c r="L739" s="16">
        <f t="shared" si="64"/>
        <v>1.6144031474059943</v>
      </c>
      <c r="M739" s="16">
        <f t="shared" si="65"/>
        <v>2.6062975223543807</v>
      </c>
    </row>
    <row r="740" spans="6:13" x14ac:dyDescent="0.4">
      <c r="F740" s="1">
        <v>43862</v>
      </c>
      <c r="G740" s="16">
        <v>414.09</v>
      </c>
      <c r="H740" s="16">
        <f t="shared" si="61"/>
        <v>411.89615147233292</v>
      </c>
      <c r="I740">
        <f t="shared" si="62"/>
        <v>2</v>
      </c>
      <c r="J740" s="16" cm="1">
        <f t="array" ref="J740">INDEX(Sm,I740)</f>
        <v>0.69461918775013354</v>
      </c>
      <c r="K740" s="16">
        <f t="shared" si="63"/>
        <v>412.59077066008302</v>
      </c>
      <c r="L740" s="16">
        <f t="shared" si="64"/>
        <v>1.4992293399169512</v>
      </c>
      <c r="M740" s="16">
        <f t="shared" si="65"/>
        <v>2.2476886136678171</v>
      </c>
    </row>
    <row r="741" spans="6:13" x14ac:dyDescent="0.4">
      <c r="F741" s="1">
        <v>43891</v>
      </c>
      <c r="G741" s="16">
        <v>414.51</v>
      </c>
      <c r="H741" s="16">
        <f t="shared" si="61"/>
        <v>412.08528286673641</v>
      </c>
      <c r="I741">
        <f t="shared" si="62"/>
        <v>3</v>
      </c>
      <c r="J741" s="16" cm="1">
        <f t="array" ref="J741">INDEX(Sm,I741)</f>
        <v>1.3737674679346947</v>
      </c>
      <c r="K741" s="16">
        <f t="shared" si="63"/>
        <v>413.45905033467108</v>
      </c>
      <c r="L741" s="16">
        <f t="shared" si="64"/>
        <v>1.0509496653289148</v>
      </c>
      <c r="M741" s="16">
        <f t="shared" si="65"/>
        <v>1.1044951990549579</v>
      </c>
    </row>
    <row r="742" spans="6:13" x14ac:dyDescent="0.4">
      <c r="F742" s="1">
        <v>43922</v>
      </c>
      <c r="G742" s="16">
        <v>416.18</v>
      </c>
      <c r="H742" s="16">
        <f t="shared" si="61"/>
        <v>412.28764017357946</v>
      </c>
      <c r="I742">
        <f t="shared" si="62"/>
        <v>4</v>
      </c>
      <c r="J742" s="16" cm="1">
        <f t="array" ref="J742">INDEX(Sm,I742)</f>
        <v>2.6103146023823673</v>
      </c>
      <c r="K742" s="16">
        <f t="shared" si="63"/>
        <v>414.89795477596181</v>
      </c>
      <c r="L742" s="16">
        <f t="shared" si="64"/>
        <v>1.2820452240381996</v>
      </c>
      <c r="M742" s="16">
        <f t="shared" si="65"/>
        <v>1.6436399564791575</v>
      </c>
    </row>
    <row r="743" spans="6:13" x14ac:dyDescent="0.4">
      <c r="F743" s="1">
        <v>43952</v>
      </c>
      <c r="H743" s="16">
        <f t="shared" ref="H743:H806" si="66">_A*F743*F743+_B*F743+_C</f>
        <v>412.48364925194181</v>
      </c>
      <c r="I743">
        <f t="shared" ref="I743:I806" si="67">MONTH(F743)</f>
        <v>5</v>
      </c>
      <c r="J743" s="16" cm="1">
        <f t="array" ref="J743">INDEX(Sm,I743)</f>
        <v>3.0656878503632123</v>
      </c>
      <c r="K743" s="16">
        <f t="shared" ref="K743:K806" si="68">H743+J743</f>
        <v>415.549337102305</v>
      </c>
    </row>
    <row r="744" spans="6:13" x14ac:dyDescent="0.4">
      <c r="F744" s="1">
        <v>43983</v>
      </c>
      <c r="H744" s="16">
        <f t="shared" si="66"/>
        <v>412.68637737371427</v>
      </c>
      <c r="I744">
        <f t="shared" si="67"/>
        <v>6</v>
      </c>
      <c r="J744" s="16" cm="1">
        <f t="array" ref="J744">INDEX(Sm,I744)</f>
        <v>2.3467878975381979</v>
      </c>
      <c r="K744" s="16">
        <f t="shared" si="68"/>
        <v>415.03316527125247</v>
      </c>
    </row>
    <row r="745" spans="6:13" x14ac:dyDescent="0.4">
      <c r="F745" s="1">
        <v>44013</v>
      </c>
      <c r="H745" s="16">
        <f t="shared" si="66"/>
        <v>412.88274530523404</v>
      </c>
      <c r="I745">
        <f t="shared" si="67"/>
        <v>7</v>
      </c>
      <c r="J745" s="16" cm="1">
        <f t="array" ref="J745">INDEX(Sm,I745)</f>
        <v>0.72373827090267417</v>
      </c>
      <c r="K745" s="16">
        <f t="shared" si="68"/>
        <v>413.60648357613672</v>
      </c>
    </row>
    <row r="746" spans="6:13" x14ac:dyDescent="0.4">
      <c r="F746" s="1">
        <v>44044</v>
      </c>
      <c r="H746" s="16">
        <f t="shared" si="66"/>
        <v>413.08584424193583</v>
      </c>
      <c r="I746">
        <f t="shared" si="67"/>
        <v>8</v>
      </c>
      <c r="J746" s="16" cm="1">
        <f t="array" ref="J746">INDEX(Sm,I746)</f>
        <v>-1.3971602749585079</v>
      </c>
      <c r="K746" s="16">
        <f t="shared" si="68"/>
        <v>411.68868396697735</v>
      </c>
    </row>
    <row r="747" spans="6:13" x14ac:dyDescent="0.4">
      <c r="F747" s="1">
        <v>44075</v>
      </c>
      <c r="H747" s="16">
        <f t="shared" si="66"/>
        <v>413.28913162556893</v>
      </c>
      <c r="I747">
        <f t="shared" si="67"/>
        <v>9</v>
      </c>
      <c r="J747" s="16" cm="1">
        <f t="array" ref="J747">INDEX(Sm,I747)</f>
        <v>-3.1930865277187257</v>
      </c>
      <c r="K747" s="16">
        <f t="shared" si="68"/>
        <v>410.09604509785021</v>
      </c>
    </row>
    <row r="748" spans="6:13" x14ac:dyDescent="0.4">
      <c r="F748" s="1">
        <v>44105</v>
      </c>
      <c r="H748" s="16">
        <f t="shared" si="66"/>
        <v>413.48604077824416</v>
      </c>
      <c r="I748">
        <f t="shared" si="67"/>
        <v>10</v>
      </c>
      <c r="J748" s="16" cm="1">
        <f t="array" ref="J748">INDEX(Sm,I748)</f>
        <v>-3.3364130066587929</v>
      </c>
      <c r="K748" s="16">
        <f t="shared" si="68"/>
        <v>410.14962777158536</v>
      </c>
    </row>
    <row r="749" spans="6:13" x14ac:dyDescent="0.4">
      <c r="F749" s="1">
        <v>44136</v>
      </c>
      <c r="H749" s="16">
        <f t="shared" si="66"/>
        <v>413.68969897680654</v>
      </c>
      <c r="I749">
        <f t="shared" si="67"/>
        <v>11</v>
      </c>
      <c r="J749" s="16" cm="1">
        <f t="array" ref="J749">INDEX(Sm,I749)</f>
        <v>-2.0587659549634894</v>
      </c>
      <c r="K749" s="16">
        <f t="shared" si="68"/>
        <v>411.63093302184308</v>
      </c>
    </row>
    <row r="750" spans="6:13" x14ac:dyDescent="0.4">
      <c r="F750" s="1">
        <v>44166</v>
      </c>
      <c r="H750" s="16">
        <f t="shared" si="66"/>
        <v>413.88696698263919</v>
      </c>
      <c r="I750">
        <f t="shared" si="67"/>
        <v>12</v>
      </c>
      <c r="J750" s="16" cm="1">
        <f t="array" ref="J750">INDEX(Sm,I750)</f>
        <v>-0.89092746367992248</v>
      </c>
      <c r="K750" s="16">
        <f t="shared" si="68"/>
        <v>412.99603951895926</v>
      </c>
    </row>
    <row r="751" spans="6:13" x14ac:dyDescent="0.4">
      <c r="F751" s="1">
        <v>44197</v>
      </c>
      <c r="H751" s="16">
        <f t="shared" si="66"/>
        <v>414.09099599613091</v>
      </c>
      <c r="I751">
        <f t="shared" si="67"/>
        <v>1</v>
      </c>
      <c r="J751" s="16" cm="1">
        <f t="array" ref="J751">INDEX(Sm,I751)</f>
        <v>6.1437951108157106E-2</v>
      </c>
      <c r="K751" s="16">
        <f t="shared" si="68"/>
        <v>414.15243394723905</v>
      </c>
    </row>
    <row r="752" spans="6:13" x14ac:dyDescent="0.4">
      <c r="F752" s="1">
        <v>44228</v>
      </c>
      <c r="H752" s="16">
        <f t="shared" si="66"/>
        <v>414.29521345655394</v>
      </c>
      <c r="I752">
        <f t="shared" si="67"/>
        <v>2</v>
      </c>
      <c r="J752" s="16" cm="1">
        <f t="array" ref="J752">INDEX(Sm,I752)</f>
        <v>0.69461918775013354</v>
      </c>
      <c r="K752" s="16">
        <f t="shared" si="68"/>
        <v>414.98983264430404</v>
      </c>
    </row>
    <row r="753" spans="6:11" x14ac:dyDescent="0.4">
      <c r="F753" s="1">
        <v>44256</v>
      </c>
      <c r="H753" s="16">
        <f t="shared" si="66"/>
        <v>414.47982991109342</v>
      </c>
      <c r="I753">
        <f t="shared" si="67"/>
        <v>3</v>
      </c>
      <c r="J753" s="16" cm="1">
        <f t="array" ref="J753">INDEX(Sm,I753)</f>
        <v>1.3737674679346947</v>
      </c>
      <c r="K753" s="16">
        <f t="shared" si="68"/>
        <v>415.85359737902809</v>
      </c>
    </row>
    <row r="754" spans="6:11" x14ac:dyDescent="0.4">
      <c r="F754" s="1">
        <v>44287</v>
      </c>
      <c r="H754" s="16">
        <f t="shared" si="66"/>
        <v>414.6844060285793</v>
      </c>
      <c r="I754">
        <f t="shared" si="67"/>
        <v>4</v>
      </c>
      <c r="J754" s="16" cm="1">
        <f t="array" ref="J754">INDEX(Sm,I754)</f>
        <v>2.6103146023823673</v>
      </c>
      <c r="K754" s="16">
        <f t="shared" si="68"/>
        <v>417.29472063096165</v>
      </c>
    </row>
    <row r="755" spans="6:11" x14ac:dyDescent="0.4">
      <c r="F755" s="1">
        <v>44317</v>
      </c>
      <c r="H755" s="16">
        <f t="shared" si="66"/>
        <v>414.88256234304754</v>
      </c>
      <c r="I755">
        <f t="shared" si="67"/>
        <v>5</v>
      </c>
      <c r="J755" s="16" cm="1">
        <f t="array" ref="J755">INDEX(Sm,I755)</f>
        <v>3.0656878503632123</v>
      </c>
      <c r="K755" s="16">
        <f t="shared" si="68"/>
        <v>417.94825019341073</v>
      </c>
    </row>
    <row r="756" spans="6:11" x14ac:dyDescent="0.4">
      <c r="F756" s="1">
        <v>44348</v>
      </c>
      <c r="H756" s="16">
        <f t="shared" si="66"/>
        <v>415.08750927546271</v>
      </c>
      <c r="I756">
        <f t="shared" si="67"/>
        <v>6</v>
      </c>
      <c r="J756" s="16" cm="1">
        <f t="array" ref="J756">INDEX(Sm,I756)</f>
        <v>2.3467878975381979</v>
      </c>
      <c r="K756" s="16">
        <f t="shared" si="68"/>
        <v>417.43429717300091</v>
      </c>
    </row>
    <row r="757" spans="6:11" x14ac:dyDescent="0.4">
      <c r="F757" s="1">
        <v>44378</v>
      </c>
      <c r="H757" s="16">
        <f t="shared" si="66"/>
        <v>415.28602444308831</v>
      </c>
      <c r="I757">
        <f t="shared" si="67"/>
        <v>7</v>
      </c>
      <c r="J757" s="16" cm="1">
        <f t="array" ref="J757">INDEX(Sm,I757)</f>
        <v>0.72373827090267417</v>
      </c>
      <c r="K757" s="16">
        <f t="shared" si="68"/>
        <v>416.00976271399099</v>
      </c>
    </row>
    <row r="758" spans="6:11" x14ac:dyDescent="0.4">
      <c r="F758" s="1">
        <v>44409</v>
      </c>
      <c r="H758" s="16">
        <f t="shared" si="66"/>
        <v>415.49134219043282</v>
      </c>
      <c r="I758">
        <f t="shared" si="67"/>
        <v>8</v>
      </c>
      <c r="J758" s="16" cm="1">
        <f t="array" ref="J758">INDEX(Sm,I758)</f>
        <v>-1.3971602749585079</v>
      </c>
      <c r="K758" s="16">
        <f t="shared" si="68"/>
        <v>414.09418191547434</v>
      </c>
    </row>
    <row r="759" spans="6:11" x14ac:dyDescent="0.4">
      <c r="F759" s="1">
        <v>44440</v>
      </c>
      <c r="H759" s="16">
        <f t="shared" si="66"/>
        <v>415.69684838470857</v>
      </c>
      <c r="I759">
        <f t="shared" si="67"/>
        <v>9</v>
      </c>
      <c r="J759" s="16" cm="1">
        <f t="array" ref="J759">INDEX(Sm,I759)</f>
        <v>-3.1930865277187257</v>
      </c>
      <c r="K759" s="16">
        <f t="shared" si="68"/>
        <v>412.50376185698985</v>
      </c>
    </row>
    <row r="760" spans="6:11" x14ac:dyDescent="0.4">
      <c r="F760" s="1">
        <v>44470</v>
      </c>
      <c r="H760" s="16">
        <f t="shared" si="66"/>
        <v>415.89590477348975</v>
      </c>
      <c r="I760">
        <f t="shared" si="67"/>
        <v>10</v>
      </c>
      <c r="J760" s="16" cm="1">
        <f t="array" ref="J760">INDEX(Sm,I760)</f>
        <v>-3.3364130066587929</v>
      </c>
      <c r="K760" s="16">
        <f t="shared" si="68"/>
        <v>412.55949176683094</v>
      </c>
    </row>
    <row r="761" spans="6:11" x14ac:dyDescent="0.4">
      <c r="F761" s="1">
        <v>44501</v>
      </c>
      <c r="H761" s="16">
        <f t="shared" si="66"/>
        <v>416.10178178269484</v>
      </c>
      <c r="I761">
        <f t="shared" si="67"/>
        <v>11</v>
      </c>
      <c r="J761" s="16" cm="1">
        <f t="array" ref="J761">INDEX(Sm,I761)</f>
        <v>-2.0587659549634894</v>
      </c>
      <c r="K761" s="16">
        <f t="shared" si="68"/>
        <v>414.04301582773138</v>
      </c>
    </row>
    <row r="762" spans="6:11" x14ac:dyDescent="0.4">
      <c r="F762" s="1">
        <v>44531</v>
      </c>
      <c r="H762" s="16">
        <f t="shared" si="66"/>
        <v>416.30119702463338</v>
      </c>
      <c r="I762">
        <f t="shared" si="67"/>
        <v>12</v>
      </c>
      <c r="J762" s="16" cm="1">
        <f t="array" ref="J762">INDEX(Sm,I762)</f>
        <v>-0.89092746367992248</v>
      </c>
      <c r="K762" s="16">
        <f t="shared" si="68"/>
        <v>415.41026956095345</v>
      </c>
    </row>
    <row r="763" spans="6:11" x14ac:dyDescent="0.4">
      <c r="F763" s="1">
        <v>44562</v>
      </c>
      <c r="H763" s="16">
        <f t="shared" si="66"/>
        <v>416.50744484876782</v>
      </c>
      <c r="I763">
        <f t="shared" si="67"/>
        <v>1</v>
      </c>
      <c r="J763" s="16" cm="1">
        <f t="array" ref="J763">INDEX(Sm,I763)</f>
        <v>6.1437951108157106E-2</v>
      </c>
      <c r="K763" s="16">
        <f t="shared" si="68"/>
        <v>416.56888279987595</v>
      </c>
    </row>
    <row r="764" spans="6:11" x14ac:dyDescent="0.4">
      <c r="F764" s="1">
        <v>44593</v>
      </c>
      <c r="H764" s="16">
        <f t="shared" si="66"/>
        <v>416.71388111983362</v>
      </c>
      <c r="I764">
        <f t="shared" si="67"/>
        <v>2</v>
      </c>
      <c r="J764" s="16" cm="1">
        <f t="array" ref="J764">INDEX(Sm,I764)</f>
        <v>0.69461918775013354</v>
      </c>
      <c r="K764" s="16">
        <f t="shared" si="68"/>
        <v>417.40850030758372</v>
      </c>
    </row>
    <row r="765" spans="6:11" x14ac:dyDescent="0.4">
      <c r="F765" s="1">
        <v>44621</v>
      </c>
      <c r="H765" s="16">
        <f t="shared" si="66"/>
        <v>416.90050166140526</v>
      </c>
      <c r="I765">
        <f t="shared" si="67"/>
        <v>3</v>
      </c>
      <c r="J765" s="16" cm="1">
        <f t="array" ref="J765">INDEX(Sm,I765)</f>
        <v>1.3737674679346947</v>
      </c>
      <c r="K765" s="16">
        <f t="shared" si="68"/>
        <v>418.27426912933993</v>
      </c>
    </row>
    <row r="766" spans="6:11" x14ac:dyDescent="0.4">
      <c r="F766" s="1">
        <v>44652</v>
      </c>
      <c r="H766" s="16">
        <f t="shared" si="66"/>
        <v>417.1072965895338</v>
      </c>
      <c r="I766">
        <f t="shared" si="67"/>
        <v>4</v>
      </c>
      <c r="J766" s="16" cm="1">
        <f t="array" ref="J766">INDEX(Sm,I766)</f>
        <v>2.6103146023823673</v>
      </c>
      <c r="K766" s="16">
        <f t="shared" si="68"/>
        <v>419.71761119191615</v>
      </c>
    </row>
    <row r="767" spans="6:11" x14ac:dyDescent="0.4">
      <c r="F767" s="1">
        <v>44682</v>
      </c>
      <c r="H767" s="16">
        <f t="shared" si="66"/>
        <v>417.30760014010787</v>
      </c>
      <c r="I767">
        <f t="shared" si="67"/>
        <v>5</v>
      </c>
      <c r="J767" s="16" cm="1">
        <f t="array" ref="J767">INDEX(Sm,I767)</f>
        <v>3.0656878503632123</v>
      </c>
      <c r="K767" s="16">
        <f t="shared" si="68"/>
        <v>420.37328799047106</v>
      </c>
    </row>
    <row r="768" spans="6:11" x14ac:dyDescent="0.4">
      <c r="F768" s="1">
        <v>44713</v>
      </c>
      <c r="H768" s="16">
        <f t="shared" si="66"/>
        <v>417.51476588316581</v>
      </c>
      <c r="I768">
        <f t="shared" si="67"/>
        <v>6</v>
      </c>
      <c r="J768" s="16" cm="1">
        <f t="array" ref="J768">INDEX(Sm,I768)</f>
        <v>2.3467878975381979</v>
      </c>
      <c r="K768" s="16">
        <f t="shared" si="68"/>
        <v>419.86155378070401</v>
      </c>
    </row>
    <row r="769" spans="6:11" x14ac:dyDescent="0.4">
      <c r="F769" s="1">
        <v>44743</v>
      </c>
      <c r="H769" s="16">
        <f t="shared" si="66"/>
        <v>417.71542828689735</v>
      </c>
      <c r="I769">
        <f t="shared" si="67"/>
        <v>7</v>
      </c>
      <c r="J769" s="16" cm="1">
        <f t="array" ref="J769">INDEX(Sm,I769)</f>
        <v>0.72373827090267417</v>
      </c>
      <c r="K769" s="16">
        <f t="shared" si="68"/>
        <v>418.43916655780004</v>
      </c>
    </row>
    <row r="770" spans="6:11" x14ac:dyDescent="0.4">
      <c r="F770" s="1">
        <v>44774</v>
      </c>
      <c r="H770" s="16">
        <f t="shared" si="66"/>
        <v>417.92296484488452</v>
      </c>
      <c r="I770">
        <f t="shared" si="67"/>
        <v>8</v>
      </c>
      <c r="J770" s="16" cm="1">
        <f t="array" ref="J770">INDEX(Sm,I770)</f>
        <v>-1.3971602749585079</v>
      </c>
      <c r="K770" s="16">
        <f t="shared" si="68"/>
        <v>416.52580456992604</v>
      </c>
    </row>
    <row r="771" spans="6:11" x14ac:dyDescent="0.4">
      <c r="F771" s="1">
        <v>44805</v>
      </c>
      <c r="H771" s="16">
        <f t="shared" si="66"/>
        <v>418.13068984980305</v>
      </c>
      <c r="I771">
        <f t="shared" si="67"/>
        <v>9</v>
      </c>
      <c r="J771" s="16" cm="1">
        <f t="array" ref="J771">INDEX(Sm,I771)</f>
        <v>-3.1930865277187257</v>
      </c>
      <c r="K771" s="16">
        <f t="shared" si="68"/>
        <v>414.93760332208433</v>
      </c>
    </row>
    <row r="772" spans="6:11" x14ac:dyDescent="0.4">
      <c r="F772" s="1">
        <v>44835</v>
      </c>
      <c r="H772" s="16">
        <f t="shared" si="66"/>
        <v>418.33189347469005</v>
      </c>
      <c r="I772">
        <f t="shared" si="67"/>
        <v>10</v>
      </c>
      <c r="J772" s="16" cm="1">
        <f t="array" ref="J772">INDEX(Sm,I772)</f>
        <v>-3.3364130066587929</v>
      </c>
      <c r="K772" s="16">
        <f t="shared" si="68"/>
        <v>414.99548046803125</v>
      </c>
    </row>
    <row r="773" spans="6:11" x14ac:dyDescent="0.4">
      <c r="F773" s="1">
        <v>44866</v>
      </c>
      <c r="H773" s="16">
        <f t="shared" si="66"/>
        <v>418.53998929453792</v>
      </c>
      <c r="I773">
        <f t="shared" si="67"/>
        <v>11</v>
      </c>
      <c r="J773" s="16" cm="1">
        <f t="array" ref="J773">INDEX(Sm,I773)</f>
        <v>-2.0587659549634894</v>
      </c>
      <c r="K773" s="16">
        <f t="shared" si="68"/>
        <v>416.48122333957446</v>
      </c>
    </row>
    <row r="774" spans="6:11" x14ac:dyDescent="0.4">
      <c r="F774" s="1">
        <v>44896</v>
      </c>
      <c r="H774" s="16">
        <f t="shared" si="66"/>
        <v>418.74155177258228</v>
      </c>
      <c r="I774">
        <f t="shared" si="67"/>
        <v>12</v>
      </c>
      <c r="J774" s="16" cm="1">
        <f t="array" ref="J774">INDEX(Sm,I774)</f>
        <v>-0.89092746367992248</v>
      </c>
      <c r="K774" s="16">
        <f t="shared" si="68"/>
        <v>417.85062430890235</v>
      </c>
    </row>
    <row r="775" spans="6:11" x14ac:dyDescent="0.4">
      <c r="F775" s="1">
        <v>44927</v>
      </c>
      <c r="H775" s="16">
        <f t="shared" si="66"/>
        <v>418.95001840735949</v>
      </c>
      <c r="I775">
        <f t="shared" si="67"/>
        <v>1</v>
      </c>
      <c r="J775" s="16" cm="1">
        <f t="array" ref="J775">INDEX(Sm,I775)</f>
        <v>6.1437951108157106E-2</v>
      </c>
      <c r="K775" s="16">
        <f t="shared" si="68"/>
        <v>419.01145635846763</v>
      </c>
    </row>
    <row r="776" spans="6:11" x14ac:dyDescent="0.4">
      <c r="F776" s="1">
        <v>44958</v>
      </c>
      <c r="H776" s="16">
        <f t="shared" si="66"/>
        <v>419.15867348906795</v>
      </c>
      <c r="I776">
        <f t="shared" si="67"/>
        <v>2</v>
      </c>
      <c r="J776" s="16" cm="1">
        <f t="array" ref="J776">INDEX(Sm,I776)</f>
        <v>0.69461918775013354</v>
      </c>
      <c r="K776" s="16">
        <f t="shared" si="68"/>
        <v>419.85329267681806</v>
      </c>
    </row>
    <row r="777" spans="6:11" x14ac:dyDescent="0.4">
      <c r="F777" s="1">
        <v>44986</v>
      </c>
      <c r="H777" s="16">
        <f t="shared" si="66"/>
        <v>419.34729811767176</v>
      </c>
      <c r="I777">
        <f t="shared" si="67"/>
        <v>3</v>
      </c>
      <c r="J777" s="16" cm="1">
        <f t="array" ref="J777">INDEX(Sm,I777)</f>
        <v>1.3737674679346947</v>
      </c>
      <c r="K777" s="16">
        <f t="shared" si="68"/>
        <v>420.72106558560642</v>
      </c>
    </row>
    <row r="778" spans="6:11" x14ac:dyDescent="0.4">
      <c r="F778" s="1">
        <v>45017</v>
      </c>
      <c r="H778" s="16">
        <f t="shared" si="66"/>
        <v>419.55631185644307</v>
      </c>
      <c r="I778">
        <f t="shared" si="67"/>
        <v>4</v>
      </c>
      <c r="J778" s="16" cm="1">
        <f t="array" ref="J778">INDEX(Sm,I778)</f>
        <v>2.6103146023823673</v>
      </c>
      <c r="K778" s="16">
        <f t="shared" si="68"/>
        <v>422.16662645882542</v>
      </c>
    </row>
    <row r="779" spans="6:11" x14ac:dyDescent="0.4">
      <c r="F779" s="1">
        <v>45047</v>
      </c>
      <c r="H779" s="16">
        <f t="shared" si="66"/>
        <v>419.75876264312302</v>
      </c>
      <c r="I779">
        <f t="shared" si="67"/>
        <v>5</v>
      </c>
      <c r="J779" s="16" cm="1">
        <f t="array" ref="J779">INDEX(Sm,I779)</f>
        <v>3.0656878503632123</v>
      </c>
      <c r="K779" s="16">
        <f t="shared" si="68"/>
        <v>422.82445049348621</v>
      </c>
    </row>
    <row r="780" spans="6:11" x14ac:dyDescent="0.4">
      <c r="F780" s="1">
        <v>45078</v>
      </c>
      <c r="H780" s="16">
        <f t="shared" si="66"/>
        <v>419.96814719682362</v>
      </c>
      <c r="I780">
        <f t="shared" si="67"/>
        <v>6</v>
      </c>
      <c r="J780" s="16" cm="1">
        <f t="array" ref="J780">INDEX(Sm,I780)</f>
        <v>2.3467878975381979</v>
      </c>
      <c r="K780" s="16">
        <f t="shared" si="68"/>
        <v>422.31493509436183</v>
      </c>
    </row>
    <row r="781" spans="6:11" x14ac:dyDescent="0.4">
      <c r="F781" s="1">
        <v>45108</v>
      </c>
      <c r="H781" s="16">
        <f t="shared" si="66"/>
        <v>420.17095683666105</v>
      </c>
      <c r="I781">
        <f t="shared" si="67"/>
        <v>7</v>
      </c>
      <c r="J781" s="16" cm="1">
        <f t="array" ref="J781">INDEX(Sm,I781)</f>
        <v>0.72373827090267417</v>
      </c>
      <c r="K781" s="16">
        <f t="shared" si="68"/>
        <v>420.89469510756373</v>
      </c>
    </row>
    <row r="782" spans="6:11" x14ac:dyDescent="0.4">
      <c r="F782" s="1">
        <v>45139</v>
      </c>
      <c r="H782" s="16">
        <f t="shared" si="66"/>
        <v>420.38071220529099</v>
      </c>
      <c r="I782">
        <f t="shared" si="67"/>
        <v>8</v>
      </c>
      <c r="J782" s="16" cm="1">
        <f t="array" ref="J782">INDEX(Sm,I782)</f>
        <v>-1.3971602749585079</v>
      </c>
      <c r="K782" s="16">
        <f t="shared" si="68"/>
        <v>418.98355193033251</v>
      </c>
    </row>
    <row r="783" spans="6:11" x14ac:dyDescent="0.4">
      <c r="F783" s="1">
        <v>45170</v>
      </c>
      <c r="H783" s="16">
        <f t="shared" si="66"/>
        <v>420.59065602085224</v>
      </c>
      <c r="I783">
        <f t="shared" si="67"/>
        <v>9</v>
      </c>
      <c r="J783" s="16" cm="1">
        <f t="array" ref="J783">INDEX(Sm,I783)</f>
        <v>-3.1930865277187257</v>
      </c>
      <c r="K783" s="16">
        <f t="shared" si="68"/>
        <v>417.39756949313352</v>
      </c>
    </row>
    <row r="784" spans="6:11" x14ac:dyDescent="0.4">
      <c r="F784" s="1">
        <v>45200</v>
      </c>
      <c r="H784" s="16">
        <f t="shared" si="66"/>
        <v>420.79400688184506</v>
      </c>
      <c r="I784">
        <f t="shared" si="67"/>
        <v>10</v>
      </c>
      <c r="J784" s="16" cm="1">
        <f t="array" ref="J784">INDEX(Sm,I784)</f>
        <v>-3.3364130066587929</v>
      </c>
      <c r="K784" s="16">
        <f t="shared" si="68"/>
        <v>417.45759387518626</v>
      </c>
    </row>
    <row r="785" spans="6:11" x14ac:dyDescent="0.4">
      <c r="F785" s="1">
        <v>45231</v>
      </c>
      <c r="H785" s="16">
        <f t="shared" si="66"/>
        <v>421.00432151233565</v>
      </c>
      <c r="I785">
        <f t="shared" si="67"/>
        <v>11</v>
      </c>
      <c r="J785" s="16" cm="1">
        <f t="array" ref="J785">INDEX(Sm,I785)</f>
        <v>-2.0587659549634894</v>
      </c>
      <c r="K785" s="16">
        <f t="shared" si="68"/>
        <v>418.94555555737219</v>
      </c>
    </row>
    <row r="786" spans="6:11" x14ac:dyDescent="0.4">
      <c r="F786" s="1">
        <v>45261</v>
      </c>
      <c r="H786" s="16">
        <f t="shared" si="66"/>
        <v>421.2080312264859</v>
      </c>
      <c r="I786">
        <f t="shared" si="67"/>
        <v>12</v>
      </c>
      <c r="J786" s="16" cm="1">
        <f t="array" ref="J786">INDEX(Sm,I786)</f>
        <v>-0.89092746367992248</v>
      </c>
      <c r="K786" s="16">
        <f t="shared" si="68"/>
        <v>420.31710376280597</v>
      </c>
    </row>
    <row r="787" spans="6:11" x14ac:dyDescent="0.4">
      <c r="F787" s="1">
        <v>45292</v>
      </c>
      <c r="H787" s="16">
        <f t="shared" si="66"/>
        <v>421.41871667190583</v>
      </c>
      <c r="I787">
        <f t="shared" si="67"/>
        <v>1</v>
      </c>
      <c r="J787" s="16" cm="1">
        <f t="array" ref="J787">INDEX(Sm,I787)</f>
        <v>6.1437951108157106E-2</v>
      </c>
      <c r="K787" s="16">
        <f t="shared" si="68"/>
        <v>421.48015462301396</v>
      </c>
    </row>
    <row r="788" spans="6:11" x14ac:dyDescent="0.4">
      <c r="F788" s="1">
        <v>45323</v>
      </c>
      <c r="H788" s="16">
        <f t="shared" si="66"/>
        <v>421.62959056425711</v>
      </c>
      <c r="I788">
        <f t="shared" si="67"/>
        <v>2</v>
      </c>
      <c r="J788" s="16" cm="1">
        <f t="array" ref="J788">INDEX(Sm,I788)</f>
        <v>0.69461918775013354</v>
      </c>
      <c r="K788" s="16">
        <f t="shared" si="68"/>
        <v>422.32420975200722</v>
      </c>
    </row>
    <row r="789" spans="6:11" x14ac:dyDescent="0.4">
      <c r="F789" s="1">
        <v>45352</v>
      </c>
      <c r="H789" s="16">
        <f t="shared" si="66"/>
        <v>421.82703029168056</v>
      </c>
      <c r="I789">
        <f t="shared" si="67"/>
        <v>3</v>
      </c>
      <c r="J789" s="16" cm="1">
        <f t="array" ref="J789">INDEX(Sm,I789)</f>
        <v>1.3737674679346947</v>
      </c>
      <c r="K789" s="16">
        <f t="shared" si="68"/>
        <v>423.20079775961523</v>
      </c>
    </row>
    <row r="790" spans="6:11" x14ac:dyDescent="0.4">
      <c r="F790" s="1">
        <v>45383</v>
      </c>
      <c r="H790" s="16">
        <f t="shared" si="66"/>
        <v>422.03826892002786</v>
      </c>
      <c r="I790">
        <f t="shared" si="67"/>
        <v>4</v>
      </c>
      <c r="J790" s="16" cm="1">
        <f t="array" ref="J790">INDEX(Sm,I790)</f>
        <v>2.6103146023823673</v>
      </c>
      <c r="K790" s="16">
        <f t="shared" si="68"/>
        <v>424.64858352241021</v>
      </c>
    </row>
    <row r="791" spans="6:11" x14ac:dyDescent="0.4">
      <c r="F791" s="1">
        <v>45413</v>
      </c>
      <c r="H791" s="16">
        <f t="shared" si="66"/>
        <v>422.24287282565234</v>
      </c>
      <c r="I791">
        <f t="shared" si="67"/>
        <v>5</v>
      </c>
      <c r="J791" s="16" cm="1">
        <f t="array" ref="J791">INDEX(Sm,I791)</f>
        <v>3.0656878503632123</v>
      </c>
      <c r="K791" s="16">
        <f t="shared" si="68"/>
        <v>425.30856067601553</v>
      </c>
    </row>
    <row r="792" spans="6:11" x14ac:dyDescent="0.4">
      <c r="F792" s="1">
        <v>45444</v>
      </c>
      <c r="H792" s="16">
        <f t="shared" si="66"/>
        <v>422.45448226892898</v>
      </c>
      <c r="I792">
        <f t="shared" si="67"/>
        <v>6</v>
      </c>
      <c r="J792" s="16" cm="1">
        <f t="array" ref="J792">INDEX(Sm,I792)</f>
        <v>2.3467878975381979</v>
      </c>
      <c r="K792" s="16">
        <f t="shared" si="68"/>
        <v>424.80127016646719</v>
      </c>
    </row>
    <row r="793" spans="6:11" x14ac:dyDescent="0.4">
      <c r="F793" s="1">
        <v>45474</v>
      </c>
      <c r="H793" s="16">
        <f t="shared" si="66"/>
        <v>422.65944502771083</v>
      </c>
      <c r="I793">
        <f t="shared" si="67"/>
        <v>7</v>
      </c>
      <c r="J793" s="16" cm="1">
        <f t="array" ref="J793">INDEX(Sm,I793)</f>
        <v>0.72373827090267417</v>
      </c>
      <c r="K793" s="16">
        <f t="shared" si="68"/>
        <v>423.38318329861352</v>
      </c>
    </row>
    <row r="794" spans="6:11" x14ac:dyDescent="0.4">
      <c r="F794" s="1">
        <v>45505</v>
      </c>
      <c r="H794" s="16">
        <f t="shared" si="66"/>
        <v>422.87142528591681</v>
      </c>
      <c r="I794">
        <f t="shared" si="67"/>
        <v>8</v>
      </c>
      <c r="J794" s="16" cm="1">
        <f t="array" ref="J794">INDEX(Sm,I794)</f>
        <v>-1.3971602749585079</v>
      </c>
      <c r="K794" s="16">
        <f t="shared" si="68"/>
        <v>421.47426501095833</v>
      </c>
    </row>
    <row r="795" spans="6:11" x14ac:dyDescent="0.4">
      <c r="F795" s="1">
        <v>45536</v>
      </c>
      <c r="H795" s="16">
        <f t="shared" si="66"/>
        <v>423.0835939910541</v>
      </c>
      <c r="I795">
        <f t="shared" si="67"/>
        <v>9</v>
      </c>
      <c r="J795" s="16" cm="1">
        <f t="array" ref="J795">INDEX(Sm,I795)</f>
        <v>-3.1930865277187257</v>
      </c>
      <c r="K795" s="16">
        <f t="shared" si="68"/>
        <v>419.89050746333538</v>
      </c>
    </row>
    <row r="796" spans="6:11" x14ac:dyDescent="0.4">
      <c r="F796" s="1">
        <v>45566</v>
      </c>
      <c r="H796" s="16">
        <f t="shared" si="66"/>
        <v>423.28909797099141</v>
      </c>
      <c r="I796">
        <f t="shared" si="67"/>
        <v>10</v>
      </c>
      <c r="J796" s="16" cm="1">
        <f t="array" ref="J796">INDEX(Sm,I796)</f>
        <v>-3.3364130066587929</v>
      </c>
      <c r="K796" s="16">
        <f t="shared" si="68"/>
        <v>419.9526849643326</v>
      </c>
    </row>
    <row r="797" spans="6:11" x14ac:dyDescent="0.4">
      <c r="F797" s="1">
        <v>45597</v>
      </c>
      <c r="H797" s="16">
        <f t="shared" si="66"/>
        <v>423.50163749105803</v>
      </c>
      <c r="I797">
        <f t="shared" si="67"/>
        <v>11</v>
      </c>
      <c r="J797" s="16" cm="1">
        <f t="array" ref="J797">INDEX(Sm,I797)</f>
        <v>-2.0587659549634894</v>
      </c>
      <c r="K797" s="16">
        <f t="shared" si="68"/>
        <v>421.44287153609457</v>
      </c>
    </row>
    <row r="798" spans="6:11" x14ac:dyDescent="0.4">
      <c r="F798" s="1">
        <v>45627</v>
      </c>
      <c r="H798" s="16">
        <f t="shared" si="66"/>
        <v>423.70750032415282</v>
      </c>
      <c r="I798">
        <f t="shared" si="67"/>
        <v>12</v>
      </c>
      <c r="J798" s="16" cm="1">
        <f t="array" ref="J798">INDEX(Sm,I798)</f>
        <v>-0.89092746367992248</v>
      </c>
      <c r="K798" s="16">
        <f t="shared" si="68"/>
        <v>422.81657286047289</v>
      </c>
    </row>
    <row r="799" spans="6:11" x14ac:dyDescent="0.4">
      <c r="F799" s="1">
        <v>45658</v>
      </c>
      <c r="H799" s="16">
        <f t="shared" si="66"/>
        <v>423.92041065914867</v>
      </c>
      <c r="I799">
        <f t="shared" si="67"/>
        <v>1</v>
      </c>
      <c r="J799" s="16" cm="1">
        <f t="array" ref="J799">INDEX(Sm,I799)</f>
        <v>6.1437951108157106E-2</v>
      </c>
      <c r="K799" s="16">
        <f t="shared" si="68"/>
        <v>423.9818486102568</v>
      </c>
    </row>
    <row r="800" spans="6:11" x14ac:dyDescent="0.4">
      <c r="F800" s="1">
        <v>45689</v>
      </c>
      <c r="H800" s="16">
        <f t="shared" si="66"/>
        <v>424.13350944107594</v>
      </c>
      <c r="I800">
        <f t="shared" si="67"/>
        <v>2</v>
      </c>
      <c r="J800" s="16" cm="1">
        <f t="array" ref="J800">INDEX(Sm,I800)</f>
        <v>0.69461918775013354</v>
      </c>
      <c r="K800" s="16">
        <f t="shared" si="68"/>
        <v>424.82812862882605</v>
      </c>
    </row>
    <row r="801" spans="6:11" x14ac:dyDescent="0.4">
      <c r="F801" s="1">
        <v>45717</v>
      </c>
      <c r="H801" s="16">
        <f t="shared" si="66"/>
        <v>424.32614773439337</v>
      </c>
      <c r="I801">
        <f t="shared" si="67"/>
        <v>3</v>
      </c>
      <c r="J801" s="16" cm="1">
        <f t="array" ref="J801">INDEX(Sm,I801)</f>
        <v>1.3737674679346947</v>
      </c>
      <c r="K801" s="16">
        <f t="shared" si="68"/>
        <v>425.69991520232804</v>
      </c>
    </row>
    <row r="802" spans="6:11" x14ac:dyDescent="0.4">
      <c r="F802" s="1">
        <v>45748</v>
      </c>
      <c r="H802" s="16">
        <f t="shared" si="66"/>
        <v>424.53960517338345</v>
      </c>
      <c r="I802">
        <f t="shared" si="67"/>
        <v>4</v>
      </c>
      <c r="J802" s="16" cm="1">
        <f t="array" ref="J802">INDEX(Sm,I802)</f>
        <v>2.6103146023823673</v>
      </c>
      <c r="K802" s="16">
        <f t="shared" si="68"/>
        <v>427.1499197757658</v>
      </c>
    </row>
    <row r="803" spans="6:11" x14ac:dyDescent="0.4">
      <c r="F803" s="1">
        <v>45778</v>
      </c>
      <c r="H803" s="16">
        <f t="shared" si="66"/>
        <v>424.74635631511376</v>
      </c>
      <c r="I803">
        <f t="shared" si="67"/>
        <v>5</v>
      </c>
      <c r="J803" s="16" cm="1">
        <f t="array" ref="J803">INDEX(Sm,I803)</f>
        <v>3.0656878503632123</v>
      </c>
      <c r="K803" s="16">
        <f t="shared" si="68"/>
        <v>427.81204416547695</v>
      </c>
    </row>
    <row r="804" spans="6:11" x14ac:dyDescent="0.4">
      <c r="F804" s="1">
        <v>45809</v>
      </c>
      <c r="H804" s="16">
        <f t="shared" si="66"/>
        <v>424.96018456903312</v>
      </c>
      <c r="I804">
        <f t="shared" si="67"/>
        <v>6</v>
      </c>
      <c r="J804" s="16" cm="1">
        <f t="array" ref="J804">INDEX(Sm,I804)</f>
        <v>2.3467878975381979</v>
      </c>
      <c r="K804" s="16">
        <f t="shared" si="68"/>
        <v>427.30697246657132</v>
      </c>
    </row>
    <row r="805" spans="6:11" x14ac:dyDescent="0.4">
      <c r="F805" s="1">
        <v>45839</v>
      </c>
      <c r="H805" s="16">
        <f t="shared" si="66"/>
        <v>425.1672945639209</v>
      </c>
      <c r="I805">
        <f t="shared" si="67"/>
        <v>7</v>
      </c>
      <c r="J805" s="16" cm="1">
        <f t="array" ref="J805">INDEX(Sm,I805)</f>
        <v>0.72373827090267417</v>
      </c>
      <c r="K805" s="16">
        <f t="shared" si="68"/>
        <v>425.89103283482359</v>
      </c>
    </row>
    <row r="806" spans="6:11" x14ac:dyDescent="0.4">
      <c r="F806" s="1">
        <v>45870</v>
      </c>
      <c r="H806" s="16">
        <f t="shared" si="66"/>
        <v>425.38149363276955</v>
      </c>
      <c r="I806">
        <f t="shared" si="67"/>
        <v>8</v>
      </c>
      <c r="J806" s="16" cm="1">
        <f t="array" ref="J806">INDEX(Sm,I806)</f>
        <v>-1.3971602749585079</v>
      </c>
      <c r="K806" s="16">
        <f t="shared" si="68"/>
        <v>423.98433335781107</v>
      </c>
    </row>
    <row r="807" spans="6:11" x14ac:dyDescent="0.4">
      <c r="F807" s="1">
        <v>45901</v>
      </c>
      <c r="H807" s="16">
        <f t="shared" ref="H807:H870" si="69">_A*F807*F807+_B*F807+_C</f>
        <v>425.59588114854955</v>
      </c>
      <c r="I807">
        <f t="shared" ref="I807:I870" si="70">MONTH(F807)</f>
        <v>9</v>
      </c>
      <c r="J807" s="16" cm="1">
        <f t="array" ref="J807">INDEX(Sm,I807)</f>
        <v>-3.1930865277187257</v>
      </c>
      <c r="K807" s="16">
        <f t="shared" ref="K807:K870" si="71">H807+J807</f>
        <v>422.40279462083083</v>
      </c>
    </row>
    <row r="808" spans="6:11" x14ac:dyDescent="0.4">
      <c r="F808" s="1">
        <v>45931</v>
      </c>
      <c r="H808" s="16">
        <f t="shared" si="69"/>
        <v>425.80353236459274</v>
      </c>
      <c r="I808">
        <f t="shared" si="70"/>
        <v>10</v>
      </c>
      <c r="J808" s="16" cm="1">
        <f t="array" ref="J808">INDEX(Sm,I808)</f>
        <v>-3.3364130066587929</v>
      </c>
      <c r="K808" s="16">
        <f t="shared" si="71"/>
        <v>422.46711935793394</v>
      </c>
    </row>
    <row r="809" spans="6:11" x14ac:dyDescent="0.4">
      <c r="F809" s="1">
        <v>45962</v>
      </c>
      <c r="H809" s="16">
        <f t="shared" si="69"/>
        <v>426.01829069530208</v>
      </c>
      <c r="I809">
        <f t="shared" si="70"/>
        <v>11</v>
      </c>
      <c r="J809" s="16" cm="1">
        <f t="array" ref="J809">INDEX(Sm,I809)</f>
        <v>-2.0587659549634894</v>
      </c>
      <c r="K809" s="16">
        <f t="shared" si="71"/>
        <v>423.95952474033862</v>
      </c>
    </row>
    <row r="810" spans="6:11" x14ac:dyDescent="0.4">
      <c r="F810" s="1">
        <v>45992</v>
      </c>
      <c r="H810" s="16">
        <f t="shared" si="69"/>
        <v>426.2263007645027</v>
      </c>
      <c r="I810">
        <f t="shared" si="70"/>
        <v>12</v>
      </c>
      <c r="J810" s="16" cm="1">
        <f t="array" ref="J810">INDEX(Sm,I810)</f>
        <v>-0.89092746367992248</v>
      </c>
      <c r="K810" s="16">
        <f t="shared" si="71"/>
        <v>425.33537330082277</v>
      </c>
    </row>
    <row r="811" spans="6:11" x14ac:dyDescent="0.4">
      <c r="F811" s="1">
        <v>46023</v>
      </c>
      <c r="H811" s="16">
        <f t="shared" si="69"/>
        <v>426.44142991014138</v>
      </c>
      <c r="I811">
        <f t="shared" si="70"/>
        <v>1</v>
      </c>
      <c r="J811" s="16" cm="1">
        <f t="array" ref="J811">INDEX(Sm,I811)</f>
        <v>6.1437951108157106E-2</v>
      </c>
      <c r="K811" s="16">
        <f t="shared" si="71"/>
        <v>426.50286786124951</v>
      </c>
    </row>
    <row r="812" spans="6:11" x14ac:dyDescent="0.4">
      <c r="F812" s="1">
        <v>46054</v>
      </c>
      <c r="H812" s="16">
        <f t="shared" si="69"/>
        <v>426.65674750271131</v>
      </c>
      <c r="I812">
        <f t="shared" si="70"/>
        <v>2</v>
      </c>
      <c r="J812" s="16" cm="1">
        <f t="array" ref="J812">INDEX(Sm,I812)</f>
        <v>0.69461918775013354</v>
      </c>
      <c r="K812" s="16">
        <f t="shared" si="71"/>
        <v>427.35136669046142</v>
      </c>
    </row>
    <row r="813" spans="6:11" x14ac:dyDescent="0.4">
      <c r="F813" s="1">
        <v>46082</v>
      </c>
      <c r="H813" s="16">
        <f t="shared" si="69"/>
        <v>426.85138988306096</v>
      </c>
      <c r="I813">
        <f t="shared" si="70"/>
        <v>3</v>
      </c>
      <c r="J813" s="16" cm="1">
        <f t="array" ref="J813">INDEX(Sm,I813)</f>
        <v>1.3737674679346947</v>
      </c>
      <c r="K813" s="16">
        <f t="shared" si="71"/>
        <v>428.22515735099563</v>
      </c>
    </row>
    <row r="814" spans="6:11" x14ac:dyDescent="0.4">
      <c r="F814" s="1">
        <v>46113</v>
      </c>
      <c r="H814" s="16">
        <f t="shared" si="69"/>
        <v>427.06706613269364</v>
      </c>
      <c r="I814">
        <f t="shared" si="70"/>
        <v>4</v>
      </c>
      <c r="J814" s="16" cm="1">
        <f t="array" ref="J814">INDEX(Sm,I814)</f>
        <v>2.6103146023823673</v>
      </c>
      <c r="K814" s="16">
        <f t="shared" si="71"/>
        <v>429.67738073507599</v>
      </c>
    </row>
    <row r="815" spans="6:11" x14ac:dyDescent="0.4">
      <c r="F815" s="1">
        <v>46143</v>
      </c>
      <c r="H815" s="16">
        <f t="shared" si="69"/>
        <v>427.27596451052989</v>
      </c>
      <c r="I815">
        <f t="shared" si="70"/>
        <v>5</v>
      </c>
      <c r="J815" s="16" cm="1">
        <f t="array" ref="J815">INDEX(Sm,I815)</f>
        <v>3.0656878503632123</v>
      </c>
      <c r="K815" s="16">
        <f t="shared" si="71"/>
        <v>430.34165236089308</v>
      </c>
    </row>
    <row r="816" spans="6:11" x14ac:dyDescent="0.4">
      <c r="F816" s="1">
        <v>46174</v>
      </c>
      <c r="H816" s="16">
        <f t="shared" si="69"/>
        <v>427.49201157509196</v>
      </c>
      <c r="I816">
        <f t="shared" si="70"/>
        <v>6</v>
      </c>
      <c r="J816" s="16" cm="1">
        <f t="array" ref="J816">INDEX(Sm,I816)</f>
        <v>2.3467878975381979</v>
      </c>
      <c r="K816" s="16">
        <f t="shared" si="71"/>
        <v>429.83879947263017</v>
      </c>
    </row>
    <row r="817" spans="6:11" x14ac:dyDescent="0.4">
      <c r="F817" s="1">
        <v>46204</v>
      </c>
      <c r="H817" s="16">
        <f t="shared" si="69"/>
        <v>427.70126880608558</v>
      </c>
      <c r="I817">
        <f t="shared" si="70"/>
        <v>7</v>
      </c>
      <c r="J817" s="16" cm="1">
        <f t="array" ref="J817">INDEX(Sm,I817)</f>
        <v>0.72373827090267417</v>
      </c>
      <c r="K817" s="16">
        <f t="shared" si="71"/>
        <v>428.42500707698827</v>
      </c>
    </row>
    <row r="818" spans="6:11" x14ac:dyDescent="0.4">
      <c r="F818" s="1">
        <v>46235</v>
      </c>
      <c r="H818" s="16">
        <f t="shared" si="69"/>
        <v>427.917686685577</v>
      </c>
      <c r="I818">
        <f t="shared" si="70"/>
        <v>8</v>
      </c>
      <c r="J818" s="16" cm="1">
        <f t="array" ref="J818">INDEX(Sm,I818)</f>
        <v>-1.3971602749585079</v>
      </c>
      <c r="K818" s="16">
        <f t="shared" si="71"/>
        <v>426.52052641061852</v>
      </c>
    </row>
    <row r="819" spans="6:11" x14ac:dyDescent="0.4">
      <c r="F819" s="1">
        <v>46266</v>
      </c>
      <c r="H819" s="16">
        <f t="shared" si="69"/>
        <v>428.13429301199972</v>
      </c>
      <c r="I819">
        <f t="shared" si="70"/>
        <v>9</v>
      </c>
      <c r="J819" s="16" cm="1">
        <f t="array" ref="J819">INDEX(Sm,I819)</f>
        <v>-3.1930865277187257</v>
      </c>
      <c r="K819" s="16">
        <f t="shared" si="71"/>
        <v>424.941206484281</v>
      </c>
    </row>
    <row r="820" spans="6:11" x14ac:dyDescent="0.4">
      <c r="F820" s="1">
        <v>46296</v>
      </c>
      <c r="H820" s="16">
        <f t="shared" si="69"/>
        <v>428.34409146414879</v>
      </c>
      <c r="I820">
        <f t="shared" si="70"/>
        <v>10</v>
      </c>
      <c r="J820" s="16" cm="1">
        <f t="array" ref="J820">INDEX(Sm,I820)</f>
        <v>-3.3364130066587929</v>
      </c>
      <c r="K820" s="16">
        <f t="shared" si="71"/>
        <v>425.00767845748999</v>
      </c>
    </row>
    <row r="821" spans="6:11" x14ac:dyDescent="0.4">
      <c r="F821" s="1">
        <v>46327</v>
      </c>
      <c r="H821" s="16">
        <f t="shared" si="69"/>
        <v>428.56106860550085</v>
      </c>
      <c r="I821">
        <f t="shared" si="70"/>
        <v>11</v>
      </c>
      <c r="J821" s="16" cm="1">
        <f t="array" ref="J821">INDEX(Sm,I821)</f>
        <v>-2.0587659549634894</v>
      </c>
      <c r="K821" s="16">
        <f t="shared" si="71"/>
        <v>426.50230265053739</v>
      </c>
    </row>
    <row r="822" spans="6:11" x14ac:dyDescent="0.4">
      <c r="F822" s="1">
        <v>46357</v>
      </c>
      <c r="H822" s="16">
        <f t="shared" si="69"/>
        <v>428.7712259108074</v>
      </c>
      <c r="I822">
        <f t="shared" si="70"/>
        <v>12</v>
      </c>
      <c r="J822" s="16" cm="1">
        <f t="array" ref="J822">INDEX(Sm,I822)</f>
        <v>-0.89092746367992248</v>
      </c>
      <c r="K822" s="16">
        <f t="shared" si="71"/>
        <v>427.88029844712747</v>
      </c>
    </row>
    <row r="823" spans="6:11" x14ac:dyDescent="0.4">
      <c r="F823" s="1">
        <v>46388</v>
      </c>
      <c r="H823" s="16">
        <f t="shared" si="69"/>
        <v>428.98857386708875</v>
      </c>
      <c r="I823">
        <f t="shared" si="70"/>
        <v>1</v>
      </c>
      <c r="J823" s="16" cm="1">
        <f t="array" ref="J823">INDEX(Sm,I823)</f>
        <v>6.1437951108157106E-2</v>
      </c>
      <c r="K823" s="16">
        <f t="shared" si="71"/>
        <v>429.05001181819688</v>
      </c>
    </row>
    <row r="824" spans="6:11" x14ac:dyDescent="0.4">
      <c r="F824" s="1">
        <v>46419</v>
      </c>
      <c r="H824" s="16">
        <f t="shared" si="69"/>
        <v>429.20611027030145</v>
      </c>
      <c r="I824">
        <f t="shared" si="70"/>
        <v>2</v>
      </c>
      <c r="J824" s="16" cm="1">
        <f t="array" ref="J824">INDEX(Sm,I824)</f>
        <v>0.69461918775013354</v>
      </c>
      <c r="K824" s="16">
        <f t="shared" si="71"/>
        <v>429.90072945805156</v>
      </c>
    </row>
    <row r="825" spans="6:11" x14ac:dyDescent="0.4">
      <c r="F825" s="1">
        <v>46447</v>
      </c>
      <c r="H825" s="16">
        <f t="shared" si="69"/>
        <v>429.40275673768315</v>
      </c>
      <c r="I825">
        <f t="shared" si="70"/>
        <v>3</v>
      </c>
      <c r="J825" s="16" cm="1">
        <f t="array" ref="J825">INDEX(Sm,I825)</f>
        <v>1.3737674679346947</v>
      </c>
      <c r="K825" s="16">
        <f t="shared" si="71"/>
        <v>430.77652420561782</v>
      </c>
    </row>
    <row r="826" spans="6:11" x14ac:dyDescent="0.4">
      <c r="F826" s="1">
        <v>46478</v>
      </c>
      <c r="H826" s="16">
        <f t="shared" si="69"/>
        <v>429.62065179795866</v>
      </c>
      <c r="I826">
        <f t="shared" si="70"/>
        <v>4</v>
      </c>
      <c r="J826" s="16" cm="1">
        <f t="array" ref="J826">INDEX(Sm,I826)</f>
        <v>2.6103146023823673</v>
      </c>
      <c r="K826" s="16">
        <f t="shared" si="71"/>
        <v>432.230966400341</v>
      </c>
    </row>
    <row r="827" spans="6:11" x14ac:dyDescent="0.4">
      <c r="F827" s="1">
        <v>46508</v>
      </c>
      <c r="H827" s="16">
        <f t="shared" si="69"/>
        <v>429.83169741190073</v>
      </c>
      <c r="I827">
        <f t="shared" si="70"/>
        <v>5</v>
      </c>
      <c r="J827" s="16" cm="1">
        <f t="array" ref="J827">INDEX(Sm,I827)</f>
        <v>3.0656878503632123</v>
      </c>
      <c r="K827" s="16">
        <f t="shared" si="71"/>
        <v>432.89738526226392</v>
      </c>
    </row>
    <row r="828" spans="6:11" x14ac:dyDescent="0.4">
      <c r="F828" s="1">
        <v>46539</v>
      </c>
      <c r="H828" s="16">
        <f t="shared" si="69"/>
        <v>430.04996328710553</v>
      </c>
      <c r="I828">
        <f t="shared" si="70"/>
        <v>6</v>
      </c>
      <c r="J828" s="16" cm="1">
        <f t="array" ref="J828">INDEX(Sm,I828)</f>
        <v>2.3467878975381979</v>
      </c>
      <c r="K828" s="16">
        <f t="shared" si="71"/>
        <v>432.39675118464373</v>
      </c>
    </row>
    <row r="829" spans="6:11" x14ac:dyDescent="0.4">
      <c r="F829" s="1">
        <v>46569</v>
      </c>
      <c r="H829" s="16">
        <f t="shared" si="69"/>
        <v>430.26136775420503</v>
      </c>
      <c r="I829">
        <f t="shared" si="70"/>
        <v>7</v>
      </c>
      <c r="J829" s="16" cm="1">
        <f t="array" ref="J829">INDEX(Sm,I829)</f>
        <v>0.72373827090267417</v>
      </c>
      <c r="K829" s="16">
        <f t="shared" si="71"/>
        <v>430.98510602510771</v>
      </c>
    </row>
    <row r="830" spans="6:11" x14ac:dyDescent="0.4">
      <c r="F830" s="1">
        <v>46600</v>
      </c>
      <c r="H830" s="16">
        <f t="shared" si="69"/>
        <v>430.48000444433916</v>
      </c>
      <c r="I830">
        <f t="shared" si="70"/>
        <v>8</v>
      </c>
      <c r="J830" s="16" cm="1">
        <f t="array" ref="J830">INDEX(Sm,I830)</f>
        <v>-1.3971602749585079</v>
      </c>
      <c r="K830" s="16">
        <f t="shared" si="71"/>
        <v>429.08284416938068</v>
      </c>
    </row>
    <row r="831" spans="6:11" x14ac:dyDescent="0.4">
      <c r="F831" s="1">
        <v>46631</v>
      </c>
      <c r="H831" s="16">
        <f t="shared" si="69"/>
        <v>430.69882958140465</v>
      </c>
      <c r="I831">
        <f t="shared" si="70"/>
        <v>9</v>
      </c>
      <c r="J831" s="16" cm="1">
        <f t="array" ref="J831">INDEX(Sm,I831)</f>
        <v>-3.1930865277187257</v>
      </c>
      <c r="K831" s="16">
        <f t="shared" si="71"/>
        <v>427.50574305368593</v>
      </c>
    </row>
    <row r="832" spans="6:11" x14ac:dyDescent="0.4">
      <c r="F832" s="1">
        <v>46661</v>
      </c>
      <c r="H832" s="16">
        <f t="shared" si="69"/>
        <v>430.91077526965955</v>
      </c>
      <c r="I832">
        <f t="shared" si="70"/>
        <v>10</v>
      </c>
      <c r="J832" s="16" cm="1">
        <f t="array" ref="J832">INDEX(Sm,I832)</f>
        <v>-3.3364130066587929</v>
      </c>
      <c r="K832" s="16">
        <f t="shared" si="71"/>
        <v>427.57436226300075</v>
      </c>
    </row>
    <row r="833" spans="6:11" x14ac:dyDescent="0.4">
      <c r="F833" s="1">
        <v>46692</v>
      </c>
      <c r="H833" s="16">
        <f t="shared" si="69"/>
        <v>431.12997122165439</v>
      </c>
      <c r="I833">
        <f t="shared" si="70"/>
        <v>11</v>
      </c>
      <c r="J833" s="16" cm="1">
        <f t="array" ref="J833">INDEX(Sm,I833)</f>
        <v>-2.0587659549634894</v>
      </c>
      <c r="K833" s="16">
        <f t="shared" si="71"/>
        <v>429.07120526669092</v>
      </c>
    </row>
    <row r="834" spans="6:11" x14ac:dyDescent="0.4">
      <c r="F834" s="1">
        <v>46722</v>
      </c>
      <c r="H834" s="16">
        <f t="shared" si="69"/>
        <v>431.34227576306671</v>
      </c>
      <c r="I834">
        <f t="shared" si="70"/>
        <v>12</v>
      </c>
      <c r="J834" s="16" cm="1">
        <f t="array" ref="J834">INDEX(Sm,I834)</f>
        <v>-0.89092746367992248</v>
      </c>
      <c r="K834" s="16">
        <f t="shared" si="71"/>
        <v>430.45134829938678</v>
      </c>
    </row>
    <row r="835" spans="6:11" x14ac:dyDescent="0.4">
      <c r="F835" s="1">
        <v>46753</v>
      </c>
      <c r="H835" s="16">
        <f t="shared" si="69"/>
        <v>431.56184252999083</v>
      </c>
      <c r="I835">
        <f t="shared" si="70"/>
        <v>1</v>
      </c>
      <c r="J835" s="16" cm="1">
        <f t="array" ref="J835">INDEX(Sm,I835)</f>
        <v>6.1437951108157106E-2</v>
      </c>
      <c r="K835" s="16">
        <f t="shared" si="71"/>
        <v>431.62328048109896</v>
      </c>
    </row>
    <row r="836" spans="6:11" x14ac:dyDescent="0.4">
      <c r="F836" s="1">
        <v>46784</v>
      </c>
      <c r="H836" s="16">
        <f t="shared" si="69"/>
        <v>431.78159774384619</v>
      </c>
      <c r="I836">
        <f t="shared" si="70"/>
        <v>2</v>
      </c>
      <c r="J836" s="16" cm="1">
        <f t="array" ref="J836">INDEX(Sm,I836)</f>
        <v>0.69461918775013354</v>
      </c>
      <c r="K836" s="16">
        <f t="shared" si="71"/>
        <v>432.4762169315963</v>
      </c>
    </row>
    <row r="837" spans="6:11" x14ac:dyDescent="0.4">
      <c r="F837" s="1">
        <v>46813</v>
      </c>
      <c r="H837" s="16">
        <f t="shared" si="69"/>
        <v>431.98734580428976</v>
      </c>
      <c r="I837">
        <f t="shared" si="70"/>
        <v>3</v>
      </c>
      <c r="J837" s="16" cm="1">
        <f t="array" ref="J837">INDEX(Sm,I837)</f>
        <v>1.3737674679346947</v>
      </c>
      <c r="K837" s="16">
        <f t="shared" si="71"/>
        <v>433.36111327222443</v>
      </c>
    </row>
    <row r="838" spans="6:11" x14ac:dyDescent="0.4">
      <c r="F838" s="1">
        <v>46844</v>
      </c>
      <c r="H838" s="16">
        <f t="shared" si="69"/>
        <v>432.20746575414125</v>
      </c>
      <c r="I838">
        <f t="shared" si="70"/>
        <v>4</v>
      </c>
      <c r="J838" s="16" cm="1">
        <f t="array" ref="J838">INDEX(Sm,I838)</f>
        <v>2.6103146023823673</v>
      </c>
      <c r="K838" s="16">
        <f t="shared" si="71"/>
        <v>434.8177803565236</v>
      </c>
    </row>
    <row r="839" spans="6:11" x14ac:dyDescent="0.4">
      <c r="F839" s="1">
        <v>46874</v>
      </c>
      <c r="H839" s="16">
        <f t="shared" si="69"/>
        <v>432.42066448702786</v>
      </c>
      <c r="I839">
        <f t="shared" si="70"/>
        <v>5</v>
      </c>
      <c r="J839" s="16" cm="1">
        <f t="array" ref="J839">INDEX(Sm,I839)</f>
        <v>3.0656878503632123</v>
      </c>
      <c r="K839" s="16">
        <f t="shared" si="71"/>
        <v>435.48635233739105</v>
      </c>
    </row>
    <row r="840" spans="6:11" x14ac:dyDescent="0.4">
      <c r="F840" s="1">
        <v>46905</v>
      </c>
      <c r="H840" s="16">
        <f t="shared" si="69"/>
        <v>432.64115525180864</v>
      </c>
      <c r="I840">
        <f t="shared" si="70"/>
        <v>6</v>
      </c>
      <c r="J840" s="16" cm="1">
        <f t="array" ref="J840">INDEX(Sm,I840)</f>
        <v>2.3467878975381979</v>
      </c>
      <c r="K840" s="16">
        <f t="shared" si="71"/>
        <v>434.98794314934685</v>
      </c>
    </row>
    <row r="841" spans="6:11" x14ac:dyDescent="0.4">
      <c r="F841" s="1">
        <v>46935</v>
      </c>
      <c r="H841" s="16">
        <f t="shared" si="69"/>
        <v>432.85471283785267</v>
      </c>
      <c r="I841">
        <f t="shared" si="70"/>
        <v>7</v>
      </c>
      <c r="J841" s="16" cm="1">
        <f t="array" ref="J841">INDEX(Sm,I841)</f>
        <v>0.72373827090267417</v>
      </c>
      <c r="K841" s="16">
        <f t="shared" si="71"/>
        <v>433.57845110875536</v>
      </c>
    </row>
    <row r="842" spans="6:11" x14ac:dyDescent="0.4">
      <c r="F842" s="1">
        <v>46966</v>
      </c>
      <c r="H842" s="16">
        <f t="shared" si="69"/>
        <v>433.07557441756285</v>
      </c>
      <c r="I842">
        <f t="shared" si="70"/>
        <v>8</v>
      </c>
      <c r="J842" s="16" cm="1">
        <f t="array" ref="J842">INDEX(Sm,I842)</f>
        <v>-1.3971602749585079</v>
      </c>
      <c r="K842" s="16">
        <f t="shared" si="71"/>
        <v>431.67841414260437</v>
      </c>
    </row>
    <row r="843" spans="6:11" x14ac:dyDescent="0.4">
      <c r="F843" s="1">
        <v>46997</v>
      </c>
      <c r="H843" s="16">
        <f t="shared" si="69"/>
        <v>433.29662444420421</v>
      </c>
      <c r="I843">
        <f t="shared" si="70"/>
        <v>9</v>
      </c>
      <c r="J843" s="16" cm="1">
        <f t="array" ref="J843">INDEX(Sm,I843)</f>
        <v>-3.1930865277187257</v>
      </c>
      <c r="K843" s="16">
        <f t="shared" si="71"/>
        <v>430.10353791648549</v>
      </c>
    </row>
    <row r="844" spans="6:11" x14ac:dyDescent="0.4">
      <c r="F844" s="1">
        <v>47027</v>
      </c>
      <c r="H844" s="16">
        <f t="shared" si="69"/>
        <v>433.51072325140376</v>
      </c>
      <c r="I844">
        <f t="shared" si="70"/>
        <v>10</v>
      </c>
      <c r="J844" s="16" cm="1">
        <f t="array" ref="J844">INDEX(Sm,I844)</f>
        <v>-3.3364130066587929</v>
      </c>
      <c r="K844" s="16">
        <f t="shared" si="71"/>
        <v>430.17431024474496</v>
      </c>
    </row>
    <row r="845" spans="6:11" x14ac:dyDescent="0.4">
      <c r="F845" s="1">
        <v>47058</v>
      </c>
      <c r="H845" s="16">
        <f t="shared" si="69"/>
        <v>433.73214409297452</v>
      </c>
      <c r="I845">
        <f t="shared" si="70"/>
        <v>11</v>
      </c>
      <c r="J845" s="16" cm="1">
        <f t="array" ref="J845">INDEX(Sm,I845)</f>
        <v>-2.0587659549634894</v>
      </c>
      <c r="K845" s="16">
        <f t="shared" si="71"/>
        <v>431.67337813801106</v>
      </c>
    </row>
    <row r="846" spans="6:11" x14ac:dyDescent="0.4">
      <c r="F846" s="1">
        <v>47088</v>
      </c>
      <c r="H846" s="16">
        <f t="shared" si="69"/>
        <v>433.94660175333138</v>
      </c>
      <c r="I846">
        <f t="shared" si="70"/>
        <v>12</v>
      </c>
      <c r="J846" s="16" cm="1">
        <f t="array" ref="J846">INDEX(Sm,I846)</f>
        <v>-0.89092746367992248</v>
      </c>
      <c r="K846" s="16">
        <f t="shared" si="71"/>
        <v>433.05567428965145</v>
      </c>
    </row>
    <row r="847" spans="6:11" x14ac:dyDescent="0.4">
      <c r="F847" s="1">
        <v>47119</v>
      </c>
      <c r="H847" s="16">
        <f t="shared" si="69"/>
        <v>434.16839340983148</v>
      </c>
      <c r="I847">
        <f t="shared" si="70"/>
        <v>1</v>
      </c>
      <c r="J847" s="16" cm="1">
        <f t="array" ref="J847">INDEX(Sm,I847)</f>
        <v>6.1437951108157106E-2</v>
      </c>
      <c r="K847" s="16">
        <f t="shared" si="71"/>
        <v>434.22983136093961</v>
      </c>
    </row>
    <row r="848" spans="6:11" x14ac:dyDescent="0.4">
      <c r="F848" s="1">
        <v>47150</v>
      </c>
      <c r="H848" s="16">
        <f t="shared" si="69"/>
        <v>434.39037351326294</v>
      </c>
      <c r="I848">
        <f t="shared" si="70"/>
        <v>2</v>
      </c>
      <c r="J848" s="16" cm="1">
        <f t="array" ref="J848">INDEX(Sm,I848)</f>
        <v>0.69461918775013354</v>
      </c>
      <c r="K848" s="16">
        <f t="shared" si="71"/>
        <v>435.08499270101305</v>
      </c>
    </row>
    <row r="849" spans="6:11" x14ac:dyDescent="0.4">
      <c r="F849" s="1">
        <v>47178</v>
      </c>
      <c r="H849" s="16">
        <f t="shared" si="69"/>
        <v>434.59103364535838</v>
      </c>
      <c r="I849">
        <f t="shared" si="70"/>
        <v>3</v>
      </c>
      <c r="J849" s="16" cm="1">
        <f t="array" ref="J849">INDEX(Sm,I849)</f>
        <v>1.3737674679346947</v>
      </c>
      <c r="K849" s="16">
        <f t="shared" si="71"/>
        <v>435.96480111329305</v>
      </c>
    </row>
    <row r="850" spans="6:11" x14ac:dyDescent="0.4">
      <c r="F850" s="1">
        <v>47209</v>
      </c>
      <c r="H850" s="16">
        <f t="shared" si="69"/>
        <v>434.81337240585253</v>
      </c>
      <c r="I850">
        <f t="shared" si="70"/>
        <v>4</v>
      </c>
      <c r="J850" s="16" cm="1">
        <f t="array" ref="J850">INDEX(Sm,I850)</f>
        <v>2.6103146023823673</v>
      </c>
      <c r="K850" s="16">
        <f t="shared" si="71"/>
        <v>437.42368700823488</v>
      </c>
    </row>
    <row r="851" spans="6:11" x14ac:dyDescent="0.4">
      <c r="F851" s="1">
        <v>47239</v>
      </c>
      <c r="H851" s="16">
        <f t="shared" si="69"/>
        <v>435.02871837484497</v>
      </c>
      <c r="I851">
        <f t="shared" si="70"/>
        <v>5</v>
      </c>
      <c r="J851" s="16" cm="1">
        <f t="array" ref="J851">INDEX(Sm,I851)</f>
        <v>3.0656878503632123</v>
      </c>
      <c r="K851" s="16">
        <f t="shared" si="71"/>
        <v>438.09440622520816</v>
      </c>
    </row>
    <row r="852" spans="6:11" x14ac:dyDescent="0.4">
      <c r="F852" s="1">
        <v>47270</v>
      </c>
      <c r="H852" s="16">
        <f t="shared" si="69"/>
        <v>435.25142795026858</v>
      </c>
      <c r="I852">
        <f t="shared" si="70"/>
        <v>6</v>
      </c>
      <c r="J852" s="16" cm="1">
        <f t="array" ref="J852">INDEX(Sm,I852)</f>
        <v>2.3467878975381979</v>
      </c>
      <c r="K852" s="16">
        <f t="shared" si="71"/>
        <v>437.59821584780678</v>
      </c>
    </row>
    <row r="853" spans="6:11" x14ac:dyDescent="0.4">
      <c r="F853" s="1">
        <v>47300</v>
      </c>
      <c r="H853" s="16">
        <f t="shared" si="69"/>
        <v>435.46713277241844</v>
      </c>
      <c r="I853">
        <f t="shared" si="70"/>
        <v>7</v>
      </c>
      <c r="J853" s="16" cm="1">
        <f t="array" ref="J853">INDEX(Sm,I853)</f>
        <v>0.72373827090267417</v>
      </c>
      <c r="K853" s="16">
        <f t="shared" si="71"/>
        <v>436.19087104332112</v>
      </c>
    </row>
    <row r="854" spans="6:11" x14ac:dyDescent="0.4">
      <c r="F854" s="1">
        <v>47331</v>
      </c>
      <c r="H854" s="16">
        <f t="shared" si="69"/>
        <v>435.69021316277127</v>
      </c>
      <c r="I854">
        <f t="shared" si="70"/>
        <v>8</v>
      </c>
      <c r="J854" s="16" cm="1">
        <f t="array" ref="J854">INDEX(Sm,I854)</f>
        <v>-1.3971602749585079</v>
      </c>
      <c r="K854" s="16">
        <f t="shared" si="71"/>
        <v>434.29305288781279</v>
      </c>
    </row>
    <row r="855" spans="6:11" x14ac:dyDescent="0.4">
      <c r="F855" s="1">
        <v>47362</v>
      </c>
      <c r="H855" s="16">
        <f t="shared" si="69"/>
        <v>435.91348200005547</v>
      </c>
      <c r="I855">
        <f t="shared" si="70"/>
        <v>9</v>
      </c>
      <c r="J855" s="16" cm="1">
        <f t="array" ref="J855">INDEX(Sm,I855)</f>
        <v>-3.1930865277187257</v>
      </c>
      <c r="K855" s="16">
        <f t="shared" si="71"/>
        <v>432.72039547233675</v>
      </c>
    </row>
    <row r="856" spans="6:11" x14ac:dyDescent="0.4">
      <c r="F856" s="1">
        <v>47392</v>
      </c>
      <c r="H856" s="16">
        <f t="shared" si="69"/>
        <v>436.12972804336079</v>
      </c>
      <c r="I856">
        <f t="shared" si="70"/>
        <v>10</v>
      </c>
      <c r="J856" s="16" cm="1">
        <f t="array" ref="J856">INDEX(Sm,I856)</f>
        <v>-3.3364130066587929</v>
      </c>
      <c r="K856" s="16">
        <f t="shared" si="71"/>
        <v>432.79331503670198</v>
      </c>
    </row>
    <row r="857" spans="6:11" x14ac:dyDescent="0.4">
      <c r="F857" s="1">
        <v>47423</v>
      </c>
      <c r="H857" s="16">
        <f t="shared" si="69"/>
        <v>436.35336769557432</v>
      </c>
      <c r="I857">
        <f t="shared" si="70"/>
        <v>11</v>
      </c>
      <c r="J857" s="16" cm="1">
        <f t="array" ref="J857">INDEX(Sm,I857)</f>
        <v>-2.0587659549634894</v>
      </c>
      <c r="K857" s="16">
        <f t="shared" si="71"/>
        <v>434.29460174061086</v>
      </c>
    </row>
    <row r="858" spans="6:11" x14ac:dyDescent="0.4">
      <c r="F858" s="1">
        <v>47453</v>
      </c>
      <c r="H858" s="16">
        <f t="shared" si="69"/>
        <v>436.56997259203706</v>
      </c>
      <c r="I858">
        <f t="shared" si="70"/>
        <v>12</v>
      </c>
      <c r="J858" s="16" cm="1">
        <f t="array" ref="J858">INDEX(Sm,I858)</f>
        <v>-0.89092746367992248</v>
      </c>
      <c r="K858" s="16">
        <f t="shared" si="71"/>
        <v>435.67904512835713</v>
      </c>
    </row>
    <row r="859" spans="6:11" x14ac:dyDescent="0.4">
      <c r="F859" s="1">
        <v>47484</v>
      </c>
      <c r="H859" s="16">
        <f t="shared" si="69"/>
        <v>436.79398305917988</v>
      </c>
      <c r="I859">
        <f t="shared" si="70"/>
        <v>1</v>
      </c>
      <c r="J859" s="16" cm="1">
        <f t="array" ref="J859">INDEX(Sm,I859)</f>
        <v>6.1437951108157106E-2</v>
      </c>
      <c r="K859" s="16">
        <f t="shared" si="71"/>
        <v>436.85542101028801</v>
      </c>
    </row>
    <row r="860" spans="6:11" x14ac:dyDescent="0.4">
      <c r="F860" s="1">
        <v>47515</v>
      </c>
      <c r="H860" s="16">
        <f t="shared" si="69"/>
        <v>437.018181973254</v>
      </c>
      <c r="I860">
        <f t="shared" si="70"/>
        <v>2</v>
      </c>
      <c r="J860" s="16" cm="1">
        <f t="array" ref="J860">INDEX(Sm,I860)</f>
        <v>0.69461918775013354</v>
      </c>
      <c r="K860" s="16">
        <f t="shared" si="71"/>
        <v>437.71280116100411</v>
      </c>
    </row>
    <row r="861" spans="6:11" x14ac:dyDescent="0.4">
      <c r="F861" s="1">
        <v>47543</v>
      </c>
      <c r="H861" s="16">
        <f t="shared" si="69"/>
        <v>437.2208461923816</v>
      </c>
      <c r="I861">
        <f t="shared" si="70"/>
        <v>3</v>
      </c>
      <c r="J861" s="16" cm="1">
        <f t="array" ref="J861">INDEX(Sm,I861)</f>
        <v>1.3737674679346947</v>
      </c>
      <c r="K861" s="16">
        <f t="shared" si="71"/>
        <v>438.59461366031627</v>
      </c>
    </row>
    <row r="862" spans="6:11" x14ac:dyDescent="0.4">
      <c r="F862" s="1">
        <v>47574</v>
      </c>
      <c r="H862" s="16">
        <f t="shared" si="69"/>
        <v>437.44540376351858</v>
      </c>
      <c r="I862">
        <f t="shared" si="70"/>
        <v>4</v>
      </c>
      <c r="J862" s="16" cm="1">
        <f t="array" ref="J862">INDEX(Sm,I862)</f>
        <v>2.6103146023823673</v>
      </c>
      <c r="K862" s="16">
        <f t="shared" si="71"/>
        <v>440.05571836590093</v>
      </c>
    </row>
    <row r="863" spans="6:11" x14ac:dyDescent="0.4">
      <c r="F863" s="1">
        <v>47604</v>
      </c>
      <c r="H863" s="16">
        <f t="shared" si="69"/>
        <v>437.66289696861691</v>
      </c>
      <c r="I863">
        <f t="shared" si="70"/>
        <v>5</v>
      </c>
      <c r="J863" s="16" cm="1">
        <f t="array" ref="J863">INDEX(Sm,I863)</f>
        <v>3.0656878503632123</v>
      </c>
      <c r="K863" s="16">
        <f t="shared" si="71"/>
        <v>440.7285848189801</v>
      </c>
    </row>
    <row r="864" spans="6:11" x14ac:dyDescent="0.4">
      <c r="F864" s="1">
        <v>47635</v>
      </c>
      <c r="H864" s="16">
        <f t="shared" si="69"/>
        <v>437.88782535468312</v>
      </c>
      <c r="I864">
        <f t="shared" si="70"/>
        <v>6</v>
      </c>
      <c r="J864" s="16" cm="1">
        <f t="array" ref="J864">INDEX(Sm,I864)</f>
        <v>2.3467878975381979</v>
      </c>
      <c r="K864" s="16">
        <f t="shared" si="71"/>
        <v>440.23461325222132</v>
      </c>
    </row>
    <row r="865" spans="6:11" x14ac:dyDescent="0.4">
      <c r="F865" s="1">
        <v>47665</v>
      </c>
      <c r="H865" s="16">
        <f t="shared" si="69"/>
        <v>438.10567741293892</v>
      </c>
      <c r="I865">
        <f t="shared" si="70"/>
        <v>7</v>
      </c>
      <c r="J865" s="16" cm="1">
        <f t="array" ref="J865">INDEX(Sm,I865)</f>
        <v>0.72373827090267417</v>
      </c>
      <c r="K865" s="16">
        <f t="shared" si="71"/>
        <v>438.8294156838416</v>
      </c>
    </row>
    <row r="866" spans="6:11" x14ac:dyDescent="0.4">
      <c r="F866" s="1">
        <v>47696</v>
      </c>
      <c r="H866" s="16">
        <f t="shared" si="69"/>
        <v>438.33097661393447</v>
      </c>
      <c r="I866">
        <f t="shared" si="70"/>
        <v>8</v>
      </c>
      <c r="J866" s="16" cm="1">
        <f t="array" ref="J866">INDEX(Sm,I866)</f>
        <v>-1.3971602749585079</v>
      </c>
      <c r="K866" s="16">
        <f t="shared" si="71"/>
        <v>436.93381633897599</v>
      </c>
    </row>
    <row r="867" spans="6:11" x14ac:dyDescent="0.4">
      <c r="F867" s="1">
        <v>47727</v>
      </c>
      <c r="H867" s="16">
        <f t="shared" si="69"/>
        <v>438.55646426186138</v>
      </c>
      <c r="I867">
        <f t="shared" si="70"/>
        <v>9</v>
      </c>
      <c r="J867" s="16" cm="1">
        <f t="array" ref="J867">INDEX(Sm,I867)</f>
        <v>-3.1930865277187257</v>
      </c>
      <c r="K867" s="16">
        <f t="shared" si="71"/>
        <v>435.36337773414266</v>
      </c>
    </row>
    <row r="868" spans="6:11" x14ac:dyDescent="0.4">
      <c r="F868" s="1">
        <v>47757</v>
      </c>
      <c r="H868" s="16">
        <f t="shared" si="69"/>
        <v>438.77485754127258</v>
      </c>
      <c r="I868">
        <f t="shared" si="70"/>
        <v>10</v>
      </c>
      <c r="J868" s="16" cm="1">
        <f t="array" ref="J868">INDEX(Sm,I868)</f>
        <v>-3.3364130066587929</v>
      </c>
      <c r="K868" s="16">
        <f t="shared" si="71"/>
        <v>435.43844453461378</v>
      </c>
    </row>
    <row r="869" spans="6:11" x14ac:dyDescent="0.4">
      <c r="F869" s="1">
        <v>47788</v>
      </c>
      <c r="H869" s="16">
        <f t="shared" si="69"/>
        <v>439.00071600412883</v>
      </c>
      <c r="I869">
        <f t="shared" si="70"/>
        <v>11</v>
      </c>
      <c r="J869" s="16" cm="1">
        <f t="array" ref="J869">INDEX(Sm,I869)</f>
        <v>-2.0587659549634894</v>
      </c>
      <c r="K869" s="16">
        <f t="shared" si="71"/>
        <v>436.94195004916537</v>
      </c>
    </row>
    <row r="870" spans="6:11" x14ac:dyDescent="0.4">
      <c r="F870" s="1">
        <v>47818</v>
      </c>
      <c r="H870" s="16">
        <f t="shared" si="69"/>
        <v>439.2194681366974</v>
      </c>
      <c r="I870">
        <f t="shared" si="70"/>
        <v>12</v>
      </c>
      <c r="J870" s="16" cm="1">
        <f t="array" ref="J870">INDEX(Sm,I870)</f>
        <v>-0.89092746367992248</v>
      </c>
      <c r="K870" s="16">
        <f t="shared" si="71"/>
        <v>438.32854067301747</v>
      </c>
    </row>
    <row r="871" spans="6:11" x14ac:dyDescent="0.4">
      <c r="F871" s="1">
        <v>47849</v>
      </c>
      <c r="H871" s="16">
        <f t="shared" ref="H871:H934" si="72">_A*F871*F871+_B*F871+_C</f>
        <v>439.44569741448299</v>
      </c>
      <c r="I871">
        <f t="shared" ref="I871:I934" si="73">MONTH(F871)</f>
        <v>1</v>
      </c>
      <c r="J871" s="16" cm="1">
        <f t="array" ref="J871">INDEX(Sm,I871)</f>
        <v>6.1437951108157106E-2</v>
      </c>
      <c r="K871" s="16">
        <f t="shared" ref="K871:K934" si="74">H871+J871</f>
        <v>439.50713536559113</v>
      </c>
    </row>
    <row r="872" spans="6:11" x14ac:dyDescent="0.4">
      <c r="F872" s="1">
        <v>47880</v>
      </c>
      <c r="H872" s="16">
        <f t="shared" si="72"/>
        <v>439.67211513919989</v>
      </c>
      <c r="I872">
        <f t="shared" si="73"/>
        <v>2</v>
      </c>
      <c r="J872" s="16" cm="1">
        <f t="array" ref="J872">INDEX(Sm,I872)</f>
        <v>0.69461918775013354</v>
      </c>
      <c r="K872" s="16">
        <f t="shared" si="74"/>
        <v>440.36673432695</v>
      </c>
    </row>
    <row r="873" spans="6:11" x14ac:dyDescent="0.4">
      <c r="F873" s="1">
        <v>47908</v>
      </c>
      <c r="H873" s="16">
        <f t="shared" si="72"/>
        <v>439.87678344535959</v>
      </c>
      <c r="I873">
        <f t="shared" si="73"/>
        <v>3</v>
      </c>
      <c r="J873" s="16" cm="1">
        <f t="array" ref="J873">INDEX(Sm,I873)</f>
        <v>1.3737674679346947</v>
      </c>
      <c r="K873" s="16">
        <f t="shared" si="74"/>
        <v>441.25055091329426</v>
      </c>
    </row>
    <row r="874" spans="6:11" x14ac:dyDescent="0.4">
      <c r="F874" s="1">
        <v>47939</v>
      </c>
      <c r="H874" s="16">
        <f t="shared" si="72"/>
        <v>440.10355982713924</v>
      </c>
      <c r="I874">
        <f t="shared" si="73"/>
        <v>4</v>
      </c>
      <c r="J874" s="16" cm="1">
        <f t="array" ref="J874">INDEX(Sm,I874)</f>
        <v>2.6103146023823673</v>
      </c>
      <c r="K874" s="16">
        <f t="shared" si="74"/>
        <v>442.71387442952158</v>
      </c>
    </row>
    <row r="875" spans="6:11" x14ac:dyDescent="0.4">
      <c r="F875" s="1">
        <v>47969</v>
      </c>
      <c r="H875" s="16">
        <f t="shared" si="72"/>
        <v>440.32320026834344</v>
      </c>
      <c r="I875">
        <f t="shared" si="73"/>
        <v>5</v>
      </c>
      <c r="J875" s="16" cm="1">
        <f t="array" ref="J875">INDEX(Sm,I875)</f>
        <v>3.0656878503632123</v>
      </c>
      <c r="K875" s="16">
        <f t="shared" si="74"/>
        <v>443.38888811870663</v>
      </c>
    </row>
    <row r="876" spans="6:11" x14ac:dyDescent="0.4">
      <c r="F876" s="1">
        <v>48000</v>
      </c>
      <c r="H876" s="16">
        <f t="shared" si="72"/>
        <v>440.55034746505248</v>
      </c>
      <c r="I876">
        <f t="shared" si="73"/>
        <v>6</v>
      </c>
      <c r="J876" s="16" cm="1">
        <f t="array" ref="J876">INDEX(Sm,I876)</f>
        <v>2.3467878975381979</v>
      </c>
      <c r="K876" s="16">
        <f t="shared" si="74"/>
        <v>442.89713536259069</v>
      </c>
    </row>
    <row r="877" spans="6:11" x14ac:dyDescent="0.4">
      <c r="F877" s="1">
        <v>48030</v>
      </c>
      <c r="H877" s="16">
        <f t="shared" si="72"/>
        <v>440.77034675941405</v>
      </c>
      <c r="I877">
        <f t="shared" si="73"/>
        <v>7</v>
      </c>
      <c r="J877" s="16" cm="1">
        <f t="array" ref="J877">INDEX(Sm,I877)</f>
        <v>0.72373827090267417</v>
      </c>
      <c r="K877" s="16">
        <f t="shared" si="74"/>
        <v>441.49408503031674</v>
      </c>
    </row>
    <row r="878" spans="6:11" x14ac:dyDescent="0.4">
      <c r="F878" s="1">
        <v>48061</v>
      </c>
      <c r="H878" s="16">
        <f t="shared" si="72"/>
        <v>440.99786477105238</v>
      </c>
      <c r="I878">
        <f t="shared" si="73"/>
        <v>8</v>
      </c>
      <c r="J878" s="16" cm="1">
        <f t="array" ref="J878">INDEX(Sm,I878)</f>
        <v>-1.3971602749585079</v>
      </c>
      <c r="K878" s="16">
        <f t="shared" si="74"/>
        <v>439.6007044960939</v>
      </c>
    </row>
    <row r="879" spans="6:11" x14ac:dyDescent="0.4">
      <c r="F879" s="1">
        <v>48092</v>
      </c>
      <c r="H879" s="16">
        <f t="shared" si="72"/>
        <v>441.22557122962201</v>
      </c>
      <c r="I879">
        <f t="shared" si="73"/>
        <v>9</v>
      </c>
      <c r="J879" s="16" cm="1">
        <f t="array" ref="J879">INDEX(Sm,I879)</f>
        <v>-3.1930865277187257</v>
      </c>
      <c r="K879" s="16">
        <f t="shared" si="74"/>
        <v>438.03248470190329</v>
      </c>
    </row>
    <row r="880" spans="6:11" x14ac:dyDescent="0.4">
      <c r="F880" s="1">
        <v>48122</v>
      </c>
      <c r="H880" s="16">
        <f t="shared" si="72"/>
        <v>441.44611174513909</v>
      </c>
      <c r="I880">
        <f t="shared" si="73"/>
        <v>10</v>
      </c>
      <c r="J880" s="16" cm="1">
        <f t="array" ref="J880">INDEX(Sm,I880)</f>
        <v>-3.3364130066587929</v>
      </c>
      <c r="K880" s="16">
        <f t="shared" si="74"/>
        <v>438.10969873848029</v>
      </c>
    </row>
    <row r="881" spans="6:11" x14ac:dyDescent="0.4">
      <c r="F881" s="1">
        <v>48153</v>
      </c>
      <c r="H881" s="16">
        <f t="shared" si="72"/>
        <v>441.67418901863806</v>
      </c>
      <c r="I881">
        <f t="shared" si="73"/>
        <v>11</v>
      </c>
      <c r="J881" s="16" cm="1">
        <f t="array" ref="J881">INDEX(Sm,I881)</f>
        <v>-2.0587659549634894</v>
      </c>
      <c r="K881" s="16">
        <f t="shared" si="74"/>
        <v>439.6154230636746</v>
      </c>
    </row>
    <row r="882" spans="6:11" x14ac:dyDescent="0.4">
      <c r="F882" s="1">
        <v>48183</v>
      </c>
      <c r="H882" s="16">
        <f t="shared" si="72"/>
        <v>441.89508838731251</v>
      </c>
      <c r="I882">
        <f t="shared" si="73"/>
        <v>12</v>
      </c>
      <c r="J882" s="16" cm="1">
        <f t="array" ref="J882">INDEX(Sm,I882)</f>
        <v>-0.89092746367992248</v>
      </c>
      <c r="K882" s="16">
        <f t="shared" si="74"/>
        <v>441.00416092363258</v>
      </c>
    </row>
    <row r="883" spans="6:11" x14ac:dyDescent="0.4">
      <c r="F883" s="1">
        <v>48214</v>
      </c>
      <c r="H883" s="16">
        <f t="shared" si="72"/>
        <v>442.12353647574082</v>
      </c>
      <c r="I883">
        <f t="shared" si="73"/>
        <v>1</v>
      </c>
      <c r="J883" s="16" cm="1">
        <f t="array" ref="J883">INDEX(Sm,I883)</f>
        <v>6.1437951108157106E-2</v>
      </c>
      <c r="K883" s="16">
        <f t="shared" si="74"/>
        <v>442.18497442684895</v>
      </c>
    </row>
    <row r="884" spans="6:11" x14ac:dyDescent="0.4">
      <c r="F884" s="1">
        <v>48245</v>
      </c>
      <c r="H884" s="16">
        <f t="shared" si="72"/>
        <v>442.35217301110043</v>
      </c>
      <c r="I884">
        <f t="shared" si="73"/>
        <v>2</v>
      </c>
      <c r="J884" s="16" cm="1">
        <f t="array" ref="J884">INDEX(Sm,I884)</f>
        <v>0.69461918775013354</v>
      </c>
      <c r="K884" s="16">
        <f t="shared" si="74"/>
        <v>443.04679219885054</v>
      </c>
    </row>
    <row r="885" spans="6:11" x14ac:dyDescent="0.4">
      <c r="F885" s="1">
        <v>48274</v>
      </c>
      <c r="H885" s="16">
        <f t="shared" si="72"/>
        <v>442.56622940456401</v>
      </c>
      <c r="I885">
        <f t="shared" si="73"/>
        <v>3</v>
      </c>
      <c r="J885" s="16" cm="1">
        <f t="array" ref="J885">INDEX(Sm,I885)</f>
        <v>1.3737674679346947</v>
      </c>
      <c r="K885" s="16">
        <f t="shared" si="74"/>
        <v>443.93999687249868</v>
      </c>
    </row>
    <row r="886" spans="6:11" x14ac:dyDescent="0.4">
      <c r="F886" s="1">
        <v>48305</v>
      </c>
      <c r="H886" s="16">
        <f t="shared" si="72"/>
        <v>442.7952306759197</v>
      </c>
      <c r="I886">
        <f t="shared" si="73"/>
        <v>4</v>
      </c>
      <c r="J886" s="16" cm="1">
        <f t="array" ref="J886">INDEX(Sm,I886)</f>
        <v>2.6103146023823673</v>
      </c>
      <c r="K886" s="16">
        <f t="shared" si="74"/>
        <v>445.40554527830204</v>
      </c>
    </row>
    <row r="887" spans="6:11" x14ac:dyDescent="0.4">
      <c r="F887" s="1">
        <v>48335</v>
      </c>
      <c r="H887" s="16">
        <f t="shared" si="72"/>
        <v>443.01702423606832</v>
      </c>
      <c r="I887">
        <f t="shared" si="73"/>
        <v>5</v>
      </c>
      <c r="J887" s="16" cm="1">
        <f t="array" ref="J887">INDEX(Sm,I887)</f>
        <v>3.0656878503632123</v>
      </c>
      <c r="K887" s="16">
        <f t="shared" si="74"/>
        <v>446.08271208643151</v>
      </c>
    </row>
    <row r="888" spans="6:11" x14ac:dyDescent="0.4">
      <c r="F888" s="1">
        <v>48366</v>
      </c>
      <c r="H888" s="16">
        <f t="shared" si="72"/>
        <v>443.24639632235335</v>
      </c>
      <c r="I888">
        <f t="shared" si="73"/>
        <v>6</v>
      </c>
      <c r="J888" s="16" cm="1">
        <f t="array" ref="J888">INDEX(Sm,I888)</f>
        <v>2.3467878975381979</v>
      </c>
      <c r="K888" s="16">
        <f t="shared" si="74"/>
        <v>445.59318421989155</v>
      </c>
    </row>
    <row r="889" spans="6:11" x14ac:dyDescent="0.4">
      <c r="F889" s="1">
        <v>48396</v>
      </c>
      <c r="H889" s="16">
        <f t="shared" si="72"/>
        <v>443.46854873565951</v>
      </c>
      <c r="I889">
        <f t="shared" si="73"/>
        <v>7</v>
      </c>
      <c r="J889" s="16" cm="1">
        <f t="array" ref="J889">INDEX(Sm,I889)</f>
        <v>0.72373827090267417</v>
      </c>
      <c r="K889" s="16">
        <f t="shared" si="74"/>
        <v>444.1922870065622</v>
      </c>
    </row>
    <row r="890" spans="6:11" x14ac:dyDescent="0.4">
      <c r="F890" s="1">
        <v>48427</v>
      </c>
      <c r="H890" s="16">
        <f t="shared" si="72"/>
        <v>443.69829163687382</v>
      </c>
      <c r="I890">
        <f t="shared" si="73"/>
        <v>8</v>
      </c>
      <c r="J890" s="16" cm="1">
        <f t="array" ref="J890">INDEX(Sm,I890)</f>
        <v>-1.3971602749585079</v>
      </c>
      <c r="K890" s="16">
        <f t="shared" si="74"/>
        <v>442.30113136191534</v>
      </c>
    </row>
    <row r="891" spans="6:11" x14ac:dyDescent="0.4">
      <c r="F891" s="1">
        <v>48458</v>
      </c>
      <c r="H891" s="16">
        <f t="shared" si="72"/>
        <v>443.92822298501949</v>
      </c>
      <c r="I891">
        <f t="shared" si="73"/>
        <v>9</v>
      </c>
      <c r="J891" s="16" cm="1">
        <f t="array" ref="J891">INDEX(Sm,I891)</f>
        <v>-3.1930865277187257</v>
      </c>
      <c r="K891" s="16">
        <f t="shared" si="74"/>
        <v>440.73513645730077</v>
      </c>
    </row>
    <row r="892" spans="6:11" x14ac:dyDescent="0.4">
      <c r="F892" s="1">
        <v>48488</v>
      </c>
      <c r="H892" s="16">
        <f t="shared" si="72"/>
        <v>444.15091661948105</v>
      </c>
      <c r="I892">
        <f t="shared" si="73"/>
        <v>10</v>
      </c>
      <c r="J892" s="16" cm="1">
        <f t="array" ref="J892">INDEX(Sm,I892)</f>
        <v>-3.3364130066587929</v>
      </c>
      <c r="K892" s="16">
        <f t="shared" si="74"/>
        <v>440.81450361282225</v>
      </c>
    </row>
    <row r="893" spans="6:11" x14ac:dyDescent="0.4">
      <c r="F893" s="1">
        <v>48519</v>
      </c>
      <c r="H893" s="16">
        <f t="shared" si="72"/>
        <v>444.381218782556</v>
      </c>
      <c r="I893">
        <f t="shared" si="73"/>
        <v>11</v>
      </c>
      <c r="J893" s="16" cm="1">
        <f t="array" ref="J893">INDEX(Sm,I893)</f>
        <v>-2.0587659549634894</v>
      </c>
      <c r="K893" s="16">
        <f t="shared" si="74"/>
        <v>442.32245282759254</v>
      </c>
    </row>
    <row r="894" spans="6:11" x14ac:dyDescent="0.4">
      <c r="F894" s="1">
        <v>48549</v>
      </c>
      <c r="H894" s="16">
        <f t="shared" si="72"/>
        <v>444.60427127017499</v>
      </c>
      <c r="I894">
        <f t="shared" si="73"/>
        <v>12</v>
      </c>
      <c r="J894" s="16" cm="1">
        <f t="array" ref="J894">INDEX(Sm,I894)</f>
        <v>-0.89092746367992248</v>
      </c>
      <c r="K894" s="16">
        <f t="shared" si="74"/>
        <v>443.71334380649506</v>
      </c>
    </row>
    <row r="895" spans="6:11" x14ac:dyDescent="0.4">
      <c r="F895" s="1">
        <v>48580</v>
      </c>
      <c r="H895" s="16">
        <f t="shared" si="72"/>
        <v>444.83494424817934</v>
      </c>
      <c r="I895">
        <f t="shared" si="73"/>
        <v>1</v>
      </c>
      <c r="J895" s="16" cm="1">
        <f t="array" ref="J895">INDEX(Sm,I895)</f>
        <v>6.1437951108157106E-2</v>
      </c>
      <c r="K895" s="16">
        <f t="shared" si="74"/>
        <v>444.89638219928747</v>
      </c>
    </row>
    <row r="896" spans="6:11" x14ac:dyDescent="0.4">
      <c r="F896" s="1">
        <v>48611</v>
      </c>
      <c r="H896" s="16">
        <f t="shared" si="72"/>
        <v>445.06580567311488</v>
      </c>
      <c r="I896">
        <f t="shared" si="73"/>
        <v>2</v>
      </c>
      <c r="J896" s="16" cm="1">
        <f t="array" ref="J896">INDEX(Sm,I896)</f>
        <v>0.69461918775013354</v>
      </c>
      <c r="K896" s="16">
        <f t="shared" si="74"/>
        <v>445.76042486086499</v>
      </c>
    </row>
    <row r="897" spans="6:11" x14ac:dyDescent="0.4">
      <c r="F897" s="1">
        <v>48639</v>
      </c>
      <c r="H897" s="16">
        <f t="shared" si="72"/>
        <v>445.27448764398832</v>
      </c>
      <c r="I897">
        <f t="shared" si="73"/>
        <v>3</v>
      </c>
      <c r="J897" s="16" cm="1">
        <f t="array" ref="J897">INDEX(Sm,I897)</f>
        <v>1.3737674679346947</v>
      </c>
      <c r="K897" s="16">
        <f t="shared" si="74"/>
        <v>446.64825511192299</v>
      </c>
    </row>
    <row r="898" spans="6:11" x14ac:dyDescent="0.4">
      <c r="F898" s="1">
        <v>48670</v>
      </c>
      <c r="H898" s="16">
        <f t="shared" si="72"/>
        <v>445.50570772598667</v>
      </c>
      <c r="I898">
        <f t="shared" si="73"/>
        <v>4</v>
      </c>
      <c r="J898" s="16" cm="1">
        <f t="array" ref="J898">INDEX(Sm,I898)</f>
        <v>2.6103146023823673</v>
      </c>
      <c r="K898" s="16">
        <f t="shared" si="74"/>
        <v>448.11602232836901</v>
      </c>
    </row>
    <row r="899" spans="6:11" x14ac:dyDescent="0.4">
      <c r="F899" s="1">
        <v>48700</v>
      </c>
      <c r="H899" s="16">
        <f t="shared" si="72"/>
        <v>445.72964852224123</v>
      </c>
      <c r="I899">
        <f t="shared" si="73"/>
        <v>5</v>
      </c>
      <c r="J899" s="16" cm="1">
        <f t="array" ref="J899">INDEX(Sm,I899)</f>
        <v>3.0656878503632123</v>
      </c>
      <c r="K899" s="16">
        <f t="shared" si="74"/>
        <v>448.79533637260442</v>
      </c>
    </row>
    <row r="900" spans="6:11" x14ac:dyDescent="0.4">
      <c r="F900" s="1">
        <v>48731</v>
      </c>
      <c r="H900" s="16">
        <f t="shared" si="72"/>
        <v>445.96123941916903</v>
      </c>
      <c r="I900">
        <f t="shared" si="73"/>
        <v>6</v>
      </c>
      <c r="J900" s="16" cm="1">
        <f t="array" ref="J900">INDEX(Sm,I900)</f>
        <v>2.3467878975381979</v>
      </c>
      <c r="K900" s="16">
        <f t="shared" si="74"/>
        <v>448.30802731670724</v>
      </c>
    </row>
    <row r="901" spans="6:11" x14ac:dyDescent="0.4">
      <c r="F901" s="1">
        <v>48761</v>
      </c>
      <c r="H901" s="16">
        <f t="shared" si="72"/>
        <v>446.18553906858097</v>
      </c>
      <c r="I901">
        <f t="shared" si="73"/>
        <v>7</v>
      </c>
      <c r="J901" s="16" cm="1">
        <f t="array" ref="J901">INDEX(Sm,I901)</f>
        <v>0.72373827090267417</v>
      </c>
      <c r="K901" s="16">
        <f t="shared" si="74"/>
        <v>446.90927733948365</v>
      </c>
    </row>
    <row r="902" spans="6:11" x14ac:dyDescent="0.4">
      <c r="F902" s="1">
        <v>48792</v>
      </c>
      <c r="H902" s="16">
        <f t="shared" si="72"/>
        <v>446.41750078043805</v>
      </c>
      <c r="I902">
        <f t="shared" si="73"/>
        <v>8</v>
      </c>
      <c r="J902" s="16" cm="1">
        <f t="array" ref="J902">INDEX(Sm,I902)</f>
        <v>-1.3971602749585079</v>
      </c>
      <c r="K902" s="16">
        <f t="shared" si="74"/>
        <v>445.02034050547957</v>
      </c>
    </row>
    <row r="903" spans="6:11" x14ac:dyDescent="0.4">
      <c r="F903" s="1">
        <v>48823</v>
      </c>
      <c r="H903" s="16">
        <f t="shared" si="72"/>
        <v>446.64965093922643</v>
      </c>
      <c r="I903">
        <f t="shared" si="73"/>
        <v>9</v>
      </c>
      <c r="J903" s="16" cm="1">
        <f t="array" ref="J903">INDEX(Sm,I903)</f>
        <v>-3.1930865277187257</v>
      </c>
      <c r="K903" s="16">
        <f t="shared" si="74"/>
        <v>443.45656441150771</v>
      </c>
    </row>
    <row r="904" spans="6:11" x14ac:dyDescent="0.4">
      <c r="F904" s="1">
        <v>48853</v>
      </c>
      <c r="H904" s="16">
        <f t="shared" si="72"/>
        <v>446.87449180979382</v>
      </c>
      <c r="I904">
        <f t="shared" si="73"/>
        <v>10</v>
      </c>
      <c r="J904" s="16" cm="1">
        <f t="array" ref="J904">INDEX(Sm,I904)</f>
        <v>-3.3364130066587929</v>
      </c>
      <c r="K904" s="16">
        <f t="shared" si="74"/>
        <v>443.53807880313502</v>
      </c>
    </row>
    <row r="905" spans="6:11" x14ac:dyDescent="0.4">
      <c r="F905" s="1">
        <v>48884</v>
      </c>
      <c r="H905" s="16">
        <f t="shared" si="72"/>
        <v>447.10701278351155</v>
      </c>
      <c r="I905">
        <f t="shared" si="73"/>
        <v>11</v>
      </c>
      <c r="J905" s="16" cm="1">
        <f t="array" ref="J905">INDEX(Sm,I905)</f>
        <v>-2.0587659549634894</v>
      </c>
      <c r="K905" s="16">
        <f t="shared" si="74"/>
        <v>445.04824682854809</v>
      </c>
    </row>
    <row r="906" spans="6:11" x14ac:dyDescent="0.4">
      <c r="F906" s="1">
        <v>48914</v>
      </c>
      <c r="H906" s="16">
        <f t="shared" si="72"/>
        <v>447.33221250723642</v>
      </c>
      <c r="I906">
        <f t="shared" si="73"/>
        <v>12</v>
      </c>
      <c r="J906" s="16" cm="1">
        <f t="array" ref="J906">INDEX(Sm,I906)</f>
        <v>-0.89092746367992248</v>
      </c>
      <c r="K906" s="16">
        <f t="shared" si="74"/>
        <v>446.44128504355649</v>
      </c>
    </row>
    <row r="907" spans="6:11" x14ac:dyDescent="0.4">
      <c r="F907" s="1">
        <v>48945</v>
      </c>
      <c r="H907" s="16">
        <f t="shared" si="72"/>
        <v>447.56510429588343</v>
      </c>
      <c r="I907">
        <f t="shared" si="73"/>
        <v>1</v>
      </c>
      <c r="J907" s="16" cm="1">
        <f t="array" ref="J907">INDEX(Sm,I907)</f>
        <v>6.1437951108157106E-2</v>
      </c>
      <c r="K907" s="16">
        <f t="shared" si="74"/>
        <v>447.62654224699156</v>
      </c>
    </row>
    <row r="908" spans="6:11" x14ac:dyDescent="0.4">
      <c r="F908" s="1">
        <v>48976</v>
      </c>
      <c r="H908" s="16">
        <f t="shared" si="72"/>
        <v>447.79818453146174</v>
      </c>
      <c r="I908">
        <f t="shared" si="73"/>
        <v>2</v>
      </c>
      <c r="J908" s="16" cm="1">
        <f t="array" ref="J908">INDEX(Sm,I908)</f>
        <v>0.69461918775013354</v>
      </c>
      <c r="K908" s="16">
        <f t="shared" si="74"/>
        <v>448.49280371921185</v>
      </c>
    </row>
    <row r="909" spans="6:11" x14ac:dyDescent="0.4">
      <c r="F909" s="1">
        <v>49004</v>
      </c>
      <c r="H909" s="16">
        <f t="shared" si="72"/>
        <v>448.00887058936729</v>
      </c>
      <c r="I909">
        <f t="shared" si="73"/>
        <v>3</v>
      </c>
      <c r="J909" s="16" cm="1">
        <f t="array" ref="J909">INDEX(Sm,I909)</f>
        <v>1.3737674679346947</v>
      </c>
      <c r="K909" s="16">
        <f t="shared" si="74"/>
        <v>449.38263805730196</v>
      </c>
    </row>
    <row r="910" spans="6:11" x14ac:dyDescent="0.4">
      <c r="F910" s="1">
        <v>49035</v>
      </c>
      <c r="H910" s="16">
        <f t="shared" si="72"/>
        <v>448.24230948200841</v>
      </c>
      <c r="I910">
        <f t="shared" si="73"/>
        <v>4</v>
      </c>
      <c r="J910" s="16" cm="1">
        <f t="array" ref="J910">INDEX(Sm,I910)</f>
        <v>2.6103146023823673</v>
      </c>
      <c r="K910" s="16">
        <f t="shared" si="74"/>
        <v>450.85262408439075</v>
      </c>
    </row>
    <row r="911" spans="6:11" x14ac:dyDescent="0.4">
      <c r="F911" s="1">
        <v>49065</v>
      </c>
      <c r="H911" s="16">
        <f t="shared" si="72"/>
        <v>448.46839751436886</v>
      </c>
      <c r="I911">
        <f t="shared" si="73"/>
        <v>5</v>
      </c>
      <c r="J911" s="16" cm="1">
        <f t="array" ref="J911">INDEX(Sm,I911)</f>
        <v>3.0656878503632123</v>
      </c>
      <c r="K911" s="16">
        <f t="shared" si="74"/>
        <v>451.53408536473205</v>
      </c>
    </row>
    <row r="912" spans="6:11" x14ac:dyDescent="0.4">
      <c r="F912" s="1">
        <v>49096</v>
      </c>
      <c r="H912" s="16">
        <f t="shared" si="72"/>
        <v>448.70220722193932</v>
      </c>
      <c r="I912">
        <f t="shared" si="73"/>
        <v>6</v>
      </c>
      <c r="J912" s="16" cm="1">
        <f t="array" ref="J912">INDEX(Sm,I912)</f>
        <v>2.3467878975381979</v>
      </c>
      <c r="K912" s="16">
        <f t="shared" si="74"/>
        <v>451.04899511947752</v>
      </c>
    </row>
    <row r="913" spans="6:11" x14ac:dyDescent="0.4">
      <c r="F913" s="1">
        <v>49126</v>
      </c>
      <c r="H913" s="16">
        <f t="shared" si="72"/>
        <v>448.92865410745719</v>
      </c>
      <c r="I913">
        <f t="shared" si="73"/>
        <v>7</v>
      </c>
      <c r="J913" s="16" cm="1">
        <f t="array" ref="J913">INDEX(Sm,I913)</f>
        <v>0.72373827090267417</v>
      </c>
      <c r="K913" s="16">
        <f t="shared" si="74"/>
        <v>449.65239237835988</v>
      </c>
    </row>
    <row r="914" spans="6:11" x14ac:dyDescent="0.4">
      <c r="F914" s="1">
        <v>49157</v>
      </c>
      <c r="H914" s="16">
        <f t="shared" si="72"/>
        <v>449.16283462995693</v>
      </c>
      <c r="I914">
        <f t="shared" si="73"/>
        <v>8</v>
      </c>
      <c r="J914" s="16" cm="1">
        <f t="array" ref="J914">INDEX(Sm,I914)</f>
        <v>-1.3971602749585079</v>
      </c>
      <c r="K914" s="16">
        <f t="shared" si="74"/>
        <v>447.76567435499845</v>
      </c>
    </row>
    <row r="915" spans="6:11" x14ac:dyDescent="0.4">
      <c r="F915" s="1">
        <v>49188</v>
      </c>
      <c r="H915" s="16">
        <f t="shared" si="72"/>
        <v>449.39720359938804</v>
      </c>
      <c r="I915">
        <f t="shared" si="73"/>
        <v>9</v>
      </c>
      <c r="J915" s="16" cm="1">
        <f t="array" ref="J915">INDEX(Sm,I915)</f>
        <v>-3.1930865277187257</v>
      </c>
      <c r="K915" s="16">
        <f t="shared" si="74"/>
        <v>446.20411707166932</v>
      </c>
    </row>
    <row r="916" spans="6:11" x14ac:dyDescent="0.4">
      <c r="F916" s="1">
        <v>49218</v>
      </c>
      <c r="H916" s="16">
        <f t="shared" si="72"/>
        <v>449.62419170606137</v>
      </c>
      <c r="I916">
        <f t="shared" si="73"/>
        <v>10</v>
      </c>
      <c r="J916" s="16" cm="1">
        <f t="array" ref="J916">INDEX(Sm,I916)</f>
        <v>-3.3364130066587929</v>
      </c>
      <c r="K916" s="16">
        <f t="shared" si="74"/>
        <v>446.28777869940257</v>
      </c>
    </row>
    <row r="917" spans="6:11" x14ac:dyDescent="0.4">
      <c r="F917" s="1">
        <v>49249</v>
      </c>
      <c r="H917" s="16">
        <f t="shared" si="72"/>
        <v>449.85893149042175</v>
      </c>
      <c r="I917">
        <f t="shared" si="73"/>
        <v>11</v>
      </c>
      <c r="J917" s="16" cm="1">
        <f t="array" ref="J917">INDEX(Sm,I917)</f>
        <v>-2.0587659549634894</v>
      </c>
      <c r="K917" s="16">
        <f t="shared" si="74"/>
        <v>447.80016553545829</v>
      </c>
    </row>
    <row r="918" spans="6:11" x14ac:dyDescent="0.4">
      <c r="F918" s="1">
        <v>49279</v>
      </c>
      <c r="H918" s="16">
        <f t="shared" si="72"/>
        <v>450.08627845025251</v>
      </c>
      <c r="I918">
        <f t="shared" si="73"/>
        <v>12</v>
      </c>
      <c r="J918" s="16" cm="1">
        <f t="array" ref="J918">INDEX(Sm,I918)</f>
        <v>-0.89092746367992248</v>
      </c>
      <c r="K918" s="16">
        <f t="shared" si="74"/>
        <v>449.19535098657258</v>
      </c>
    </row>
    <row r="919" spans="6:11" x14ac:dyDescent="0.4">
      <c r="F919" s="1">
        <v>49310</v>
      </c>
      <c r="H919" s="16">
        <f t="shared" si="72"/>
        <v>450.32138904954229</v>
      </c>
      <c r="I919">
        <f t="shared" si="73"/>
        <v>1</v>
      </c>
      <c r="J919" s="16" cm="1">
        <f t="array" ref="J919">INDEX(Sm,I919)</f>
        <v>6.1437951108157106E-2</v>
      </c>
      <c r="K919" s="16">
        <f t="shared" si="74"/>
        <v>450.38282700065042</v>
      </c>
    </row>
    <row r="920" spans="6:11" x14ac:dyDescent="0.4">
      <c r="F920" s="1">
        <v>49341</v>
      </c>
      <c r="H920" s="16">
        <f t="shared" si="72"/>
        <v>450.55668809576332</v>
      </c>
      <c r="I920">
        <f t="shared" si="73"/>
        <v>2</v>
      </c>
      <c r="J920" s="16" cm="1">
        <f t="array" ref="J920">INDEX(Sm,I920)</f>
        <v>0.69461918775013354</v>
      </c>
      <c r="K920" s="16">
        <f t="shared" si="74"/>
        <v>451.25130728351343</v>
      </c>
    </row>
    <row r="921" spans="6:11" x14ac:dyDescent="0.4">
      <c r="F921" s="1">
        <v>49369</v>
      </c>
      <c r="H921" s="16">
        <f t="shared" si="72"/>
        <v>450.76937824070097</v>
      </c>
      <c r="I921">
        <f t="shared" si="73"/>
        <v>3</v>
      </c>
      <c r="J921" s="16" cm="1">
        <f t="array" ref="J921">INDEX(Sm,I921)</f>
        <v>1.3737674679346947</v>
      </c>
      <c r="K921" s="16">
        <f t="shared" si="74"/>
        <v>452.14314570863564</v>
      </c>
    </row>
    <row r="922" spans="6:11" x14ac:dyDescent="0.4">
      <c r="F922" s="1">
        <v>49400</v>
      </c>
      <c r="H922" s="16">
        <f t="shared" si="72"/>
        <v>451.00503594398486</v>
      </c>
      <c r="I922">
        <f t="shared" si="73"/>
        <v>4</v>
      </c>
      <c r="J922" s="16" cm="1">
        <f t="array" ref="J922">INDEX(Sm,I922)</f>
        <v>2.6103146023823673</v>
      </c>
      <c r="K922" s="16">
        <f t="shared" si="74"/>
        <v>453.61535054636721</v>
      </c>
    </row>
    <row r="923" spans="6:11" x14ac:dyDescent="0.4">
      <c r="F923" s="1">
        <v>49430</v>
      </c>
      <c r="H923" s="16">
        <f t="shared" si="72"/>
        <v>451.2332712124512</v>
      </c>
      <c r="I923">
        <f t="shared" si="73"/>
        <v>5</v>
      </c>
      <c r="J923" s="16" cm="1">
        <f t="array" ref="J923">INDEX(Sm,I923)</f>
        <v>3.0656878503632123</v>
      </c>
      <c r="K923" s="16">
        <f t="shared" si="74"/>
        <v>454.29895906281439</v>
      </c>
    </row>
    <row r="924" spans="6:11" x14ac:dyDescent="0.4">
      <c r="F924" s="1">
        <v>49461</v>
      </c>
      <c r="H924" s="16">
        <f t="shared" si="72"/>
        <v>451.46929973066437</v>
      </c>
      <c r="I924">
        <f t="shared" si="73"/>
        <v>6</v>
      </c>
      <c r="J924" s="16" cm="1">
        <f t="array" ref="J924">INDEX(Sm,I924)</f>
        <v>2.3467878975381979</v>
      </c>
      <c r="K924" s="16">
        <f t="shared" si="74"/>
        <v>453.81608762820258</v>
      </c>
    </row>
    <row r="925" spans="6:11" x14ac:dyDescent="0.4">
      <c r="F925" s="1">
        <v>49491</v>
      </c>
      <c r="H925" s="16">
        <f t="shared" si="72"/>
        <v>451.69789385228808</v>
      </c>
      <c r="I925">
        <f t="shared" si="73"/>
        <v>7</v>
      </c>
      <c r="J925" s="16" cm="1">
        <f t="array" ref="J925">INDEX(Sm,I925)</f>
        <v>0.72373827090267417</v>
      </c>
      <c r="K925" s="16">
        <f t="shared" si="74"/>
        <v>452.42163212319076</v>
      </c>
    </row>
    <row r="926" spans="6:11" x14ac:dyDescent="0.4">
      <c r="F926" s="1">
        <v>49522</v>
      </c>
      <c r="H926" s="16">
        <f t="shared" si="72"/>
        <v>451.93429318543059</v>
      </c>
      <c r="I926">
        <f t="shared" si="73"/>
        <v>8</v>
      </c>
      <c r="J926" s="16" cm="1">
        <f t="array" ref="J926">INDEX(Sm,I926)</f>
        <v>-1.3971602749585079</v>
      </c>
      <c r="K926" s="16">
        <f t="shared" si="74"/>
        <v>450.53713291047211</v>
      </c>
    </row>
    <row r="927" spans="6:11" x14ac:dyDescent="0.4">
      <c r="F927" s="1">
        <v>49553</v>
      </c>
      <c r="H927" s="16">
        <f t="shared" si="72"/>
        <v>452.17088096550441</v>
      </c>
      <c r="I927">
        <f t="shared" si="73"/>
        <v>9</v>
      </c>
      <c r="J927" s="16" cm="1">
        <f t="array" ref="J927">INDEX(Sm,I927)</f>
        <v>-3.1930865277187257</v>
      </c>
      <c r="K927" s="16">
        <f t="shared" si="74"/>
        <v>448.97779443778569</v>
      </c>
    </row>
    <row r="928" spans="6:11" x14ac:dyDescent="0.4">
      <c r="F928" s="1">
        <v>49583</v>
      </c>
      <c r="H928" s="16">
        <f t="shared" si="72"/>
        <v>452.40001630828357</v>
      </c>
      <c r="I928">
        <f t="shared" si="73"/>
        <v>10</v>
      </c>
      <c r="J928" s="16" cm="1">
        <f t="array" ref="J928">INDEX(Sm,I928)</f>
        <v>-3.3364130066587929</v>
      </c>
      <c r="K928" s="16">
        <f t="shared" si="74"/>
        <v>449.06360330162477</v>
      </c>
    </row>
    <row r="929" spans="6:11" x14ac:dyDescent="0.4">
      <c r="F929" s="1">
        <v>49614</v>
      </c>
      <c r="H929" s="16">
        <f t="shared" si="72"/>
        <v>452.63697490328673</v>
      </c>
      <c r="I929">
        <f t="shared" si="73"/>
        <v>11</v>
      </c>
      <c r="J929" s="16" cm="1">
        <f t="array" ref="J929">INDEX(Sm,I929)</f>
        <v>-2.0587659549634894</v>
      </c>
      <c r="K929" s="16">
        <f t="shared" si="74"/>
        <v>450.57820894832327</v>
      </c>
    </row>
    <row r="930" spans="6:11" x14ac:dyDescent="0.4">
      <c r="F930" s="1">
        <v>49644</v>
      </c>
      <c r="H930" s="16">
        <f t="shared" si="72"/>
        <v>452.86646909922337</v>
      </c>
      <c r="I930">
        <f t="shared" si="73"/>
        <v>12</v>
      </c>
      <c r="J930" s="16" cm="1">
        <f t="array" ref="J930">INDEX(Sm,I930)</f>
        <v>-0.89092746367992248</v>
      </c>
      <c r="K930" s="16">
        <f t="shared" si="74"/>
        <v>451.97554163554344</v>
      </c>
    </row>
    <row r="931" spans="6:11" x14ac:dyDescent="0.4">
      <c r="F931" s="1">
        <v>49675</v>
      </c>
      <c r="H931" s="16">
        <f t="shared" si="72"/>
        <v>453.10379850915581</v>
      </c>
      <c r="I931">
        <f t="shared" si="73"/>
        <v>1</v>
      </c>
      <c r="J931" s="16" cm="1">
        <f t="array" ref="J931">INDEX(Sm,I931)</f>
        <v>6.1437951108157106E-2</v>
      </c>
      <c r="K931" s="16">
        <f t="shared" si="74"/>
        <v>453.16523646026394</v>
      </c>
    </row>
    <row r="932" spans="6:11" x14ac:dyDescent="0.4">
      <c r="F932" s="1">
        <v>49706</v>
      </c>
      <c r="H932" s="16">
        <f t="shared" si="72"/>
        <v>453.34131636601961</v>
      </c>
      <c r="I932">
        <f t="shared" si="73"/>
        <v>2</v>
      </c>
      <c r="J932" s="16" cm="1">
        <f t="array" ref="J932">INDEX(Sm,I932)</f>
        <v>0.69461918775013354</v>
      </c>
      <c r="K932" s="16">
        <f t="shared" si="74"/>
        <v>454.03593555376972</v>
      </c>
    </row>
    <row r="933" spans="6:11" x14ac:dyDescent="0.4">
      <c r="F933" s="1">
        <v>49735</v>
      </c>
      <c r="H933" s="16">
        <f t="shared" si="72"/>
        <v>453.56368109250326</v>
      </c>
      <c r="I933">
        <f t="shared" si="73"/>
        <v>3</v>
      </c>
      <c r="J933" s="16" cm="1">
        <f t="array" ref="J933">INDEX(Sm,I933)</f>
        <v>1.3737674679346947</v>
      </c>
      <c r="K933" s="16">
        <f t="shared" si="74"/>
        <v>454.93744856043793</v>
      </c>
    </row>
    <row r="934" spans="6:11" x14ac:dyDescent="0.4">
      <c r="F934" s="1">
        <v>49766</v>
      </c>
      <c r="H934" s="16">
        <f t="shared" si="72"/>
        <v>453.80156368536308</v>
      </c>
      <c r="I934">
        <f t="shared" si="73"/>
        <v>4</v>
      </c>
      <c r="J934" s="16" cm="1">
        <f t="array" ref="J934">INDEX(Sm,I934)</f>
        <v>2.6103146023823673</v>
      </c>
      <c r="K934" s="16">
        <f t="shared" si="74"/>
        <v>456.41187828774542</v>
      </c>
    </row>
    <row r="935" spans="6:11" x14ac:dyDescent="0.4">
      <c r="F935" s="1">
        <v>49796</v>
      </c>
      <c r="H935" s="16">
        <f t="shared" ref="H935:H942" si="75">_A*F935*F935+_B*F935+_C</f>
        <v>454.03195207277395</v>
      </c>
      <c r="I935">
        <f t="shared" ref="I935:I942" si="76">MONTH(F935)</f>
        <v>5</v>
      </c>
      <c r="J935" s="16" cm="1">
        <f t="array" ref="J935">INDEX(Sm,I935)</f>
        <v>3.0656878503632123</v>
      </c>
      <c r="K935" s="16">
        <f t="shared" ref="K935:K942" si="77">H935+J935</f>
        <v>457.09763992313714</v>
      </c>
    </row>
    <row r="936" spans="6:11" x14ac:dyDescent="0.4">
      <c r="F936" s="1">
        <v>49827</v>
      </c>
      <c r="H936" s="16">
        <f t="shared" si="75"/>
        <v>454.27020548056311</v>
      </c>
      <c r="I936">
        <f t="shared" si="76"/>
        <v>6</v>
      </c>
      <c r="J936" s="16" cm="1">
        <f t="array" ref="J936">INDEX(Sm,I936)</f>
        <v>2.3467878975381979</v>
      </c>
      <c r="K936" s="16">
        <f t="shared" si="77"/>
        <v>456.61699337810131</v>
      </c>
    </row>
    <row r="937" spans="6:11" x14ac:dyDescent="0.4">
      <c r="F937" s="1">
        <v>49857</v>
      </c>
      <c r="H937" s="16">
        <f t="shared" si="75"/>
        <v>454.50095272113134</v>
      </c>
      <c r="I937">
        <f t="shared" si="76"/>
        <v>7</v>
      </c>
      <c r="J937" s="16" cm="1">
        <f t="array" ref="J937">INDEX(Sm,I937)</f>
        <v>0.72373827090267417</v>
      </c>
      <c r="K937" s="16">
        <f t="shared" si="77"/>
        <v>455.22469099203403</v>
      </c>
    </row>
    <row r="938" spans="6:11" x14ac:dyDescent="0.4">
      <c r="F938" s="1">
        <v>49888</v>
      </c>
      <c r="H938" s="16">
        <f t="shared" si="75"/>
        <v>454.73957694384984</v>
      </c>
      <c r="I938">
        <f t="shared" si="76"/>
        <v>8</v>
      </c>
      <c r="J938" s="16" cm="1">
        <f t="array" ref="J938">INDEX(Sm,I938)</f>
        <v>-1.3971602749585079</v>
      </c>
      <c r="K938" s="16">
        <f t="shared" si="77"/>
        <v>453.34241666889136</v>
      </c>
    </row>
    <row r="939" spans="6:11" x14ac:dyDescent="0.4">
      <c r="F939" s="1">
        <v>49919</v>
      </c>
      <c r="H939" s="16">
        <f t="shared" si="75"/>
        <v>454.97838961349964</v>
      </c>
      <c r="I939">
        <f t="shared" si="76"/>
        <v>9</v>
      </c>
      <c r="J939" s="16" cm="1">
        <f t="array" ref="J939">INDEX(Sm,I939)</f>
        <v>-3.1930865277187257</v>
      </c>
      <c r="K939" s="16">
        <f t="shared" si="77"/>
        <v>451.78530308578092</v>
      </c>
    </row>
    <row r="940" spans="6:11" x14ac:dyDescent="0.4">
      <c r="F940" s="1">
        <v>49949</v>
      </c>
      <c r="H940" s="16">
        <f t="shared" si="75"/>
        <v>455.20967807522339</v>
      </c>
      <c r="I940">
        <f t="shared" si="76"/>
        <v>10</v>
      </c>
      <c r="J940" s="16" cm="1">
        <f t="array" ref="J940">INDEX(Sm,I940)</f>
        <v>-3.3364130066587929</v>
      </c>
      <c r="K940" s="16">
        <f t="shared" si="77"/>
        <v>451.87326506856459</v>
      </c>
    </row>
    <row r="941" spans="6:11" x14ac:dyDescent="0.4">
      <c r="F941" s="1">
        <v>49980</v>
      </c>
      <c r="H941" s="16">
        <f t="shared" si="75"/>
        <v>455.44886155980248</v>
      </c>
      <c r="I941">
        <f t="shared" si="76"/>
        <v>11</v>
      </c>
      <c r="J941" s="16" cm="1">
        <f t="array" ref="J941">INDEX(Sm,I941)</f>
        <v>-2.0587659549634894</v>
      </c>
      <c r="K941" s="16">
        <f t="shared" si="77"/>
        <v>453.39009560483902</v>
      </c>
    </row>
    <row r="942" spans="6:11" x14ac:dyDescent="0.4">
      <c r="F942" s="1">
        <v>50010</v>
      </c>
      <c r="H942" s="16">
        <f t="shared" si="75"/>
        <v>455.6805088746836</v>
      </c>
      <c r="I942">
        <f t="shared" si="76"/>
        <v>12</v>
      </c>
      <c r="J942" s="16" cm="1">
        <f t="array" ref="J942">INDEX(Sm,I942)</f>
        <v>-0.89092746367992248</v>
      </c>
      <c r="K942" s="16">
        <f t="shared" si="77"/>
        <v>454.78958141100367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6106-6282-4FD3-B770-00918416C7B0}">
  <dimension ref="A1:P942"/>
  <sheetViews>
    <sheetView workbookViewId="0">
      <selection activeCell="L1" activeCellId="1" sqref="F1:F1048576 L1:L1048576"/>
    </sheetView>
  </sheetViews>
  <sheetFormatPr defaultRowHeight="18.75" x14ac:dyDescent="0.4"/>
  <cols>
    <col min="1" max="1" width="15.125" style="2" bestFit="1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6" bestFit="1" customWidth="1"/>
    <col min="9" max="9" width="5.75" bestFit="1" customWidth="1"/>
    <col min="10" max="10" width="8.375" style="16" bestFit="1" customWidth="1"/>
    <col min="11" max="11" width="7.5" style="16" customWidth="1"/>
    <col min="12" max="12" width="7.25" style="16" bestFit="1" customWidth="1"/>
    <col min="13" max="13" width="11.875" style="16" bestFit="1" customWidth="1"/>
  </cols>
  <sheetData>
    <row r="1" spans="1:16" ht="20.25" x14ac:dyDescent="0.4">
      <c r="A1" s="2" t="s">
        <v>23</v>
      </c>
      <c r="B1" s="18" t="s">
        <v>20</v>
      </c>
      <c r="D1" t="s">
        <v>3</v>
      </c>
      <c r="F1" s="3" t="s">
        <v>57</v>
      </c>
      <c r="G1" s="15" t="s">
        <v>1</v>
      </c>
      <c r="H1" s="15" t="s">
        <v>19</v>
      </c>
      <c r="I1" s="3" t="s">
        <v>9</v>
      </c>
      <c r="J1" s="15" t="s">
        <v>14</v>
      </c>
      <c r="K1" s="15" t="s">
        <v>26</v>
      </c>
      <c r="L1" s="15" t="s">
        <v>16</v>
      </c>
      <c r="M1" s="15" t="s">
        <v>18</v>
      </c>
      <c r="O1" s="23" t="s">
        <v>35</v>
      </c>
    </row>
    <row r="2" spans="1:16" ht="20.25" x14ac:dyDescent="0.4">
      <c r="A2" s="2" t="s">
        <v>2</v>
      </c>
      <c r="B2" s="18" t="s">
        <v>14</v>
      </c>
      <c r="D2" t="s">
        <v>24</v>
      </c>
      <c r="F2" s="1">
        <v>21245</v>
      </c>
      <c r="G2" s="16">
        <v>315.7</v>
      </c>
      <c r="H2" s="16">
        <f t="shared" ref="H2" si="0">EXP(_A*F2+_B)+_C</f>
        <v>313.71532610403119</v>
      </c>
      <c r="I2">
        <f>MONTH(F2)</f>
        <v>3</v>
      </c>
      <c r="J2" s="16" cm="1">
        <f t="array" ref="J2">INDEX(Sm,I2)</f>
        <v>1.3939471632320417</v>
      </c>
      <c r="K2" s="16">
        <f>H2+J2</f>
        <v>315.10927326726323</v>
      </c>
      <c r="L2" s="16">
        <f>G2-K2</f>
        <v>0.59072673273675491</v>
      </c>
      <c r="M2" s="16">
        <f>L2*L2</f>
        <v>0.34895807276984148</v>
      </c>
      <c r="O2" s="24">
        <v>1</v>
      </c>
      <c r="P2" t="s">
        <v>47</v>
      </c>
    </row>
    <row r="3" spans="1:16" x14ac:dyDescent="0.4">
      <c r="A3" s="2" t="s">
        <v>54</v>
      </c>
      <c r="B3" s="18" t="s">
        <v>21</v>
      </c>
      <c r="D3" t="s">
        <v>25</v>
      </c>
      <c r="F3" s="1">
        <v>21276</v>
      </c>
      <c r="G3" s="16">
        <v>317.45999999999998</v>
      </c>
      <c r="H3" s="16">
        <f t="shared" ref="H3:H66" si="1">EXP(_A*F3+_B)+_C</f>
        <v>313.7931394106717</v>
      </c>
      <c r="I3">
        <f t="shared" ref="I3:I66" si="2">MONTH(F3)</f>
        <v>4</v>
      </c>
      <c r="J3" s="16" cm="1">
        <f t="array" ref="J3">INDEX(Sm,I3)</f>
        <v>2.6315659351379859</v>
      </c>
      <c r="K3" s="16">
        <f t="shared" ref="K3:K66" si="3">H3+J3</f>
        <v>316.42470534580968</v>
      </c>
      <c r="L3" s="16">
        <f t="shared" ref="L3:L66" si="4">G3-K3</f>
        <v>1.0352946541902952</v>
      </c>
      <c r="M3" s="16">
        <f t="shared" ref="M3:M66" si="5">L3*L3</f>
        <v>1.0718350209950029</v>
      </c>
      <c r="P3" t="s">
        <v>48</v>
      </c>
    </row>
    <row r="4" spans="1:16" x14ac:dyDescent="0.4">
      <c r="F4" s="1">
        <v>21306</v>
      </c>
      <c r="G4" s="16">
        <v>317.51</v>
      </c>
      <c r="H4" s="16">
        <f t="shared" si="1"/>
        <v>313.86854690946114</v>
      </c>
      <c r="I4">
        <f t="shared" si="2"/>
        <v>5</v>
      </c>
      <c r="J4" s="16" cm="1">
        <f t="array" ref="J4">INDEX(Sm,I4)</f>
        <v>3.0968597809913625</v>
      </c>
      <c r="K4" s="16">
        <f t="shared" si="3"/>
        <v>316.96540669045248</v>
      </c>
      <c r="L4" s="16">
        <f t="shared" si="4"/>
        <v>0.5445933095475084</v>
      </c>
      <c r="M4" s="16">
        <f t="shared" si="5"/>
        <v>0.2965818728039083</v>
      </c>
      <c r="O4" s="24">
        <v>2</v>
      </c>
      <c r="P4" t="s">
        <v>37</v>
      </c>
    </row>
    <row r="5" spans="1:16" ht="19.5" thickBot="1" x14ac:dyDescent="0.45">
      <c r="A5" s="4" t="s">
        <v>30</v>
      </c>
      <c r="F5" s="1">
        <v>21367</v>
      </c>
      <c r="G5" s="16">
        <v>315.86</v>
      </c>
      <c r="H5" s="16">
        <f t="shared" si="1"/>
        <v>314.02219244786505</v>
      </c>
      <c r="I5">
        <f t="shared" si="2"/>
        <v>7</v>
      </c>
      <c r="J5" s="16" cm="1">
        <f t="array" ref="J5">INDEX(Sm,I5)</f>
        <v>0.74380149245581328</v>
      </c>
      <c r="K5" s="16">
        <f t="shared" si="3"/>
        <v>314.76599394032087</v>
      </c>
      <c r="L5" s="16">
        <f t="shared" si="4"/>
        <v>1.0940060596791454</v>
      </c>
      <c r="M5" s="16">
        <f t="shared" si="5"/>
        <v>1.1968492586146899</v>
      </c>
      <c r="O5" s="24">
        <v>3</v>
      </c>
      <c r="P5" t="s">
        <v>45</v>
      </c>
    </row>
    <row r="6" spans="1:16" x14ac:dyDescent="0.4">
      <c r="A6" s="2" t="s">
        <v>4</v>
      </c>
      <c r="B6" s="8">
        <v>4.5380278585532988E-5</v>
      </c>
      <c r="F6" s="1">
        <v>21398</v>
      </c>
      <c r="G6" s="16">
        <v>314.93</v>
      </c>
      <c r="H6" s="16">
        <f t="shared" si="1"/>
        <v>314.10043775438589</v>
      </c>
      <c r="I6">
        <f t="shared" si="2"/>
        <v>8</v>
      </c>
      <c r="J6" s="16" cm="1">
        <f t="array" ref="J6">INDEX(Sm,I6)</f>
        <v>-1.3852874640433905</v>
      </c>
      <c r="K6" s="16">
        <f t="shared" si="3"/>
        <v>312.71515029034248</v>
      </c>
      <c r="L6" s="16">
        <f t="shared" si="4"/>
        <v>2.2148497096575284</v>
      </c>
      <c r="M6" s="16">
        <f t="shared" si="5"/>
        <v>4.9055592363700375</v>
      </c>
      <c r="P6" t="s">
        <v>51</v>
      </c>
    </row>
    <row r="7" spans="1:16" x14ac:dyDescent="0.4">
      <c r="A7" s="2" t="s">
        <v>5</v>
      </c>
      <c r="B7" s="9">
        <v>3.0481954139558689</v>
      </c>
      <c r="D7" t="s">
        <v>13</v>
      </c>
      <c r="F7" s="1">
        <v>21429</v>
      </c>
      <c r="G7" s="16">
        <v>313.20999999999998</v>
      </c>
      <c r="H7" s="16">
        <f t="shared" si="1"/>
        <v>314.17879321297698</v>
      </c>
      <c r="I7">
        <f t="shared" si="2"/>
        <v>9</v>
      </c>
      <c r="J7" s="16" cm="1">
        <f t="array" ref="J7">INDEX(Sm,I7)</f>
        <v>-3.188494698714738</v>
      </c>
      <c r="K7" s="16">
        <f t="shared" si="3"/>
        <v>310.99029851426224</v>
      </c>
      <c r="L7" s="16">
        <f t="shared" si="4"/>
        <v>2.219701485737744</v>
      </c>
      <c r="M7" s="16">
        <f t="shared" si="5"/>
        <v>4.9270746857863479</v>
      </c>
      <c r="P7" t="s">
        <v>53</v>
      </c>
    </row>
    <row r="8" spans="1:16" ht="19.5" thickBot="1" x14ac:dyDescent="0.45">
      <c r="A8" s="2" t="s">
        <v>6</v>
      </c>
      <c r="B8" s="10">
        <v>258.44150313050426</v>
      </c>
      <c r="F8" s="1">
        <v>21490</v>
      </c>
      <c r="G8" s="16">
        <v>313.33</v>
      </c>
      <c r="H8" s="16">
        <f t="shared" si="1"/>
        <v>314.33329876405867</v>
      </c>
      <c r="I8">
        <f t="shared" si="2"/>
        <v>11</v>
      </c>
      <c r="J8" s="16" cm="1">
        <f t="array" ref="J8">INDEX(Sm,I8)</f>
        <v>-2.0555969925100759</v>
      </c>
      <c r="K8" s="16">
        <f t="shared" si="3"/>
        <v>312.27770177154861</v>
      </c>
      <c r="L8" s="16">
        <f t="shared" si="4"/>
        <v>1.0522982284513773</v>
      </c>
      <c r="M8" s="16">
        <f t="shared" si="5"/>
        <v>1.107331561601907</v>
      </c>
      <c r="P8" t="s">
        <v>38</v>
      </c>
    </row>
    <row r="9" spans="1:16" ht="19.5" thickBot="1" x14ac:dyDescent="0.45">
      <c r="D9" s="7"/>
      <c r="E9" t="s">
        <v>31</v>
      </c>
      <c r="F9" s="1">
        <v>21520</v>
      </c>
      <c r="G9" s="16">
        <v>314.67</v>
      </c>
      <c r="H9" s="16">
        <f t="shared" si="1"/>
        <v>314.409442141108</v>
      </c>
      <c r="I9">
        <f t="shared" si="2"/>
        <v>12</v>
      </c>
      <c r="J9" s="16" cm="1">
        <f t="array" ref="J9">INDEX(Sm,I9)</f>
        <v>-0.88675924001340456</v>
      </c>
      <c r="K9" s="16">
        <f t="shared" si="3"/>
        <v>313.52268290109458</v>
      </c>
      <c r="L9" s="16">
        <f t="shared" si="4"/>
        <v>1.1473170989054324</v>
      </c>
      <c r="M9" s="16">
        <f t="shared" si="5"/>
        <v>1.3163365254407777</v>
      </c>
      <c r="O9" s="24">
        <v>4</v>
      </c>
      <c r="P9" t="s">
        <v>52</v>
      </c>
    </row>
    <row r="10" spans="1:16" ht="19.5" thickBot="1" x14ac:dyDescent="0.45">
      <c r="A10" s="4" t="s">
        <v>10</v>
      </c>
      <c r="F10" s="1">
        <v>21551</v>
      </c>
      <c r="G10" s="16">
        <v>315.58</v>
      </c>
      <c r="H10" s="16">
        <f t="shared" si="1"/>
        <v>314.48823260947046</v>
      </c>
      <c r="I10">
        <f t="shared" si="2"/>
        <v>1</v>
      </c>
      <c r="J10" s="16" cm="1">
        <f t="array" ref="J10">INDEX(Sm,I10)</f>
        <v>-3.5406241068958691E-2</v>
      </c>
      <c r="K10" s="16">
        <f t="shared" si="3"/>
        <v>314.45282636840147</v>
      </c>
      <c r="L10" s="16">
        <f t="shared" si="4"/>
        <v>1.1271736315985095</v>
      </c>
      <c r="M10" s="16">
        <f t="shared" si="5"/>
        <v>1.2705203957709723</v>
      </c>
      <c r="O10" s="24">
        <v>5</v>
      </c>
      <c r="P10" t="s">
        <v>39</v>
      </c>
    </row>
    <row r="11" spans="1:16" ht="19.5" thickBot="1" x14ac:dyDescent="0.45">
      <c r="A11" s="2" t="s">
        <v>7</v>
      </c>
      <c r="B11" s="2" t="s">
        <v>15</v>
      </c>
      <c r="D11" s="11" t="s">
        <v>32</v>
      </c>
      <c r="E11" t="s">
        <v>11</v>
      </c>
      <c r="F11" s="1">
        <v>21582</v>
      </c>
      <c r="G11" s="16">
        <v>316.49</v>
      </c>
      <c r="H11" s="16">
        <f t="shared" si="1"/>
        <v>314.56713399737032</v>
      </c>
      <c r="I11">
        <f t="shared" si="2"/>
        <v>2</v>
      </c>
      <c r="J11" s="16" cm="1">
        <f t="array" ref="J11">INDEX(Sm,I11)</f>
        <v>0.68063113884422577</v>
      </c>
      <c r="K11" s="16">
        <f t="shared" si="3"/>
        <v>315.24776513621453</v>
      </c>
      <c r="L11" s="16">
        <f t="shared" si="4"/>
        <v>1.2422348637854839</v>
      </c>
      <c r="M11" s="16">
        <f t="shared" si="5"/>
        <v>1.5431474568041397</v>
      </c>
      <c r="O11" s="24">
        <v>6</v>
      </c>
      <c r="P11" t="s">
        <v>43</v>
      </c>
    </row>
    <row r="12" spans="1:16" ht="19.5" thickBot="1" x14ac:dyDescent="0.45">
      <c r="A12" s="2">
        <v>1</v>
      </c>
      <c r="B12" s="8">
        <v>-3.5406241068958691E-2</v>
      </c>
      <c r="F12" s="1">
        <v>21610</v>
      </c>
      <c r="G12" s="16">
        <v>316.64999999999998</v>
      </c>
      <c r="H12" s="16">
        <f t="shared" si="1"/>
        <v>314.63849523467536</v>
      </c>
      <c r="I12">
        <f t="shared" si="2"/>
        <v>3</v>
      </c>
      <c r="J12" s="16" cm="1">
        <f t="array" ref="J12">INDEX(Sm,I12)</f>
        <v>1.3939471632320417</v>
      </c>
      <c r="K12" s="16">
        <f t="shared" si="3"/>
        <v>316.0324423979074</v>
      </c>
      <c r="L12" s="16">
        <f t="shared" si="4"/>
        <v>0.6175576020925746</v>
      </c>
      <c r="M12" s="16">
        <f t="shared" si="5"/>
        <v>0.38137739190233072</v>
      </c>
      <c r="O12" s="24">
        <v>7</v>
      </c>
      <c r="P12" t="s">
        <v>44</v>
      </c>
    </row>
    <row r="13" spans="1:16" ht="19.5" thickBot="1" x14ac:dyDescent="0.45">
      <c r="A13" s="2">
        <v>2</v>
      </c>
      <c r="B13" s="9">
        <v>0.68063113884422577</v>
      </c>
      <c r="D13" s="6" t="s">
        <v>33</v>
      </c>
      <c r="E13" t="s">
        <v>12</v>
      </c>
      <c r="F13" s="1">
        <v>21641</v>
      </c>
      <c r="G13" s="16">
        <v>317.72000000000003</v>
      </c>
      <c r="H13" s="16">
        <f t="shared" si="1"/>
        <v>314.71760815908755</v>
      </c>
      <c r="I13">
        <f t="shared" si="2"/>
        <v>4</v>
      </c>
      <c r="J13" s="16" cm="1">
        <f t="array" ref="J13">INDEX(Sm,I13)</f>
        <v>2.6315659351379859</v>
      </c>
      <c r="K13" s="16">
        <f t="shared" si="3"/>
        <v>317.34917409422553</v>
      </c>
      <c r="L13" s="16">
        <f t="shared" si="4"/>
        <v>0.37082590577449537</v>
      </c>
      <c r="M13" s="16">
        <f t="shared" si="5"/>
        <v>0.13751185239347491</v>
      </c>
      <c r="O13" s="24">
        <v>8</v>
      </c>
      <c r="P13" t="s">
        <v>58</v>
      </c>
    </row>
    <row r="14" spans="1:16" x14ac:dyDescent="0.4">
      <c r="A14" s="2">
        <v>3</v>
      </c>
      <c r="B14" s="9">
        <v>1.3939471632320417</v>
      </c>
      <c r="F14" s="1">
        <v>21671</v>
      </c>
      <c r="G14" s="16">
        <v>318.29000000000002</v>
      </c>
      <c r="H14" s="16">
        <f t="shared" si="1"/>
        <v>314.79427509446657</v>
      </c>
      <c r="I14">
        <f t="shared" si="2"/>
        <v>5</v>
      </c>
      <c r="J14" s="16" cm="1">
        <f t="array" ref="J14">INDEX(Sm,I14)</f>
        <v>3.0968597809913625</v>
      </c>
      <c r="K14" s="16">
        <f t="shared" si="3"/>
        <v>317.89113487545791</v>
      </c>
      <c r="L14" s="16">
        <f t="shared" si="4"/>
        <v>0.39886512454211243</v>
      </c>
      <c r="M14" s="16">
        <f t="shared" si="5"/>
        <v>0.15909338757599487</v>
      </c>
      <c r="P14" t="s">
        <v>49</v>
      </c>
    </row>
    <row r="15" spans="1:16" x14ac:dyDescent="0.4">
      <c r="A15" s="2">
        <v>4</v>
      </c>
      <c r="B15" s="9">
        <v>2.6315659351379859</v>
      </c>
      <c r="F15" s="1">
        <v>21702</v>
      </c>
      <c r="G15" s="16">
        <v>318.14999999999998</v>
      </c>
      <c r="H15" s="16">
        <f t="shared" si="1"/>
        <v>314.87360732243593</v>
      </c>
      <c r="I15">
        <f t="shared" si="2"/>
        <v>6</v>
      </c>
      <c r="J15" s="16" cm="1">
        <f t="array" ref="J15">INDEX(Sm,I15)</f>
        <v>2.3186578027685911</v>
      </c>
      <c r="K15" s="16">
        <f t="shared" si="3"/>
        <v>317.19226512520453</v>
      </c>
      <c r="L15" s="16">
        <f t="shared" si="4"/>
        <v>0.95773487479544883</v>
      </c>
      <c r="M15" s="16">
        <f t="shared" si="5"/>
        <v>0.9172560903994541</v>
      </c>
      <c r="O15" s="24">
        <v>9</v>
      </c>
      <c r="P15" t="s">
        <v>50</v>
      </c>
    </row>
    <row r="16" spans="1:16" x14ac:dyDescent="0.4">
      <c r="A16" s="2">
        <v>5</v>
      </c>
      <c r="B16" s="9">
        <v>3.0968597809913625</v>
      </c>
      <c r="F16" s="1">
        <v>21732</v>
      </c>
      <c r="G16" s="16">
        <v>316.54000000000002</v>
      </c>
      <c r="H16" s="16">
        <f t="shared" si="1"/>
        <v>314.95048678101239</v>
      </c>
      <c r="I16">
        <f t="shared" si="2"/>
        <v>7</v>
      </c>
      <c r="J16" s="16" cm="1">
        <f t="array" ref="J16">INDEX(Sm,I16)</f>
        <v>0.74380149245581328</v>
      </c>
      <c r="K16" s="16">
        <f t="shared" si="3"/>
        <v>315.6942882734682</v>
      </c>
      <c r="L16" s="16">
        <f t="shared" si="4"/>
        <v>0.84571172653181748</v>
      </c>
      <c r="M16" s="16">
        <f t="shared" si="5"/>
        <v>0.71522832439342765</v>
      </c>
      <c r="O16" s="24"/>
    </row>
    <row r="17" spans="1:15" x14ac:dyDescent="0.4">
      <c r="A17" s="2">
        <v>6</v>
      </c>
      <c r="B17" s="9">
        <v>2.3186578027685911</v>
      </c>
      <c r="F17" s="1">
        <v>21763</v>
      </c>
      <c r="G17" s="16">
        <v>314.8</v>
      </c>
      <c r="H17" s="16">
        <f t="shared" si="1"/>
        <v>315.03003892045541</v>
      </c>
      <c r="I17">
        <f t="shared" si="2"/>
        <v>8</v>
      </c>
      <c r="J17" s="16" cm="1">
        <f t="array" ref="J17">INDEX(Sm,I17)</f>
        <v>-1.3852874640433905</v>
      </c>
      <c r="K17" s="16">
        <f t="shared" si="3"/>
        <v>313.644751456412</v>
      </c>
      <c r="L17" s="16">
        <f t="shared" si="4"/>
        <v>1.1552485435880158</v>
      </c>
      <c r="M17" s="16">
        <f t="shared" si="5"/>
        <v>1.3345991974622315</v>
      </c>
    </row>
    <row r="18" spans="1:15" x14ac:dyDescent="0.4">
      <c r="A18" s="2">
        <v>7</v>
      </c>
      <c r="B18" s="9">
        <v>0.74380149245581328</v>
      </c>
      <c r="F18" s="1">
        <v>21794</v>
      </c>
      <c r="G18" s="16">
        <v>313.83999999999997</v>
      </c>
      <c r="H18" s="16">
        <f t="shared" si="1"/>
        <v>315.10970305170014</v>
      </c>
      <c r="I18">
        <f t="shared" si="2"/>
        <v>9</v>
      </c>
      <c r="J18" s="16" cm="1">
        <f t="array" ref="J18">INDEX(Sm,I18)</f>
        <v>-3.188494698714738</v>
      </c>
      <c r="K18" s="16">
        <f t="shared" si="3"/>
        <v>311.92120835298539</v>
      </c>
      <c r="L18" s="16">
        <f t="shared" si="4"/>
        <v>1.9187916470145865</v>
      </c>
      <c r="M18" s="16">
        <f t="shared" si="5"/>
        <v>3.6817613846529493</v>
      </c>
    </row>
    <row r="19" spans="1:15" x14ac:dyDescent="0.4">
      <c r="A19" s="2">
        <v>8</v>
      </c>
      <c r="B19" s="9">
        <v>-1.3852874640433905</v>
      </c>
      <c r="F19" s="1">
        <v>21824</v>
      </c>
      <c r="G19" s="16">
        <v>313.33</v>
      </c>
      <c r="H19" s="16">
        <f t="shared" si="1"/>
        <v>315.18690415186865</v>
      </c>
      <c r="I19">
        <f t="shared" si="2"/>
        <v>10</v>
      </c>
      <c r="J19" s="16" cm="1">
        <f t="array" ref="J19">INDEX(Sm,I19)</f>
        <v>-3.3139186770794531</v>
      </c>
      <c r="K19" s="16">
        <f t="shared" si="3"/>
        <v>311.87298547478917</v>
      </c>
      <c r="L19" s="16">
        <f t="shared" si="4"/>
        <v>1.4570145252108091</v>
      </c>
      <c r="M19" s="16">
        <f t="shared" si="5"/>
        <v>2.1228913266752794</v>
      </c>
    </row>
    <row r="20" spans="1:15" x14ac:dyDescent="0.4">
      <c r="A20" s="2">
        <v>9</v>
      </c>
      <c r="B20" s="9">
        <v>-3.188494698714738</v>
      </c>
      <c r="F20" s="1">
        <v>21855</v>
      </c>
      <c r="G20" s="16">
        <v>314.81</v>
      </c>
      <c r="H20" s="16">
        <f t="shared" si="1"/>
        <v>315.26678911463358</v>
      </c>
      <c r="I20">
        <f t="shared" si="2"/>
        <v>11</v>
      </c>
      <c r="J20" s="16" cm="1">
        <f t="array" ref="J20">INDEX(Sm,I20)</f>
        <v>-2.0555969925100759</v>
      </c>
      <c r="K20" s="16">
        <f t="shared" si="3"/>
        <v>313.21119212212352</v>
      </c>
      <c r="L20" s="16">
        <f t="shared" si="4"/>
        <v>1.5988078778764816</v>
      </c>
      <c r="M20" s="16">
        <f t="shared" si="5"/>
        <v>2.5561866303598983</v>
      </c>
    </row>
    <row r="21" spans="1:15" x14ac:dyDescent="0.4">
      <c r="A21" s="2">
        <v>10</v>
      </c>
      <c r="B21" s="9">
        <v>-3.3139186770794531</v>
      </c>
      <c r="F21" s="1">
        <v>21885</v>
      </c>
      <c r="G21" s="16">
        <v>315.58</v>
      </c>
      <c r="H21" s="16">
        <f t="shared" si="1"/>
        <v>315.3442042187213</v>
      </c>
      <c r="I21">
        <f t="shared" si="2"/>
        <v>12</v>
      </c>
      <c r="J21" s="16" cm="1">
        <f t="array" ref="J21">INDEX(Sm,I21)</f>
        <v>-0.88675924001340456</v>
      </c>
      <c r="K21" s="16">
        <f t="shared" si="3"/>
        <v>314.45744497870788</v>
      </c>
      <c r="L21" s="16">
        <f t="shared" si="4"/>
        <v>1.1225550212921007</v>
      </c>
      <c r="M21" s="16">
        <f t="shared" si="5"/>
        <v>1.2601297758281087</v>
      </c>
      <c r="O21" t="s">
        <v>56</v>
      </c>
    </row>
    <row r="22" spans="1:15" x14ac:dyDescent="0.4">
      <c r="A22" s="2">
        <v>11</v>
      </c>
      <c r="B22" s="9">
        <v>-2.0555969925100759</v>
      </c>
      <c r="F22" s="1">
        <v>21916</v>
      </c>
      <c r="G22" s="16">
        <v>316.43</v>
      </c>
      <c r="H22" s="16">
        <f t="shared" si="1"/>
        <v>315.4243106251584</v>
      </c>
      <c r="I22">
        <f t="shared" si="2"/>
        <v>1</v>
      </c>
      <c r="J22" s="16" cm="1">
        <f t="array" ref="J22">INDEX(Sm,I22)</f>
        <v>-3.5406241068958691E-2</v>
      </c>
      <c r="K22" s="16">
        <f t="shared" si="3"/>
        <v>315.38890438408941</v>
      </c>
      <c r="L22" s="16">
        <f t="shared" si="4"/>
        <v>1.0410956159105922</v>
      </c>
      <c r="M22" s="16">
        <f t="shared" si="5"/>
        <v>1.0838800814682552</v>
      </c>
    </row>
    <row r="23" spans="1:15" ht="19.5" thickBot="1" x14ac:dyDescent="0.45">
      <c r="A23" s="2">
        <v>12</v>
      </c>
      <c r="B23" s="10">
        <v>-0.88675924001340456</v>
      </c>
      <c r="F23" s="1">
        <v>21947</v>
      </c>
      <c r="G23" s="16">
        <v>316.98</v>
      </c>
      <c r="H23" s="16">
        <f t="shared" si="1"/>
        <v>315.50452980368243</v>
      </c>
      <c r="I23">
        <f t="shared" si="2"/>
        <v>2</v>
      </c>
      <c r="J23" s="16" cm="1">
        <f t="array" ref="J23">INDEX(Sm,I23)</f>
        <v>0.68063113884422577</v>
      </c>
      <c r="K23" s="16">
        <f t="shared" si="3"/>
        <v>316.18516094252664</v>
      </c>
      <c r="L23" s="16">
        <f t="shared" si="4"/>
        <v>0.79483905747338213</v>
      </c>
      <c r="M23" s="16">
        <f t="shared" si="5"/>
        <v>0.63176912728517443</v>
      </c>
    </row>
    <row r="24" spans="1:15" ht="19.5" thickBot="1" x14ac:dyDescent="0.45">
      <c r="A24" s="12">
        <v>13</v>
      </c>
      <c r="B24" s="13">
        <f>B12</f>
        <v>-3.5406241068958691E-2</v>
      </c>
      <c r="C24" s="14" t="s">
        <v>17</v>
      </c>
      <c r="D24" s="14"/>
      <c r="F24" s="1">
        <v>21976</v>
      </c>
      <c r="G24" s="16">
        <v>317.58</v>
      </c>
      <c r="H24" s="16">
        <f t="shared" si="1"/>
        <v>315.57967578532123</v>
      </c>
      <c r="I24">
        <f t="shared" si="2"/>
        <v>3</v>
      </c>
      <c r="J24" s="16" cm="1">
        <f t="array" ref="J24">INDEX(Sm,I24)</f>
        <v>1.3939471632320417</v>
      </c>
      <c r="K24" s="16">
        <f t="shared" si="3"/>
        <v>316.97362294855327</v>
      </c>
      <c r="L24" s="16">
        <f t="shared" si="4"/>
        <v>0.60637705144671372</v>
      </c>
      <c r="M24" s="16">
        <f t="shared" si="5"/>
        <v>0.3676931285212105</v>
      </c>
    </row>
    <row r="25" spans="1:15" ht="19.5" thickBot="1" x14ac:dyDescent="0.45">
      <c r="A25" s="5" t="s">
        <v>8</v>
      </c>
      <c r="B25" s="7">
        <f>SUM(B12:B23)</f>
        <v>0</v>
      </c>
      <c r="F25" s="1">
        <v>22007</v>
      </c>
      <c r="G25" s="16">
        <v>319.02999999999997</v>
      </c>
      <c r="H25" s="16">
        <f t="shared" si="1"/>
        <v>315.66011368359716</v>
      </c>
      <c r="I25">
        <f t="shared" si="2"/>
        <v>4</v>
      </c>
      <c r="J25" s="16" cm="1">
        <f t="array" ref="J25">INDEX(Sm,I25)</f>
        <v>2.6315659351379859</v>
      </c>
      <c r="K25" s="16">
        <f t="shared" si="3"/>
        <v>318.29167961873515</v>
      </c>
      <c r="L25" s="16">
        <f t="shared" si="4"/>
        <v>0.73832038126482757</v>
      </c>
      <c r="M25" s="16">
        <f t="shared" si="5"/>
        <v>0.54511698539104037</v>
      </c>
    </row>
    <row r="26" spans="1:15" ht="19.5" thickBot="1" x14ac:dyDescent="0.45">
      <c r="F26" s="1">
        <v>22037</v>
      </c>
      <c r="G26" s="16">
        <v>320.04000000000002</v>
      </c>
      <c r="H26" s="16">
        <f t="shared" si="1"/>
        <v>315.73806462770614</v>
      </c>
      <c r="I26">
        <f t="shared" si="2"/>
        <v>5</v>
      </c>
      <c r="J26" s="16" cm="1">
        <f t="array" ref="J26">INDEX(Sm,I26)</f>
        <v>3.0968597809913625</v>
      </c>
      <c r="K26" s="16">
        <f t="shared" si="3"/>
        <v>318.83492440869747</v>
      </c>
      <c r="L26" s="16">
        <f t="shared" si="4"/>
        <v>1.2050755913025455</v>
      </c>
      <c r="M26" s="16">
        <f t="shared" si="5"/>
        <v>1.4522071807531796</v>
      </c>
    </row>
    <row r="27" spans="1:15" ht="19.5" thickBot="1" x14ac:dyDescent="0.45">
      <c r="A27" s="2" t="s">
        <v>27</v>
      </c>
      <c r="B27" s="22">
        <f>AVERAGE(M2:M742)</f>
        <v>0.54159548640829269</v>
      </c>
      <c r="F27" s="1">
        <v>22068</v>
      </c>
      <c r="G27" s="16">
        <v>319.58</v>
      </c>
      <c r="H27" s="16">
        <f t="shared" si="1"/>
        <v>315.81872550240928</v>
      </c>
      <c r="I27">
        <f t="shared" si="2"/>
        <v>6</v>
      </c>
      <c r="J27" s="16" cm="1">
        <f t="array" ref="J27">INDEX(Sm,I27)</f>
        <v>2.3186578027685911</v>
      </c>
      <c r="K27" s="16">
        <f t="shared" si="3"/>
        <v>318.13738330517788</v>
      </c>
      <c r="L27" s="16">
        <f t="shared" si="4"/>
        <v>1.4426166948221066</v>
      </c>
      <c r="M27" s="16">
        <f t="shared" si="5"/>
        <v>2.0811429281794593</v>
      </c>
    </row>
    <row r="28" spans="1:15" x14ac:dyDescent="0.4">
      <c r="F28" s="1">
        <v>22098</v>
      </c>
      <c r="G28" s="16">
        <v>318.18</v>
      </c>
      <c r="H28" s="16">
        <f t="shared" si="1"/>
        <v>315.89689252902883</v>
      </c>
      <c r="I28">
        <f t="shared" si="2"/>
        <v>7</v>
      </c>
      <c r="J28" s="16" cm="1">
        <f t="array" ref="J28">INDEX(Sm,I28)</f>
        <v>0.74380149245581328</v>
      </c>
      <c r="K28" s="16">
        <f t="shared" si="3"/>
        <v>316.64069402148465</v>
      </c>
      <c r="L28" s="16">
        <f t="shared" si="4"/>
        <v>1.5393059785153582</v>
      </c>
      <c r="M28" s="16">
        <f t="shared" si="5"/>
        <v>2.3694628954931245</v>
      </c>
    </row>
    <row r="29" spans="1:15" x14ac:dyDescent="0.4">
      <c r="F29" s="1">
        <v>22129</v>
      </c>
      <c r="G29" s="16">
        <v>315.89999999999998</v>
      </c>
      <c r="H29" s="16">
        <f t="shared" si="1"/>
        <v>315.9777769982569</v>
      </c>
      <c r="I29">
        <f t="shared" si="2"/>
        <v>8</v>
      </c>
      <c r="J29" s="16" cm="1">
        <f t="array" ref="J29">INDEX(Sm,I29)</f>
        <v>-1.3852874640433905</v>
      </c>
      <c r="K29" s="16">
        <f t="shared" si="3"/>
        <v>314.59248953421348</v>
      </c>
      <c r="L29" s="16">
        <f t="shared" si="4"/>
        <v>1.3075104657864927</v>
      </c>
      <c r="M29" s="16">
        <f t="shared" si="5"/>
        <v>1.709583618141211</v>
      </c>
    </row>
    <row r="30" spans="1:15" x14ac:dyDescent="0.4">
      <c r="F30" s="1">
        <v>22160</v>
      </c>
      <c r="G30" s="16">
        <v>314.17</v>
      </c>
      <c r="H30" s="16">
        <f t="shared" si="1"/>
        <v>316.05877533491196</v>
      </c>
      <c r="I30">
        <f t="shared" si="2"/>
        <v>9</v>
      </c>
      <c r="J30" s="16" cm="1">
        <f t="array" ref="J30">INDEX(Sm,I30)</f>
        <v>-3.188494698714738</v>
      </c>
      <c r="K30" s="16">
        <f t="shared" si="3"/>
        <v>312.87028063619721</v>
      </c>
      <c r="L30" s="16">
        <f t="shared" si="4"/>
        <v>1.2997193638028079</v>
      </c>
      <c r="M30" s="16">
        <f t="shared" si="5"/>
        <v>1.6892704246439758</v>
      </c>
    </row>
    <row r="31" spans="1:15" x14ac:dyDescent="0.4">
      <c r="F31" s="1">
        <v>22190</v>
      </c>
      <c r="G31" s="16">
        <v>313.83</v>
      </c>
      <c r="H31" s="16">
        <f t="shared" si="1"/>
        <v>316.13726938993881</v>
      </c>
      <c r="I31">
        <f t="shared" si="2"/>
        <v>10</v>
      </c>
      <c r="J31" s="16" cm="1">
        <f t="array" ref="J31">INDEX(Sm,I31)</f>
        <v>-3.3139186770794531</v>
      </c>
      <c r="K31" s="16">
        <f t="shared" si="3"/>
        <v>312.82335071285934</v>
      </c>
      <c r="L31" s="16">
        <f t="shared" si="4"/>
        <v>1.0066492871406467</v>
      </c>
      <c r="M31" s="16">
        <f t="shared" si="5"/>
        <v>1.0133427873007723</v>
      </c>
    </row>
    <row r="32" spans="1:15" x14ac:dyDescent="0.4">
      <c r="F32" s="1">
        <v>22221</v>
      </c>
      <c r="G32" s="16">
        <v>315</v>
      </c>
      <c r="H32" s="16">
        <f t="shared" si="1"/>
        <v>316.21849225657417</v>
      </c>
      <c r="I32">
        <f t="shared" si="2"/>
        <v>11</v>
      </c>
      <c r="J32" s="16" cm="1">
        <f t="array" ref="J32">INDEX(Sm,I32)</f>
        <v>-2.0555969925100759</v>
      </c>
      <c r="K32" s="16">
        <f t="shared" si="3"/>
        <v>314.1628952640641</v>
      </c>
      <c r="L32" s="16">
        <f t="shared" si="4"/>
        <v>0.83710473593589541</v>
      </c>
      <c r="M32" s="16">
        <f t="shared" si="5"/>
        <v>0.70074433892630517</v>
      </c>
    </row>
    <row r="33" spans="1:13" x14ac:dyDescent="0.4">
      <c r="F33" s="1">
        <v>22251</v>
      </c>
      <c r="G33" s="16">
        <v>316.19</v>
      </c>
      <c r="H33" s="16">
        <f t="shared" si="1"/>
        <v>316.29720389963251</v>
      </c>
      <c r="I33">
        <f t="shared" si="2"/>
        <v>12</v>
      </c>
      <c r="J33" s="16" cm="1">
        <f t="array" ref="J33">INDEX(Sm,I33)</f>
        <v>-0.88675924001340456</v>
      </c>
      <c r="K33" s="16">
        <f t="shared" si="3"/>
        <v>315.41044465961909</v>
      </c>
      <c r="L33" s="16">
        <f t="shared" si="4"/>
        <v>0.77955534038090946</v>
      </c>
      <c r="M33" s="16">
        <f t="shared" si="5"/>
        <v>0.60770652871639563</v>
      </c>
    </row>
    <row r="34" spans="1:13" x14ac:dyDescent="0.4">
      <c r="F34" s="1">
        <v>22282</v>
      </c>
      <c r="G34" s="16">
        <v>316.89999999999998</v>
      </c>
      <c r="H34" s="16">
        <f t="shared" si="1"/>
        <v>316.37865191865239</v>
      </c>
      <c r="I34">
        <f t="shared" si="2"/>
        <v>1</v>
      </c>
      <c r="J34" s="16" cm="1">
        <f t="array" ref="J34">INDEX(Sm,I34)</f>
        <v>-3.5406241068958691E-2</v>
      </c>
      <c r="K34" s="16">
        <f t="shared" si="3"/>
        <v>316.34324567758341</v>
      </c>
      <c r="L34" s="16">
        <f t="shared" si="4"/>
        <v>0.55675432241656608</v>
      </c>
      <c r="M34" s="16">
        <f t="shared" si="5"/>
        <v>0.30997537552952964</v>
      </c>
    </row>
    <row r="35" spans="1:13" x14ac:dyDescent="0.4">
      <c r="F35" s="1">
        <v>22313</v>
      </c>
      <c r="G35" s="16">
        <v>317.7</v>
      </c>
      <c r="H35" s="16">
        <f t="shared" si="1"/>
        <v>316.46021459845269</v>
      </c>
      <c r="I35">
        <f t="shared" si="2"/>
        <v>2</v>
      </c>
      <c r="J35" s="16" cm="1">
        <f t="array" ref="J35">INDEX(Sm,I35)</f>
        <v>0.68063113884422577</v>
      </c>
      <c r="K35" s="16">
        <f t="shared" si="3"/>
        <v>317.1408457372969</v>
      </c>
      <c r="L35" s="16">
        <f t="shared" si="4"/>
        <v>0.55915426270308899</v>
      </c>
      <c r="M35" s="16">
        <f t="shared" si="5"/>
        <v>0.31265348949903504</v>
      </c>
    </row>
    <row r="36" spans="1:13" x14ac:dyDescent="0.4">
      <c r="A36" s="4"/>
      <c r="F36" s="1">
        <v>22341</v>
      </c>
      <c r="G36" s="16">
        <v>318.54000000000002</v>
      </c>
      <c r="H36" s="16">
        <f t="shared" si="1"/>
        <v>316.53398280333971</v>
      </c>
      <c r="I36">
        <f t="shared" si="2"/>
        <v>3</v>
      </c>
      <c r="J36" s="16" cm="1">
        <f t="array" ref="J36">INDEX(Sm,I36)</f>
        <v>1.3939471632320417</v>
      </c>
      <c r="K36" s="16">
        <f t="shared" si="3"/>
        <v>317.92792996657175</v>
      </c>
      <c r="L36" s="16">
        <f t="shared" si="4"/>
        <v>0.61207003342826738</v>
      </c>
      <c r="M36" s="16">
        <f t="shared" si="5"/>
        <v>0.37462972582088033</v>
      </c>
    </row>
    <row r="37" spans="1:13" x14ac:dyDescent="0.4">
      <c r="F37" s="1">
        <v>22372</v>
      </c>
      <c r="G37" s="16">
        <v>319.48</v>
      </c>
      <c r="H37" s="16">
        <f t="shared" si="1"/>
        <v>316.61576415463963</v>
      </c>
      <c r="I37">
        <f t="shared" si="2"/>
        <v>4</v>
      </c>
      <c r="J37" s="16" cm="1">
        <f t="array" ref="J37">INDEX(Sm,I37)</f>
        <v>2.6315659351379859</v>
      </c>
      <c r="K37" s="16">
        <f t="shared" si="3"/>
        <v>319.24733008977762</v>
      </c>
      <c r="L37" s="16">
        <f t="shared" si="4"/>
        <v>0.23266991022239836</v>
      </c>
      <c r="M37" s="16">
        <f t="shared" si="5"/>
        <v>5.413528712289891E-2</v>
      </c>
    </row>
    <row r="38" spans="1:13" x14ac:dyDescent="0.4">
      <c r="A38" s="17"/>
      <c r="F38" s="1">
        <v>22402</v>
      </c>
      <c r="G38" s="16">
        <v>320.58</v>
      </c>
      <c r="H38" s="16">
        <f t="shared" si="1"/>
        <v>316.69501701530572</v>
      </c>
      <c r="I38">
        <f t="shared" si="2"/>
        <v>5</v>
      </c>
      <c r="J38" s="16" cm="1">
        <f t="array" ref="J38">INDEX(Sm,I38)</f>
        <v>3.0968597809913625</v>
      </c>
      <c r="K38" s="16">
        <f t="shared" si="3"/>
        <v>319.79187679629706</v>
      </c>
      <c r="L38" s="16">
        <f t="shared" si="4"/>
        <v>0.78812320370292355</v>
      </c>
      <c r="M38" s="16">
        <f t="shared" si="5"/>
        <v>0.62113818421495992</v>
      </c>
    </row>
    <row r="39" spans="1:13" x14ac:dyDescent="0.4">
      <c r="F39" s="1">
        <v>22433</v>
      </c>
      <c r="G39" s="16">
        <v>319.77</v>
      </c>
      <c r="H39" s="16">
        <f t="shared" si="1"/>
        <v>316.77702506712757</v>
      </c>
      <c r="I39">
        <f t="shared" si="2"/>
        <v>6</v>
      </c>
      <c r="J39" s="16" cm="1">
        <f t="array" ref="J39">INDEX(Sm,I39)</f>
        <v>2.3186578027685911</v>
      </c>
      <c r="K39" s="16">
        <f t="shared" si="3"/>
        <v>319.09568286989617</v>
      </c>
      <c r="L39" s="16">
        <f t="shared" si="4"/>
        <v>0.674317130103816</v>
      </c>
      <c r="M39" s="16">
        <f t="shared" si="5"/>
        <v>0.45470359195144672</v>
      </c>
    </row>
    <row r="40" spans="1:13" x14ac:dyDescent="0.4">
      <c r="F40" s="1">
        <v>22463</v>
      </c>
      <c r="G40" s="16">
        <v>318.57</v>
      </c>
      <c r="H40" s="16">
        <f t="shared" si="1"/>
        <v>316.85649761925868</v>
      </c>
      <c r="I40">
        <f t="shared" si="2"/>
        <v>7</v>
      </c>
      <c r="J40" s="16" cm="1">
        <f t="array" ref="J40">INDEX(Sm,I40)</f>
        <v>0.74380149245581328</v>
      </c>
      <c r="K40" s="16">
        <f t="shared" si="3"/>
        <v>317.60029911171449</v>
      </c>
      <c r="L40" s="16">
        <f t="shared" si="4"/>
        <v>0.96970088828550161</v>
      </c>
      <c r="M40" s="16">
        <f t="shared" si="5"/>
        <v>0.94031981274169085</v>
      </c>
    </row>
    <row r="41" spans="1:13" x14ac:dyDescent="0.4">
      <c r="F41" s="1">
        <v>22494</v>
      </c>
      <c r="G41" s="16">
        <v>316.79000000000002</v>
      </c>
      <c r="H41" s="16">
        <f t="shared" si="1"/>
        <v>316.93873300002355</v>
      </c>
      <c r="I41">
        <f t="shared" si="2"/>
        <v>8</v>
      </c>
      <c r="J41" s="16" cm="1">
        <f t="array" ref="J41">INDEX(Sm,I41)</f>
        <v>-1.3852874640433905</v>
      </c>
      <c r="K41" s="16">
        <f t="shared" si="3"/>
        <v>315.55344553598013</v>
      </c>
      <c r="L41" s="16">
        <f t="shared" si="4"/>
        <v>1.2365544640198891</v>
      </c>
      <c r="M41" s="16">
        <f t="shared" si="5"/>
        <v>1.5290669424875152</v>
      </c>
    </row>
    <row r="42" spans="1:13" x14ac:dyDescent="0.4">
      <c r="F42" s="1">
        <v>22525</v>
      </c>
      <c r="G42" s="16">
        <v>314.99</v>
      </c>
      <c r="H42" s="16">
        <f t="shared" si="1"/>
        <v>317.02108414999981</v>
      </c>
      <c r="I42">
        <f t="shared" si="2"/>
        <v>9</v>
      </c>
      <c r="J42" s="16" cm="1">
        <f t="array" ref="J42">INDEX(Sm,I42)</f>
        <v>-3.188494698714738</v>
      </c>
      <c r="K42" s="16">
        <f t="shared" si="3"/>
        <v>313.83258945128506</v>
      </c>
      <c r="L42" s="16">
        <f t="shared" si="4"/>
        <v>1.1574105487149495</v>
      </c>
      <c r="M42" s="16">
        <f t="shared" si="5"/>
        <v>1.3395991782766405</v>
      </c>
    </row>
    <row r="43" spans="1:13" x14ac:dyDescent="0.4">
      <c r="F43" s="1">
        <v>22555</v>
      </c>
      <c r="G43" s="16">
        <v>315.31</v>
      </c>
      <c r="H43" s="16">
        <f t="shared" si="1"/>
        <v>317.10088919248233</v>
      </c>
      <c r="I43">
        <f t="shared" si="2"/>
        <v>10</v>
      </c>
      <c r="J43" s="16" cm="1">
        <f t="array" ref="J43">INDEX(Sm,I43)</f>
        <v>-3.3139186770794531</v>
      </c>
      <c r="K43" s="16">
        <f t="shared" si="3"/>
        <v>313.78697051540286</v>
      </c>
      <c r="L43" s="16">
        <f t="shared" si="4"/>
        <v>1.5230294845971457</v>
      </c>
      <c r="M43" s="16">
        <f t="shared" si="5"/>
        <v>2.3196188109522473</v>
      </c>
    </row>
    <row r="44" spans="1:13" x14ac:dyDescent="0.4">
      <c r="F44" s="1">
        <v>22586</v>
      </c>
      <c r="G44" s="16">
        <v>316.10000000000002</v>
      </c>
      <c r="H44" s="16">
        <f t="shared" si="1"/>
        <v>317.18346862248069</v>
      </c>
      <c r="I44">
        <f t="shared" si="2"/>
        <v>11</v>
      </c>
      <c r="J44" s="16" cm="1">
        <f t="array" ref="J44">INDEX(Sm,I44)</f>
        <v>-2.0555969925100759</v>
      </c>
      <c r="K44" s="16">
        <f t="shared" si="3"/>
        <v>315.12787162997063</v>
      </c>
      <c r="L44" s="16">
        <f t="shared" si="4"/>
        <v>0.97212837002939523</v>
      </c>
      <c r="M44" s="16">
        <f t="shared" si="5"/>
        <v>0.94503356781600878</v>
      </c>
    </row>
    <row r="45" spans="1:13" x14ac:dyDescent="0.4">
      <c r="F45" s="1">
        <v>22616</v>
      </c>
      <c r="G45" s="16">
        <v>317.01</v>
      </c>
      <c r="H45" s="16">
        <f t="shared" si="1"/>
        <v>317.26349488709377</v>
      </c>
      <c r="I45">
        <f t="shared" si="2"/>
        <v>12</v>
      </c>
      <c r="J45" s="16" cm="1">
        <f t="array" ref="J45">INDEX(Sm,I45)</f>
        <v>-0.88675924001340456</v>
      </c>
      <c r="K45" s="16">
        <f t="shared" si="3"/>
        <v>316.37673564708035</v>
      </c>
      <c r="L45" s="16">
        <f t="shared" si="4"/>
        <v>0.6332643529196389</v>
      </c>
      <c r="M45" s="16">
        <f t="shared" si="5"/>
        <v>0.40102374067872898</v>
      </c>
    </row>
    <row r="46" spans="1:13" x14ac:dyDescent="0.4">
      <c r="F46" s="1">
        <v>22647</v>
      </c>
      <c r="G46" s="16">
        <v>317.94</v>
      </c>
      <c r="H46" s="16">
        <f t="shared" si="1"/>
        <v>317.3463032299137</v>
      </c>
      <c r="I46">
        <f t="shared" si="2"/>
        <v>1</v>
      </c>
      <c r="J46" s="16" cm="1">
        <f t="array" ref="J46">INDEX(Sm,I46)</f>
        <v>-3.5406241068958691E-2</v>
      </c>
      <c r="K46" s="16">
        <f t="shared" si="3"/>
        <v>317.31089698884472</v>
      </c>
      <c r="L46" s="16">
        <f t="shared" si="4"/>
        <v>0.62910301115528</v>
      </c>
      <c r="M46" s="16">
        <f t="shared" si="5"/>
        <v>0.39577059864464037</v>
      </c>
    </row>
    <row r="47" spans="1:13" x14ac:dyDescent="0.4">
      <c r="F47" s="1">
        <v>22678</v>
      </c>
      <c r="G47" s="16">
        <v>318.55</v>
      </c>
      <c r="H47" s="16">
        <f t="shared" si="1"/>
        <v>317.42922814854887</v>
      </c>
      <c r="I47">
        <f t="shared" si="2"/>
        <v>2</v>
      </c>
      <c r="J47" s="16" cm="1">
        <f t="array" ref="J47">INDEX(Sm,I47)</f>
        <v>0.68063113884422577</v>
      </c>
      <c r="K47" s="16">
        <f t="shared" si="3"/>
        <v>318.10985928739308</v>
      </c>
      <c r="L47" s="16">
        <f t="shared" si="4"/>
        <v>0.44014071260693299</v>
      </c>
      <c r="M47" s="16">
        <f t="shared" si="5"/>
        <v>0.1937238468941388</v>
      </c>
    </row>
    <row r="48" spans="1:13" x14ac:dyDescent="0.4">
      <c r="F48" s="1">
        <v>22706</v>
      </c>
      <c r="G48" s="16">
        <v>319.68</v>
      </c>
      <c r="H48" s="16">
        <f t="shared" si="1"/>
        <v>317.50422841096162</v>
      </c>
      <c r="I48">
        <f t="shared" si="2"/>
        <v>3</v>
      </c>
      <c r="J48" s="16" cm="1">
        <f t="array" ref="J48">INDEX(Sm,I48)</f>
        <v>1.3939471632320417</v>
      </c>
      <c r="K48" s="16">
        <f t="shared" si="3"/>
        <v>318.89817557419366</v>
      </c>
      <c r="L48" s="16">
        <f t="shared" si="4"/>
        <v>0.7818244258063487</v>
      </c>
      <c r="M48" s="16">
        <f t="shared" si="5"/>
        <v>0.61124943278742683</v>
      </c>
    </row>
    <row r="49" spans="6:13" x14ac:dyDescent="0.4">
      <c r="F49" s="1">
        <v>22737</v>
      </c>
      <c r="G49" s="16">
        <v>320.57</v>
      </c>
      <c r="H49" s="16">
        <f t="shared" si="1"/>
        <v>317.58737565329136</v>
      </c>
      <c r="I49">
        <f t="shared" si="2"/>
        <v>4</v>
      </c>
      <c r="J49" s="16" cm="1">
        <f t="array" ref="J49">INDEX(Sm,I49)</f>
        <v>2.6315659351379859</v>
      </c>
      <c r="K49" s="16">
        <f t="shared" si="3"/>
        <v>320.21894158842935</v>
      </c>
      <c r="L49" s="16">
        <f t="shared" si="4"/>
        <v>0.35105841157064788</v>
      </c>
      <c r="M49" s="16">
        <f t="shared" si="5"/>
        <v>0.12324200833450639</v>
      </c>
    </row>
    <row r="50" spans="6:13" x14ac:dyDescent="0.4">
      <c r="F50" s="1">
        <v>22767</v>
      </c>
      <c r="G50" s="16">
        <v>321.02</v>
      </c>
      <c r="H50" s="16">
        <f t="shared" si="1"/>
        <v>317.66795217478909</v>
      </c>
      <c r="I50">
        <f t="shared" si="2"/>
        <v>5</v>
      </c>
      <c r="J50" s="16" cm="1">
        <f t="array" ref="J50">INDEX(Sm,I50)</f>
        <v>3.0968597809913625</v>
      </c>
      <c r="K50" s="16">
        <f t="shared" si="3"/>
        <v>320.76481195578043</v>
      </c>
      <c r="L50" s="16">
        <f t="shared" si="4"/>
        <v>0.2551880442195511</v>
      </c>
      <c r="M50" s="16">
        <f t="shared" si="5"/>
        <v>6.5120937912599569E-2</v>
      </c>
    </row>
    <row r="51" spans="6:13" x14ac:dyDescent="0.4">
      <c r="F51" s="1">
        <v>22798</v>
      </c>
      <c r="G51" s="16">
        <v>320.62</v>
      </c>
      <c r="H51" s="16">
        <f t="shared" si="1"/>
        <v>317.75132990393433</v>
      </c>
      <c r="I51">
        <f t="shared" si="2"/>
        <v>6</v>
      </c>
      <c r="J51" s="16" cm="1">
        <f t="array" ref="J51">INDEX(Sm,I51)</f>
        <v>2.3186578027685911</v>
      </c>
      <c r="K51" s="16">
        <f t="shared" si="3"/>
        <v>320.06998770670293</v>
      </c>
      <c r="L51" s="16">
        <f t="shared" si="4"/>
        <v>0.55001229329707257</v>
      </c>
      <c r="M51" s="16">
        <f t="shared" si="5"/>
        <v>0.302513522777905</v>
      </c>
    </row>
    <row r="52" spans="6:13" x14ac:dyDescent="0.4">
      <c r="F52" s="1">
        <v>22828</v>
      </c>
      <c r="G52" s="16">
        <v>319.61</v>
      </c>
      <c r="H52" s="16">
        <f t="shared" si="1"/>
        <v>317.83212978612715</v>
      </c>
      <c r="I52">
        <f t="shared" si="2"/>
        <v>7</v>
      </c>
      <c r="J52" s="16" cm="1">
        <f t="array" ref="J52">INDEX(Sm,I52)</f>
        <v>0.74380149245581328</v>
      </c>
      <c r="K52" s="16">
        <f t="shared" si="3"/>
        <v>318.57593127858297</v>
      </c>
      <c r="L52" s="16">
        <f t="shared" si="4"/>
        <v>1.034068721417043</v>
      </c>
      <c r="M52" s="16">
        <f t="shared" si="5"/>
        <v>1.0692981206130781</v>
      </c>
    </row>
    <row r="53" spans="6:13" x14ac:dyDescent="0.4">
      <c r="F53" s="1">
        <v>22859</v>
      </c>
      <c r="G53" s="16">
        <v>317.39999999999998</v>
      </c>
      <c r="H53" s="16">
        <f t="shared" si="1"/>
        <v>317.91573864100479</v>
      </c>
      <c r="I53">
        <f t="shared" si="2"/>
        <v>8</v>
      </c>
      <c r="J53" s="16" cm="1">
        <f t="array" ref="J53">INDEX(Sm,I53)</f>
        <v>-1.3852874640433905</v>
      </c>
      <c r="K53" s="16">
        <f t="shared" si="3"/>
        <v>316.53045117696138</v>
      </c>
      <c r="L53" s="16">
        <f t="shared" si="4"/>
        <v>0.86954882303859904</v>
      </c>
      <c r="M53" s="16">
        <f t="shared" si="5"/>
        <v>0.75611515564781284</v>
      </c>
    </row>
    <row r="54" spans="6:13" x14ac:dyDescent="0.4">
      <c r="F54" s="1">
        <v>22890</v>
      </c>
      <c r="G54" s="16">
        <v>316.25</v>
      </c>
      <c r="H54" s="16">
        <f t="shared" si="1"/>
        <v>317.99946519864142</v>
      </c>
      <c r="I54">
        <f t="shared" si="2"/>
        <v>9</v>
      </c>
      <c r="J54" s="16" cm="1">
        <f t="array" ref="J54">INDEX(Sm,I54)</f>
        <v>-3.188494698714738</v>
      </c>
      <c r="K54" s="16">
        <f t="shared" si="3"/>
        <v>314.81097049992667</v>
      </c>
      <c r="L54" s="16">
        <f t="shared" si="4"/>
        <v>1.4390295000733317</v>
      </c>
      <c r="M54" s="16">
        <f t="shared" si="5"/>
        <v>2.070805902081303</v>
      </c>
    </row>
    <row r="55" spans="6:13" x14ac:dyDescent="0.4">
      <c r="F55" s="1">
        <v>22920</v>
      </c>
      <c r="G55" s="16">
        <v>315.42</v>
      </c>
      <c r="H55" s="16">
        <f t="shared" si="1"/>
        <v>318.08060312435367</v>
      </c>
      <c r="I55">
        <f t="shared" si="2"/>
        <v>10</v>
      </c>
      <c r="J55" s="16" cm="1">
        <f t="array" ref="J55">INDEX(Sm,I55)</f>
        <v>-3.3139186770794531</v>
      </c>
      <c r="K55" s="16">
        <f t="shared" si="3"/>
        <v>314.7666844472742</v>
      </c>
      <c r="L55" s="16">
        <f t="shared" si="4"/>
        <v>0.65331555272581454</v>
      </c>
      <c r="M55" s="16">
        <f t="shared" si="5"/>
        <v>0.42682121143343654</v>
      </c>
    </row>
    <row r="56" spans="6:13" x14ac:dyDescent="0.4">
      <c r="F56" s="1">
        <v>22951</v>
      </c>
      <c r="G56" s="16">
        <v>316.69</v>
      </c>
      <c r="H56" s="16">
        <f t="shared" si="1"/>
        <v>318.16456177468638</v>
      </c>
      <c r="I56">
        <f t="shared" si="2"/>
        <v>11</v>
      </c>
      <c r="J56" s="16" cm="1">
        <f t="array" ref="J56">INDEX(Sm,I56)</f>
        <v>-2.0555969925100759</v>
      </c>
      <c r="K56" s="16">
        <f t="shared" si="3"/>
        <v>316.10896478217632</v>
      </c>
      <c r="L56" s="16">
        <f t="shared" si="4"/>
        <v>0.58103521782368261</v>
      </c>
      <c r="M56" s="16">
        <f t="shared" si="5"/>
        <v>0.33760192435141428</v>
      </c>
    </row>
    <row r="57" spans="6:13" x14ac:dyDescent="0.4">
      <c r="F57" s="1">
        <v>22981</v>
      </c>
      <c r="G57" s="16">
        <v>317.7</v>
      </c>
      <c r="H57" s="16">
        <f t="shared" si="1"/>
        <v>318.24592461732425</v>
      </c>
      <c r="I57">
        <f t="shared" si="2"/>
        <v>12</v>
      </c>
      <c r="J57" s="16" cm="1">
        <f t="array" ref="J57">INDEX(Sm,I57)</f>
        <v>-0.88675924001340456</v>
      </c>
      <c r="K57" s="16">
        <f t="shared" si="3"/>
        <v>317.35916537731083</v>
      </c>
      <c r="L57" s="16">
        <f t="shared" si="4"/>
        <v>0.3408346226891581</v>
      </c>
      <c r="M57" s="16">
        <f t="shared" si="5"/>
        <v>0.11616824002366076</v>
      </c>
    </row>
    <row r="58" spans="6:13" x14ac:dyDescent="0.4">
      <c r="F58" s="1">
        <v>23012</v>
      </c>
      <c r="G58" s="16">
        <v>318.74</v>
      </c>
      <c r="H58" s="16">
        <f t="shared" si="1"/>
        <v>318.3301160037214</v>
      </c>
      <c r="I58">
        <f t="shared" si="2"/>
        <v>1</v>
      </c>
      <c r="J58" s="16" cm="1">
        <f t="array" ref="J58">INDEX(Sm,I58)</f>
        <v>-3.5406241068958691E-2</v>
      </c>
      <c r="K58" s="16">
        <f t="shared" si="3"/>
        <v>318.29470976265242</v>
      </c>
      <c r="L58" s="16">
        <f t="shared" si="4"/>
        <v>0.44529023734759221</v>
      </c>
      <c r="M58" s="16">
        <f t="shared" si="5"/>
        <v>0.19828339547707499</v>
      </c>
    </row>
    <row r="59" spans="6:13" x14ac:dyDescent="0.4">
      <c r="F59" s="1">
        <v>23043</v>
      </c>
      <c r="G59" s="16">
        <v>319.07</v>
      </c>
      <c r="H59" s="16">
        <f t="shared" si="1"/>
        <v>318.41442591295294</v>
      </c>
      <c r="I59">
        <f t="shared" si="2"/>
        <v>2</v>
      </c>
      <c r="J59" s="16" cm="1">
        <f t="array" ref="J59">INDEX(Sm,I59)</f>
        <v>0.68063113884422577</v>
      </c>
      <c r="K59" s="16">
        <f t="shared" si="3"/>
        <v>319.09505705179714</v>
      </c>
      <c r="L59" s="16">
        <f t="shared" si="4"/>
        <v>-2.5057051797148233E-2</v>
      </c>
      <c r="M59" s="16">
        <f t="shared" si="5"/>
        <v>6.2785584476496954E-4</v>
      </c>
    </row>
    <row r="60" spans="6:13" x14ac:dyDescent="0.4">
      <c r="F60" s="1">
        <v>23071</v>
      </c>
      <c r="G60" s="16">
        <v>319.86</v>
      </c>
      <c r="H60" s="16">
        <f t="shared" si="1"/>
        <v>318.49067881039844</v>
      </c>
      <c r="I60">
        <f t="shared" si="2"/>
        <v>3</v>
      </c>
      <c r="J60" s="16" cm="1">
        <f t="array" ref="J60">INDEX(Sm,I60)</f>
        <v>1.3939471632320417</v>
      </c>
      <c r="K60" s="16">
        <f t="shared" si="3"/>
        <v>319.88462597363048</v>
      </c>
      <c r="L60" s="16">
        <f t="shared" si="4"/>
        <v>-2.4625973630463704E-2</v>
      </c>
      <c r="M60" s="16">
        <f t="shared" si="5"/>
        <v>6.064385772482937E-4</v>
      </c>
    </row>
    <row r="61" spans="6:13" x14ac:dyDescent="0.4">
      <c r="F61" s="1">
        <v>23102</v>
      </c>
      <c r="G61" s="16">
        <v>321.38</v>
      </c>
      <c r="H61" s="16">
        <f t="shared" si="1"/>
        <v>318.5752147565176</v>
      </c>
      <c r="I61">
        <f t="shared" si="2"/>
        <v>4</v>
      </c>
      <c r="J61" s="16" cm="1">
        <f t="array" ref="J61">INDEX(Sm,I61)</f>
        <v>2.6315659351379859</v>
      </c>
      <c r="K61" s="16">
        <f t="shared" si="3"/>
        <v>321.20678069165558</v>
      </c>
      <c r="L61" s="16">
        <f t="shared" si="4"/>
        <v>0.17321930834441446</v>
      </c>
      <c r="M61" s="16">
        <f t="shared" si="5"/>
        <v>3.0004928783317331E-2</v>
      </c>
    </row>
    <row r="62" spans="6:13" x14ac:dyDescent="0.4">
      <c r="F62" s="1">
        <v>23132</v>
      </c>
      <c r="G62" s="16">
        <v>322.25</v>
      </c>
      <c r="H62" s="16">
        <f t="shared" si="1"/>
        <v>318.65713704628854</v>
      </c>
      <c r="I62">
        <f t="shared" si="2"/>
        <v>5</v>
      </c>
      <c r="J62" s="16" cm="1">
        <f t="array" ref="J62">INDEX(Sm,I62)</f>
        <v>3.0968597809913625</v>
      </c>
      <c r="K62" s="16">
        <f t="shared" si="3"/>
        <v>321.75399682727988</v>
      </c>
      <c r="L62" s="16">
        <f t="shared" si="4"/>
        <v>0.49600317272012262</v>
      </c>
      <c r="M62" s="16">
        <f t="shared" si="5"/>
        <v>0.24601914734842778</v>
      </c>
    </row>
    <row r="63" spans="6:13" x14ac:dyDescent="0.4">
      <c r="F63" s="1">
        <v>23163</v>
      </c>
      <c r="G63" s="16">
        <v>321.48</v>
      </c>
      <c r="H63" s="16">
        <f t="shared" si="1"/>
        <v>318.74190732875456</v>
      </c>
      <c r="I63">
        <f t="shared" si="2"/>
        <v>6</v>
      </c>
      <c r="J63" s="16" cm="1">
        <f t="array" ref="J63">INDEX(Sm,I63)</f>
        <v>2.3186578027685911</v>
      </c>
      <c r="K63" s="16">
        <f t="shared" si="3"/>
        <v>321.06056513152316</v>
      </c>
      <c r="L63" s="16">
        <f t="shared" si="4"/>
        <v>0.41943486847685563</v>
      </c>
      <c r="M63" s="16">
        <f t="shared" si="5"/>
        <v>0.17592560889419717</v>
      </c>
    </row>
    <row r="64" spans="6:13" x14ac:dyDescent="0.4">
      <c r="F64" s="1">
        <v>23193</v>
      </c>
      <c r="G64" s="16">
        <v>319.74</v>
      </c>
      <c r="H64" s="16">
        <f t="shared" si="1"/>
        <v>318.82405670973338</v>
      </c>
      <c r="I64">
        <f t="shared" si="2"/>
        <v>7</v>
      </c>
      <c r="J64" s="16" cm="1">
        <f t="array" ref="J64">INDEX(Sm,I64)</f>
        <v>0.74380149245581328</v>
      </c>
      <c r="K64" s="16">
        <f t="shared" si="3"/>
        <v>319.5678582021892</v>
      </c>
      <c r="L64" s="16">
        <f t="shared" si="4"/>
        <v>0.17214179781080929</v>
      </c>
      <c r="M64" s="16">
        <f t="shared" si="5"/>
        <v>2.9632798553537548E-2</v>
      </c>
    </row>
    <row r="65" spans="6:13" x14ac:dyDescent="0.4">
      <c r="F65" s="1">
        <v>23224</v>
      </c>
      <c r="G65" s="16">
        <v>317.77</v>
      </c>
      <c r="H65" s="16">
        <f t="shared" si="1"/>
        <v>318.9090619781341</v>
      </c>
      <c r="I65">
        <f t="shared" si="2"/>
        <v>8</v>
      </c>
      <c r="J65" s="16" cm="1">
        <f t="array" ref="J65">INDEX(Sm,I65)</f>
        <v>-1.3852874640433905</v>
      </c>
      <c r="K65" s="16">
        <f t="shared" si="3"/>
        <v>317.52377451409069</v>
      </c>
      <c r="L65" s="16">
        <f t="shared" si="4"/>
        <v>0.24622548590929227</v>
      </c>
      <c r="M65" s="16">
        <f t="shared" si="5"/>
        <v>6.0626989911267089E-2</v>
      </c>
    </row>
    <row r="66" spans="6:13" x14ac:dyDescent="0.4">
      <c r="F66" s="1">
        <v>23255</v>
      </c>
      <c r="G66" s="16">
        <v>316.20999999999998</v>
      </c>
      <c r="H66" s="16">
        <f t="shared" si="1"/>
        <v>318.99418691513483</v>
      </c>
      <c r="I66">
        <f t="shared" si="2"/>
        <v>9</v>
      </c>
      <c r="J66" s="16" cm="1">
        <f t="array" ref="J66">INDEX(Sm,I66)</f>
        <v>-3.188494698714738</v>
      </c>
      <c r="K66" s="16">
        <f t="shared" si="3"/>
        <v>315.80569221642008</v>
      </c>
      <c r="L66" s="16">
        <f t="shared" si="4"/>
        <v>0.40430778357989539</v>
      </c>
      <c r="M66" s="16">
        <f t="shared" si="5"/>
        <v>0.16346478386328753</v>
      </c>
    </row>
    <row r="67" spans="6:13" x14ac:dyDescent="0.4">
      <c r="F67" s="1">
        <v>23285</v>
      </c>
      <c r="G67" s="16">
        <v>315.99</v>
      </c>
      <c r="H67" s="16">
        <f t="shared" ref="H67:H130" si="6">EXP(_A*F67+_B)+_C</f>
        <v>319.07667998554876</v>
      </c>
      <c r="I67">
        <f t="shared" ref="I67:I130" si="7">MONTH(F67)</f>
        <v>10</v>
      </c>
      <c r="J67" s="16" cm="1">
        <f t="array" ref="J67">INDEX(Sm,I67)</f>
        <v>-3.3139186770794531</v>
      </c>
      <c r="K67" s="16">
        <f t="shared" ref="K67:K130" si="8">H67+J67</f>
        <v>315.76276130846929</v>
      </c>
      <c r="L67" s="16">
        <f t="shared" ref="L67:L130" si="9">G67-K67</f>
        <v>0.22723869153071519</v>
      </c>
      <c r="M67" s="16">
        <f t="shared" ref="M67:M130" si="10">L67*L67</f>
        <v>5.1637422928591532E-2</v>
      </c>
    </row>
    <row r="68" spans="6:13" x14ac:dyDescent="0.4">
      <c r="F68" s="1">
        <v>23316</v>
      </c>
      <c r="G68" s="16">
        <v>317.07</v>
      </c>
      <c r="H68" s="16">
        <f t="shared" si="6"/>
        <v>319.162040891598</v>
      </c>
      <c r="I68">
        <f t="shared" si="7"/>
        <v>11</v>
      </c>
      <c r="J68" s="16" cm="1">
        <f t="array" ref="J68">INDEX(Sm,I68)</f>
        <v>-2.0555969925100759</v>
      </c>
      <c r="K68" s="16">
        <f t="shared" si="8"/>
        <v>317.10644389908794</v>
      </c>
      <c r="L68" s="16">
        <f t="shared" si="9"/>
        <v>-3.64438990879421E-2</v>
      </c>
      <c r="M68" s="16">
        <f t="shared" si="10"/>
        <v>1.328157780732107E-3</v>
      </c>
    </row>
    <row r="69" spans="6:13" x14ac:dyDescent="0.4">
      <c r="F69" s="1">
        <v>23346</v>
      </c>
      <c r="G69" s="16">
        <v>318.35000000000002</v>
      </c>
      <c r="H69" s="16">
        <f t="shared" si="6"/>
        <v>319.24476263544193</v>
      </c>
      <c r="I69">
        <f t="shared" si="7"/>
        <v>12</v>
      </c>
      <c r="J69" s="16" cm="1">
        <f t="array" ref="J69">INDEX(Sm,I69)</f>
        <v>-0.88675924001340456</v>
      </c>
      <c r="K69" s="16">
        <f t="shared" si="8"/>
        <v>318.35800339542851</v>
      </c>
      <c r="L69" s="16">
        <f t="shared" si="9"/>
        <v>-8.0033954284886022E-3</v>
      </c>
      <c r="M69" s="16">
        <f t="shared" si="10"/>
        <v>6.405433838475226E-5</v>
      </c>
    </row>
    <row r="70" spans="6:13" x14ac:dyDescent="0.4">
      <c r="F70" s="1">
        <v>23377</v>
      </c>
      <c r="G70" s="16">
        <v>319.57</v>
      </c>
      <c r="H70" s="16">
        <f t="shared" si="6"/>
        <v>319.33036016465331</v>
      </c>
      <c r="I70">
        <f t="shared" si="7"/>
        <v>1</v>
      </c>
      <c r="J70" s="16" cm="1">
        <f t="array" ref="J70">INDEX(Sm,I70)</f>
        <v>-3.5406241068958691E-2</v>
      </c>
      <c r="K70" s="16">
        <f t="shared" si="8"/>
        <v>319.29495392358433</v>
      </c>
      <c r="L70" s="16">
        <f t="shared" si="9"/>
        <v>0.27504607641566281</v>
      </c>
      <c r="M70" s="16">
        <f t="shared" si="10"/>
        <v>7.5650344151650631E-2</v>
      </c>
    </row>
    <row r="71" spans="6:13" x14ac:dyDescent="0.4">
      <c r="F71" s="1">
        <v>23498</v>
      </c>
      <c r="G71" s="16">
        <v>322.26</v>
      </c>
      <c r="H71" s="16">
        <f t="shared" si="6"/>
        <v>319.66562133280149</v>
      </c>
      <c r="I71">
        <f t="shared" si="7"/>
        <v>5</v>
      </c>
      <c r="J71" s="16" cm="1">
        <f t="array" ref="J71">INDEX(Sm,I71)</f>
        <v>3.0968597809913625</v>
      </c>
      <c r="K71" s="16">
        <f t="shared" si="8"/>
        <v>322.76248111379283</v>
      </c>
      <c r="L71" s="16">
        <f t="shared" si="9"/>
        <v>-0.50248111379283955</v>
      </c>
      <c r="M71" s="16">
        <f t="shared" si="10"/>
        <v>0.25248726971849256</v>
      </c>
    </row>
    <row r="72" spans="6:13" x14ac:dyDescent="0.4">
      <c r="F72" s="1">
        <v>23529</v>
      </c>
      <c r="G72" s="16">
        <v>321.89</v>
      </c>
      <c r="H72" s="16">
        <f t="shared" si="6"/>
        <v>319.75181133789221</v>
      </c>
      <c r="I72">
        <f t="shared" si="7"/>
        <v>6</v>
      </c>
      <c r="J72" s="16" cm="1">
        <f t="array" ref="J72">INDEX(Sm,I72)</f>
        <v>2.3186578027685911</v>
      </c>
      <c r="K72" s="16">
        <f t="shared" si="8"/>
        <v>322.0704691406608</v>
      </c>
      <c r="L72" s="16">
        <f t="shared" si="9"/>
        <v>-0.18046914066081854</v>
      </c>
      <c r="M72" s="16">
        <f t="shared" si="10"/>
        <v>3.2569110730854306E-2</v>
      </c>
    </row>
    <row r="73" spans="6:13" x14ac:dyDescent="0.4">
      <c r="F73" s="1">
        <v>23559</v>
      </c>
      <c r="G73" s="16">
        <v>320.44</v>
      </c>
      <c r="H73" s="16">
        <f t="shared" si="6"/>
        <v>319.83533654694878</v>
      </c>
      <c r="I73">
        <f t="shared" si="7"/>
        <v>7</v>
      </c>
      <c r="J73" s="16" cm="1">
        <f t="array" ref="J73">INDEX(Sm,I73)</f>
        <v>0.74380149245581328</v>
      </c>
      <c r="K73" s="16">
        <f t="shared" si="8"/>
        <v>320.5791380394046</v>
      </c>
      <c r="L73" s="16">
        <f t="shared" si="9"/>
        <v>-0.13913803940459957</v>
      </c>
      <c r="M73" s="16">
        <f t="shared" si="10"/>
        <v>1.9359394009355903E-2</v>
      </c>
    </row>
    <row r="74" spans="6:13" x14ac:dyDescent="0.4">
      <c r="F74" s="1">
        <v>23590</v>
      </c>
      <c r="G74" s="16">
        <v>318.69</v>
      </c>
      <c r="H74" s="16">
        <f t="shared" si="6"/>
        <v>319.92176547349078</v>
      </c>
      <c r="I74">
        <f t="shared" si="7"/>
        <v>8</v>
      </c>
      <c r="J74" s="16" cm="1">
        <f t="array" ref="J74">INDEX(Sm,I74)</f>
        <v>-1.3852874640433905</v>
      </c>
      <c r="K74" s="16">
        <f t="shared" si="8"/>
        <v>318.53647800944736</v>
      </c>
      <c r="L74" s="16">
        <f t="shared" si="9"/>
        <v>0.15352199055263327</v>
      </c>
      <c r="M74" s="16">
        <f t="shared" si="10"/>
        <v>2.3569001583242818E-2</v>
      </c>
    </row>
    <row r="75" spans="6:13" x14ac:dyDescent="0.4">
      <c r="F75" s="1">
        <v>23621</v>
      </c>
      <c r="G75" s="16">
        <v>316.7</v>
      </c>
      <c r="H75" s="16">
        <f t="shared" si="6"/>
        <v>320.00831607282828</v>
      </c>
      <c r="I75">
        <f t="shared" si="7"/>
        <v>9</v>
      </c>
      <c r="J75" s="16" cm="1">
        <f t="array" ref="J75">INDEX(Sm,I75)</f>
        <v>-3.188494698714738</v>
      </c>
      <c r="K75" s="16">
        <f t="shared" si="8"/>
        <v>316.81982137411353</v>
      </c>
      <c r="L75" s="16">
        <f t="shared" si="9"/>
        <v>-0.11982137411354188</v>
      </c>
      <c r="M75" s="16">
        <f t="shared" si="10"/>
        <v>1.4357161694457363E-2</v>
      </c>
    </row>
    <row r="76" spans="6:13" x14ac:dyDescent="0.4">
      <c r="F76" s="1">
        <v>23651</v>
      </c>
      <c r="G76" s="16">
        <v>316.87</v>
      </c>
      <c r="H76" s="16">
        <f t="shared" si="6"/>
        <v>320.09219072738978</v>
      </c>
      <c r="I76">
        <f t="shared" si="7"/>
        <v>10</v>
      </c>
      <c r="J76" s="16" cm="1">
        <f t="array" ref="J76">INDEX(Sm,I76)</f>
        <v>-3.3139186770794531</v>
      </c>
      <c r="K76" s="16">
        <f t="shared" si="8"/>
        <v>316.77827205031031</v>
      </c>
      <c r="L76" s="16">
        <f t="shared" si="9"/>
        <v>9.1727949689698107E-2</v>
      </c>
      <c r="M76" s="16">
        <f t="shared" si="10"/>
        <v>8.4140167542757875E-3</v>
      </c>
    </row>
    <row r="77" spans="6:13" x14ac:dyDescent="0.4">
      <c r="F77" s="1">
        <v>23682</v>
      </c>
      <c r="G77" s="16">
        <v>317.68</v>
      </c>
      <c r="H77" s="16">
        <f t="shared" si="6"/>
        <v>320.17898124775729</v>
      </c>
      <c r="I77">
        <f t="shared" si="7"/>
        <v>11</v>
      </c>
      <c r="J77" s="16" cm="1">
        <f t="array" ref="J77">INDEX(Sm,I77)</f>
        <v>-2.0555969925100759</v>
      </c>
      <c r="K77" s="16">
        <f t="shared" si="8"/>
        <v>318.12338425524723</v>
      </c>
      <c r="L77" s="16">
        <f t="shared" si="9"/>
        <v>-0.44338425524722425</v>
      </c>
      <c r="M77" s="16">
        <f t="shared" si="10"/>
        <v>0.19658959780113569</v>
      </c>
    </row>
    <row r="78" spans="6:13" x14ac:dyDescent="0.4">
      <c r="F78" s="1">
        <v>23712</v>
      </c>
      <c r="G78" s="16">
        <v>318.70999999999998</v>
      </c>
      <c r="H78" s="16">
        <f t="shared" si="6"/>
        <v>320.26308840554441</v>
      </c>
      <c r="I78">
        <f t="shared" si="7"/>
        <v>12</v>
      </c>
      <c r="J78" s="16" cm="1">
        <f t="array" ref="J78">INDEX(Sm,I78)</f>
        <v>-0.88675924001340456</v>
      </c>
      <c r="K78" s="16">
        <f t="shared" si="8"/>
        <v>319.37632916553099</v>
      </c>
      <c r="L78" s="16">
        <f t="shared" si="9"/>
        <v>-0.6663291655310104</v>
      </c>
      <c r="M78" s="16">
        <f t="shared" si="10"/>
        <v>0.44399455683725264</v>
      </c>
    </row>
    <row r="79" spans="6:13" x14ac:dyDescent="0.4">
      <c r="F79" s="1">
        <v>23743</v>
      </c>
      <c r="G79" s="16">
        <v>319.44</v>
      </c>
      <c r="H79" s="16">
        <f t="shared" si="6"/>
        <v>320.35011951201068</v>
      </c>
      <c r="I79">
        <f t="shared" si="7"/>
        <v>1</v>
      </c>
      <c r="J79" s="16" cm="1">
        <f t="array" ref="J79">INDEX(Sm,I79)</f>
        <v>-3.5406241068958691E-2</v>
      </c>
      <c r="K79" s="16">
        <f t="shared" si="8"/>
        <v>320.3147132709417</v>
      </c>
      <c r="L79" s="16">
        <f t="shared" si="9"/>
        <v>-0.87471327094169737</v>
      </c>
      <c r="M79" s="16">
        <f t="shared" si="10"/>
        <v>0.76512330636152326</v>
      </c>
    </row>
    <row r="80" spans="6:13" x14ac:dyDescent="0.4">
      <c r="F80" s="1">
        <v>23774</v>
      </c>
      <c r="G80" s="16">
        <v>320.44</v>
      </c>
      <c r="H80" s="16">
        <f t="shared" si="6"/>
        <v>320.4372731390086</v>
      </c>
      <c r="I80">
        <f t="shared" si="7"/>
        <v>2</v>
      </c>
      <c r="J80" s="16" cm="1">
        <f t="array" ref="J80">INDEX(Sm,I80)</f>
        <v>0.68063113884422577</v>
      </c>
      <c r="K80" s="16">
        <f t="shared" si="8"/>
        <v>321.1179042778528</v>
      </c>
      <c r="L80" s="16">
        <f t="shared" si="9"/>
        <v>-0.67790427785280372</v>
      </c>
      <c r="M80" s="16">
        <f t="shared" si="10"/>
        <v>0.45955420993113133</v>
      </c>
    </row>
    <row r="81" spans="6:13" x14ac:dyDescent="0.4">
      <c r="F81" s="1">
        <v>23802</v>
      </c>
      <c r="G81" s="16">
        <v>320.89</v>
      </c>
      <c r="H81" s="16">
        <f t="shared" si="6"/>
        <v>320.51609799651413</v>
      </c>
      <c r="I81">
        <f t="shared" si="7"/>
        <v>3</v>
      </c>
      <c r="J81" s="16" cm="1">
        <f t="array" ref="J81">INDEX(Sm,I81)</f>
        <v>1.3939471632320417</v>
      </c>
      <c r="K81" s="16">
        <f t="shared" si="8"/>
        <v>321.91004515974618</v>
      </c>
      <c r="L81" s="16">
        <f t="shared" si="9"/>
        <v>-1.0200451597461893</v>
      </c>
      <c r="M81" s="16">
        <f t="shared" si="10"/>
        <v>1.0404921279216288</v>
      </c>
    </row>
    <row r="82" spans="6:13" x14ac:dyDescent="0.4">
      <c r="F82" s="1">
        <v>23833</v>
      </c>
      <c r="G82" s="16">
        <v>322.14</v>
      </c>
      <c r="H82" s="16">
        <f t="shared" si="6"/>
        <v>320.60348528447514</v>
      </c>
      <c r="I82">
        <f t="shared" si="7"/>
        <v>4</v>
      </c>
      <c r="J82" s="16" cm="1">
        <f t="array" ref="J82">INDEX(Sm,I82)</f>
        <v>2.6315659351379859</v>
      </c>
      <c r="K82" s="16">
        <f t="shared" si="8"/>
        <v>323.23505121961313</v>
      </c>
      <c r="L82" s="16">
        <f t="shared" si="9"/>
        <v>-1.0950512196131399</v>
      </c>
      <c r="M82" s="16">
        <f t="shared" si="10"/>
        <v>1.1991371735762251</v>
      </c>
    </row>
    <row r="83" spans="6:13" x14ac:dyDescent="0.4">
      <c r="F83" s="1">
        <v>23863</v>
      </c>
      <c r="G83" s="16">
        <v>322.17</v>
      </c>
      <c r="H83" s="16">
        <f t="shared" si="6"/>
        <v>320.688170759179</v>
      </c>
      <c r="I83">
        <f t="shared" si="7"/>
        <v>5</v>
      </c>
      <c r="J83" s="16" cm="1">
        <f t="array" ref="J83">INDEX(Sm,I83)</f>
        <v>3.0968597809913625</v>
      </c>
      <c r="K83" s="16">
        <f t="shared" si="8"/>
        <v>323.78503054017034</v>
      </c>
      <c r="L83" s="16">
        <f t="shared" si="9"/>
        <v>-1.6150305401703235</v>
      </c>
      <c r="M83" s="16">
        <f t="shared" si="10"/>
        <v>2.6083236456828471</v>
      </c>
    </row>
    <row r="84" spans="6:13" x14ac:dyDescent="0.4">
      <c r="F84" s="1">
        <v>23894</v>
      </c>
      <c r="G84" s="16">
        <v>321.87</v>
      </c>
      <c r="H84" s="16">
        <f t="shared" si="6"/>
        <v>320.77580028749765</v>
      </c>
      <c r="I84">
        <f t="shared" si="7"/>
        <v>6</v>
      </c>
      <c r="J84" s="16" cm="1">
        <f t="array" ref="J84">INDEX(Sm,I84)</f>
        <v>2.3186578027685911</v>
      </c>
      <c r="K84" s="16">
        <f t="shared" si="8"/>
        <v>323.09445809026624</v>
      </c>
      <c r="L84" s="16">
        <f t="shared" si="9"/>
        <v>-1.2244580902662392</v>
      </c>
      <c r="M84" s="16">
        <f t="shared" si="10"/>
        <v>1.4992976148184456</v>
      </c>
    </row>
    <row r="85" spans="6:13" x14ac:dyDescent="0.4">
      <c r="F85" s="1">
        <v>23924</v>
      </c>
      <c r="G85" s="16">
        <v>321.20999999999998</v>
      </c>
      <c r="H85" s="16">
        <f t="shared" si="6"/>
        <v>320.86072051304643</v>
      </c>
      <c r="I85">
        <f t="shared" si="7"/>
        <v>7</v>
      </c>
      <c r="J85" s="16" cm="1">
        <f t="array" ref="J85">INDEX(Sm,I85)</f>
        <v>0.74380149245581328</v>
      </c>
      <c r="K85" s="16">
        <f t="shared" si="8"/>
        <v>321.60452200550225</v>
      </c>
      <c r="L85" s="16">
        <f t="shared" si="9"/>
        <v>-0.39452200550226735</v>
      </c>
      <c r="M85" s="16">
        <f t="shared" si="10"/>
        <v>0.15564761282553108</v>
      </c>
    </row>
    <row r="86" spans="6:13" x14ac:dyDescent="0.4">
      <c r="F86" s="1">
        <v>23955</v>
      </c>
      <c r="G86" s="16">
        <v>318.87</v>
      </c>
      <c r="H86" s="16">
        <f t="shared" si="6"/>
        <v>320.94859295322078</v>
      </c>
      <c r="I86">
        <f t="shared" si="7"/>
        <v>8</v>
      </c>
      <c r="J86" s="16" cm="1">
        <f t="array" ref="J86">INDEX(Sm,I86)</f>
        <v>-1.3852874640433905</v>
      </c>
      <c r="K86" s="16">
        <f t="shared" si="8"/>
        <v>319.56330548917737</v>
      </c>
      <c r="L86" s="16">
        <f t="shared" si="9"/>
        <v>-0.69330548917736223</v>
      </c>
      <c r="M86" s="16">
        <f t="shared" si="10"/>
        <v>0.48067250132346157</v>
      </c>
    </row>
    <row r="87" spans="6:13" x14ac:dyDescent="0.4">
      <c r="F87" s="1">
        <v>23986</v>
      </c>
      <c r="G87" s="16">
        <v>317.81</v>
      </c>
      <c r="H87" s="16">
        <f t="shared" si="6"/>
        <v>321.03658909833831</v>
      </c>
      <c r="I87">
        <f t="shared" si="7"/>
        <v>9</v>
      </c>
      <c r="J87" s="16" cm="1">
        <f t="array" ref="J87">INDEX(Sm,I87)</f>
        <v>-3.188494698714738</v>
      </c>
      <c r="K87" s="16">
        <f t="shared" si="8"/>
        <v>317.84809439962356</v>
      </c>
      <c r="L87" s="16">
        <f t="shared" si="9"/>
        <v>-3.8094399623560093E-2</v>
      </c>
      <c r="M87" s="16">
        <f t="shared" si="10"/>
        <v>1.4511832826794955E-3</v>
      </c>
    </row>
    <row r="88" spans="6:13" x14ac:dyDescent="0.4">
      <c r="F88" s="1">
        <v>24016</v>
      </c>
      <c r="G88" s="16">
        <v>317.3</v>
      </c>
      <c r="H88" s="16">
        <f t="shared" si="6"/>
        <v>321.12186460574071</v>
      </c>
      <c r="I88">
        <f t="shared" si="7"/>
        <v>10</v>
      </c>
      <c r="J88" s="16" cm="1">
        <f t="array" ref="J88">INDEX(Sm,I88)</f>
        <v>-3.3139186770794531</v>
      </c>
      <c r="K88" s="16">
        <f t="shared" si="8"/>
        <v>317.80794592866124</v>
      </c>
      <c r="L88" s="16">
        <f t="shared" si="9"/>
        <v>-0.50794592866122912</v>
      </c>
      <c r="M88" s="16">
        <f t="shared" si="10"/>
        <v>0.25800906644351845</v>
      </c>
    </row>
    <row r="89" spans="6:13" x14ac:dyDescent="0.4">
      <c r="F89" s="1">
        <v>24047</v>
      </c>
      <c r="G89" s="16">
        <v>318.87</v>
      </c>
      <c r="H89" s="16">
        <f t="shared" si="6"/>
        <v>321.21010467898742</v>
      </c>
      <c r="I89">
        <f t="shared" si="7"/>
        <v>11</v>
      </c>
      <c r="J89" s="16" cm="1">
        <f t="array" ref="J89">INDEX(Sm,I89)</f>
        <v>-2.0555969925100759</v>
      </c>
      <c r="K89" s="16">
        <f t="shared" si="8"/>
        <v>319.15450768647736</v>
      </c>
      <c r="L89" s="16">
        <f t="shared" si="9"/>
        <v>-0.28450768647735458</v>
      </c>
      <c r="M89" s="16">
        <f t="shared" si="10"/>
        <v>8.0944623664696694E-2</v>
      </c>
    </row>
    <row r="90" spans="6:13" x14ac:dyDescent="0.4">
      <c r="F90" s="1">
        <v>24077</v>
      </c>
      <c r="G90" s="16">
        <v>319.42</v>
      </c>
      <c r="H90" s="16">
        <f t="shared" si="6"/>
        <v>321.2956165728242</v>
      </c>
      <c r="I90">
        <f t="shared" si="7"/>
        <v>12</v>
      </c>
      <c r="J90" s="16" cm="1">
        <f t="array" ref="J90">INDEX(Sm,I90)</f>
        <v>-0.88675924001340456</v>
      </c>
      <c r="K90" s="16">
        <f t="shared" si="8"/>
        <v>320.40885733281078</v>
      </c>
      <c r="L90" s="16">
        <f t="shared" si="9"/>
        <v>-0.98885733281076682</v>
      </c>
      <c r="M90" s="16">
        <f t="shared" si="10"/>
        <v>0.97783882465362371</v>
      </c>
    </row>
    <row r="91" spans="6:13" x14ac:dyDescent="0.4">
      <c r="F91" s="1">
        <v>24108</v>
      </c>
      <c r="G91" s="16">
        <v>320.62</v>
      </c>
      <c r="H91" s="16">
        <f t="shared" si="6"/>
        <v>321.38410125037666</v>
      </c>
      <c r="I91">
        <f t="shared" si="7"/>
        <v>1</v>
      </c>
      <c r="J91" s="16" cm="1">
        <f t="array" ref="J91">INDEX(Sm,I91)</f>
        <v>-3.5406241068958691E-2</v>
      </c>
      <c r="K91" s="16">
        <f t="shared" si="8"/>
        <v>321.34869500930768</v>
      </c>
      <c r="L91" s="16">
        <f t="shared" si="9"/>
        <v>-0.72869500930767117</v>
      </c>
      <c r="M91" s="16">
        <f t="shared" si="10"/>
        <v>0.53099641658990693</v>
      </c>
    </row>
    <row r="92" spans="6:13" x14ac:dyDescent="0.4">
      <c r="F92" s="1">
        <v>24139</v>
      </c>
      <c r="G92" s="16">
        <v>321.60000000000002</v>
      </c>
      <c r="H92" s="16">
        <f t="shared" si="6"/>
        <v>321.47271049476706</v>
      </c>
      <c r="I92">
        <f t="shared" si="7"/>
        <v>2</v>
      </c>
      <c r="J92" s="16" cm="1">
        <f t="array" ref="J92">INDEX(Sm,I92)</f>
        <v>0.68063113884422577</v>
      </c>
      <c r="K92" s="16">
        <f t="shared" si="8"/>
        <v>322.15334163361126</v>
      </c>
      <c r="L92" s="16">
        <f t="shared" si="9"/>
        <v>-0.55334163361123956</v>
      </c>
      <c r="M92" s="16">
        <f t="shared" si="10"/>
        <v>0.30618696348755525</v>
      </c>
    </row>
    <row r="93" spans="6:13" x14ac:dyDescent="0.4">
      <c r="F93" s="1">
        <v>24167</v>
      </c>
      <c r="G93" s="16">
        <v>322.39</v>
      </c>
      <c r="H93" s="16">
        <f t="shared" si="6"/>
        <v>321.55285186470576</v>
      </c>
      <c r="I93">
        <f t="shared" si="7"/>
        <v>3</v>
      </c>
      <c r="J93" s="16" cm="1">
        <f t="array" ref="J93">INDEX(Sm,I93)</f>
        <v>1.3939471632320417</v>
      </c>
      <c r="K93" s="16">
        <f t="shared" si="8"/>
        <v>322.9467990279378</v>
      </c>
      <c r="L93" s="16">
        <f t="shared" si="9"/>
        <v>-0.55679902793781366</v>
      </c>
      <c r="M93" s="16">
        <f t="shared" si="10"/>
        <v>0.31002515751249421</v>
      </c>
    </row>
    <row r="94" spans="6:13" x14ac:dyDescent="0.4">
      <c r="F94" s="1">
        <v>24198</v>
      </c>
      <c r="G94" s="16">
        <v>323.7</v>
      </c>
      <c r="H94" s="16">
        <f t="shared" si="6"/>
        <v>321.64169867260438</v>
      </c>
      <c r="I94">
        <f t="shared" si="7"/>
        <v>4</v>
      </c>
      <c r="J94" s="16" cm="1">
        <f t="array" ref="J94">INDEX(Sm,I94)</f>
        <v>2.6315659351379859</v>
      </c>
      <c r="K94" s="16">
        <f t="shared" si="8"/>
        <v>324.27326460774236</v>
      </c>
      <c r="L94" s="16">
        <f t="shared" si="9"/>
        <v>-0.57326460774237376</v>
      </c>
      <c r="M94" s="16">
        <f t="shared" si="10"/>
        <v>0.32863231049001762</v>
      </c>
    </row>
    <row r="95" spans="6:13" x14ac:dyDescent="0.4">
      <c r="F95" s="1">
        <v>24228</v>
      </c>
      <c r="G95" s="16">
        <v>324.08</v>
      </c>
      <c r="H95" s="16">
        <f t="shared" si="6"/>
        <v>321.72779854225786</v>
      </c>
      <c r="I95">
        <f t="shared" si="7"/>
        <v>5</v>
      </c>
      <c r="J95" s="16" cm="1">
        <f t="array" ref="J95">INDEX(Sm,I95)</f>
        <v>3.0968597809913625</v>
      </c>
      <c r="K95" s="16">
        <f t="shared" si="8"/>
        <v>324.8246583232492</v>
      </c>
      <c r="L95" s="16">
        <f t="shared" si="9"/>
        <v>-0.74465832324921166</v>
      </c>
      <c r="M95" s="16">
        <f t="shared" si="10"/>
        <v>0.5545160183843274</v>
      </c>
    </row>
    <row r="96" spans="6:13" x14ac:dyDescent="0.4">
      <c r="F96" s="1">
        <v>24259</v>
      </c>
      <c r="G96" s="16">
        <v>323.75</v>
      </c>
      <c r="H96" s="16">
        <f t="shared" si="6"/>
        <v>321.81689163635008</v>
      </c>
      <c r="I96">
        <f t="shared" si="7"/>
        <v>6</v>
      </c>
      <c r="J96" s="16" cm="1">
        <f t="array" ref="J96">INDEX(Sm,I96)</f>
        <v>2.3186578027685911</v>
      </c>
      <c r="K96" s="16">
        <f t="shared" si="8"/>
        <v>324.13554943911868</v>
      </c>
      <c r="L96" s="16">
        <f t="shared" si="9"/>
        <v>-0.38554943911867667</v>
      </c>
      <c r="M96" s="16">
        <f t="shared" si="10"/>
        <v>0.14864837000472617</v>
      </c>
    </row>
    <row r="97" spans="6:13" x14ac:dyDescent="0.4">
      <c r="F97" s="1">
        <v>24289</v>
      </c>
      <c r="G97" s="16">
        <v>322.38</v>
      </c>
      <c r="H97" s="16">
        <f t="shared" si="6"/>
        <v>321.90323017759653</v>
      </c>
      <c r="I97">
        <f t="shared" si="7"/>
        <v>7</v>
      </c>
      <c r="J97" s="16" cm="1">
        <f t="array" ref="J97">INDEX(Sm,I97)</f>
        <v>0.74380149245581328</v>
      </c>
      <c r="K97" s="16">
        <f t="shared" si="8"/>
        <v>322.64703167005234</v>
      </c>
      <c r="L97" s="16">
        <f t="shared" si="9"/>
        <v>-0.26703167005234718</v>
      </c>
      <c r="M97" s="16">
        <f t="shared" si="10"/>
        <v>7.1305912810945615E-2</v>
      </c>
    </row>
    <row r="98" spans="6:13" x14ac:dyDescent="0.4">
      <c r="F98" s="1">
        <v>24320</v>
      </c>
      <c r="G98" s="16">
        <v>320.36</v>
      </c>
      <c r="H98" s="16">
        <f t="shared" si="6"/>
        <v>321.99257024059551</v>
      </c>
      <c r="I98">
        <f t="shared" si="7"/>
        <v>8</v>
      </c>
      <c r="J98" s="16" cm="1">
        <f t="array" ref="J98">INDEX(Sm,I98)</f>
        <v>-1.3852874640433905</v>
      </c>
      <c r="K98" s="16">
        <f t="shared" si="8"/>
        <v>320.6072827765521</v>
      </c>
      <c r="L98" s="16">
        <f t="shared" si="9"/>
        <v>-0.24728277655208331</v>
      </c>
      <c r="M98" s="16">
        <f t="shared" si="10"/>
        <v>6.1148771579307558E-2</v>
      </c>
    </row>
    <row r="99" spans="6:13" x14ac:dyDescent="0.4">
      <c r="F99" s="1">
        <v>24351</v>
      </c>
      <c r="G99" s="16">
        <v>318.64</v>
      </c>
      <c r="H99" s="16">
        <f t="shared" si="6"/>
        <v>322.08203607462582</v>
      </c>
      <c r="I99">
        <f t="shared" si="7"/>
        <v>9</v>
      </c>
      <c r="J99" s="16" cm="1">
        <f t="array" ref="J99">INDEX(Sm,I99)</f>
        <v>-3.188494698714738</v>
      </c>
      <c r="K99" s="16">
        <f t="shared" si="8"/>
        <v>318.89354137591107</v>
      </c>
      <c r="L99" s="16">
        <f t="shared" si="9"/>
        <v>-0.25354137591108383</v>
      </c>
      <c r="M99" s="16">
        <f t="shared" si="10"/>
        <v>6.4283229298885525E-2</v>
      </c>
    </row>
    <row r="100" spans="6:13" x14ac:dyDescent="0.4">
      <c r="F100" s="1">
        <v>24381</v>
      </c>
      <c r="G100" s="16">
        <v>318.10000000000002</v>
      </c>
      <c r="H100" s="16">
        <f t="shared" si="6"/>
        <v>322.16873583155171</v>
      </c>
      <c r="I100">
        <f t="shared" si="7"/>
        <v>10</v>
      </c>
      <c r="J100" s="16" cm="1">
        <f t="array" ref="J100">INDEX(Sm,I100)</f>
        <v>-3.3139186770794531</v>
      </c>
      <c r="K100" s="16">
        <f t="shared" si="8"/>
        <v>318.85481715447224</v>
      </c>
      <c r="L100" s="16">
        <f t="shared" si="9"/>
        <v>-0.75481715447222086</v>
      </c>
      <c r="M100" s="16">
        <f t="shared" si="10"/>
        <v>0.5697489366855405</v>
      </c>
    </row>
    <row r="101" spans="6:13" x14ac:dyDescent="0.4">
      <c r="F101" s="1">
        <v>24412</v>
      </c>
      <c r="G101" s="16">
        <v>319.77999999999997</v>
      </c>
      <c r="H101" s="16">
        <f t="shared" si="6"/>
        <v>322.25844966773587</v>
      </c>
      <c r="I101">
        <f t="shared" si="7"/>
        <v>11</v>
      </c>
      <c r="J101" s="16" cm="1">
        <f t="array" ref="J101">INDEX(Sm,I101)</f>
        <v>-2.0555969925100759</v>
      </c>
      <c r="K101" s="16">
        <f t="shared" si="8"/>
        <v>320.20285267522581</v>
      </c>
      <c r="L101" s="16">
        <f t="shared" si="9"/>
        <v>-0.42285267522584036</v>
      </c>
      <c r="M101" s="16">
        <f t="shared" si="10"/>
        <v>0.17880438494565001</v>
      </c>
    </row>
    <row r="102" spans="6:13" x14ac:dyDescent="0.4">
      <c r="F102" s="1">
        <v>24442</v>
      </c>
      <c r="G102" s="16">
        <v>321.02999999999997</v>
      </c>
      <c r="H102" s="16">
        <f t="shared" si="6"/>
        <v>322.34538975916143</v>
      </c>
      <c r="I102">
        <f t="shared" si="7"/>
        <v>12</v>
      </c>
      <c r="J102" s="16" cm="1">
        <f t="array" ref="J102">INDEX(Sm,I102)</f>
        <v>-0.88675924001340456</v>
      </c>
      <c r="K102" s="16">
        <f t="shared" si="8"/>
        <v>321.45863051914802</v>
      </c>
      <c r="L102" s="16">
        <f t="shared" si="9"/>
        <v>-0.42863051914804373</v>
      </c>
      <c r="M102" s="16">
        <f t="shared" si="10"/>
        <v>0.18372412194512147</v>
      </c>
    </row>
    <row r="103" spans="6:13" x14ac:dyDescent="0.4">
      <c r="F103" s="1">
        <v>24473</v>
      </c>
      <c r="G103" s="16">
        <v>322.33</v>
      </c>
      <c r="H103" s="16">
        <f t="shared" si="6"/>
        <v>322.43535228496927</v>
      </c>
      <c r="I103">
        <f t="shared" si="7"/>
        <v>1</v>
      </c>
      <c r="J103" s="16" cm="1">
        <f t="array" ref="J103">INDEX(Sm,I103)</f>
        <v>-3.5406241068958691E-2</v>
      </c>
      <c r="K103" s="16">
        <f t="shared" si="8"/>
        <v>322.39994604390029</v>
      </c>
      <c r="L103" s="16">
        <f t="shared" si="9"/>
        <v>-6.9946043900301902E-2</v>
      </c>
      <c r="M103" s="16">
        <f t="shared" si="10"/>
        <v>4.8924490573029611E-3</v>
      </c>
    </row>
    <row r="104" spans="6:13" x14ac:dyDescent="0.4">
      <c r="F104" s="1">
        <v>24504</v>
      </c>
      <c r="G104" s="16">
        <v>322.5</v>
      </c>
      <c r="H104" s="16">
        <f t="shared" si="6"/>
        <v>322.52544145809827</v>
      </c>
      <c r="I104">
        <f t="shared" si="7"/>
        <v>2</v>
      </c>
      <c r="J104" s="16" cm="1">
        <f t="array" ref="J104">INDEX(Sm,I104)</f>
        <v>0.68063113884422577</v>
      </c>
      <c r="K104" s="16">
        <f t="shared" si="8"/>
        <v>323.20607259694248</v>
      </c>
      <c r="L104" s="16">
        <f t="shared" si="9"/>
        <v>-0.70607259694247659</v>
      </c>
      <c r="M104" s="16">
        <f t="shared" si="10"/>
        <v>0.49853851215309303</v>
      </c>
    </row>
    <row r="105" spans="6:13" x14ac:dyDescent="0.4">
      <c r="F105" s="1">
        <v>24532</v>
      </c>
      <c r="G105" s="16">
        <v>323.04000000000002</v>
      </c>
      <c r="H105" s="16">
        <f t="shared" si="6"/>
        <v>322.6069213285212</v>
      </c>
      <c r="I105">
        <f t="shared" si="7"/>
        <v>3</v>
      </c>
      <c r="J105" s="16" cm="1">
        <f t="array" ref="J105">INDEX(Sm,I105)</f>
        <v>1.3939471632320417</v>
      </c>
      <c r="K105" s="16">
        <f t="shared" si="8"/>
        <v>324.00086849175324</v>
      </c>
      <c r="L105" s="16">
        <f t="shared" si="9"/>
        <v>-0.96086849175321731</v>
      </c>
      <c r="M105" s="16">
        <f t="shared" si="10"/>
        <v>0.92326825844410265</v>
      </c>
    </row>
    <row r="106" spans="6:13" x14ac:dyDescent="0.4">
      <c r="F106" s="1">
        <v>24563</v>
      </c>
      <c r="G106" s="16">
        <v>324.42</v>
      </c>
      <c r="H106" s="16">
        <f t="shared" si="6"/>
        <v>322.69725203288283</v>
      </c>
      <c r="I106">
        <f t="shared" si="7"/>
        <v>4</v>
      </c>
      <c r="J106" s="16" cm="1">
        <f t="array" ref="J106">INDEX(Sm,I106)</f>
        <v>2.6315659351379859</v>
      </c>
      <c r="K106" s="16">
        <f t="shared" si="8"/>
        <v>325.32881796802081</v>
      </c>
      <c r="L106" s="16">
        <f t="shared" si="9"/>
        <v>-0.90881796802079862</v>
      </c>
      <c r="M106" s="16">
        <f t="shared" si="10"/>
        <v>0.82595009899745331</v>
      </c>
    </row>
    <row r="107" spans="6:13" x14ac:dyDescent="0.4">
      <c r="F107" s="1">
        <v>24593</v>
      </c>
      <c r="G107" s="16">
        <v>325</v>
      </c>
      <c r="H107" s="16">
        <f t="shared" si="6"/>
        <v>322.78478992034547</v>
      </c>
      <c r="I107">
        <f t="shared" si="7"/>
        <v>5</v>
      </c>
      <c r="J107" s="16" cm="1">
        <f t="array" ref="J107">INDEX(Sm,I107)</f>
        <v>3.0968597809913625</v>
      </c>
      <c r="K107" s="16">
        <f t="shared" si="8"/>
        <v>325.88164970133681</v>
      </c>
      <c r="L107" s="16">
        <f t="shared" si="9"/>
        <v>-0.88164970133681209</v>
      </c>
      <c r="M107" s="16">
        <f t="shared" si="10"/>
        <v>0.77730619586729</v>
      </c>
    </row>
    <row r="108" spans="6:13" x14ac:dyDescent="0.4">
      <c r="F108" s="1">
        <v>24624</v>
      </c>
      <c r="G108" s="16">
        <v>324.08999999999997</v>
      </c>
      <c r="H108" s="16">
        <f t="shared" si="6"/>
        <v>322.87537102430923</v>
      </c>
      <c r="I108">
        <f t="shared" si="7"/>
        <v>6</v>
      </c>
      <c r="J108" s="16" cm="1">
        <f t="array" ref="J108">INDEX(Sm,I108)</f>
        <v>2.3186578027685911</v>
      </c>
      <c r="K108" s="16">
        <f t="shared" si="8"/>
        <v>325.19402882707783</v>
      </c>
      <c r="L108" s="16">
        <f t="shared" si="9"/>
        <v>-1.1040288270778547</v>
      </c>
      <c r="M108" s="16">
        <f t="shared" si="10"/>
        <v>1.2188796510189035</v>
      </c>
    </row>
    <row r="109" spans="6:13" x14ac:dyDescent="0.4">
      <c r="F109" s="1">
        <v>24654</v>
      </c>
      <c r="G109" s="16">
        <v>322.54000000000002</v>
      </c>
      <c r="H109" s="16">
        <f t="shared" si="6"/>
        <v>322.96315156959616</v>
      </c>
      <c r="I109">
        <f t="shared" si="7"/>
        <v>7</v>
      </c>
      <c r="J109" s="16" cm="1">
        <f t="array" ref="J109">INDEX(Sm,I109)</f>
        <v>0.74380149245581328</v>
      </c>
      <c r="K109" s="16">
        <f t="shared" si="8"/>
        <v>323.70695306205198</v>
      </c>
      <c r="L109" s="16">
        <f t="shared" si="9"/>
        <v>-1.1669530620519595</v>
      </c>
      <c r="M109" s="16">
        <f t="shared" si="10"/>
        <v>1.3617794490324444</v>
      </c>
    </row>
    <row r="110" spans="6:13" x14ac:dyDescent="0.4">
      <c r="F110" s="1">
        <v>24685</v>
      </c>
      <c r="G110" s="16">
        <v>320.92</v>
      </c>
      <c r="H110" s="16">
        <f t="shared" si="6"/>
        <v>323.0539837672776</v>
      </c>
      <c r="I110">
        <f t="shared" si="7"/>
        <v>8</v>
      </c>
      <c r="J110" s="16" cm="1">
        <f t="array" ref="J110">INDEX(Sm,I110)</f>
        <v>-1.3852874640433905</v>
      </c>
      <c r="K110" s="16">
        <f t="shared" si="8"/>
        <v>321.66869630323419</v>
      </c>
      <c r="L110" s="16">
        <f t="shared" si="9"/>
        <v>-0.74869630323416914</v>
      </c>
      <c r="M110" s="16">
        <f t="shared" si="10"/>
        <v>0.5605461544765109</v>
      </c>
    </row>
    <row r="111" spans="6:13" x14ac:dyDescent="0.4">
      <c r="F111" s="1">
        <v>24716</v>
      </c>
      <c r="G111" s="16">
        <v>319.25</v>
      </c>
      <c r="H111" s="16">
        <f t="shared" si="6"/>
        <v>323.14494383658564</v>
      </c>
      <c r="I111">
        <f t="shared" si="7"/>
        <v>9</v>
      </c>
      <c r="J111" s="16" cm="1">
        <f t="array" ref="J111">INDEX(Sm,I111)</f>
        <v>-3.188494698714738</v>
      </c>
      <c r="K111" s="16">
        <f t="shared" si="8"/>
        <v>319.95644913787089</v>
      </c>
      <c r="L111" s="16">
        <f t="shared" si="9"/>
        <v>-0.70644913787089081</v>
      </c>
      <c r="M111" s="16">
        <f t="shared" si="10"/>
        <v>0.49907038439852491</v>
      </c>
    </row>
    <row r="112" spans="6:13" x14ac:dyDescent="0.4">
      <c r="F112" s="1">
        <v>24746</v>
      </c>
      <c r="G112" s="16">
        <v>319.39</v>
      </c>
      <c r="H112" s="16">
        <f t="shared" si="6"/>
        <v>323.23309163048327</v>
      </c>
      <c r="I112">
        <f t="shared" si="7"/>
        <v>10</v>
      </c>
      <c r="J112" s="16" cm="1">
        <f t="array" ref="J112">INDEX(Sm,I112)</f>
        <v>-3.3139186770794531</v>
      </c>
      <c r="K112" s="16">
        <f t="shared" si="8"/>
        <v>319.9191729534038</v>
      </c>
      <c r="L112" s="16">
        <f t="shared" si="9"/>
        <v>-0.52917295340381543</v>
      </c>
      <c r="M112" s="16">
        <f t="shared" si="10"/>
        <v>0.28002401461411663</v>
      </c>
    </row>
    <row r="113" spans="6:13" x14ac:dyDescent="0.4">
      <c r="F113" s="1">
        <v>24777</v>
      </c>
      <c r="G113" s="16">
        <v>320.73</v>
      </c>
      <c r="H113" s="16">
        <f t="shared" si="6"/>
        <v>323.32430384401312</v>
      </c>
      <c r="I113">
        <f t="shared" si="7"/>
        <v>11</v>
      </c>
      <c r="J113" s="16" cm="1">
        <f t="array" ref="J113">INDEX(Sm,I113)</f>
        <v>-2.0555969925100759</v>
      </c>
      <c r="K113" s="16">
        <f t="shared" si="8"/>
        <v>321.26870685150305</v>
      </c>
      <c r="L113" s="16">
        <f t="shared" si="9"/>
        <v>-0.53870685150303643</v>
      </c>
      <c r="M113" s="16">
        <f t="shared" si="10"/>
        <v>0.29020507185631456</v>
      </c>
    </row>
    <row r="114" spans="6:13" x14ac:dyDescent="0.4">
      <c r="F114" s="1">
        <v>24807</v>
      </c>
      <c r="G114" s="16">
        <v>321.95999999999998</v>
      </c>
      <c r="H114" s="16">
        <f t="shared" si="6"/>
        <v>323.41269598641503</v>
      </c>
      <c r="I114">
        <f t="shared" si="7"/>
        <v>12</v>
      </c>
      <c r="J114" s="16" cm="1">
        <f t="array" ref="J114">INDEX(Sm,I114)</f>
        <v>-0.88675924001340456</v>
      </c>
      <c r="K114" s="16">
        <f t="shared" si="8"/>
        <v>322.52593674640161</v>
      </c>
      <c r="L114" s="16">
        <f t="shared" si="9"/>
        <v>-0.56593674640163272</v>
      </c>
      <c r="M114" s="16">
        <f t="shared" si="10"/>
        <v>0.32028440092766597</v>
      </c>
    </row>
    <row r="115" spans="6:13" x14ac:dyDescent="0.4">
      <c r="F115" s="1">
        <v>24838</v>
      </c>
      <c r="G115" s="16">
        <v>322.57</v>
      </c>
      <c r="H115" s="16">
        <f t="shared" si="6"/>
        <v>323.50416104311864</v>
      </c>
      <c r="I115">
        <f t="shared" si="7"/>
        <v>1</v>
      </c>
      <c r="J115" s="16" cm="1">
        <f t="array" ref="J115">INDEX(Sm,I115)</f>
        <v>-3.5406241068958691E-2</v>
      </c>
      <c r="K115" s="16">
        <f t="shared" si="8"/>
        <v>323.46875480204966</v>
      </c>
      <c r="L115" s="16">
        <f t="shared" si="9"/>
        <v>-0.89875480204966607</v>
      </c>
      <c r="M115" s="16">
        <f t="shared" si="10"/>
        <v>0.80776019420733447</v>
      </c>
    </row>
    <row r="116" spans="6:13" x14ac:dyDescent="0.4">
      <c r="F116" s="1">
        <v>24869</v>
      </c>
      <c r="G116" s="16">
        <v>323.14999999999998</v>
      </c>
      <c r="H116" s="16">
        <f t="shared" si="6"/>
        <v>323.59575486237418</v>
      </c>
      <c r="I116">
        <f t="shared" si="7"/>
        <v>2</v>
      </c>
      <c r="J116" s="16" cm="1">
        <f t="array" ref="J116">INDEX(Sm,I116)</f>
        <v>0.68063113884422577</v>
      </c>
      <c r="K116" s="16">
        <f t="shared" si="8"/>
        <v>324.27638600121838</v>
      </c>
      <c r="L116" s="16">
        <f t="shared" si="9"/>
        <v>-1.1263860012184068</v>
      </c>
      <c r="M116" s="16">
        <f t="shared" si="10"/>
        <v>1.2687454237407927</v>
      </c>
    </row>
    <row r="117" spans="6:13" x14ac:dyDescent="0.4">
      <c r="F117" s="1">
        <v>24898</v>
      </c>
      <c r="G117" s="16">
        <v>323.89</v>
      </c>
      <c r="H117" s="16">
        <f t="shared" si="6"/>
        <v>323.6815561331756</v>
      </c>
      <c r="I117">
        <f t="shared" si="7"/>
        <v>3</v>
      </c>
      <c r="J117" s="16" cm="1">
        <f t="array" ref="J117">INDEX(Sm,I117)</f>
        <v>1.3939471632320417</v>
      </c>
      <c r="K117" s="16">
        <f t="shared" si="8"/>
        <v>325.07550329640765</v>
      </c>
      <c r="L117" s="16">
        <f t="shared" si="9"/>
        <v>-1.1855032964076599</v>
      </c>
      <c r="M117" s="16">
        <f t="shared" si="10"/>
        <v>1.4054180657934281</v>
      </c>
    </row>
    <row r="118" spans="6:13" x14ac:dyDescent="0.4">
      <c r="F118" s="1">
        <v>24929</v>
      </c>
      <c r="G118" s="16">
        <v>325.02</v>
      </c>
      <c r="H118" s="16">
        <f t="shared" si="6"/>
        <v>323.77339968544754</v>
      </c>
      <c r="I118">
        <f t="shared" si="7"/>
        <v>4</v>
      </c>
      <c r="J118" s="16" cm="1">
        <f t="array" ref="J118">INDEX(Sm,I118)</f>
        <v>2.6315659351379859</v>
      </c>
      <c r="K118" s="16">
        <f t="shared" si="8"/>
        <v>326.40496562058553</v>
      </c>
      <c r="L118" s="16">
        <f t="shared" si="9"/>
        <v>-1.3849656205855467</v>
      </c>
      <c r="M118" s="16">
        <f t="shared" si="10"/>
        <v>1.9181297702039086</v>
      </c>
    </row>
    <row r="119" spans="6:13" x14ac:dyDescent="0.4">
      <c r="F119" s="1">
        <v>24959</v>
      </c>
      <c r="G119" s="16">
        <v>325.57</v>
      </c>
      <c r="H119" s="16">
        <f t="shared" si="6"/>
        <v>323.8624036470548</v>
      </c>
      <c r="I119">
        <f t="shared" si="7"/>
        <v>5</v>
      </c>
      <c r="J119" s="16" cm="1">
        <f t="array" ref="J119">INDEX(Sm,I119)</f>
        <v>3.0968597809913625</v>
      </c>
      <c r="K119" s="16">
        <f t="shared" si="8"/>
        <v>326.95926342804614</v>
      </c>
      <c r="L119" s="16">
        <f t="shared" si="9"/>
        <v>-1.3892634280461493</v>
      </c>
      <c r="M119" s="16">
        <f t="shared" si="10"/>
        <v>1.9300528725065382</v>
      </c>
    </row>
    <row r="120" spans="6:13" x14ac:dyDescent="0.4">
      <c r="F120" s="1">
        <v>24990</v>
      </c>
      <c r="G120" s="16">
        <v>325.36</v>
      </c>
      <c r="H120" s="16">
        <f t="shared" si="6"/>
        <v>323.9545017925916</v>
      </c>
      <c r="I120">
        <f t="shared" si="7"/>
        <v>6</v>
      </c>
      <c r="J120" s="16" cm="1">
        <f t="array" ref="J120">INDEX(Sm,I120)</f>
        <v>2.3186578027685911</v>
      </c>
      <c r="K120" s="16">
        <f t="shared" si="8"/>
        <v>326.2731595953602</v>
      </c>
      <c r="L120" s="16">
        <f t="shared" si="9"/>
        <v>-0.91315959536018454</v>
      </c>
      <c r="M120" s="16">
        <f t="shared" si="10"/>
        <v>0.83386044659837599</v>
      </c>
    </row>
    <row r="121" spans="6:13" x14ac:dyDescent="0.4">
      <c r="F121" s="1">
        <v>25020</v>
      </c>
      <c r="G121" s="16">
        <v>324.14</v>
      </c>
      <c r="H121" s="16">
        <f t="shared" si="6"/>
        <v>324.04375247602752</v>
      </c>
      <c r="I121">
        <f t="shared" si="7"/>
        <v>7</v>
      </c>
      <c r="J121" s="16" cm="1">
        <f t="array" ref="J121">INDEX(Sm,I121)</f>
        <v>0.74380149245581328</v>
      </c>
      <c r="K121" s="16">
        <f t="shared" si="8"/>
        <v>324.78755396848334</v>
      </c>
      <c r="L121" s="16">
        <f t="shared" si="9"/>
        <v>-0.64755396848335067</v>
      </c>
      <c r="M121" s="16">
        <f t="shared" si="10"/>
        <v>0.4193261420985363</v>
      </c>
    </row>
    <row r="122" spans="6:13" x14ac:dyDescent="0.4">
      <c r="F122" s="1">
        <v>25051</v>
      </c>
      <c r="G122" s="16">
        <v>322.11</v>
      </c>
      <c r="H122" s="16">
        <f t="shared" si="6"/>
        <v>324.13610592056995</v>
      </c>
      <c r="I122">
        <f t="shared" si="7"/>
        <v>8</v>
      </c>
      <c r="J122" s="16" cm="1">
        <f t="array" ref="J122">INDEX(Sm,I122)</f>
        <v>-1.3852874640433905</v>
      </c>
      <c r="K122" s="16">
        <f t="shared" si="8"/>
        <v>322.75081845652653</v>
      </c>
      <c r="L122" s="16">
        <f t="shared" si="9"/>
        <v>-0.64081845652651737</v>
      </c>
      <c r="M122" s="16">
        <f t="shared" si="10"/>
        <v>0.41064829422502802</v>
      </c>
    </row>
    <row r="123" spans="6:13" x14ac:dyDescent="0.4">
      <c r="F123" s="1">
        <v>25082</v>
      </c>
      <c r="G123" s="16">
        <v>320.33</v>
      </c>
      <c r="H123" s="16">
        <f t="shared" si="6"/>
        <v>324.22858937831768</v>
      </c>
      <c r="I123">
        <f t="shared" si="7"/>
        <v>9</v>
      </c>
      <c r="J123" s="16" cm="1">
        <f t="array" ref="J123">INDEX(Sm,I123)</f>
        <v>-3.188494698714738</v>
      </c>
      <c r="K123" s="16">
        <f t="shared" si="8"/>
        <v>321.04009467960293</v>
      </c>
      <c r="L123" s="16">
        <f t="shared" si="9"/>
        <v>-0.71009467960294614</v>
      </c>
      <c r="M123" s="16">
        <f t="shared" si="10"/>
        <v>0.50423445400041078</v>
      </c>
    </row>
    <row r="124" spans="6:13" x14ac:dyDescent="0.4">
      <c r="F124" s="1">
        <v>25112</v>
      </c>
      <c r="G124" s="16">
        <v>320.25</v>
      </c>
      <c r="H124" s="16">
        <f t="shared" si="6"/>
        <v>324.31821346100025</v>
      </c>
      <c r="I124">
        <f t="shared" si="7"/>
        <v>10</v>
      </c>
      <c r="J124" s="16" cm="1">
        <f t="array" ref="J124">INDEX(Sm,I124)</f>
        <v>-3.3139186770794531</v>
      </c>
      <c r="K124" s="16">
        <f t="shared" si="8"/>
        <v>321.00429478392078</v>
      </c>
      <c r="L124" s="16">
        <f t="shared" si="9"/>
        <v>-0.75429478392078408</v>
      </c>
      <c r="M124" s="16">
        <f t="shared" si="10"/>
        <v>0.56896062105010237</v>
      </c>
    </row>
    <row r="125" spans="6:13" x14ac:dyDescent="0.4">
      <c r="F125" s="1">
        <v>25143</v>
      </c>
      <c r="G125" s="16">
        <v>321.32</v>
      </c>
      <c r="H125" s="16">
        <f t="shared" si="6"/>
        <v>324.41095328585135</v>
      </c>
      <c r="I125">
        <f t="shared" si="7"/>
        <v>11</v>
      </c>
      <c r="J125" s="16" cm="1">
        <f t="array" ref="J125">INDEX(Sm,I125)</f>
        <v>-2.0555969925100759</v>
      </c>
      <c r="K125" s="16">
        <f t="shared" si="8"/>
        <v>322.35535629334129</v>
      </c>
      <c r="L125" s="16">
        <f t="shared" si="9"/>
        <v>-1.0353562933412945</v>
      </c>
      <c r="M125" s="16">
        <f t="shared" si="10"/>
        <v>1.0719626541614247</v>
      </c>
    </row>
    <row r="126" spans="6:13" x14ac:dyDescent="0.4">
      <c r="F126" s="1">
        <v>25173</v>
      </c>
      <c r="G126" s="16">
        <v>322.89</v>
      </c>
      <c r="H126" s="16">
        <f t="shared" si="6"/>
        <v>324.50082580935816</v>
      </c>
      <c r="I126">
        <f t="shared" si="7"/>
        <v>12</v>
      </c>
      <c r="J126" s="16" cm="1">
        <f t="array" ref="J126">INDEX(Sm,I126)</f>
        <v>-0.88675924001340456</v>
      </c>
      <c r="K126" s="16">
        <f t="shared" si="8"/>
        <v>323.61406656934474</v>
      </c>
      <c r="L126" s="16">
        <f t="shared" si="9"/>
        <v>-0.72406656934475677</v>
      </c>
      <c r="M126" s="16">
        <f t="shared" si="10"/>
        <v>0.52427239684268545</v>
      </c>
    </row>
    <row r="127" spans="6:13" x14ac:dyDescent="0.4">
      <c r="F127" s="1">
        <v>25204</v>
      </c>
      <c r="G127" s="16">
        <v>324</v>
      </c>
      <c r="H127" s="16">
        <f t="shared" si="6"/>
        <v>324.59382271197035</v>
      </c>
      <c r="I127">
        <f t="shared" si="7"/>
        <v>1</v>
      </c>
      <c r="J127" s="16" cm="1">
        <f t="array" ref="J127">INDEX(Sm,I127)</f>
        <v>-3.5406241068958691E-2</v>
      </c>
      <c r="K127" s="16">
        <f t="shared" si="8"/>
        <v>324.55841647090136</v>
      </c>
      <c r="L127" s="16">
        <f t="shared" si="9"/>
        <v>-0.55841647090136348</v>
      </c>
      <c r="M127" s="16">
        <f t="shared" si="10"/>
        <v>0.31182895497393331</v>
      </c>
    </row>
    <row r="128" spans="6:13" x14ac:dyDescent="0.4">
      <c r="F128" s="1">
        <v>25235</v>
      </c>
      <c r="G128" s="16">
        <v>324.41000000000003</v>
      </c>
      <c r="H128" s="16">
        <f t="shared" si="6"/>
        <v>324.68695053363444</v>
      </c>
      <c r="I128">
        <f t="shared" si="7"/>
        <v>2</v>
      </c>
      <c r="J128" s="16" cm="1">
        <f t="array" ref="J128">INDEX(Sm,I128)</f>
        <v>0.68063113884422577</v>
      </c>
      <c r="K128" s="16">
        <f t="shared" si="8"/>
        <v>325.36758167247865</v>
      </c>
      <c r="L128" s="16">
        <f t="shared" si="9"/>
        <v>-0.95758167247862502</v>
      </c>
      <c r="M128" s="16">
        <f t="shared" si="10"/>
        <v>0.91696265946696065</v>
      </c>
    </row>
    <row r="129" spans="6:13" x14ac:dyDescent="0.4">
      <c r="F129" s="1">
        <v>25263</v>
      </c>
      <c r="G129" s="16">
        <v>325.63</v>
      </c>
      <c r="H129" s="16">
        <f t="shared" si="6"/>
        <v>324.77117866647683</v>
      </c>
      <c r="I129">
        <f t="shared" si="7"/>
        <v>3</v>
      </c>
      <c r="J129" s="16" cm="1">
        <f t="array" ref="J129">INDEX(Sm,I129)</f>
        <v>1.3939471632320417</v>
      </c>
      <c r="K129" s="16">
        <f t="shared" si="8"/>
        <v>326.16512582970887</v>
      </c>
      <c r="L129" s="16">
        <f t="shared" si="9"/>
        <v>-0.53512582970887479</v>
      </c>
      <c r="M129" s="16">
        <f t="shared" si="10"/>
        <v>0.28635965362161164</v>
      </c>
    </row>
    <row r="130" spans="6:13" x14ac:dyDescent="0.4">
      <c r="F130" s="1">
        <v>25294</v>
      </c>
      <c r="G130" s="16">
        <v>326.66000000000003</v>
      </c>
      <c r="H130" s="16">
        <f t="shared" si="6"/>
        <v>324.86455616606315</v>
      </c>
      <c r="I130">
        <f t="shared" si="7"/>
        <v>4</v>
      </c>
      <c r="J130" s="16" cm="1">
        <f t="array" ref="J130">INDEX(Sm,I130)</f>
        <v>2.6315659351379859</v>
      </c>
      <c r="K130" s="16">
        <f t="shared" si="8"/>
        <v>327.49612210120114</v>
      </c>
      <c r="L130" s="16">
        <f t="shared" si="9"/>
        <v>-0.83612210120111286</v>
      </c>
      <c r="M130" s="16">
        <f t="shared" si="10"/>
        <v>0.69910016811696396</v>
      </c>
    </row>
    <row r="131" spans="6:13" x14ac:dyDescent="0.4">
      <c r="F131" s="1">
        <v>25324</v>
      </c>
      <c r="G131" s="16">
        <v>327.38</v>
      </c>
      <c r="H131" s="16">
        <f t="shared" ref="H131:H194" si="11">EXP(_A*F131+_B)+_C</f>
        <v>324.95504664887409</v>
      </c>
      <c r="I131">
        <f t="shared" ref="I131:I194" si="12">MONTH(F131)</f>
        <v>5</v>
      </c>
      <c r="J131" s="16" cm="1">
        <f t="array" ref="J131">INDEX(Sm,I131)</f>
        <v>3.0968597809913625</v>
      </c>
      <c r="K131" s="16">
        <f t="shared" ref="K131:K194" si="13">H131+J131</f>
        <v>328.05190642986543</v>
      </c>
      <c r="L131" s="16">
        <f t="shared" ref="L131:L194" si="14">G131-K131</f>
        <v>-0.67190642986543025</v>
      </c>
      <c r="M131" s="16">
        <f t="shared" ref="M131:M194" si="15">L131*L131</f>
        <v>0.45145825049450833</v>
      </c>
    </row>
    <row r="132" spans="6:13" x14ac:dyDescent="0.4">
      <c r="F132" s="1">
        <v>25355</v>
      </c>
      <c r="G132" s="16">
        <v>326.70999999999998</v>
      </c>
      <c r="H132" s="16">
        <f t="shared" si="11"/>
        <v>325.0486829938763</v>
      </c>
      <c r="I132">
        <f t="shared" si="12"/>
        <v>6</v>
      </c>
      <c r="J132" s="16" cm="1">
        <f t="array" ref="J132">INDEX(Sm,I132)</f>
        <v>2.3186578027685911</v>
      </c>
      <c r="K132" s="16">
        <f t="shared" si="13"/>
        <v>327.3673407966449</v>
      </c>
      <c r="L132" s="16">
        <f t="shared" si="14"/>
        <v>-0.65734079664491674</v>
      </c>
      <c r="M132" s="16">
        <f t="shared" si="15"/>
        <v>0.43209692293377377</v>
      </c>
    </row>
    <row r="133" spans="6:13" x14ac:dyDescent="0.4">
      <c r="F133" s="1">
        <v>25385</v>
      </c>
      <c r="G133" s="16">
        <v>325.88</v>
      </c>
      <c r="H133" s="16">
        <f t="shared" si="11"/>
        <v>325.13942431920032</v>
      </c>
      <c r="I133">
        <f t="shared" si="12"/>
        <v>7</v>
      </c>
      <c r="J133" s="16" cm="1">
        <f t="array" ref="J133">INDEX(Sm,I133)</f>
        <v>0.74380149245581328</v>
      </c>
      <c r="K133" s="16">
        <f t="shared" si="13"/>
        <v>325.88322581165613</v>
      </c>
      <c r="L133" s="16">
        <f t="shared" si="14"/>
        <v>-3.2258116561365568E-3</v>
      </c>
      <c r="M133" s="16">
        <f t="shared" si="15"/>
        <v>1.0405860840866475E-5</v>
      </c>
    </row>
    <row r="134" spans="6:13" x14ac:dyDescent="0.4">
      <c r="F134" s="1">
        <v>25416</v>
      </c>
      <c r="G134" s="16">
        <v>323.66000000000003</v>
      </c>
      <c r="H134" s="16">
        <f t="shared" si="11"/>
        <v>325.23332022714624</v>
      </c>
      <c r="I134">
        <f t="shared" si="12"/>
        <v>8</v>
      </c>
      <c r="J134" s="16" cm="1">
        <f t="array" ref="J134">INDEX(Sm,I134)</f>
        <v>-1.3852874640433905</v>
      </c>
      <c r="K134" s="16">
        <f t="shared" si="13"/>
        <v>323.84803276310282</v>
      </c>
      <c r="L134" s="16">
        <f t="shared" si="14"/>
        <v>-0.18803276310279671</v>
      </c>
      <c r="M134" s="16">
        <f t="shared" si="15"/>
        <v>3.5356320000072466E-2</v>
      </c>
    </row>
    <row r="135" spans="6:13" x14ac:dyDescent="0.4">
      <c r="F135" s="1">
        <v>25447</v>
      </c>
      <c r="G135" s="16">
        <v>322.38</v>
      </c>
      <c r="H135" s="16">
        <f t="shared" si="11"/>
        <v>325.32734831974449</v>
      </c>
      <c r="I135">
        <f t="shared" si="12"/>
        <v>9</v>
      </c>
      <c r="J135" s="16" cm="1">
        <f t="array" ref="J135">INDEX(Sm,I135)</f>
        <v>-3.188494698714738</v>
      </c>
      <c r="K135" s="16">
        <f t="shared" si="13"/>
        <v>322.13885362102974</v>
      </c>
      <c r="L135" s="16">
        <f t="shared" si="14"/>
        <v>0.24114637897025659</v>
      </c>
      <c r="M135" s="16">
        <f t="shared" si="15"/>
        <v>5.815157609046661E-2</v>
      </c>
    </row>
    <row r="136" spans="6:13" x14ac:dyDescent="0.4">
      <c r="F136" s="1">
        <v>25477</v>
      </c>
      <c r="G136" s="16">
        <v>321.77999999999997</v>
      </c>
      <c r="H136" s="16">
        <f t="shared" si="11"/>
        <v>325.41846928073312</v>
      </c>
      <c r="I136">
        <f t="shared" si="12"/>
        <v>10</v>
      </c>
      <c r="J136" s="16" cm="1">
        <f t="array" ref="J136">INDEX(Sm,I136)</f>
        <v>-3.3139186770794531</v>
      </c>
      <c r="K136" s="16">
        <f t="shared" si="13"/>
        <v>322.10455060365365</v>
      </c>
      <c r="L136" s="16">
        <f t="shared" si="14"/>
        <v>-0.32455060365367672</v>
      </c>
      <c r="M136" s="16">
        <f t="shared" si="15"/>
        <v>0.10533309433196596</v>
      </c>
    </row>
    <row r="137" spans="6:13" x14ac:dyDescent="0.4">
      <c r="F137" s="1">
        <v>25508</v>
      </c>
      <c r="G137" s="16">
        <v>322.85000000000002</v>
      </c>
      <c r="H137" s="16">
        <f t="shared" si="11"/>
        <v>325.51275802221193</v>
      </c>
      <c r="I137">
        <f t="shared" si="12"/>
        <v>11</v>
      </c>
      <c r="J137" s="16" cm="1">
        <f t="array" ref="J137">INDEX(Sm,I137)</f>
        <v>-2.0555969925100759</v>
      </c>
      <c r="K137" s="16">
        <f t="shared" si="13"/>
        <v>323.45716102970187</v>
      </c>
      <c r="L137" s="16">
        <f t="shared" si="14"/>
        <v>-0.60716102970184238</v>
      </c>
      <c r="M137" s="16">
        <f t="shared" si="15"/>
        <v>0.36864451598860154</v>
      </c>
    </row>
    <row r="138" spans="6:13" x14ac:dyDescent="0.4">
      <c r="F138" s="1">
        <v>25538</v>
      </c>
      <c r="G138" s="16">
        <v>324.12</v>
      </c>
      <c r="H138" s="16">
        <f t="shared" si="11"/>
        <v>325.60413157341918</v>
      </c>
      <c r="I138">
        <f t="shared" si="12"/>
        <v>12</v>
      </c>
      <c r="J138" s="16" cm="1">
        <f t="array" ref="J138">INDEX(Sm,I138)</f>
        <v>-0.88675924001340456</v>
      </c>
      <c r="K138" s="16">
        <f t="shared" si="13"/>
        <v>324.71737233340576</v>
      </c>
      <c r="L138" s="16">
        <f t="shared" si="14"/>
        <v>-0.59737233340575813</v>
      </c>
      <c r="M138" s="16">
        <f t="shared" si="15"/>
        <v>0.35685370471864025</v>
      </c>
    </row>
    <row r="139" spans="6:13" x14ac:dyDescent="0.4">
      <c r="F139" s="1">
        <v>25569</v>
      </c>
      <c r="G139" s="16">
        <v>325.06</v>
      </c>
      <c r="H139" s="16">
        <f t="shared" si="11"/>
        <v>325.69868168630558</v>
      </c>
      <c r="I139">
        <f t="shared" si="12"/>
        <v>1</v>
      </c>
      <c r="J139" s="16" cm="1">
        <f t="array" ref="J139">INDEX(Sm,I139)</f>
        <v>-3.5406241068958691E-2</v>
      </c>
      <c r="K139" s="16">
        <f t="shared" si="13"/>
        <v>325.66327544523659</v>
      </c>
      <c r="L139" s="16">
        <f t="shared" si="14"/>
        <v>-0.60327544523659071</v>
      </c>
      <c r="M139" s="16">
        <f t="shared" si="15"/>
        <v>0.36394126282540679</v>
      </c>
    </row>
    <row r="140" spans="6:13" x14ac:dyDescent="0.4">
      <c r="F140" s="1">
        <v>25600</v>
      </c>
      <c r="G140" s="16">
        <v>325.98</v>
      </c>
      <c r="H140" s="16">
        <f t="shared" si="11"/>
        <v>325.79336490482018</v>
      </c>
      <c r="I140">
        <f t="shared" si="12"/>
        <v>2</v>
      </c>
      <c r="J140" s="16" cm="1">
        <f t="array" ref="J140">INDEX(Sm,I140)</f>
        <v>0.68063113884422577</v>
      </c>
      <c r="K140" s="16">
        <f t="shared" si="13"/>
        <v>326.47399604366439</v>
      </c>
      <c r="L140" s="16">
        <f t="shared" si="14"/>
        <v>-0.49399604366436733</v>
      </c>
      <c r="M140" s="16">
        <f t="shared" si="15"/>
        <v>0.24403209115604751</v>
      </c>
    </row>
    <row r="141" spans="6:13" x14ac:dyDescent="0.4">
      <c r="F141" s="1">
        <v>25628</v>
      </c>
      <c r="G141" s="16">
        <v>326.93</v>
      </c>
      <c r="H141" s="16">
        <f t="shared" si="11"/>
        <v>325.87899979420632</v>
      </c>
      <c r="I141">
        <f t="shared" si="12"/>
        <v>3</v>
      </c>
      <c r="J141" s="16" cm="1">
        <f t="array" ref="J141">INDEX(Sm,I141)</f>
        <v>1.3939471632320417</v>
      </c>
      <c r="K141" s="16">
        <f t="shared" si="13"/>
        <v>327.27294695743836</v>
      </c>
      <c r="L141" s="16">
        <f t="shared" si="14"/>
        <v>-0.34294695743835746</v>
      </c>
      <c r="M141" s="16">
        <f t="shared" si="15"/>
        <v>0.11761261561622656</v>
      </c>
    </row>
    <row r="142" spans="6:13" x14ac:dyDescent="0.4">
      <c r="F142" s="1">
        <v>25659</v>
      </c>
      <c r="G142" s="16">
        <v>328.13</v>
      </c>
      <c r="H142" s="16">
        <f t="shared" si="11"/>
        <v>325.97393686069938</v>
      </c>
      <c r="I142">
        <f t="shared" si="12"/>
        <v>4</v>
      </c>
      <c r="J142" s="16" cm="1">
        <f t="array" ref="J142">INDEX(Sm,I142)</f>
        <v>2.6315659351379859</v>
      </c>
      <c r="K142" s="16">
        <f t="shared" si="13"/>
        <v>328.60550279583737</v>
      </c>
      <c r="L142" s="16">
        <f t="shared" si="14"/>
        <v>-0.47550279583737165</v>
      </c>
      <c r="M142" s="16">
        <f t="shared" si="15"/>
        <v>0.22610290884915715</v>
      </c>
    </row>
    <row r="143" spans="6:13" x14ac:dyDescent="0.4">
      <c r="F143" s="1">
        <v>25689</v>
      </c>
      <c r="G143" s="16">
        <v>328.08</v>
      </c>
      <c r="H143" s="16">
        <f t="shared" si="11"/>
        <v>326.06593869220762</v>
      </c>
      <c r="I143">
        <f t="shared" si="12"/>
        <v>5</v>
      </c>
      <c r="J143" s="16" cm="1">
        <f t="array" ref="J143">INDEX(Sm,I143)</f>
        <v>3.0968597809913625</v>
      </c>
      <c r="K143" s="16">
        <f t="shared" si="13"/>
        <v>329.16279847319896</v>
      </c>
      <c r="L143" s="16">
        <f t="shared" si="14"/>
        <v>-1.0827984731989773</v>
      </c>
      <c r="M143" s="16">
        <f t="shared" si="15"/>
        <v>1.1724525335620364</v>
      </c>
    </row>
    <row r="144" spans="6:13" x14ac:dyDescent="0.4">
      <c r="F144" s="1">
        <v>25720</v>
      </c>
      <c r="G144" s="16">
        <v>327.67</v>
      </c>
      <c r="H144" s="16">
        <f t="shared" si="11"/>
        <v>326.16113892728589</v>
      </c>
      <c r="I144">
        <f t="shared" si="12"/>
        <v>6</v>
      </c>
      <c r="J144" s="16" cm="1">
        <f t="array" ref="J144">INDEX(Sm,I144)</f>
        <v>2.3186578027685911</v>
      </c>
      <c r="K144" s="16">
        <f t="shared" si="13"/>
        <v>328.47979673005449</v>
      </c>
      <c r="L144" s="16">
        <f t="shared" si="14"/>
        <v>-0.80979673005447239</v>
      </c>
      <c r="M144" s="16">
        <f t="shared" si="15"/>
        <v>0.65577074400691604</v>
      </c>
    </row>
    <row r="145" spans="6:13" x14ac:dyDescent="0.4">
      <c r="F145" s="1">
        <v>25750</v>
      </c>
      <c r="G145" s="16">
        <v>326.33999999999997</v>
      </c>
      <c r="H145" s="16">
        <f t="shared" si="11"/>
        <v>326.25339579081412</v>
      </c>
      <c r="I145">
        <f t="shared" si="12"/>
        <v>7</v>
      </c>
      <c r="J145" s="16" cm="1">
        <f t="array" ref="J145">INDEX(Sm,I145)</f>
        <v>0.74380149245581328</v>
      </c>
      <c r="K145" s="16">
        <f t="shared" si="13"/>
        <v>326.99719728326994</v>
      </c>
      <c r="L145" s="16">
        <f t="shared" si="14"/>
        <v>-0.65719728326996574</v>
      </c>
      <c r="M145" s="16">
        <f t="shared" si="15"/>
        <v>0.43190826913742358</v>
      </c>
    </row>
    <row r="146" spans="6:13" x14ac:dyDescent="0.4">
      <c r="F146" s="1">
        <v>25781</v>
      </c>
      <c r="G146" s="16">
        <v>324.69</v>
      </c>
      <c r="H146" s="16">
        <f t="shared" si="11"/>
        <v>326.34885992398938</v>
      </c>
      <c r="I146">
        <f t="shared" si="12"/>
        <v>8</v>
      </c>
      <c r="J146" s="16" cm="1">
        <f t="array" ref="J146">INDEX(Sm,I146)</f>
        <v>-1.3852874640433905</v>
      </c>
      <c r="K146" s="16">
        <f t="shared" si="13"/>
        <v>324.96357245994596</v>
      </c>
      <c r="L146" s="16">
        <f t="shared" si="14"/>
        <v>-0.27357245994596724</v>
      </c>
      <c r="M146" s="16">
        <f t="shared" si="15"/>
        <v>7.4841890840887854E-2</v>
      </c>
    </row>
    <row r="147" spans="6:13" x14ac:dyDescent="0.4">
      <c r="F147" s="1">
        <v>25812</v>
      </c>
      <c r="G147" s="16">
        <v>323.10000000000002</v>
      </c>
      <c r="H147" s="16">
        <f t="shared" si="11"/>
        <v>326.44445844953106</v>
      </c>
      <c r="I147">
        <f t="shared" si="12"/>
        <v>9</v>
      </c>
      <c r="J147" s="16" cm="1">
        <f t="array" ref="J147">INDEX(Sm,I147)</f>
        <v>-3.188494698714738</v>
      </c>
      <c r="K147" s="16">
        <f t="shared" si="13"/>
        <v>323.25596375081631</v>
      </c>
      <c r="L147" s="16">
        <f t="shared" si="14"/>
        <v>-0.15596375081628366</v>
      </c>
      <c r="M147" s="16">
        <f t="shared" si="15"/>
        <v>2.4324691568683825E-2</v>
      </c>
    </row>
    <row r="148" spans="6:13" x14ac:dyDescent="0.4">
      <c r="F148" s="1">
        <v>25842</v>
      </c>
      <c r="G148" s="16">
        <v>323.06</v>
      </c>
      <c r="H148" s="16">
        <f t="shared" si="11"/>
        <v>326.53710128930072</v>
      </c>
      <c r="I148">
        <f t="shared" si="12"/>
        <v>10</v>
      </c>
      <c r="J148" s="16" cm="1">
        <f t="array" ref="J148">INDEX(Sm,I148)</f>
        <v>-3.3139186770794531</v>
      </c>
      <c r="K148" s="16">
        <f t="shared" si="13"/>
        <v>323.22318261222125</v>
      </c>
      <c r="L148" s="16">
        <f t="shared" si="14"/>
        <v>-0.16318261222124875</v>
      </c>
      <c r="M148" s="16">
        <f t="shared" si="15"/>
        <v>2.6628564931350442E-2</v>
      </c>
    </row>
    <row r="149" spans="6:13" x14ac:dyDescent="0.4">
      <c r="F149" s="1">
        <v>25873</v>
      </c>
      <c r="G149" s="16">
        <v>324.01</v>
      </c>
      <c r="H149" s="16">
        <f t="shared" si="11"/>
        <v>326.63296481701332</v>
      </c>
      <c r="I149">
        <f t="shared" si="12"/>
        <v>11</v>
      </c>
      <c r="J149" s="16" cm="1">
        <f t="array" ref="J149">INDEX(Sm,I149)</f>
        <v>-2.0555969925100759</v>
      </c>
      <c r="K149" s="16">
        <f t="shared" si="13"/>
        <v>324.57736782450326</v>
      </c>
      <c r="L149" s="16">
        <f t="shared" si="14"/>
        <v>-0.56736782450326473</v>
      </c>
      <c r="M149" s="16">
        <f t="shared" si="15"/>
        <v>0.32190624828156739</v>
      </c>
    </row>
    <row r="150" spans="6:13" x14ac:dyDescent="0.4">
      <c r="F150" s="1">
        <v>25903</v>
      </c>
      <c r="G150" s="16">
        <v>325.13</v>
      </c>
      <c r="H150" s="16">
        <f t="shared" si="11"/>
        <v>326.72586446569841</v>
      </c>
      <c r="I150">
        <f t="shared" si="12"/>
        <v>12</v>
      </c>
      <c r="J150" s="16" cm="1">
        <f t="array" ref="J150">INDEX(Sm,I150)</f>
        <v>-0.88675924001340456</v>
      </c>
      <c r="K150" s="16">
        <f t="shared" si="13"/>
        <v>325.83910522568499</v>
      </c>
      <c r="L150" s="16">
        <f t="shared" si="14"/>
        <v>-0.70910522568499346</v>
      </c>
      <c r="M150" s="16">
        <f t="shared" si="15"/>
        <v>0.50283022109376552</v>
      </c>
    </row>
    <row r="151" spans="6:13" x14ac:dyDescent="0.4">
      <c r="F151" s="1">
        <v>25934</v>
      </c>
      <c r="G151" s="16">
        <v>326.17</v>
      </c>
      <c r="H151" s="16">
        <f t="shared" si="11"/>
        <v>326.8219937301763</v>
      </c>
      <c r="I151">
        <f t="shared" si="12"/>
        <v>1</v>
      </c>
      <c r="J151" s="16" cm="1">
        <f t="array" ref="J151">INDEX(Sm,I151)</f>
        <v>-3.5406241068958691E-2</v>
      </c>
      <c r="K151" s="16">
        <f t="shared" si="13"/>
        <v>326.78658748910732</v>
      </c>
      <c r="L151" s="16">
        <f t="shared" si="14"/>
        <v>-0.6165874891073031</v>
      </c>
      <c r="M151" s="16">
        <f t="shared" si="15"/>
        <v>0.38018013172364862</v>
      </c>
    </row>
    <row r="152" spans="6:13" x14ac:dyDescent="0.4">
      <c r="F152" s="1">
        <v>25965</v>
      </c>
      <c r="G152" s="16">
        <v>326.68</v>
      </c>
      <c r="H152" s="16">
        <f t="shared" si="11"/>
        <v>326.91825832337815</v>
      </c>
      <c r="I152">
        <f t="shared" si="12"/>
        <v>2</v>
      </c>
      <c r="J152" s="16" cm="1">
        <f t="array" ref="J152">INDEX(Sm,I152)</f>
        <v>0.68063113884422577</v>
      </c>
      <c r="K152" s="16">
        <f t="shared" si="13"/>
        <v>327.59888946222236</v>
      </c>
      <c r="L152" s="16">
        <f t="shared" si="14"/>
        <v>-0.9188894622223529</v>
      </c>
      <c r="M152" s="16">
        <f t="shared" si="15"/>
        <v>0.84435784378328493</v>
      </c>
    </row>
    <row r="153" spans="6:13" x14ac:dyDescent="0.4">
      <c r="F153" s="1">
        <v>25993</v>
      </c>
      <c r="G153" s="16">
        <v>327.17</v>
      </c>
      <c r="H153" s="16">
        <f t="shared" si="11"/>
        <v>327.00532346459306</v>
      </c>
      <c r="I153">
        <f t="shared" si="12"/>
        <v>3</v>
      </c>
      <c r="J153" s="16" cm="1">
        <f t="array" ref="J153">INDEX(Sm,I153)</f>
        <v>1.3939471632320417</v>
      </c>
      <c r="K153" s="16">
        <f t="shared" si="13"/>
        <v>328.3992706278251</v>
      </c>
      <c r="L153" s="16">
        <f t="shared" si="14"/>
        <v>-1.2292706278250876</v>
      </c>
      <c r="M153" s="16">
        <f t="shared" si="15"/>
        <v>1.5111062764334848</v>
      </c>
    </row>
    <row r="154" spans="6:13" x14ac:dyDescent="0.4">
      <c r="F154" s="1">
        <v>26024</v>
      </c>
      <c r="G154" s="16">
        <v>327.79</v>
      </c>
      <c r="H154" s="16">
        <f t="shared" si="11"/>
        <v>327.10184614547688</v>
      </c>
      <c r="I154">
        <f t="shared" si="12"/>
        <v>4</v>
      </c>
      <c r="J154" s="16" cm="1">
        <f t="array" ref="J154">INDEX(Sm,I154)</f>
        <v>2.6315659351379859</v>
      </c>
      <c r="K154" s="16">
        <f t="shared" si="13"/>
        <v>329.73341208061487</v>
      </c>
      <c r="L154" s="16">
        <f t="shared" si="14"/>
        <v>-1.9434120806148485</v>
      </c>
      <c r="M154" s="16">
        <f t="shared" si="15"/>
        <v>3.7768505150797345</v>
      </c>
    </row>
    <row r="155" spans="6:13" x14ac:dyDescent="0.4">
      <c r="F155" s="1">
        <v>26054</v>
      </c>
      <c r="G155" s="16">
        <v>328.93</v>
      </c>
      <c r="H155" s="16">
        <f t="shared" si="11"/>
        <v>327.19538456783846</v>
      </c>
      <c r="I155">
        <f t="shared" si="12"/>
        <v>5</v>
      </c>
      <c r="J155" s="16" cm="1">
        <f t="array" ref="J155">INDEX(Sm,I155)</f>
        <v>3.0968597809913625</v>
      </c>
      <c r="K155" s="16">
        <f t="shared" si="13"/>
        <v>330.2922443488298</v>
      </c>
      <c r="L155" s="16">
        <f t="shared" si="14"/>
        <v>-1.3622443488297904</v>
      </c>
      <c r="M155" s="16">
        <f t="shared" si="15"/>
        <v>1.8557096659186996</v>
      </c>
    </row>
    <row r="156" spans="6:13" x14ac:dyDescent="0.4">
      <c r="F156" s="1">
        <v>26085</v>
      </c>
      <c r="G156" s="16">
        <v>328.57</v>
      </c>
      <c r="H156" s="16">
        <f t="shared" si="11"/>
        <v>327.29217481268142</v>
      </c>
      <c r="I156">
        <f t="shared" si="12"/>
        <v>6</v>
      </c>
      <c r="J156" s="16" cm="1">
        <f t="array" ref="J156">INDEX(Sm,I156)</f>
        <v>2.3186578027685911</v>
      </c>
      <c r="K156" s="16">
        <f t="shared" si="13"/>
        <v>329.61083261545002</v>
      </c>
      <c r="L156" s="16">
        <f t="shared" si="14"/>
        <v>-1.0408326154500287</v>
      </c>
      <c r="M156" s="16">
        <f t="shared" si="15"/>
        <v>1.0833325333845474</v>
      </c>
    </row>
    <row r="157" spans="6:13" x14ac:dyDescent="0.4">
      <c r="F157" s="1">
        <v>26115</v>
      </c>
      <c r="G157" s="16">
        <v>327.36</v>
      </c>
      <c r="H157" s="16">
        <f t="shared" si="11"/>
        <v>327.38597252654199</v>
      </c>
      <c r="I157">
        <f t="shared" si="12"/>
        <v>7</v>
      </c>
      <c r="J157" s="16" cm="1">
        <f t="array" ref="J157">INDEX(Sm,I157)</f>
        <v>0.74380149245581328</v>
      </c>
      <c r="K157" s="16">
        <f t="shared" si="13"/>
        <v>328.12977401899781</v>
      </c>
      <c r="L157" s="16">
        <f t="shared" si="14"/>
        <v>-0.76977401899779352</v>
      </c>
      <c r="M157" s="16">
        <f t="shared" si="15"/>
        <v>0.59255204032401543</v>
      </c>
    </row>
    <row r="158" spans="6:13" x14ac:dyDescent="0.4">
      <c r="F158" s="1">
        <v>26146</v>
      </c>
      <c r="G158" s="16">
        <v>325.43</v>
      </c>
      <c r="H158" s="16">
        <f t="shared" si="11"/>
        <v>327.48303107703975</v>
      </c>
      <c r="I158">
        <f t="shared" si="12"/>
        <v>8</v>
      </c>
      <c r="J158" s="16" cm="1">
        <f t="array" ref="J158">INDEX(Sm,I158)</f>
        <v>-1.3852874640433905</v>
      </c>
      <c r="K158" s="16">
        <f t="shared" si="13"/>
        <v>326.09774361299634</v>
      </c>
      <c r="L158" s="16">
        <f t="shared" si="14"/>
        <v>-0.66774361299633256</v>
      </c>
      <c r="M158" s="16">
        <f t="shared" si="15"/>
        <v>0.44588153269739594</v>
      </c>
    </row>
    <row r="159" spans="6:13" x14ac:dyDescent="0.4">
      <c r="F159" s="1">
        <v>26177</v>
      </c>
      <c r="G159" s="16">
        <v>323.36</v>
      </c>
      <c r="H159" s="16">
        <f t="shared" si="11"/>
        <v>327.58022626449053</v>
      </c>
      <c r="I159">
        <f t="shared" si="12"/>
        <v>9</v>
      </c>
      <c r="J159" s="16" cm="1">
        <f t="array" ref="J159">INDEX(Sm,I159)</f>
        <v>-3.188494698714738</v>
      </c>
      <c r="K159" s="16">
        <f t="shared" si="13"/>
        <v>324.39173156577579</v>
      </c>
      <c r="L159" s="16">
        <f t="shared" si="14"/>
        <v>-1.0317315657757717</v>
      </c>
      <c r="M159" s="16">
        <f t="shared" si="15"/>
        <v>1.0644700238181257</v>
      </c>
    </row>
    <row r="160" spans="6:13" x14ac:dyDescent="0.4">
      <c r="F160" s="1">
        <v>26207</v>
      </c>
      <c r="G160" s="16">
        <v>323.56</v>
      </c>
      <c r="H160" s="16">
        <f t="shared" si="11"/>
        <v>327.67441640106824</v>
      </c>
      <c r="I160">
        <f t="shared" si="12"/>
        <v>10</v>
      </c>
      <c r="J160" s="16" cm="1">
        <f t="array" ref="J160">INDEX(Sm,I160)</f>
        <v>-3.3139186770794531</v>
      </c>
      <c r="K160" s="16">
        <f t="shared" si="13"/>
        <v>324.36049772398877</v>
      </c>
      <c r="L160" s="16">
        <f t="shared" si="14"/>
        <v>-0.80049772398876939</v>
      </c>
      <c r="M160" s="16">
        <f t="shared" si="15"/>
        <v>0.64079660611120004</v>
      </c>
    </row>
    <row r="161" spans="6:13" x14ac:dyDescent="0.4">
      <c r="F161" s="1">
        <v>26238</v>
      </c>
      <c r="G161" s="16">
        <v>324.8</v>
      </c>
      <c r="H161" s="16">
        <f t="shared" si="11"/>
        <v>327.77188101668776</v>
      </c>
      <c r="I161">
        <f t="shared" si="12"/>
        <v>11</v>
      </c>
      <c r="J161" s="16" cm="1">
        <f t="array" ref="J161">INDEX(Sm,I161)</f>
        <v>-2.0555969925100759</v>
      </c>
      <c r="K161" s="16">
        <f t="shared" si="13"/>
        <v>325.7162840241777</v>
      </c>
      <c r="L161" s="16">
        <f t="shared" si="14"/>
        <v>-0.91628402417768484</v>
      </c>
      <c r="M161" s="16">
        <f t="shared" si="15"/>
        <v>0.83957641296325214</v>
      </c>
    </row>
    <row r="162" spans="6:13" x14ac:dyDescent="0.4">
      <c r="F162" s="1">
        <v>26268</v>
      </c>
      <c r="G162" s="16">
        <v>326.01</v>
      </c>
      <c r="H162" s="16">
        <f t="shared" si="11"/>
        <v>327.8663322513371</v>
      </c>
      <c r="I162">
        <f t="shared" si="12"/>
        <v>12</v>
      </c>
      <c r="J162" s="16" cm="1">
        <f t="array" ref="J162">INDEX(Sm,I162)</f>
        <v>-0.88675924001340456</v>
      </c>
      <c r="K162" s="16">
        <f t="shared" si="13"/>
        <v>326.97957301132368</v>
      </c>
      <c r="L162" s="16">
        <f t="shared" si="14"/>
        <v>-0.96957301132368912</v>
      </c>
      <c r="M162" s="16">
        <f t="shared" si="15"/>
        <v>0.94007182428728653</v>
      </c>
    </row>
    <row r="163" spans="6:13" x14ac:dyDescent="0.4">
      <c r="F163" s="1">
        <v>26299</v>
      </c>
      <c r="G163" s="16">
        <v>326.77</v>
      </c>
      <c r="H163" s="16">
        <f t="shared" si="11"/>
        <v>327.96406704198898</v>
      </c>
      <c r="I163">
        <f t="shared" si="12"/>
        <v>1</v>
      </c>
      <c r="J163" s="16" cm="1">
        <f t="array" ref="J163">INDEX(Sm,I163)</f>
        <v>-3.5406241068958691E-2</v>
      </c>
      <c r="K163" s="16">
        <f t="shared" si="13"/>
        <v>327.92866080092</v>
      </c>
      <c r="L163" s="16">
        <f t="shared" si="14"/>
        <v>-1.1586608009200177</v>
      </c>
      <c r="M163" s="16">
        <f t="shared" si="15"/>
        <v>1.3424948515886168</v>
      </c>
    </row>
    <row r="164" spans="6:13" x14ac:dyDescent="0.4">
      <c r="F164" s="1">
        <v>26330</v>
      </c>
      <c r="G164" s="16">
        <v>327.63</v>
      </c>
      <c r="H164" s="16">
        <f t="shared" si="11"/>
        <v>328.06193942159024</v>
      </c>
      <c r="I164">
        <f t="shared" si="12"/>
        <v>2</v>
      </c>
      <c r="J164" s="16" cm="1">
        <f t="array" ref="J164">INDEX(Sm,I164)</f>
        <v>0.68063113884422577</v>
      </c>
      <c r="K164" s="16">
        <f t="shared" si="13"/>
        <v>328.74257056043444</v>
      </c>
      <c r="L164" s="16">
        <f t="shared" si="14"/>
        <v>-1.1125705604344489</v>
      </c>
      <c r="M164" s="16">
        <f t="shared" si="15"/>
        <v>1.2378132519454237</v>
      </c>
    </row>
    <row r="165" spans="6:13" x14ac:dyDescent="0.4">
      <c r="F165" s="1">
        <v>26359</v>
      </c>
      <c r="G165" s="16">
        <v>327.75</v>
      </c>
      <c r="H165" s="16">
        <f t="shared" si="11"/>
        <v>328.15362218593395</v>
      </c>
      <c r="I165">
        <f t="shared" si="12"/>
        <v>3</v>
      </c>
      <c r="J165" s="16" cm="1">
        <f t="array" ref="J165">INDEX(Sm,I165)</f>
        <v>1.3939471632320417</v>
      </c>
      <c r="K165" s="16">
        <f t="shared" si="13"/>
        <v>329.547569349166</v>
      </c>
      <c r="L165" s="16">
        <f t="shared" si="14"/>
        <v>-1.7975693491659968</v>
      </c>
      <c r="M165" s="16">
        <f t="shared" si="15"/>
        <v>3.231255565061065</v>
      </c>
    </row>
    <row r="166" spans="6:13" x14ac:dyDescent="0.4">
      <c r="F166" s="1">
        <v>26390</v>
      </c>
      <c r="G166" s="16">
        <v>329.72</v>
      </c>
      <c r="H166" s="16">
        <f t="shared" si="11"/>
        <v>328.25176141721556</v>
      </c>
      <c r="I166">
        <f t="shared" si="12"/>
        <v>4</v>
      </c>
      <c r="J166" s="16" cm="1">
        <f t="array" ref="J166">INDEX(Sm,I166)</f>
        <v>2.6315659351379859</v>
      </c>
      <c r="K166" s="16">
        <f t="shared" si="13"/>
        <v>330.88332735235355</v>
      </c>
      <c r="L166" s="16">
        <f t="shared" si="14"/>
        <v>-1.1633273523535195</v>
      </c>
      <c r="M166" s="16">
        <f t="shared" si="15"/>
        <v>1.3533305287338497</v>
      </c>
    </row>
    <row r="167" spans="6:13" x14ac:dyDescent="0.4">
      <c r="F167" s="1">
        <v>26420</v>
      </c>
      <c r="G167" s="16">
        <v>330.07</v>
      </c>
      <c r="H167" s="16">
        <f t="shared" si="11"/>
        <v>328.34686640996773</v>
      </c>
      <c r="I167">
        <f t="shared" si="12"/>
        <v>5</v>
      </c>
      <c r="J167" s="16" cm="1">
        <f t="array" ref="J167">INDEX(Sm,I167)</f>
        <v>3.0968597809913625</v>
      </c>
      <c r="K167" s="16">
        <f t="shared" si="13"/>
        <v>331.44372619095907</v>
      </c>
      <c r="L167" s="16">
        <f t="shared" si="14"/>
        <v>-1.3737261909590757</v>
      </c>
      <c r="M167" s="16">
        <f t="shared" si="15"/>
        <v>1.8871236477269309</v>
      </c>
    </row>
    <row r="168" spans="6:13" x14ac:dyDescent="0.4">
      <c r="F168" s="1">
        <v>26451</v>
      </c>
      <c r="G168" s="16">
        <v>329.09</v>
      </c>
      <c r="H168" s="16">
        <f t="shared" si="11"/>
        <v>328.44527768633782</v>
      </c>
      <c r="I168">
        <f t="shared" si="12"/>
        <v>6</v>
      </c>
      <c r="J168" s="16" cm="1">
        <f t="array" ref="J168">INDEX(Sm,I168)</f>
        <v>2.3186578027685911</v>
      </c>
      <c r="K168" s="16">
        <f t="shared" si="13"/>
        <v>330.76393548910642</v>
      </c>
      <c r="L168" s="16">
        <f t="shared" si="14"/>
        <v>-1.6739354891064409</v>
      </c>
      <c r="M168" s="16">
        <f t="shared" si="15"/>
        <v>2.8020600216900196</v>
      </c>
    </row>
    <row r="169" spans="6:13" x14ac:dyDescent="0.4">
      <c r="F169" s="1">
        <v>26481</v>
      </c>
      <c r="G169" s="16">
        <v>328.04</v>
      </c>
      <c r="H169" s="16">
        <f t="shared" si="11"/>
        <v>328.54064631317215</v>
      </c>
      <c r="I169">
        <f t="shared" si="12"/>
        <v>7</v>
      </c>
      <c r="J169" s="16" cm="1">
        <f t="array" ref="J169">INDEX(Sm,I169)</f>
        <v>0.74380149245581328</v>
      </c>
      <c r="K169" s="16">
        <f t="shared" si="13"/>
        <v>329.28444780562796</v>
      </c>
      <c r="L169" s="16">
        <f t="shared" si="14"/>
        <v>-1.2444478056279422</v>
      </c>
      <c r="M169" s="16">
        <f t="shared" si="15"/>
        <v>1.5486503409322006</v>
      </c>
    </row>
    <row r="170" spans="6:13" x14ac:dyDescent="0.4">
      <c r="F170" s="1">
        <v>26512</v>
      </c>
      <c r="G170" s="16">
        <v>326.32</v>
      </c>
      <c r="H170" s="16">
        <f t="shared" si="11"/>
        <v>328.63933038874848</v>
      </c>
      <c r="I170">
        <f t="shared" si="12"/>
        <v>8</v>
      </c>
      <c r="J170" s="16" cm="1">
        <f t="array" ref="J170">INDEX(Sm,I170)</f>
        <v>-1.3852874640433905</v>
      </c>
      <c r="K170" s="16">
        <f t="shared" si="13"/>
        <v>327.25404292470506</v>
      </c>
      <c r="L170" s="16">
        <f t="shared" si="14"/>
        <v>-0.93404292470506789</v>
      </c>
      <c r="M170" s="16">
        <f t="shared" si="15"/>
        <v>0.87243618519159716</v>
      </c>
    </row>
    <row r="171" spans="6:13" x14ac:dyDescent="0.4">
      <c r="F171" s="1">
        <v>26543</v>
      </c>
      <c r="G171" s="16">
        <v>324.83999999999997</v>
      </c>
      <c r="H171" s="16">
        <f t="shared" si="11"/>
        <v>328.73815338965721</v>
      </c>
      <c r="I171">
        <f t="shared" si="12"/>
        <v>9</v>
      </c>
      <c r="J171" s="16" cm="1">
        <f t="array" ref="J171">INDEX(Sm,I171)</f>
        <v>-3.188494698714738</v>
      </c>
      <c r="K171" s="16">
        <f t="shared" si="13"/>
        <v>325.54965869094247</v>
      </c>
      <c r="L171" s="16">
        <f t="shared" si="14"/>
        <v>-0.70965869094249001</v>
      </c>
      <c r="M171" s="16">
        <f t="shared" si="15"/>
        <v>0.50361545763020854</v>
      </c>
    </row>
    <row r="172" spans="6:13" x14ac:dyDescent="0.4">
      <c r="F172" s="1">
        <v>26573</v>
      </c>
      <c r="G172" s="16">
        <v>325.2</v>
      </c>
      <c r="H172" s="16">
        <f t="shared" si="11"/>
        <v>328.83392101145768</v>
      </c>
      <c r="I172">
        <f t="shared" si="12"/>
        <v>10</v>
      </c>
      <c r="J172" s="16" cm="1">
        <f t="array" ref="J172">INDEX(Sm,I172)</f>
        <v>-3.3139186770794531</v>
      </c>
      <c r="K172" s="16">
        <f t="shared" si="13"/>
        <v>325.5200023343782</v>
      </c>
      <c r="L172" s="16">
        <f t="shared" si="14"/>
        <v>-0.32000233437821635</v>
      </c>
      <c r="M172" s="16">
        <f t="shared" si="15"/>
        <v>0.10240149400750778</v>
      </c>
    </row>
    <row r="173" spans="6:13" x14ac:dyDescent="0.4">
      <c r="F173" s="1">
        <v>26604</v>
      </c>
      <c r="G173" s="16">
        <v>326.5</v>
      </c>
      <c r="H173" s="16">
        <f t="shared" si="11"/>
        <v>328.93301795288619</v>
      </c>
      <c r="I173">
        <f t="shared" si="12"/>
        <v>11</v>
      </c>
      <c r="J173" s="16" cm="1">
        <f t="array" ref="J173">INDEX(Sm,I173)</f>
        <v>-2.0555969925100759</v>
      </c>
      <c r="K173" s="16">
        <f t="shared" si="13"/>
        <v>326.87742096037613</v>
      </c>
      <c r="L173" s="16">
        <f t="shared" si="14"/>
        <v>-0.37742096037612782</v>
      </c>
      <c r="M173" s="16">
        <f t="shared" si="15"/>
        <v>0.14244658133123864</v>
      </c>
    </row>
    <row r="174" spans="6:13" x14ac:dyDescent="0.4">
      <c r="F174" s="1">
        <v>26634</v>
      </c>
      <c r="G174" s="16">
        <v>327.55</v>
      </c>
      <c r="H174" s="16">
        <f t="shared" si="11"/>
        <v>329.02905104559784</v>
      </c>
      <c r="I174">
        <f t="shared" si="12"/>
        <v>12</v>
      </c>
      <c r="J174" s="16" cm="1">
        <f t="array" ref="J174">INDEX(Sm,I174)</f>
        <v>-0.88675924001340456</v>
      </c>
      <c r="K174" s="16">
        <f t="shared" si="13"/>
        <v>328.14229180558442</v>
      </c>
      <c r="L174" s="16">
        <f t="shared" si="14"/>
        <v>-0.5922918055844093</v>
      </c>
      <c r="M174" s="16">
        <f t="shared" si="15"/>
        <v>0.35080958296243969</v>
      </c>
    </row>
    <row r="175" spans="6:13" x14ac:dyDescent="0.4">
      <c r="F175" s="1">
        <v>26665</v>
      </c>
      <c r="G175" s="16">
        <v>328.55</v>
      </c>
      <c r="H175" s="16">
        <f t="shared" si="11"/>
        <v>329.12842268691799</v>
      </c>
      <c r="I175">
        <f t="shared" si="12"/>
        <v>1</v>
      </c>
      <c r="J175" s="16" cm="1">
        <f t="array" ref="J175">INDEX(Sm,I175)</f>
        <v>-3.5406241068958691E-2</v>
      </c>
      <c r="K175" s="16">
        <f t="shared" si="13"/>
        <v>329.093016445849</v>
      </c>
      <c r="L175" s="16">
        <f t="shared" si="14"/>
        <v>-0.54301644584899122</v>
      </c>
      <c r="M175" s="16">
        <f t="shared" si="15"/>
        <v>0.2948668604624704</v>
      </c>
    </row>
    <row r="176" spans="6:13" x14ac:dyDescent="0.4">
      <c r="F176" s="1">
        <v>26696</v>
      </c>
      <c r="G176" s="16">
        <v>329.56</v>
      </c>
      <c r="H176" s="16">
        <f t="shared" si="11"/>
        <v>329.22793422151096</v>
      </c>
      <c r="I176">
        <f t="shared" si="12"/>
        <v>2</v>
      </c>
      <c r="J176" s="16" cm="1">
        <f t="array" ref="J176">INDEX(Sm,I176)</f>
        <v>0.68063113884422577</v>
      </c>
      <c r="K176" s="16">
        <f t="shared" si="13"/>
        <v>329.90856536035517</v>
      </c>
      <c r="L176" s="16">
        <f t="shared" si="14"/>
        <v>-0.34856536035516683</v>
      </c>
      <c r="M176" s="16">
        <f t="shared" si="15"/>
        <v>0.12149781043952732</v>
      </c>
    </row>
    <row r="177" spans="6:13" x14ac:dyDescent="0.4">
      <c r="F177" s="1">
        <v>26724</v>
      </c>
      <c r="G177" s="16">
        <v>330.3</v>
      </c>
      <c r="H177" s="16">
        <f t="shared" si="11"/>
        <v>329.31793601265417</v>
      </c>
      <c r="I177">
        <f t="shared" si="12"/>
        <v>3</v>
      </c>
      <c r="J177" s="16" cm="1">
        <f t="array" ref="J177">INDEX(Sm,I177)</f>
        <v>1.3939471632320417</v>
      </c>
      <c r="K177" s="16">
        <f t="shared" si="13"/>
        <v>330.71188317588621</v>
      </c>
      <c r="L177" s="16">
        <f t="shared" si="14"/>
        <v>-0.41188317588620293</v>
      </c>
      <c r="M177" s="16">
        <f t="shared" si="15"/>
        <v>0.16964775057810477</v>
      </c>
    </row>
    <row r="178" spans="6:13" x14ac:dyDescent="0.4">
      <c r="F178" s="1">
        <v>26755</v>
      </c>
      <c r="G178" s="16">
        <v>331.5</v>
      </c>
      <c r="H178" s="16">
        <f t="shared" si="11"/>
        <v>329.41771434005676</v>
      </c>
      <c r="I178">
        <f t="shared" si="12"/>
        <v>4</v>
      </c>
      <c r="J178" s="16" cm="1">
        <f t="array" ref="J178">INDEX(Sm,I178)</f>
        <v>2.6315659351379859</v>
      </c>
      <c r="K178" s="16">
        <f t="shared" si="13"/>
        <v>332.04928027519475</v>
      </c>
      <c r="L178" s="16">
        <f t="shared" si="14"/>
        <v>-0.54928027519474654</v>
      </c>
      <c r="M178" s="16">
        <f t="shared" si="15"/>
        <v>0.30170882071801647</v>
      </c>
    </row>
    <row r="179" spans="6:13" x14ac:dyDescent="0.4">
      <c r="F179" s="1">
        <v>26785</v>
      </c>
      <c r="G179" s="16">
        <v>332.48</v>
      </c>
      <c r="H179" s="16">
        <f t="shared" si="11"/>
        <v>329.51440775186069</v>
      </c>
      <c r="I179">
        <f t="shared" si="12"/>
        <v>5</v>
      </c>
      <c r="J179" s="16" cm="1">
        <f t="array" ref="J179">INDEX(Sm,I179)</f>
        <v>3.0968597809913625</v>
      </c>
      <c r="K179" s="16">
        <f t="shared" si="13"/>
        <v>332.61126753285203</v>
      </c>
      <c r="L179" s="16">
        <f t="shared" si="14"/>
        <v>-0.13126753285200721</v>
      </c>
      <c r="M179" s="16">
        <f t="shared" si="15"/>
        <v>1.723116518105279E-2</v>
      </c>
    </row>
    <row r="180" spans="6:13" x14ac:dyDescent="0.4">
      <c r="F180" s="1">
        <v>26816</v>
      </c>
      <c r="G180" s="16">
        <v>332.07</v>
      </c>
      <c r="H180" s="16">
        <f t="shared" si="11"/>
        <v>329.61446266797861</v>
      </c>
      <c r="I180">
        <f t="shared" si="12"/>
        <v>6</v>
      </c>
      <c r="J180" s="16" cm="1">
        <f t="array" ref="J180">INDEX(Sm,I180)</f>
        <v>2.3186578027685911</v>
      </c>
      <c r="K180" s="16">
        <f t="shared" si="13"/>
        <v>331.93312047074721</v>
      </c>
      <c r="L180" s="16">
        <f t="shared" si="14"/>
        <v>0.13687952925278069</v>
      </c>
      <c r="M180" s="16">
        <f t="shared" si="15"/>
        <v>1.8736005528462843E-2</v>
      </c>
    </row>
    <row r="181" spans="6:13" x14ac:dyDescent="0.4">
      <c r="F181" s="1">
        <v>26846</v>
      </c>
      <c r="G181" s="16">
        <v>330.87</v>
      </c>
      <c r="H181" s="16">
        <f t="shared" si="11"/>
        <v>329.71142411701328</v>
      </c>
      <c r="I181">
        <f t="shared" si="12"/>
        <v>7</v>
      </c>
      <c r="J181" s="16" cm="1">
        <f t="array" ref="J181">INDEX(Sm,I181)</f>
        <v>0.74380149245581328</v>
      </c>
      <c r="K181" s="16">
        <f t="shared" si="13"/>
        <v>330.4552256094691</v>
      </c>
      <c r="L181" s="16">
        <f t="shared" si="14"/>
        <v>0.41477439053090848</v>
      </c>
      <c r="M181" s="16">
        <f t="shared" si="15"/>
        <v>0.17203779504028657</v>
      </c>
    </row>
    <row r="182" spans="6:13" x14ac:dyDescent="0.4">
      <c r="F182" s="1">
        <v>26877</v>
      </c>
      <c r="G182" s="16">
        <v>329.31</v>
      </c>
      <c r="H182" s="16">
        <f t="shared" si="11"/>
        <v>329.81175638855927</v>
      </c>
      <c r="I182">
        <f t="shared" si="12"/>
        <v>8</v>
      </c>
      <c r="J182" s="16" cm="1">
        <f t="array" ref="J182">INDEX(Sm,I182)</f>
        <v>-1.3852874640433905</v>
      </c>
      <c r="K182" s="16">
        <f t="shared" si="13"/>
        <v>328.42646892451586</v>
      </c>
      <c r="L182" s="16">
        <f t="shared" si="14"/>
        <v>0.883531075484143</v>
      </c>
      <c r="M182" s="16">
        <f t="shared" si="15"/>
        <v>0.78062716134616639</v>
      </c>
    </row>
    <row r="183" spans="6:13" x14ac:dyDescent="0.4">
      <c r="F183" s="1">
        <v>26908</v>
      </c>
      <c r="G183" s="16">
        <v>327.51</v>
      </c>
      <c r="H183" s="16">
        <f t="shared" si="11"/>
        <v>329.91222990573294</v>
      </c>
      <c r="I183">
        <f t="shared" si="12"/>
        <v>9</v>
      </c>
      <c r="J183" s="16" cm="1">
        <f t="array" ref="J183">INDEX(Sm,I183)</f>
        <v>-3.188494698714738</v>
      </c>
      <c r="K183" s="16">
        <f t="shared" si="13"/>
        <v>326.72373520701819</v>
      </c>
      <c r="L183" s="16">
        <f t="shared" si="14"/>
        <v>0.78626479298179675</v>
      </c>
      <c r="M183" s="16">
        <f t="shared" si="15"/>
        <v>0.6182123246827077</v>
      </c>
    </row>
    <row r="184" spans="6:13" x14ac:dyDescent="0.4">
      <c r="F184" s="1">
        <v>26938</v>
      </c>
      <c r="G184" s="16">
        <v>327.18</v>
      </c>
      <c r="H184" s="16">
        <f t="shared" si="11"/>
        <v>330.00959701364462</v>
      </c>
      <c r="I184">
        <f t="shared" si="12"/>
        <v>10</v>
      </c>
      <c r="J184" s="16" cm="1">
        <f t="array" ref="J184">INDEX(Sm,I184)</f>
        <v>-3.3139186770794531</v>
      </c>
      <c r="K184" s="16">
        <f t="shared" si="13"/>
        <v>326.69567833656515</v>
      </c>
      <c r="L184" s="16">
        <f t="shared" si="14"/>
        <v>0.48432166343485505</v>
      </c>
      <c r="M184" s="16">
        <f t="shared" si="15"/>
        <v>0.23456747367230502</v>
      </c>
    </row>
    <row r="185" spans="6:13" x14ac:dyDescent="0.4">
      <c r="F185" s="1">
        <v>26969</v>
      </c>
      <c r="G185" s="16">
        <v>328.16</v>
      </c>
      <c r="H185" s="16">
        <f t="shared" si="11"/>
        <v>330.11034904662182</v>
      </c>
      <c r="I185">
        <f t="shared" si="12"/>
        <v>11</v>
      </c>
      <c r="J185" s="16" cm="1">
        <f t="array" ref="J185">INDEX(Sm,I185)</f>
        <v>-2.0555969925100759</v>
      </c>
      <c r="K185" s="16">
        <f t="shared" si="13"/>
        <v>328.05475205411176</v>
      </c>
      <c r="L185" s="16">
        <f t="shared" si="14"/>
        <v>0.1052479458882658</v>
      </c>
      <c r="M185" s="16">
        <f t="shared" si="15"/>
        <v>1.1077130113699327E-2</v>
      </c>
    </row>
    <row r="186" spans="6:13" x14ac:dyDescent="0.4">
      <c r="F186" s="1">
        <v>26999</v>
      </c>
      <c r="G186" s="16">
        <v>328.64</v>
      </c>
      <c r="H186" s="16">
        <f t="shared" si="11"/>
        <v>330.20798605927132</v>
      </c>
      <c r="I186">
        <f t="shared" si="12"/>
        <v>12</v>
      </c>
      <c r="J186" s="16" cm="1">
        <f t="array" ref="J186">INDEX(Sm,I186)</f>
        <v>-0.88675924001340456</v>
      </c>
      <c r="K186" s="16">
        <f t="shared" si="13"/>
        <v>329.3212268192579</v>
      </c>
      <c r="L186" s="16">
        <f t="shared" si="14"/>
        <v>-0.68122681925791539</v>
      </c>
      <c r="M186" s="16">
        <f t="shared" si="15"/>
        <v>0.46406997927625654</v>
      </c>
    </row>
    <row r="187" spans="6:13" x14ac:dyDescent="0.4">
      <c r="F187" s="1">
        <v>27030</v>
      </c>
      <c r="G187" s="16">
        <v>329.35</v>
      </c>
      <c r="H187" s="16">
        <f t="shared" si="11"/>
        <v>330.30901738010687</v>
      </c>
      <c r="I187">
        <f t="shared" si="12"/>
        <v>1</v>
      </c>
      <c r="J187" s="16" cm="1">
        <f t="array" ref="J187">INDEX(Sm,I187)</f>
        <v>-3.5406241068958691E-2</v>
      </c>
      <c r="K187" s="16">
        <f t="shared" si="13"/>
        <v>330.27361113903788</v>
      </c>
      <c r="L187" s="16">
        <f t="shared" si="14"/>
        <v>-0.92361113903785963</v>
      </c>
      <c r="M187" s="16">
        <f t="shared" si="15"/>
        <v>0.8530575361548125</v>
      </c>
    </row>
    <row r="188" spans="6:13" x14ac:dyDescent="0.4">
      <c r="F188" s="1">
        <v>27061</v>
      </c>
      <c r="G188" s="16">
        <v>330.71</v>
      </c>
      <c r="H188" s="16">
        <f t="shared" si="11"/>
        <v>330.41019093067666</v>
      </c>
      <c r="I188">
        <f t="shared" si="12"/>
        <v>2</v>
      </c>
      <c r="J188" s="16" cm="1">
        <f t="array" ref="J188">INDEX(Sm,I188)</f>
        <v>0.68063113884422577</v>
      </c>
      <c r="K188" s="16">
        <f t="shared" si="13"/>
        <v>331.09082206952087</v>
      </c>
      <c r="L188" s="16">
        <f t="shared" si="14"/>
        <v>-0.38082206952088882</v>
      </c>
      <c r="M188" s="16">
        <f t="shared" si="15"/>
        <v>0.14502544863417269</v>
      </c>
    </row>
    <row r="189" spans="6:13" x14ac:dyDescent="0.4">
      <c r="F189" s="1">
        <v>27089</v>
      </c>
      <c r="G189" s="16">
        <v>331.48</v>
      </c>
      <c r="H189" s="16">
        <f t="shared" si="11"/>
        <v>330.50169590851505</v>
      </c>
      <c r="I189">
        <f t="shared" si="12"/>
        <v>3</v>
      </c>
      <c r="J189" s="16" cm="1">
        <f t="array" ref="J189">INDEX(Sm,I189)</f>
        <v>1.3939471632320417</v>
      </c>
      <c r="K189" s="16">
        <f t="shared" si="13"/>
        <v>331.89564307174709</v>
      </c>
      <c r="L189" s="16">
        <f t="shared" si="14"/>
        <v>-0.41564307174706983</v>
      </c>
      <c r="M189" s="16">
        <f t="shared" si="15"/>
        <v>0.17275916309133985</v>
      </c>
    </row>
    <row r="190" spans="6:13" x14ac:dyDescent="0.4">
      <c r="F190" s="1">
        <v>27120</v>
      </c>
      <c r="G190" s="16">
        <v>332.65</v>
      </c>
      <c r="H190" s="16">
        <f t="shared" si="11"/>
        <v>330.60314070779913</v>
      </c>
      <c r="I190">
        <f t="shared" si="12"/>
        <v>4</v>
      </c>
      <c r="J190" s="16" cm="1">
        <f t="array" ref="J190">INDEX(Sm,I190)</f>
        <v>2.6315659351379859</v>
      </c>
      <c r="K190" s="16">
        <f t="shared" si="13"/>
        <v>333.23470664293711</v>
      </c>
      <c r="L190" s="16">
        <f t="shared" si="14"/>
        <v>-0.58470664293713526</v>
      </c>
      <c r="M190" s="16">
        <f t="shared" si="15"/>
        <v>0.3418818582948146</v>
      </c>
    </row>
    <row r="191" spans="6:13" x14ac:dyDescent="0.4">
      <c r="F191" s="1">
        <v>27150</v>
      </c>
      <c r="G191" s="16">
        <v>333.09</v>
      </c>
      <c r="H191" s="16">
        <f t="shared" si="11"/>
        <v>330.70144906802011</v>
      </c>
      <c r="I191">
        <f t="shared" si="12"/>
        <v>5</v>
      </c>
      <c r="J191" s="16" cm="1">
        <f t="array" ref="J191">INDEX(Sm,I191)</f>
        <v>3.0968597809913625</v>
      </c>
      <c r="K191" s="16">
        <f t="shared" si="13"/>
        <v>333.79830884901145</v>
      </c>
      <c r="L191" s="16">
        <f t="shared" si="14"/>
        <v>-0.70830884901147328</v>
      </c>
      <c r="M191" s="16">
        <f t="shared" si="15"/>
        <v>0.50170142558795805</v>
      </c>
    </row>
    <row r="192" spans="6:13" x14ac:dyDescent="0.4">
      <c r="F192" s="1">
        <v>27181</v>
      </c>
      <c r="G192" s="16">
        <v>332.25</v>
      </c>
      <c r="H192" s="16">
        <f t="shared" si="11"/>
        <v>330.80317507553281</v>
      </c>
      <c r="I192">
        <f t="shared" si="12"/>
        <v>6</v>
      </c>
      <c r="J192" s="16" cm="1">
        <f t="array" ref="J192">INDEX(Sm,I192)</f>
        <v>2.3186578027685911</v>
      </c>
      <c r="K192" s="16">
        <f t="shared" si="13"/>
        <v>333.1218328783014</v>
      </c>
      <c r="L192" s="16">
        <f t="shared" si="14"/>
        <v>-0.87183287830140443</v>
      </c>
      <c r="M192" s="16">
        <f t="shared" si="15"/>
        <v>0.76009256768731148</v>
      </c>
    </row>
    <row r="193" spans="6:13" x14ac:dyDescent="0.4">
      <c r="F193" s="1">
        <v>27211</v>
      </c>
      <c r="G193" s="16">
        <v>331.18</v>
      </c>
      <c r="H193" s="16">
        <f t="shared" si="11"/>
        <v>330.90175594967309</v>
      </c>
      <c r="I193">
        <f t="shared" si="12"/>
        <v>7</v>
      </c>
      <c r="J193" s="16" cm="1">
        <f t="array" ref="J193">INDEX(Sm,I193)</f>
        <v>0.74380149245581328</v>
      </c>
      <c r="K193" s="16">
        <f t="shared" si="13"/>
        <v>331.6455574421289</v>
      </c>
      <c r="L193" s="16">
        <f t="shared" si="14"/>
        <v>-0.46555744212889749</v>
      </c>
      <c r="M193" s="16">
        <f t="shared" si="15"/>
        <v>0.21674373192160173</v>
      </c>
    </row>
    <row r="194" spans="6:13" x14ac:dyDescent="0.4">
      <c r="F194" s="1">
        <v>27242</v>
      </c>
      <c r="G194" s="16">
        <v>329.39</v>
      </c>
      <c r="H194" s="16">
        <f t="shared" si="11"/>
        <v>331.00376394493281</v>
      </c>
      <c r="I194">
        <f t="shared" si="12"/>
        <v>8</v>
      </c>
      <c r="J194" s="16" cm="1">
        <f t="array" ref="J194">INDEX(Sm,I194)</f>
        <v>-1.3852874640433905</v>
      </c>
      <c r="K194" s="16">
        <f t="shared" si="13"/>
        <v>329.6184764808894</v>
      </c>
      <c r="L194" s="16">
        <f t="shared" si="14"/>
        <v>-0.22847648088941241</v>
      </c>
      <c r="M194" s="16">
        <f t="shared" si="15"/>
        <v>5.2201502319610037E-2</v>
      </c>
    </row>
    <row r="195" spans="6:13" x14ac:dyDescent="0.4">
      <c r="F195" s="1">
        <v>27273</v>
      </c>
      <c r="G195" s="16">
        <v>327.43</v>
      </c>
      <c r="H195" s="16">
        <f t="shared" ref="H195:H258" si="16">EXP(_A*F195+_B)+_C</f>
        <v>331.10591554486803</v>
      </c>
      <c r="I195">
        <f t="shared" ref="I195:I258" si="17">MONTH(F195)</f>
        <v>9</v>
      </c>
      <c r="J195" s="16" cm="1">
        <f t="array" ref="J195">INDEX(Sm,I195)</f>
        <v>-3.188494698714738</v>
      </c>
      <c r="K195" s="16">
        <f t="shared" ref="K195:K258" si="18">H195+J195</f>
        <v>327.91742084615328</v>
      </c>
      <c r="L195" s="16">
        <f t="shared" ref="L195:L258" si="19">G195-K195</f>
        <v>-0.4874208461532703</v>
      </c>
      <c r="M195" s="16">
        <f t="shared" ref="M195:M258" si="20">L195*L195</f>
        <v>0.23757908126477001</v>
      </c>
    </row>
    <row r="196" spans="6:13" x14ac:dyDescent="0.4">
      <c r="F196" s="1">
        <v>27303</v>
      </c>
      <c r="G196" s="16">
        <v>327.37</v>
      </c>
      <c r="H196" s="16">
        <f t="shared" si="16"/>
        <v>331.20490885309528</v>
      </c>
      <c r="I196">
        <f t="shared" si="17"/>
        <v>10</v>
      </c>
      <c r="J196" s="16" cm="1">
        <f t="array" ref="J196">INDEX(Sm,I196)</f>
        <v>-3.3139186770794531</v>
      </c>
      <c r="K196" s="16">
        <f t="shared" si="18"/>
        <v>327.8909901760158</v>
      </c>
      <c r="L196" s="16">
        <f t="shared" si="19"/>
        <v>-0.52099017601580044</v>
      </c>
      <c r="M196" s="16">
        <f t="shared" si="20"/>
        <v>0.27143076350497475</v>
      </c>
    </row>
    <row r="197" spans="6:13" x14ac:dyDescent="0.4">
      <c r="F197" s="1">
        <v>27334</v>
      </c>
      <c r="G197" s="16">
        <v>328.46</v>
      </c>
      <c r="H197" s="16">
        <f t="shared" si="16"/>
        <v>331.30734362053329</v>
      </c>
      <c r="I197">
        <f t="shared" si="17"/>
        <v>11</v>
      </c>
      <c r="J197" s="16" cm="1">
        <f t="array" ref="J197">INDEX(Sm,I197)</f>
        <v>-2.0555969925100759</v>
      </c>
      <c r="K197" s="16">
        <f t="shared" si="18"/>
        <v>329.25174662802323</v>
      </c>
      <c r="L197" s="16">
        <f t="shared" si="19"/>
        <v>-0.79174662802324747</v>
      </c>
      <c r="M197" s="16">
        <f t="shared" si="20"/>
        <v>0.62686272298618262</v>
      </c>
    </row>
    <row r="198" spans="6:13" x14ac:dyDescent="0.4">
      <c r="F198" s="1">
        <v>27364</v>
      </c>
      <c r="G198" s="16">
        <v>329.57</v>
      </c>
      <c r="H198" s="16">
        <f t="shared" si="16"/>
        <v>331.4066113413777</v>
      </c>
      <c r="I198">
        <f t="shared" si="17"/>
        <v>12</v>
      </c>
      <c r="J198" s="16" cm="1">
        <f t="array" ref="J198">INDEX(Sm,I198)</f>
        <v>-0.88675924001340456</v>
      </c>
      <c r="K198" s="16">
        <f t="shared" si="18"/>
        <v>330.51985210136428</v>
      </c>
      <c r="L198" s="16">
        <f t="shared" si="19"/>
        <v>-0.94985210136428577</v>
      </c>
      <c r="M198" s="16">
        <f t="shared" si="20"/>
        <v>0.90221901446614938</v>
      </c>
    </row>
    <row r="199" spans="6:13" x14ac:dyDescent="0.4">
      <c r="F199" s="1">
        <v>27395</v>
      </c>
      <c r="G199" s="16">
        <v>330.4</v>
      </c>
      <c r="H199" s="16">
        <f t="shared" si="16"/>
        <v>331.50933006126775</v>
      </c>
      <c r="I199">
        <f t="shared" si="17"/>
        <v>1</v>
      </c>
      <c r="J199" s="16" cm="1">
        <f t="array" ref="J199">INDEX(Sm,I199)</f>
        <v>-3.5406241068958691E-2</v>
      </c>
      <c r="K199" s="16">
        <f t="shared" si="18"/>
        <v>331.47392382019876</v>
      </c>
      <c r="L199" s="16">
        <f t="shared" si="19"/>
        <v>-1.073923820198786</v>
      </c>
      <c r="M199" s="16">
        <f t="shared" si="20"/>
        <v>1.1533123715903544</v>
      </c>
    </row>
    <row r="200" spans="6:13" x14ac:dyDescent="0.4">
      <c r="F200" s="1">
        <v>27426</v>
      </c>
      <c r="G200" s="16">
        <v>331.4</v>
      </c>
      <c r="H200" s="16">
        <f t="shared" si="16"/>
        <v>331.6121933863763</v>
      </c>
      <c r="I200">
        <f t="shared" si="17"/>
        <v>2</v>
      </c>
      <c r="J200" s="16" cm="1">
        <f t="array" ref="J200">INDEX(Sm,I200)</f>
        <v>0.68063113884422577</v>
      </c>
      <c r="K200" s="16">
        <f t="shared" si="18"/>
        <v>332.29282452522051</v>
      </c>
      <c r="L200" s="16">
        <f t="shared" si="19"/>
        <v>-0.89282452522053291</v>
      </c>
      <c r="M200" s="16">
        <f t="shared" si="20"/>
        <v>0.79713563283527</v>
      </c>
    </row>
    <row r="201" spans="6:13" x14ac:dyDescent="0.4">
      <c r="F201" s="1">
        <v>27454</v>
      </c>
      <c r="G201" s="16">
        <v>332.04</v>
      </c>
      <c r="H201" s="16">
        <f t="shared" si="16"/>
        <v>331.70522665674628</v>
      </c>
      <c r="I201">
        <f t="shared" si="17"/>
        <v>3</v>
      </c>
      <c r="J201" s="16" cm="1">
        <f t="array" ref="J201">INDEX(Sm,I201)</f>
        <v>1.3939471632320417</v>
      </c>
      <c r="K201" s="16">
        <f t="shared" si="18"/>
        <v>333.09917381997832</v>
      </c>
      <c r="L201" s="16">
        <f t="shared" si="19"/>
        <v>-1.0591738199782981</v>
      </c>
      <c r="M201" s="16">
        <f t="shared" si="20"/>
        <v>1.1218491809274203</v>
      </c>
    </row>
    <row r="202" spans="6:13" x14ac:dyDescent="0.4">
      <c r="F202" s="1">
        <v>27485</v>
      </c>
      <c r="G202" s="16">
        <v>333.31</v>
      </c>
      <c r="H202" s="16">
        <f t="shared" si="16"/>
        <v>331.80836576089519</v>
      </c>
      <c r="I202">
        <f t="shared" si="17"/>
        <v>4</v>
      </c>
      <c r="J202" s="16" cm="1">
        <f t="array" ref="J202">INDEX(Sm,I202)</f>
        <v>2.6315659351379859</v>
      </c>
      <c r="K202" s="16">
        <f t="shared" si="18"/>
        <v>334.43993169603317</v>
      </c>
      <c r="L202" s="16">
        <f t="shared" si="19"/>
        <v>-1.129931696033168</v>
      </c>
      <c r="M202" s="16">
        <f t="shared" si="20"/>
        <v>1.2767456377003916</v>
      </c>
    </row>
    <row r="203" spans="6:13" x14ac:dyDescent="0.4">
      <c r="F203" s="1">
        <v>27515</v>
      </c>
      <c r="G203" s="16">
        <v>333.97</v>
      </c>
      <c r="H203" s="16">
        <f t="shared" si="16"/>
        <v>331.90831604198496</v>
      </c>
      <c r="I203">
        <f t="shared" si="17"/>
        <v>5</v>
      </c>
      <c r="J203" s="16" cm="1">
        <f t="array" ref="J203">INDEX(Sm,I203)</f>
        <v>3.0968597809913625</v>
      </c>
      <c r="K203" s="16">
        <f t="shared" si="18"/>
        <v>335.0051758229763</v>
      </c>
      <c r="L203" s="16">
        <f t="shared" si="19"/>
        <v>-1.0351758229762709</v>
      </c>
      <c r="M203" s="16">
        <f t="shared" si="20"/>
        <v>1.0715889844745996</v>
      </c>
    </row>
    <row r="204" spans="6:13" x14ac:dyDescent="0.4">
      <c r="F204" s="1">
        <v>27546</v>
      </c>
      <c r="G204" s="16">
        <v>333.6</v>
      </c>
      <c r="H204" s="16">
        <f t="shared" si="16"/>
        <v>332.0117410510299</v>
      </c>
      <c r="I204">
        <f t="shared" si="17"/>
        <v>6</v>
      </c>
      <c r="J204" s="16" cm="1">
        <f t="array" ref="J204">INDEX(Sm,I204)</f>
        <v>2.3186578027685911</v>
      </c>
      <c r="K204" s="16">
        <f t="shared" si="18"/>
        <v>334.3303988537985</v>
      </c>
      <c r="L204" s="16">
        <f t="shared" si="19"/>
        <v>-0.73039885379847647</v>
      </c>
      <c r="M204" s="16">
        <f t="shared" si="20"/>
        <v>0.53348248563012823</v>
      </c>
    </row>
    <row r="205" spans="6:13" x14ac:dyDescent="0.4">
      <c r="F205" s="1">
        <v>27576</v>
      </c>
      <c r="G205" s="16">
        <v>331.9</v>
      </c>
      <c r="H205" s="16">
        <f t="shared" si="16"/>
        <v>332.11196839749618</v>
      </c>
      <c r="I205">
        <f t="shared" si="17"/>
        <v>7</v>
      </c>
      <c r="J205" s="16" cm="1">
        <f t="array" ref="J205">INDEX(Sm,I205)</f>
        <v>0.74380149245581328</v>
      </c>
      <c r="K205" s="16">
        <f t="shared" si="18"/>
        <v>332.855769889952</v>
      </c>
      <c r="L205" s="16">
        <f t="shared" si="19"/>
        <v>-0.95576988995202328</v>
      </c>
      <c r="M205" s="16">
        <f t="shared" si="20"/>
        <v>0.91349608253890269</v>
      </c>
    </row>
    <row r="206" spans="6:13" x14ac:dyDescent="0.4">
      <c r="F206" s="1">
        <v>27607</v>
      </c>
      <c r="G206" s="16">
        <v>330.06</v>
      </c>
      <c r="H206" s="16">
        <f t="shared" si="16"/>
        <v>332.21568010397453</v>
      </c>
      <c r="I206">
        <f t="shared" si="17"/>
        <v>8</v>
      </c>
      <c r="J206" s="16" cm="1">
        <f t="array" ref="J206">INDEX(Sm,I206)</f>
        <v>-1.3852874640433905</v>
      </c>
      <c r="K206" s="16">
        <f t="shared" si="18"/>
        <v>330.83039263993112</v>
      </c>
      <c r="L206" s="16">
        <f t="shared" si="19"/>
        <v>-0.77039263993111717</v>
      </c>
      <c r="M206" s="16">
        <f t="shared" si="20"/>
        <v>0.59350481966003599</v>
      </c>
    </row>
    <row r="207" spans="6:13" x14ac:dyDescent="0.4">
      <c r="F207" s="1">
        <v>27638</v>
      </c>
      <c r="G207" s="16">
        <v>328.56</v>
      </c>
      <c r="H207" s="16">
        <f t="shared" si="16"/>
        <v>332.31953781357674</v>
      </c>
      <c r="I207">
        <f t="shared" si="17"/>
        <v>9</v>
      </c>
      <c r="J207" s="16" cm="1">
        <f t="array" ref="J207">INDEX(Sm,I207)</f>
        <v>-3.188494698714738</v>
      </c>
      <c r="K207" s="16">
        <f t="shared" si="18"/>
        <v>329.131043114862</v>
      </c>
      <c r="L207" s="16">
        <f t="shared" si="19"/>
        <v>-0.57104311486199322</v>
      </c>
      <c r="M207" s="16">
        <f t="shared" si="20"/>
        <v>0.32609023903128759</v>
      </c>
    </row>
    <row r="208" spans="6:13" x14ac:dyDescent="0.4">
      <c r="F208" s="1">
        <v>27668</v>
      </c>
      <c r="G208" s="16">
        <v>328.34</v>
      </c>
      <c r="H208" s="16">
        <f t="shared" si="16"/>
        <v>332.4201844824978</v>
      </c>
      <c r="I208">
        <f t="shared" si="17"/>
        <v>10</v>
      </c>
      <c r="J208" s="16" cm="1">
        <f t="array" ref="J208">INDEX(Sm,I208)</f>
        <v>-3.3139186770794531</v>
      </c>
      <c r="K208" s="16">
        <f t="shared" si="18"/>
        <v>329.10626580541833</v>
      </c>
      <c r="L208" s="16">
        <f t="shared" si="19"/>
        <v>-0.76626580541835665</v>
      </c>
      <c r="M208" s="16">
        <f t="shared" si="20"/>
        <v>0.5871632845534428</v>
      </c>
    </row>
    <row r="209" spans="6:13" x14ac:dyDescent="0.4">
      <c r="F209" s="1">
        <v>27699</v>
      </c>
      <c r="G209" s="16">
        <v>329.49</v>
      </c>
      <c r="H209" s="16">
        <f t="shared" si="16"/>
        <v>332.52433008899334</v>
      </c>
      <c r="I209">
        <f t="shared" si="17"/>
        <v>11</v>
      </c>
      <c r="J209" s="16" cm="1">
        <f t="array" ref="J209">INDEX(Sm,I209)</f>
        <v>-2.0555969925100759</v>
      </c>
      <c r="K209" s="16">
        <f t="shared" si="18"/>
        <v>330.46873309648328</v>
      </c>
      <c r="L209" s="16">
        <f t="shared" si="19"/>
        <v>-0.97873309648326767</v>
      </c>
      <c r="M209" s="16">
        <f t="shared" si="20"/>
        <v>0.95791847415172537</v>
      </c>
    </row>
    <row r="210" spans="6:13" x14ac:dyDescent="0.4">
      <c r="F210" s="1">
        <v>27729</v>
      </c>
      <c r="G210" s="16">
        <v>330.76</v>
      </c>
      <c r="H210" s="16">
        <f t="shared" si="16"/>
        <v>332.62525575370017</v>
      </c>
      <c r="I210">
        <f t="shared" si="17"/>
        <v>12</v>
      </c>
      <c r="J210" s="16" cm="1">
        <f t="array" ref="J210">INDEX(Sm,I210)</f>
        <v>-0.88675924001340456</v>
      </c>
      <c r="K210" s="16">
        <f t="shared" si="18"/>
        <v>331.73849651368675</v>
      </c>
      <c r="L210" s="16">
        <f t="shared" si="19"/>
        <v>-0.97849651368676405</v>
      </c>
      <c r="M210" s="16">
        <f t="shared" si="20"/>
        <v>0.95745542729715161</v>
      </c>
    </row>
    <row r="211" spans="6:13" x14ac:dyDescent="0.4">
      <c r="F211" s="1">
        <v>27760</v>
      </c>
      <c r="G211" s="16">
        <v>331.75</v>
      </c>
      <c r="H211" s="16">
        <f t="shared" si="16"/>
        <v>332.72969005514841</v>
      </c>
      <c r="I211">
        <f t="shared" si="17"/>
        <v>1</v>
      </c>
      <c r="J211" s="16" cm="1">
        <f t="array" ref="J211">INDEX(Sm,I211)</f>
        <v>-3.5406241068958691E-2</v>
      </c>
      <c r="K211" s="16">
        <f t="shared" si="18"/>
        <v>332.69428381407943</v>
      </c>
      <c r="L211" s="16">
        <f t="shared" si="19"/>
        <v>-0.94428381407942652</v>
      </c>
      <c r="M211" s="16">
        <f t="shared" si="20"/>
        <v>0.89167192153238894</v>
      </c>
    </row>
    <row r="212" spans="6:13" x14ac:dyDescent="0.4">
      <c r="F212" s="1">
        <v>27791</v>
      </c>
      <c r="G212" s="16">
        <v>332.57</v>
      </c>
      <c r="H212" s="16">
        <f t="shared" si="16"/>
        <v>332.83427137697419</v>
      </c>
      <c r="I212">
        <f t="shared" si="17"/>
        <v>2</v>
      </c>
      <c r="J212" s="16" cm="1">
        <f t="array" ref="J212">INDEX(Sm,I212)</f>
        <v>0.68063113884422577</v>
      </c>
      <c r="K212" s="16">
        <f t="shared" si="18"/>
        <v>333.51490251581839</v>
      </c>
      <c r="L212" s="16">
        <f t="shared" si="19"/>
        <v>-0.94490251581839857</v>
      </c>
      <c r="M212" s="16">
        <f t="shared" si="20"/>
        <v>0.89284076439993898</v>
      </c>
    </row>
    <row r="213" spans="6:13" x14ac:dyDescent="0.4">
      <c r="F213" s="1">
        <v>27820</v>
      </c>
      <c r="G213" s="16">
        <v>333.5</v>
      </c>
      <c r="H213" s="16">
        <f t="shared" si="16"/>
        <v>332.93223879865906</v>
      </c>
      <c r="I213">
        <f t="shared" si="17"/>
        <v>3</v>
      </c>
      <c r="J213" s="16" cm="1">
        <f t="array" ref="J213">INDEX(Sm,I213)</f>
        <v>1.3939471632320417</v>
      </c>
      <c r="K213" s="16">
        <f t="shared" si="18"/>
        <v>334.3261859618911</v>
      </c>
      <c r="L213" s="16">
        <f t="shared" si="19"/>
        <v>-0.82618596189109894</v>
      </c>
      <c r="M213" s="16">
        <f t="shared" si="20"/>
        <v>0.68258324362592038</v>
      </c>
    </row>
    <row r="214" spans="6:13" x14ac:dyDescent="0.4">
      <c r="F214" s="1">
        <v>27851</v>
      </c>
      <c r="G214" s="16">
        <v>334.58</v>
      </c>
      <c r="H214" s="16">
        <f t="shared" si="16"/>
        <v>333.03710526427693</v>
      </c>
      <c r="I214">
        <f t="shared" si="17"/>
        <v>4</v>
      </c>
      <c r="J214" s="16" cm="1">
        <f t="array" ref="J214">INDEX(Sm,I214)</f>
        <v>2.6315659351379859</v>
      </c>
      <c r="K214" s="16">
        <f t="shared" si="18"/>
        <v>335.66867119941492</v>
      </c>
      <c r="L214" s="16">
        <f t="shared" si="19"/>
        <v>-1.0886711994149323</v>
      </c>
      <c r="M214" s="16">
        <f t="shared" si="20"/>
        <v>1.1852049804355473</v>
      </c>
    </row>
    <row r="215" spans="6:13" x14ac:dyDescent="0.4">
      <c r="F215" s="1">
        <v>27881</v>
      </c>
      <c r="G215" s="16">
        <v>334.88</v>
      </c>
      <c r="H215" s="16">
        <f t="shared" si="16"/>
        <v>333.13872950080588</v>
      </c>
      <c r="I215">
        <f t="shared" si="17"/>
        <v>5</v>
      </c>
      <c r="J215" s="16" cm="1">
        <f t="array" ref="J215">INDEX(Sm,I215)</f>
        <v>3.0968597809913625</v>
      </c>
      <c r="K215" s="16">
        <f t="shared" si="18"/>
        <v>336.23558928179722</v>
      </c>
      <c r="L215" s="16">
        <f t="shared" si="19"/>
        <v>-1.3555892817972222</v>
      </c>
      <c r="M215" s="16">
        <f t="shared" si="20"/>
        <v>1.8376223009235086</v>
      </c>
    </row>
    <row r="216" spans="6:13" x14ac:dyDescent="0.4">
      <c r="F216" s="1">
        <v>27912</v>
      </c>
      <c r="G216" s="16">
        <v>334.33</v>
      </c>
      <c r="H216" s="16">
        <f t="shared" si="16"/>
        <v>333.24388665962107</v>
      </c>
      <c r="I216">
        <f t="shared" si="17"/>
        <v>6</v>
      </c>
      <c r="J216" s="16" cm="1">
        <f t="array" ref="J216">INDEX(Sm,I216)</f>
        <v>2.3186578027685911</v>
      </c>
      <c r="K216" s="16">
        <f t="shared" si="18"/>
        <v>335.56254446238967</v>
      </c>
      <c r="L216" s="16">
        <f t="shared" si="19"/>
        <v>-1.2325444623896828</v>
      </c>
      <c r="M216" s="16">
        <f t="shared" si="20"/>
        <v>1.5191658517674722</v>
      </c>
    </row>
    <row r="217" spans="6:13" x14ac:dyDescent="0.4">
      <c r="F217" s="1">
        <v>27942</v>
      </c>
      <c r="G217" s="16">
        <v>333.05</v>
      </c>
      <c r="H217" s="16">
        <f t="shared" si="16"/>
        <v>333.34579260178452</v>
      </c>
      <c r="I217">
        <f t="shared" si="17"/>
        <v>7</v>
      </c>
      <c r="J217" s="16" cm="1">
        <f t="array" ref="J217">INDEX(Sm,I217)</f>
        <v>0.74380149245581328</v>
      </c>
      <c r="K217" s="16">
        <f t="shared" si="18"/>
        <v>334.08959409424034</v>
      </c>
      <c r="L217" s="16">
        <f t="shared" si="19"/>
        <v>-1.0395940942403286</v>
      </c>
      <c r="M217" s="16">
        <f t="shared" si="20"/>
        <v>1.0807558807793691</v>
      </c>
    </row>
    <row r="218" spans="6:13" x14ac:dyDescent="0.4">
      <c r="F218" s="1">
        <v>27973</v>
      </c>
      <c r="G218" s="16">
        <v>330.94</v>
      </c>
      <c r="H218" s="16">
        <f t="shared" si="16"/>
        <v>333.45124125960774</v>
      </c>
      <c r="I218">
        <f t="shared" si="17"/>
        <v>8</v>
      </c>
      <c r="J218" s="16" cm="1">
        <f t="array" ref="J218">INDEX(Sm,I218)</f>
        <v>-1.3852874640433905</v>
      </c>
      <c r="K218" s="16">
        <f t="shared" si="18"/>
        <v>332.06595379556433</v>
      </c>
      <c r="L218" s="16">
        <f t="shared" si="19"/>
        <v>-1.1259537955643282</v>
      </c>
      <c r="M218" s="16">
        <f t="shared" si="20"/>
        <v>1.2677719497457169</v>
      </c>
    </row>
    <row r="219" spans="6:13" x14ac:dyDescent="0.4">
      <c r="F219" s="1">
        <v>28004</v>
      </c>
      <c r="G219" s="16">
        <v>329.3</v>
      </c>
      <c r="H219" s="16">
        <f t="shared" si="16"/>
        <v>333.55683836579772</v>
      </c>
      <c r="I219">
        <f t="shared" si="17"/>
        <v>9</v>
      </c>
      <c r="J219" s="16" cm="1">
        <f t="array" ref="J219">INDEX(Sm,I219)</f>
        <v>-3.188494698714738</v>
      </c>
      <c r="K219" s="16">
        <f t="shared" si="18"/>
        <v>330.36834366708297</v>
      </c>
      <c r="L219" s="16">
        <f t="shared" si="19"/>
        <v>-1.0683436670829565</v>
      </c>
      <c r="M219" s="16">
        <f t="shared" si="20"/>
        <v>1.1413581909962589</v>
      </c>
    </row>
    <row r="220" spans="6:13" x14ac:dyDescent="0.4">
      <c r="F220" s="1">
        <v>28034</v>
      </c>
      <c r="G220" s="16">
        <v>328.94</v>
      </c>
      <c r="H220" s="16">
        <f t="shared" si="16"/>
        <v>333.65917065317853</v>
      </c>
      <c r="I220">
        <f t="shared" si="17"/>
        <v>10</v>
      </c>
      <c r="J220" s="16" cm="1">
        <f t="array" ref="J220">INDEX(Sm,I220)</f>
        <v>-3.3139186770794531</v>
      </c>
      <c r="K220" s="16">
        <f t="shared" si="18"/>
        <v>330.34525197609906</v>
      </c>
      <c r="L220" s="16">
        <f t="shared" si="19"/>
        <v>-1.4052519760990663</v>
      </c>
      <c r="M220" s="16">
        <f t="shared" si="20"/>
        <v>1.9747331163303308</v>
      </c>
    </row>
    <row r="221" spans="6:13" x14ac:dyDescent="0.4">
      <c r="F221" s="1">
        <v>28065</v>
      </c>
      <c r="G221" s="16">
        <v>330.31</v>
      </c>
      <c r="H221" s="16">
        <f t="shared" si="16"/>
        <v>333.76506047792486</v>
      </c>
      <c r="I221">
        <f t="shared" si="17"/>
        <v>11</v>
      </c>
      <c r="J221" s="16" cm="1">
        <f t="array" ref="J221">INDEX(Sm,I221)</f>
        <v>-2.0555969925100759</v>
      </c>
      <c r="K221" s="16">
        <f t="shared" si="18"/>
        <v>331.7094634854148</v>
      </c>
      <c r="L221" s="16">
        <f t="shared" si="19"/>
        <v>-1.3994634854147989</v>
      </c>
      <c r="M221" s="16">
        <f t="shared" si="20"/>
        <v>1.9584980470093372</v>
      </c>
    </row>
    <row r="222" spans="6:13" x14ac:dyDescent="0.4">
      <c r="F222" s="1">
        <v>28095</v>
      </c>
      <c r="G222" s="16">
        <v>331.68</v>
      </c>
      <c r="H222" s="16">
        <f t="shared" si="16"/>
        <v>333.86767643367989</v>
      </c>
      <c r="I222">
        <f t="shared" si="17"/>
        <v>12</v>
      </c>
      <c r="J222" s="16" cm="1">
        <f t="array" ref="J222">INDEX(Sm,I222)</f>
        <v>-0.88675924001340456</v>
      </c>
      <c r="K222" s="16">
        <f t="shared" si="18"/>
        <v>332.98091719366647</v>
      </c>
      <c r="L222" s="16">
        <f t="shared" si="19"/>
        <v>-1.3009171936664643</v>
      </c>
      <c r="M222" s="16">
        <f t="shared" si="20"/>
        <v>1.6923855447770291</v>
      </c>
    </row>
    <row r="223" spans="6:13" x14ac:dyDescent="0.4">
      <c r="F223" s="1">
        <v>28126</v>
      </c>
      <c r="G223" s="16">
        <v>332.93</v>
      </c>
      <c r="H223" s="16">
        <f t="shared" si="16"/>
        <v>333.97385978840765</v>
      </c>
      <c r="I223">
        <f t="shared" si="17"/>
        <v>1</v>
      </c>
      <c r="J223" s="16" cm="1">
        <f t="array" ref="J223">INDEX(Sm,I223)</f>
        <v>-3.5406241068958691E-2</v>
      </c>
      <c r="K223" s="16">
        <f t="shared" si="18"/>
        <v>333.93845354733867</v>
      </c>
      <c r="L223" s="16">
        <f t="shared" si="19"/>
        <v>-1.0084535473386609</v>
      </c>
      <c r="M223" s="16">
        <f t="shared" si="20"/>
        <v>1.0169785571399288</v>
      </c>
    </row>
    <row r="224" spans="6:13" x14ac:dyDescent="0.4">
      <c r="F224" s="1">
        <v>28157</v>
      </c>
      <c r="G224" s="16">
        <v>333.42</v>
      </c>
      <c r="H224" s="16">
        <f t="shared" si="16"/>
        <v>334.08019262579285</v>
      </c>
      <c r="I224">
        <f t="shared" si="17"/>
        <v>2</v>
      </c>
      <c r="J224" s="16" cm="1">
        <f t="array" ref="J224">INDEX(Sm,I224)</f>
        <v>0.68063113884422577</v>
      </c>
      <c r="K224" s="16">
        <f t="shared" si="18"/>
        <v>334.76082376463705</v>
      </c>
      <c r="L224" s="16">
        <f t="shared" si="19"/>
        <v>-1.3408237646370367</v>
      </c>
      <c r="M224" s="16">
        <f t="shared" si="20"/>
        <v>1.7978083678154355</v>
      </c>
    </row>
    <row r="225" spans="6:13" x14ac:dyDescent="0.4">
      <c r="F225" s="1">
        <v>28185</v>
      </c>
      <c r="G225" s="16">
        <v>334.7</v>
      </c>
      <c r="H225" s="16">
        <f t="shared" si="16"/>
        <v>334.17636384716087</v>
      </c>
      <c r="I225">
        <f t="shared" si="17"/>
        <v>3</v>
      </c>
      <c r="J225" s="16" cm="1">
        <f t="array" ref="J225">INDEX(Sm,I225)</f>
        <v>1.3939471632320417</v>
      </c>
      <c r="K225" s="16">
        <f t="shared" si="18"/>
        <v>335.57031101039291</v>
      </c>
      <c r="L225" s="16">
        <f t="shared" si="19"/>
        <v>-0.8703110103929248</v>
      </c>
      <c r="M225" s="16">
        <f t="shared" si="20"/>
        <v>0.75744125481115365</v>
      </c>
    </row>
    <row r="226" spans="6:13" x14ac:dyDescent="0.4">
      <c r="F226" s="1">
        <v>28216</v>
      </c>
      <c r="G226" s="16">
        <v>336.07</v>
      </c>
      <c r="H226" s="16">
        <f t="shared" si="16"/>
        <v>334.28298176543194</v>
      </c>
      <c r="I226">
        <f t="shared" si="17"/>
        <v>4</v>
      </c>
      <c r="J226" s="16" cm="1">
        <f t="array" ref="J226">INDEX(Sm,I226)</f>
        <v>2.6315659351379859</v>
      </c>
      <c r="K226" s="16">
        <f t="shared" si="18"/>
        <v>336.91454770056993</v>
      </c>
      <c r="L226" s="16">
        <f t="shared" si="19"/>
        <v>-0.84454770056993311</v>
      </c>
      <c r="M226" s="16">
        <f t="shared" si="20"/>
        <v>0.71326081853796142</v>
      </c>
    </row>
    <row r="227" spans="6:13" x14ac:dyDescent="0.4">
      <c r="F227" s="1">
        <v>28246</v>
      </c>
      <c r="G227" s="16">
        <v>336.75</v>
      </c>
      <c r="H227" s="16">
        <f t="shared" si="16"/>
        <v>334.38630330374025</v>
      </c>
      <c r="I227">
        <f t="shared" si="17"/>
        <v>5</v>
      </c>
      <c r="J227" s="16" cm="1">
        <f t="array" ref="J227">INDEX(Sm,I227)</f>
        <v>3.0968597809913625</v>
      </c>
      <c r="K227" s="16">
        <f t="shared" si="18"/>
        <v>337.48316308473159</v>
      </c>
      <c r="L227" s="16">
        <f t="shared" si="19"/>
        <v>-0.73316308473158642</v>
      </c>
      <c r="M227" s="16">
        <f t="shared" si="20"/>
        <v>0.5375281088131354</v>
      </c>
    </row>
    <row r="228" spans="6:13" x14ac:dyDescent="0.4">
      <c r="F228" s="1">
        <v>28277</v>
      </c>
      <c r="G228" s="16">
        <v>336.27</v>
      </c>
      <c r="H228" s="16">
        <f t="shared" si="16"/>
        <v>334.49321677029133</v>
      </c>
      <c r="I228">
        <f t="shared" si="17"/>
        <v>6</v>
      </c>
      <c r="J228" s="16" cm="1">
        <f t="array" ref="J228">INDEX(Sm,I228)</f>
        <v>2.3186578027685911</v>
      </c>
      <c r="K228" s="16">
        <f t="shared" si="18"/>
        <v>336.81187457305992</v>
      </c>
      <c r="L228" s="16">
        <f t="shared" si="19"/>
        <v>-0.54187457305994258</v>
      </c>
      <c r="M228" s="16">
        <f t="shared" si="20"/>
        <v>0.29362805292889504</v>
      </c>
    </row>
    <row r="229" spans="6:13" x14ac:dyDescent="0.4">
      <c r="F229" s="1">
        <v>28307</v>
      </c>
      <c r="G229" s="16">
        <v>334.92</v>
      </c>
      <c r="H229" s="16">
        <f t="shared" si="16"/>
        <v>334.59682471920905</v>
      </c>
      <c r="I229">
        <f t="shared" si="17"/>
        <v>7</v>
      </c>
      <c r="J229" s="16" cm="1">
        <f t="array" ref="J229">INDEX(Sm,I229)</f>
        <v>0.74380149245581328</v>
      </c>
      <c r="K229" s="16">
        <f t="shared" si="18"/>
        <v>335.34062621166487</v>
      </c>
      <c r="L229" s="16">
        <f t="shared" si="19"/>
        <v>-0.42062621166485314</v>
      </c>
      <c r="M229" s="16">
        <f t="shared" si="20"/>
        <v>0.17692640993952585</v>
      </c>
    </row>
    <row r="230" spans="6:13" x14ac:dyDescent="0.4">
      <c r="F230" s="1">
        <v>28338</v>
      </c>
      <c r="G230" s="16">
        <v>332.75</v>
      </c>
      <c r="H230" s="16">
        <f t="shared" si="16"/>
        <v>334.70403455330944</v>
      </c>
      <c r="I230">
        <f t="shared" si="17"/>
        <v>8</v>
      </c>
      <c r="J230" s="16" cm="1">
        <f t="array" ref="J230">INDEX(Sm,I230)</f>
        <v>-1.3852874640433905</v>
      </c>
      <c r="K230" s="16">
        <f t="shared" si="18"/>
        <v>333.31874708926603</v>
      </c>
      <c r="L230" s="16">
        <f t="shared" si="19"/>
        <v>-0.5687470892660258</v>
      </c>
      <c r="M230" s="16">
        <f t="shared" si="20"/>
        <v>0.3234732515485767</v>
      </c>
    </row>
    <row r="231" spans="6:13" x14ac:dyDescent="0.4">
      <c r="F231" s="1">
        <v>28369</v>
      </c>
      <c r="G231" s="16">
        <v>331.59</v>
      </c>
      <c r="H231" s="16">
        <f t="shared" si="16"/>
        <v>334.81139531512304</v>
      </c>
      <c r="I231">
        <f t="shared" si="17"/>
        <v>9</v>
      </c>
      <c r="J231" s="16" cm="1">
        <f t="array" ref="J231">INDEX(Sm,I231)</f>
        <v>-3.188494698714738</v>
      </c>
      <c r="K231" s="16">
        <f t="shared" si="18"/>
        <v>331.62290061640829</v>
      </c>
      <c r="L231" s="16">
        <f t="shared" si="19"/>
        <v>-3.2900616408312544E-2</v>
      </c>
      <c r="M231" s="16">
        <f t="shared" si="20"/>
        <v>1.0824505600469246E-3</v>
      </c>
    </row>
    <row r="232" spans="6:13" x14ac:dyDescent="0.4">
      <c r="F232" s="1">
        <v>28399</v>
      </c>
      <c r="G232" s="16">
        <v>331.16</v>
      </c>
      <c r="H232" s="16">
        <f t="shared" si="16"/>
        <v>334.91543672996596</v>
      </c>
      <c r="I232">
        <f t="shared" si="17"/>
        <v>10</v>
      </c>
      <c r="J232" s="16" cm="1">
        <f t="array" ref="J232">INDEX(Sm,I232)</f>
        <v>-3.3139186770794531</v>
      </c>
      <c r="K232" s="16">
        <f t="shared" si="18"/>
        <v>331.60151805288649</v>
      </c>
      <c r="L232" s="16">
        <f t="shared" si="19"/>
        <v>-0.44151805288646528</v>
      </c>
      <c r="M232" s="16">
        <f t="shared" si="20"/>
        <v>0.19493819102465557</v>
      </c>
    </row>
    <row r="233" spans="6:13" x14ac:dyDescent="0.4">
      <c r="F233" s="1">
        <v>28430</v>
      </c>
      <c r="G233" s="16">
        <v>332.4</v>
      </c>
      <c r="H233" s="16">
        <f t="shared" si="16"/>
        <v>335.02309509924555</v>
      </c>
      <c r="I233">
        <f t="shared" si="17"/>
        <v>11</v>
      </c>
      <c r="J233" s="16" cm="1">
        <f t="array" ref="J233">INDEX(Sm,I233)</f>
        <v>-2.0555969925100759</v>
      </c>
      <c r="K233" s="16">
        <f t="shared" si="18"/>
        <v>332.96749810673549</v>
      </c>
      <c r="L233" s="16">
        <f t="shared" si="19"/>
        <v>-0.56749810673551337</v>
      </c>
      <c r="M233" s="16">
        <f t="shared" si="20"/>
        <v>0.32205410114839211</v>
      </c>
    </row>
    <row r="234" spans="6:13" x14ac:dyDescent="0.4">
      <c r="F234" s="1">
        <v>28460</v>
      </c>
      <c r="G234" s="16">
        <v>333.85</v>
      </c>
      <c r="H234" s="16">
        <f t="shared" si="16"/>
        <v>335.12742492021857</v>
      </c>
      <c r="I234">
        <f t="shared" si="17"/>
        <v>12</v>
      </c>
      <c r="J234" s="16" cm="1">
        <f t="array" ref="J234">INDEX(Sm,I234)</f>
        <v>-0.88675924001340456</v>
      </c>
      <c r="K234" s="16">
        <f t="shared" si="18"/>
        <v>334.24066568020515</v>
      </c>
      <c r="L234" s="16">
        <f t="shared" si="19"/>
        <v>-0.39066568020513159</v>
      </c>
      <c r="M234" s="16">
        <f t="shared" si="20"/>
        <v>0.15261967369013815</v>
      </c>
    </row>
    <row r="235" spans="6:13" x14ac:dyDescent="0.4">
      <c r="F235" s="1">
        <v>28491</v>
      </c>
      <c r="G235" s="16">
        <v>334.97</v>
      </c>
      <c r="H235" s="16">
        <f t="shared" si="16"/>
        <v>335.23538172194168</v>
      </c>
      <c r="I235">
        <f t="shared" si="17"/>
        <v>1</v>
      </c>
      <c r="J235" s="16" cm="1">
        <f t="array" ref="J235">INDEX(Sm,I235)</f>
        <v>-3.5406241068958691E-2</v>
      </c>
      <c r="K235" s="16">
        <f t="shared" si="18"/>
        <v>335.19997548087269</v>
      </c>
      <c r="L235" s="16">
        <f t="shared" si="19"/>
        <v>-0.2299754808726675</v>
      </c>
      <c r="M235" s="16">
        <f t="shared" si="20"/>
        <v>5.2888721802614655E-2</v>
      </c>
    </row>
    <row r="236" spans="6:13" x14ac:dyDescent="0.4">
      <c r="F236" s="1">
        <v>28522</v>
      </c>
      <c r="G236" s="16">
        <v>335.39</v>
      </c>
      <c r="H236" s="16">
        <f t="shared" si="16"/>
        <v>335.34349050294304</v>
      </c>
      <c r="I236">
        <f t="shared" si="17"/>
        <v>2</v>
      </c>
      <c r="J236" s="16" cm="1">
        <f t="array" ref="J236">INDEX(Sm,I236)</f>
        <v>0.68063113884422577</v>
      </c>
      <c r="K236" s="16">
        <f t="shared" si="18"/>
        <v>336.02412164178725</v>
      </c>
      <c r="L236" s="16">
        <f t="shared" si="19"/>
        <v>-0.63412164178726016</v>
      </c>
      <c r="M236" s="16">
        <f t="shared" si="20"/>
        <v>0.40211025658297028</v>
      </c>
    </row>
    <row r="237" spans="6:13" x14ac:dyDescent="0.4">
      <c r="F237" s="1">
        <v>28550</v>
      </c>
      <c r="G237" s="16">
        <v>336.64</v>
      </c>
      <c r="H237" s="16">
        <f t="shared" si="16"/>
        <v>335.4412679512381</v>
      </c>
      <c r="I237">
        <f t="shared" si="17"/>
        <v>3</v>
      </c>
      <c r="J237" s="16" cm="1">
        <f t="array" ref="J237">INDEX(Sm,I237)</f>
        <v>1.3939471632320417</v>
      </c>
      <c r="K237" s="16">
        <f t="shared" si="18"/>
        <v>336.83521511447015</v>
      </c>
      <c r="L237" s="16">
        <f t="shared" si="19"/>
        <v>-0.19521511447015882</v>
      </c>
      <c r="M237" s="16">
        <f t="shared" si="20"/>
        <v>3.8108940917597214E-2</v>
      </c>
    </row>
    <row r="238" spans="6:13" x14ac:dyDescent="0.4">
      <c r="F238" s="1">
        <v>28581</v>
      </c>
      <c r="G238" s="16">
        <v>337.76</v>
      </c>
      <c r="H238" s="16">
        <f t="shared" si="16"/>
        <v>335.54966657447272</v>
      </c>
      <c r="I238">
        <f t="shared" si="17"/>
        <v>4</v>
      </c>
      <c r="J238" s="16" cm="1">
        <f t="array" ref="J238">INDEX(Sm,I238)</f>
        <v>2.6315659351379859</v>
      </c>
      <c r="K238" s="16">
        <f t="shared" si="18"/>
        <v>338.18123250961071</v>
      </c>
      <c r="L238" s="16">
        <f t="shared" si="19"/>
        <v>-0.4212325096107179</v>
      </c>
      <c r="M238" s="16">
        <f t="shared" si="20"/>
        <v>0.17743682715294354</v>
      </c>
    </row>
    <row r="239" spans="6:13" x14ac:dyDescent="0.4">
      <c r="F239" s="1">
        <v>28611</v>
      </c>
      <c r="G239" s="16">
        <v>338.01</v>
      </c>
      <c r="H239" s="16">
        <f t="shared" si="16"/>
        <v>335.65471376245688</v>
      </c>
      <c r="I239">
        <f t="shared" si="17"/>
        <v>5</v>
      </c>
      <c r="J239" s="16" cm="1">
        <f t="array" ref="J239">INDEX(Sm,I239)</f>
        <v>3.0968597809913625</v>
      </c>
      <c r="K239" s="16">
        <f t="shared" si="18"/>
        <v>338.75157354344822</v>
      </c>
      <c r="L239" s="16">
        <f t="shared" si="19"/>
        <v>-0.74157354344822579</v>
      </c>
      <c r="M239" s="16">
        <f t="shared" si="20"/>
        <v>0.54993132034235759</v>
      </c>
    </row>
    <row r="240" spans="6:13" x14ac:dyDescent="0.4">
      <c r="F240" s="1">
        <v>28642</v>
      </c>
      <c r="G240" s="16">
        <v>337.9</v>
      </c>
      <c r="H240" s="16">
        <f t="shared" si="16"/>
        <v>335.76341287014259</v>
      </c>
      <c r="I240">
        <f t="shared" si="17"/>
        <v>6</v>
      </c>
      <c r="J240" s="16" cm="1">
        <f t="array" ref="J240">INDEX(Sm,I240)</f>
        <v>2.3186578027685911</v>
      </c>
      <c r="K240" s="16">
        <f t="shared" si="18"/>
        <v>338.08207067291119</v>
      </c>
      <c r="L240" s="16">
        <f t="shared" si="19"/>
        <v>-0.18207067291120893</v>
      </c>
      <c r="M240" s="16">
        <f t="shared" si="20"/>
        <v>3.3149729934340427E-2</v>
      </c>
    </row>
    <row r="241" spans="6:13" x14ac:dyDescent="0.4">
      <c r="F241" s="1">
        <v>28672</v>
      </c>
      <c r="G241" s="16">
        <v>336.54</v>
      </c>
      <c r="H241" s="16">
        <f t="shared" si="16"/>
        <v>335.86875125229221</v>
      </c>
      <c r="I241">
        <f t="shared" si="17"/>
        <v>7</v>
      </c>
      <c r="J241" s="16" cm="1">
        <f t="array" ref="J241">INDEX(Sm,I241)</f>
        <v>0.74380149245581328</v>
      </c>
      <c r="K241" s="16">
        <f t="shared" si="18"/>
        <v>336.61255274474803</v>
      </c>
      <c r="L241" s="16">
        <f t="shared" si="19"/>
        <v>-7.255274474800899E-2</v>
      </c>
      <c r="M241" s="16">
        <f t="shared" si="20"/>
        <v>5.2639007704697463E-3</v>
      </c>
    </row>
    <row r="242" spans="6:13" x14ac:dyDescent="0.4">
      <c r="F242" s="1">
        <v>28703</v>
      </c>
      <c r="G242" s="16">
        <v>334.68</v>
      </c>
      <c r="H242" s="16">
        <f t="shared" si="16"/>
        <v>335.97775167738166</v>
      </c>
      <c r="I242">
        <f t="shared" si="17"/>
        <v>8</v>
      </c>
      <c r="J242" s="16" cm="1">
        <f t="array" ref="J242">INDEX(Sm,I242)</f>
        <v>-1.3852874640433905</v>
      </c>
      <c r="K242" s="16">
        <f t="shared" si="18"/>
        <v>334.59246421333825</v>
      </c>
      <c r="L242" s="16">
        <f t="shared" si="19"/>
        <v>8.753578666176054E-2</v>
      </c>
      <c r="M242" s="16">
        <f t="shared" si="20"/>
        <v>7.6625139464932546E-3</v>
      </c>
    </row>
    <row r="243" spans="6:13" x14ac:dyDescent="0.4">
      <c r="F243" s="1">
        <v>28734</v>
      </c>
      <c r="G243" s="16">
        <v>332.76</v>
      </c>
      <c r="H243" s="16">
        <f t="shared" si="16"/>
        <v>336.08690555093989</v>
      </c>
      <c r="I243">
        <f t="shared" si="17"/>
        <v>9</v>
      </c>
      <c r="J243" s="16" cm="1">
        <f t="array" ref="J243">INDEX(Sm,I243)</f>
        <v>-3.188494698714738</v>
      </c>
      <c r="K243" s="16">
        <f t="shared" si="18"/>
        <v>332.89841085222514</v>
      </c>
      <c r="L243" s="16">
        <f t="shared" si="19"/>
        <v>-0.13841085222514948</v>
      </c>
      <c r="M243" s="16">
        <f t="shared" si="20"/>
        <v>1.9157564013692167E-2</v>
      </c>
    </row>
    <row r="244" spans="6:13" x14ac:dyDescent="0.4">
      <c r="F244" s="1">
        <v>28764</v>
      </c>
      <c r="G244" s="16">
        <v>332.55</v>
      </c>
      <c r="H244" s="16">
        <f t="shared" si="16"/>
        <v>336.1926846386508</v>
      </c>
      <c r="I244">
        <f t="shared" si="17"/>
        <v>10</v>
      </c>
      <c r="J244" s="16" cm="1">
        <f t="array" ref="J244">INDEX(Sm,I244)</f>
        <v>-3.3139186770794531</v>
      </c>
      <c r="K244" s="16">
        <f t="shared" si="18"/>
        <v>332.87876596157133</v>
      </c>
      <c r="L244" s="16">
        <f t="shared" si="19"/>
        <v>-0.32876596157132099</v>
      </c>
      <c r="M244" s="16">
        <f t="shared" si="20"/>
        <v>0.10808705748791531</v>
      </c>
    </row>
    <row r="245" spans="6:13" x14ac:dyDescent="0.4">
      <c r="F245" s="1">
        <v>28795</v>
      </c>
      <c r="G245" s="16">
        <v>333.92</v>
      </c>
      <c r="H245" s="16">
        <f t="shared" si="16"/>
        <v>336.30214109023831</v>
      </c>
      <c r="I245">
        <f t="shared" si="17"/>
        <v>11</v>
      </c>
      <c r="J245" s="16" cm="1">
        <f t="array" ref="J245">INDEX(Sm,I245)</f>
        <v>-2.0555969925100759</v>
      </c>
      <c r="K245" s="16">
        <f t="shared" si="18"/>
        <v>334.24654409772825</v>
      </c>
      <c r="L245" s="16">
        <f t="shared" si="19"/>
        <v>-0.32654409772823101</v>
      </c>
      <c r="M245" s="16">
        <f t="shared" si="20"/>
        <v>0.10663104776114449</v>
      </c>
    </row>
    <row r="246" spans="6:13" x14ac:dyDescent="0.4">
      <c r="F246" s="1">
        <v>28825</v>
      </c>
      <c r="G246" s="16">
        <v>334.95</v>
      </c>
      <c r="H246" s="16">
        <f t="shared" si="16"/>
        <v>336.40821340096409</v>
      </c>
      <c r="I246">
        <f t="shared" si="17"/>
        <v>12</v>
      </c>
      <c r="J246" s="16" cm="1">
        <f t="array" ref="J246">INDEX(Sm,I246)</f>
        <v>-0.88675924001340456</v>
      </c>
      <c r="K246" s="16">
        <f t="shared" si="18"/>
        <v>335.52145416095067</v>
      </c>
      <c r="L246" s="16">
        <f t="shared" si="19"/>
        <v>-0.57145416095067958</v>
      </c>
      <c r="M246" s="16">
        <f t="shared" si="20"/>
        <v>0.32655985806784521</v>
      </c>
    </row>
    <row r="247" spans="6:13" x14ac:dyDescent="0.4">
      <c r="F247" s="1">
        <v>28856</v>
      </c>
      <c r="G247" s="16">
        <v>336.23</v>
      </c>
      <c r="H247" s="16">
        <f t="shared" si="16"/>
        <v>336.51797326933672</v>
      </c>
      <c r="I247">
        <f t="shared" si="17"/>
        <v>1</v>
      </c>
      <c r="J247" s="16" cm="1">
        <f t="array" ref="J247">INDEX(Sm,I247)</f>
        <v>-3.5406241068958691E-2</v>
      </c>
      <c r="K247" s="16">
        <f t="shared" si="18"/>
        <v>336.48256702826774</v>
      </c>
      <c r="L247" s="16">
        <f t="shared" si="19"/>
        <v>-0.25256702826771971</v>
      </c>
      <c r="M247" s="16">
        <f t="shared" si="20"/>
        <v>6.3790103767987119E-2</v>
      </c>
    </row>
    <row r="248" spans="6:13" x14ac:dyDescent="0.4">
      <c r="F248" s="1">
        <v>28887</v>
      </c>
      <c r="G248" s="16">
        <v>336.76</v>
      </c>
      <c r="H248" s="16">
        <f t="shared" si="16"/>
        <v>336.62788765530615</v>
      </c>
      <c r="I248">
        <f t="shared" si="17"/>
        <v>2</v>
      </c>
      <c r="J248" s="16" cm="1">
        <f t="array" ref="J248">INDEX(Sm,I248)</f>
        <v>0.68063113884422577</v>
      </c>
      <c r="K248" s="16">
        <f t="shared" si="18"/>
        <v>337.30851879415036</v>
      </c>
      <c r="L248" s="16">
        <f t="shared" si="19"/>
        <v>-0.54851879415036819</v>
      </c>
      <c r="M248" s="16">
        <f t="shared" si="20"/>
        <v>0.30087286753617398</v>
      </c>
    </row>
    <row r="249" spans="6:13" x14ac:dyDescent="0.4">
      <c r="F249" s="1">
        <v>28915</v>
      </c>
      <c r="G249" s="16">
        <v>337.96</v>
      </c>
      <c r="H249" s="16">
        <f t="shared" si="16"/>
        <v>336.72729815731611</v>
      </c>
      <c r="I249">
        <f t="shared" si="17"/>
        <v>3</v>
      </c>
      <c r="J249" s="16" cm="1">
        <f t="array" ref="J249">INDEX(Sm,I249)</f>
        <v>1.3939471632320417</v>
      </c>
      <c r="K249" s="16">
        <f t="shared" si="18"/>
        <v>338.12124532054816</v>
      </c>
      <c r="L249" s="16">
        <f t="shared" si="19"/>
        <v>-0.16124532054817564</v>
      </c>
      <c r="M249" s="16">
        <f t="shared" si="20"/>
        <v>2.6000053398683914E-2</v>
      </c>
    </row>
    <row r="250" spans="6:13" x14ac:dyDescent="0.4">
      <c r="F250" s="1">
        <v>28946</v>
      </c>
      <c r="G250" s="16">
        <v>338.88</v>
      </c>
      <c r="H250" s="16">
        <f t="shared" si="16"/>
        <v>336.83750722638911</v>
      </c>
      <c r="I250">
        <f t="shared" si="17"/>
        <v>4</v>
      </c>
      <c r="J250" s="16" cm="1">
        <f t="array" ref="J250">INDEX(Sm,I250)</f>
        <v>2.6315659351379859</v>
      </c>
      <c r="K250" s="16">
        <f t="shared" si="18"/>
        <v>339.46907316152709</v>
      </c>
      <c r="L250" s="16">
        <f t="shared" si="19"/>
        <v>-0.58907316152709654</v>
      </c>
      <c r="M250" s="16">
        <f t="shared" si="20"/>
        <v>0.34700718963152877</v>
      </c>
    </row>
    <row r="251" spans="6:13" x14ac:dyDescent="0.4">
      <c r="F251" s="1">
        <v>28976</v>
      </c>
      <c r="G251" s="16">
        <v>339.47</v>
      </c>
      <c r="H251" s="16">
        <f t="shared" si="16"/>
        <v>336.94430888540484</v>
      </c>
      <c r="I251">
        <f t="shared" si="17"/>
        <v>5</v>
      </c>
      <c r="J251" s="16" cm="1">
        <f t="array" ref="J251">INDEX(Sm,I251)</f>
        <v>3.0968597809913625</v>
      </c>
      <c r="K251" s="16">
        <f t="shared" si="18"/>
        <v>340.04116866639617</v>
      </c>
      <c r="L251" s="16">
        <f t="shared" si="19"/>
        <v>-0.57116866639614727</v>
      </c>
      <c r="M251" s="16">
        <f t="shared" si="20"/>
        <v>0.32623364547275335</v>
      </c>
    </row>
    <row r="252" spans="6:13" x14ac:dyDescent="0.4">
      <c r="F252" s="1">
        <v>29007</v>
      </c>
      <c r="G252" s="16">
        <v>339.29</v>
      </c>
      <c r="H252" s="16">
        <f t="shared" si="16"/>
        <v>337.05482345754274</v>
      </c>
      <c r="I252">
        <f t="shared" si="17"/>
        <v>6</v>
      </c>
      <c r="J252" s="16" cm="1">
        <f t="array" ref="J252">INDEX(Sm,I252)</f>
        <v>2.3186578027685911</v>
      </c>
      <c r="K252" s="16">
        <f t="shared" si="18"/>
        <v>339.37348126031134</v>
      </c>
      <c r="L252" s="16">
        <f t="shared" si="19"/>
        <v>-8.3481260311316419E-2</v>
      </c>
      <c r="M252" s="16">
        <f t="shared" si="20"/>
        <v>6.9691208231657739E-3</v>
      </c>
    </row>
    <row r="253" spans="6:13" x14ac:dyDescent="0.4">
      <c r="F253" s="1">
        <v>29037</v>
      </c>
      <c r="G253" s="16">
        <v>337.73</v>
      </c>
      <c r="H253" s="16">
        <f t="shared" si="16"/>
        <v>337.16192117417364</v>
      </c>
      <c r="I253">
        <f t="shared" si="17"/>
        <v>7</v>
      </c>
      <c r="J253" s="16" cm="1">
        <f t="array" ref="J253">INDEX(Sm,I253)</f>
        <v>0.74380149245581328</v>
      </c>
      <c r="K253" s="16">
        <f t="shared" si="18"/>
        <v>337.90572266662946</v>
      </c>
      <c r="L253" s="16">
        <f t="shared" si="19"/>
        <v>-0.17572266662944003</v>
      </c>
      <c r="M253" s="16">
        <f t="shared" si="20"/>
        <v>3.0878455567361317E-2</v>
      </c>
    </row>
    <row r="254" spans="6:13" x14ac:dyDescent="0.4">
      <c r="F254" s="1">
        <v>29068</v>
      </c>
      <c r="G254" s="16">
        <v>336.09</v>
      </c>
      <c r="H254" s="16">
        <f t="shared" si="16"/>
        <v>337.27274209624079</v>
      </c>
      <c r="I254">
        <f t="shared" si="17"/>
        <v>8</v>
      </c>
      <c r="J254" s="16" cm="1">
        <f t="array" ref="J254">INDEX(Sm,I254)</f>
        <v>-1.3852874640433905</v>
      </c>
      <c r="K254" s="16">
        <f t="shared" si="18"/>
        <v>335.88745463219738</v>
      </c>
      <c r="L254" s="16">
        <f t="shared" si="19"/>
        <v>0.20254536780259969</v>
      </c>
      <c r="M254" s="16">
        <f t="shared" si="20"/>
        <v>4.1024626018290385E-2</v>
      </c>
    </row>
    <row r="255" spans="6:13" x14ac:dyDescent="0.4">
      <c r="F255" s="1">
        <v>29099</v>
      </c>
      <c r="G255" s="16">
        <v>333.92</v>
      </c>
      <c r="H255" s="16">
        <f t="shared" si="16"/>
        <v>337.38371902963343</v>
      </c>
      <c r="I255">
        <f t="shared" si="17"/>
        <v>9</v>
      </c>
      <c r="J255" s="16" cm="1">
        <f t="array" ref="J255">INDEX(Sm,I255)</f>
        <v>-3.188494698714738</v>
      </c>
      <c r="K255" s="16">
        <f t="shared" si="18"/>
        <v>334.19522433091868</v>
      </c>
      <c r="L255" s="16">
        <f t="shared" si="19"/>
        <v>-0.27522433091866105</v>
      </c>
      <c r="M255" s="16">
        <f t="shared" si="20"/>
        <v>7.5748432329624651E-2</v>
      </c>
    </row>
    <row r="256" spans="6:13" x14ac:dyDescent="0.4">
      <c r="F256" s="1">
        <v>29129</v>
      </c>
      <c r="G256" s="16">
        <v>333.86</v>
      </c>
      <c r="H256" s="16">
        <f t="shared" si="16"/>
        <v>337.4912648123763</v>
      </c>
      <c r="I256">
        <f t="shared" si="17"/>
        <v>10</v>
      </c>
      <c r="J256" s="16" cm="1">
        <f t="array" ref="J256">INDEX(Sm,I256)</f>
        <v>-3.3139186770794531</v>
      </c>
      <c r="K256" s="16">
        <f t="shared" si="18"/>
        <v>334.17734613529683</v>
      </c>
      <c r="L256" s="16">
        <f t="shared" si="19"/>
        <v>-0.3173461352968161</v>
      </c>
      <c r="M256" s="16">
        <f t="shared" si="20"/>
        <v>0.10070856958782511</v>
      </c>
    </row>
    <row r="257" spans="6:13" x14ac:dyDescent="0.4">
      <c r="F257" s="1">
        <v>29160</v>
      </c>
      <c r="G257" s="16">
        <v>335.29</v>
      </c>
      <c r="H257" s="16">
        <f t="shared" si="16"/>
        <v>337.60254937737835</v>
      </c>
      <c r="I257">
        <f t="shared" si="17"/>
        <v>11</v>
      </c>
      <c r="J257" s="16" cm="1">
        <f t="array" ref="J257">INDEX(Sm,I257)</f>
        <v>-2.0555969925100759</v>
      </c>
      <c r="K257" s="16">
        <f t="shared" si="18"/>
        <v>335.54695238486829</v>
      </c>
      <c r="L257" s="16">
        <f t="shared" si="19"/>
        <v>-0.25695238486827066</v>
      </c>
      <c r="M257" s="16">
        <f t="shared" si="20"/>
        <v>6.6024528089491885E-2</v>
      </c>
    </row>
    <row r="258" spans="6:13" x14ac:dyDescent="0.4">
      <c r="F258" s="1">
        <v>29190</v>
      </c>
      <c r="G258" s="16">
        <v>336.73</v>
      </c>
      <c r="H258" s="16">
        <f t="shared" si="16"/>
        <v>337.71039328047129</v>
      </c>
      <c r="I258">
        <f t="shared" si="17"/>
        <v>12</v>
      </c>
      <c r="J258" s="16" cm="1">
        <f t="array" ref="J258">INDEX(Sm,I258)</f>
        <v>-0.88675924001340456</v>
      </c>
      <c r="K258" s="16">
        <f t="shared" si="18"/>
        <v>336.82363404045788</v>
      </c>
      <c r="L258" s="16">
        <f t="shared" si="19"/>
        <v>-9.3634040457857282E-2</v>
      </c>
      <c r="M258" s="16">
        <f t="shared" si="20"/>
        <v>8.7673335324636534E-3</v>
      </c>
    </row>
    <row r="259" spans="6:13" x14ac:dyDescent="0.4">
      <c r="F259" s="1">
        <v>29221</v>
      </c>
      <c r="G259" s="16">
        <v>338.01</v>
      </c>
      <c r="H259" s="16">
        <f t="shared" ref="H259:H322" si="21">EXP(_A*F259+_B)+_C</f>
        <v>337.82198632984739</v>
      </c>
      <c r="I259">
        <f t="shared" ref="I259:I322" si="22">MONTH(F259)</f>
        <v>1</v>
      </c>
      <c r="J259" s="16" cm="1">
        <f t="array" ref="J259">INDEX(Sm,I259)</f>
        <v>-3.5406241068958691E-2</v>
      </c>
      <c r="K259" s="16">
        <f t="shared" ref="K259:K322" si="23">H259+J259</f>
        <v>337.78658008877841</v>
      </c>
      <c r="L259" s="16">
        <f t="shared" ref="L259:L322" si="24">G259-K259</f>
        <v>0.22341991122158333</v>
      </c>
      <c r="M259" s="16">
        <f t="shared" ref="M259:M322" si="25">L259*L259</f>
        <v>4.9916456730260177E-2</v>
      </c>
    </row>
    <row r="260" spans="6:13" x14ac:dyDescent="0.4">
      <c r="F260" s="1">
        <v>29252</v>
      </c>
      <c r="G260" s="16">
        <v>338.36</v>
      </c>
      <c r="H260" s="16">
        <f t="shared" si="21"/>
        <v>337.93373647753339</v>
      </c>
      <c r="I260">
        <f t="shared" si="22"/>
        <v>2</v>
      </c>
      <c r="J260" s="16" cm="1">
        <f t="array" ref="J260">INDEX(Sm,I260)</f>
        <v>0.68063113884422577</v>
      </c>
      <c r="K260" s="16">
        <f t="shared" si="23"/>
        <v>338.61436761637759</v>
      </c>
      <c r="L260" s="16">
        <f t="shared" si="24"/>
        <v>-0.25436761637757854</v>
      </c>
      <c r="M260" s="16">
        <f t="shared" si="25"/>
        <v>6.4702884261610957E-2</v>
      </c>
    </row>
    <row r="261" spans="6:13" x14ac:dyDescent="0.4">
      <c r="F261" s="1">
        <v>29281</v>
      </c>
      <c r="G261" s="16">
        <v>340.07</v>
      </c>
      <c r="H261" s="16">
        <f t="shared" si="21"/>
        <v>338.03841935637428</v>
      </c>
      <c r="I261">
        <f t="shared" si="22"/>
        <v>3</v>
      </c>
      <c r="J261" s="16" cm="1">
        <f t="array" ref="J261">INDEX(Sm,I261)</f>
        <v>1.3939471632320417</v>
      </c>
      <c r="K261" s="16">
        <f t="shared" si="23"/>
        <v>339.43236651960632</v>
      </c>
      <c r="L261" s="16">
        <f t="shared" si="24"/>
        <v>0.63763348039367429</v>
      </c>
      <c r="M261" s="16">
        <f t="shared" si="25"/>
        <v>0.4065764553189502</v>
      </c>
    </row>
    <row r="262" spans="6:13" x14ac:dyDescent="0.4">
      <c r="F262" s="1">
        <v>29312</v>
      </c>
      <c r="G262" s="16">
        <v>340.76</v>
      </c>
      <c r="H262" s="16">
        <f t="shared" si="21"/>
        <v>338.15047419384928</v>
      </c>
      <c r="I262">
        <f t="shared" si="22"/>
        <v>4</v>
      </c>
      <c r="J262" s="16" cm="1">
        <f t="array" ref="J262">INDEX(Sm,I262)</f>
        <v>2.6315659351379859</v>
      </c>
      <c r="K262" s="16">
        <f t="shared" si="23"/>
        <v>340.78204012898726</v>
      </c>
      <c r="L262" s="16">
        <f t="shared" si="24"/>
        <v>-2.2040128987271146E-2</v>
      </c>
      <c r="M262" s="16">
        <f t="shared" si="25"/>
        <v>4.8576728577554983E-4</v>
      </c>
    </row>
    <row r="263" spans="6:13" x14ac:dyDescent="0.4">
      <c r="F263" s="1">
        <v>29342</v>
      </c>
      <c r="G263" s="16">
        <v>341.47</v>
      </c>
      <c r="H263" s="16">
        <f t="shared" si="21"/>
        <v>338.25906455436808</v>
      </c>
      <c r="I263">
        <f t="shared" si="22"/>
        <v>5</v>
      </c>
      <c r="J263" s="16" cm="1">
        <f t="array" ref="J263">INDEX(Sm,I263)</f>
        <v>3.0968597809913625</v>
      </c>
      <c r="K263" s="16">
        <f t="shared" si="23"/>
        <v>341.35592433535942</v>
      </c>
      <c r="L263" s="16">
        <f t="shared" si="24"/>
        <v>0.11407566464060892</v>
      </c>
      <c r="M263" s="16">
        <f t="shared" si="25"/>
        <v>1.3013257263196673E-2</v>
      </c>
    </row>
    <row r="264" spans="6:13" x14ac:dyDescent="0.4">
      <c r="F264" s="1">
        <v>29373</v>
      </c>
      <c r="G264" s="16">
        <v>341.17</v>
      </c>
      <c r="H264" s="16">
        <f t="shared" si="21"/>
        <v>338.37143001143704</v>
      </c>
      <c r="I264">
        <f t="shared" si="22"/>
        <v>6</v>
      </c>
      <c r="J264" s="16" cm="1">
        <f t="array" ref="J264">INDEX(Sm,I264)</f>
        <v>2.3186578027685911</v>
      </c>
      <c r="K264" s="16">
        <f t="shared" si="23"/>
        <v>340.69008781420564</v>
      </c>
      <c r="L264" s="16">
        <f t="shared" si="24"/>
        <v>0.479912185794376</v>
      </c>
      <c r="M264" s="16">
        <f t="shared" si="25"/>
        <v>0.23031570607393567</v>
      </c>
    </row>
    <row r="265" spans="6:13" x14ac:dyDescent="0.4">
      <c r="F265" s="1">
        <v>29403</v>
      </c>
      <c r="G265" s="16">
        <v>339.56</v>
      </c>
      <c r="H265" s="16">
        <f t="shared" si="21"/>
        <v>338.48032138790887</v>
      </c>
      <c r="I265">
        <f t="shared" si="22"/>
        <v>7</v>
      </c>
      <c r="J265" s="16" cm="1">
        <f t="array" ref="J265">INDEX(Sm,I265)</f>
        <v>0.74380149245581328</v>
      </c>
      <c r="K265" s="16">
        <f t="shared" si="23"/>
        <v>339.22412288036469</v>
      </c>
      <c r="L265" s="16">
        <f t="shared" si="24"/>
        <v>0.33587711963531319</v>
      </c>
      <c r="M265" s="16">
        <f t="shared" si="25"/>
        <v>0.11281343949451449</v>
      </c>
    </row>
    <row r="266" spans="6:13" x14ac:dyDescent="0.4">
      <c r="F266" s="1">
        <v>29434</v>
      </c>
      <c r="G266" s="16">
        <v>337.6</v>
      </c>
      <c r="H266" s="16">
        <f t="shared" si="21"/>
        <v>338.59299832561931</v>
      </c>
      <c r="I266">
        <f t="shared" si="22"/>
        <v>8</v>
      </c>
      <c r="J266" s="16" cm="1">
        <f t="array" ref="J266">INDEX(Sm,I266)</f>
        <v>-1.3852874640433905</v>
      </c>
      <c r="K266" s="16">
        <f t="shared" si="23"/>
        <v>337.20771086157589</v>
      </c>
      <c r="L266" s="16">
        <f t="shared" si="24"/>
        <v>0.39228913842413249</v>
      </c>
      <c r="M266" s="16">
        <f t="shared" si="25"/>
        <v>0.15389076812554819</v>
      </c>
    </row>
    <row r="267" spans="6:13" x14ac:dyDescent="0.4">
      <c r="F267" s="1">
        <v>29465</v>
      </c>
      <c r="G267" s="16">
        <v>335.88</v>
      </c>
      <c r="H267" s="16">
        <f t="shared" si="21"/>
        <v>338.70583388751447</v>
      </c>
      <c r="I267">
        <f t="shared" si="22"/>
        <v>9</v>
      </c>
      <c r="J267" s="16" cm="1">
        <f t="array" ref="J267">INDEX(Sm,I267)</f>
        <v>-3.188494698714738</v>
      </c>
      <c r="K267" s="16">
        <f t="shared" si="23"/>
        <v>335.51733918879972</v>
      </c>
      <c r="L267" s="16">
        <f t="shared" si="24"/>
        <v>0.36266081120027138</v>
      </c>
      <c r="M267" s="16">
        <f t="shared" si="25"/>
        <v>0.13152286398043889</v>
      </c>
    </row>
    <row r="268" spans="6:13" x14ac:dyDescent="0.4">
      <c r="F268" s="1">
        <v>29495</v>
      </c>
      <c r="G268" s="16">
        <v>336.02</v>
      </c>
      <c r="H268" s="16">
        <f t="shared" si="21"/>
        <v>338.81518083425613</v>
      </c>
      <c r="I268">
        <f t="shared" si="22"/>
        <v>10</v>
      </c>
      <c r="J268" s="16" cm="1">
        <f t="array" ref="J268">INDEX(Sm,I268)</f>
        <v>-3.3139186770794531</v>
      </c>
      <c r="K268" s="16">
        <f t="shared" si="23"/>
        <v>335.50126215717665</v>
      </c>
      <c r="L268" s="16">
        <f t="shared" si="24"/>
        <v>0.51873784282332736</v>
      </c>
      <c r="M268" s="16">
        <f t="shared" si="25"/>
        <v>0.26908894957699908</v>
      </c>
    </row>
    <row r="269" spans="6:13" x14ac:dyDescent="0.4">
      <c r="F269" s="1">
        <v>29526</v>
      </c>
      <c r="G269" s="16">
        <v>337.1</v>
      </c>
      <c r="H269" s="16">
        <f t="shared" si="21"/>
        <v>338.92832917993837</v>
      </c>
      <c r="I269">
        <f t="shared" si="22"/>
        <v>11</v>
      </c>
      <c r="J269" s="16" cm="1">
        <f t="array" ref="J269">INDEX(Sm,I269)</f>
        <v>-2.0555969925100759</v>
      </c>
      <c r="K269" s="16">
        <f t="shared" si="23"/>
        <v>336.87273218742831</v>
      </c>
      <c r="L269" s="16">
        <f t="shared" si="24"/>
        <v>0.22726781257171069</v>
      </c>
      <c r="M269" s="16">
        <f t="shared" si="25"/>
        <v>5.165065863113022E-2</v>
      </c>
    </row>
    <row r="270" spans="6:13" x14ac:dyDescent="0.4">
      <c r="F270" s="1">
        <v>29556</v>
      </c>
      <c r="G270" s="16">
        <v>338.21</v>
      </c>
      <c r="H270" s="16">
        <f t="shared" si="21"/>
        <v>339.03797923991436</v>
      </c>
      <c r="I270">
        <f t="shared" si="22"/>
        <v>12</v>
      </c>
      <c r="J270" s="16" cm="1">
        <f t="array" ref="J270">INDEX(Sm,I270)</f>
        <v>-0.88675924001340456</v>
      </c>
      <c r="K270" s="16">
        <f t="shared" si="23"/>
        <v>338.15121999990095</v>
      </c>
      <c r="L270" s="16">
        <f t="shared" si="24"/>
        <v>5.8780000099034169E-2</v>
      </c>
      <c r="M270" s="16">
        <f t="shared" si="25"/>
        <v>3.4550884116424569E-3</v>
      </c>
    </row>
    <row r="271" spans="6:13" x14ac:dyDescent="0.4">
      <c r="F271" s="1">
        <v>29587</v>
      </c>
      <c r="G271" s="16">
        <v>339.24</v>
      </c>
      <c r="H271" s="16">
        <f t="shared" si="21"/>
        <v>339.15144123643029</v>
      </c>
      <c r="I271">
        <f t="shared" si="22"/>
        <v>1</v>
      </c>
      <c r="J271" s="16" cm="1">
        <f t="array" ref="J271">INDEX(Sm,I271)</f>
        <v>-3.5406241068958691E-2</v>
      </c>
      <c r="K271" s="16">
        <f t="shared" si="23"/>
        <v>339.1160349953613</v>
      </c>
      <c r="L271" s="16">
        <f t="shared" si="24"/>
        <v>0.12396500463870552</v>
      </c>
      <c r="M271" s="16">
        <f t="shared" si="25"/>
        <v>1.5367322375074282E-2</v>
      </c>
    </row>
    <row r="272" spans="6:13" x14ac:dyDescent="0.4">
      <c r="F272" s="1">
        <v>29618</v>
      </c>
      <c r="G272" s="16">
        <v>340.48</v>
      </c>
      <c r="H272" s="16">
        <f t="shared" si="21"/>
        <v>339.26506296232003</v>
      </c>
      <c r="I272">
        <f t="shared" si="22"/>
        <v>2</v>
      </c>
      <c r="J272" s="16" cm="1">
        <f t="array" ref="J272">INDEX(Sm,I272)</f>
        <v>0.68063113884422577</v>
      </c>
      <c r="K272" s="16">
        <f t="shared" si="23"/>
        <v>339.94569410116424</v>
      </c>
      <c r="L272" s="16">
        <f t="shared" si="24"/>
        <v>0.5343058988357825</v>
      </c>
      <c r="M272" s="16">
        <f t="shared" si="25"/>
        <v>0.28548279353071343</v>
      </c>
    </row>
    <row r="273" spans="6:13" x14ac:dyDescent="0.4">
      <c r="F273" s="1">
        <v>29646</v>
      </c>
      <c r="G273" s="16">
        <v>341.38</v>
      </c>
      <c r="H273" s="16">
        <f t="shared" si="21"/>
        <v>339.36782651515523</v>
      </c>
      <c r="I273">
        <f t="shared" si="22"/>
        <v>3</v>
      </c>
      <c r="J273" s="16" cm="1">
        <f t="array" ref="J273">INDEX(Sm,I273)</f>
        <v>1.3939471632320417</v>
      </c>
      <c r="K273" s="16">
        <f t="shared" si="23"/>
        <v>340.76177367838727</v>
      </c>
      <c r="L273" s="16">
        <f t="shared" si="24"/>
        <v>0.61822632161272395</v>
      </c>
      <c r="M273" s="16">
        <f t="shared" si="25"/>
        <v>0.38220378473479921</v>
      </c>
    </row>
    <row r="274" spans="6:13" x14ac:dyDescent="0.4">
      <c r="F274" s="1">
        <v>29677</v>
      </c>
      <c r="G274" s="16">
        <v>342.5</v>
      </c>
      <c r="H274" s="16">
        <f t="shared" si="21"/>
        <v>339.48175286361555</v>
      </c>
      <c r="I274">
        <f t="shared" si="22"/>
        <v>4</v>
      </c>
      <c r="J274" s="16" cm="1">
        <f t="array" ref="J274">INDEX(Sm,I274)</f>
        <v>2.6315659351379859</v>
      </c>
      <c r="K274" s="16">
        <f t="shared" si="23"/>
        <v>342.11331879875354</v>
      </c>
      <c r="L274" s="16">
        <f t="shared" si="24"/>
        <v>0.38668120124646066</v>
      </c>
      <c r="M274" s="16">
        <f t="shared" si="25"/>
        <v>0.1495223513974058</v>
      </c>
    </row>
    <row r="275" spans="6:13" x14ac:dyDescent="0.4">
      <c r="F275" s="1">
        <v>29707</v>
      </c>
      <c r="G275" s="16">
        <v>342.91</v>
      </c>
      <c r="H275" s="16">
        <f t="shared" si="21"/>
        <v>339.59215687231932</v>
      </c>
      <c r="I275">
        <f t="shared" si="22"/>
        <v>5</v>
      </c>
      <c r="J275" s="16" cm="1">
        <f t="array" ref="J275">INDEX(Sm,I275)</f>
        <v>3.0968597809913625</v>
      </c>
      <c r="K275" s="16">
        <f t="shared" si="23"/>
        <v>342.68901665331066</v>
      </c>
      <c r="L275" s="16">
        <f t="shared" si="24"/>
        <v>0.22098334668936559</v>
      </c>
      <c r="M275" s="16">
        <f t="shared" si="25"/>
        <v>4.8833639514032343E-2</v>
      </c>
    </row>
    <row r="276" spans="6:13" x14ac:dyDescent="0.4">
      <c r="F276" s="1">
        <v>29738</v>
      </c>
      <c r="G276" s="16">
        <v>342.25</v>
      </c>
      <c r="H276" s="16">
        <f t="shared" si="21"/>
        <v>339.70639902826201</v>
      </c>
      <c r="I276">
        <f t="shared" si="22"/>
        <v>6</v>
      </c>
      <c r="J276" s="16" cm="1">
        <f t="array" ref="J276">INDEX(Sm,I276)</f>
        <v>2.3186578027685911</v>
      </c>
      <c r="K276" s="16">
        <f t="shared" si="23"/>
        <v>342.02505683103061</v>
      </c>
      <c r="L276" s="16">
        <f t="shared" si="24"/>
        <v>0.22494316896938926</v>
      </c>
      <c r="M276" s="16">
        <f t="shared" si="25"/>
        <v>5.059942926599121E-2</v>
      </c>
    </row>
    <row r="277" spans="6:13" x14ac:dyDescent="0.4">
      <c r="F277" s="1">
        <v>29768</v>
      </c>
      <c r="G277" s="16">
        <v>340.49</v>
      </c>
      <c r="H277" s="16">
        <f t="shared" si="21"/>
        <v>339.81710908040964</v>
      </c>
      <c r="I277">
        <f t="shared" si="22"/>
        <v>7</v>
      </c>
      <c r="J277" s="16" cm="1">
        <f t="array" ref="J277">INDEX(Sm,I277)</f>
        <v>0.74380149245581328</v>
      </c>
      <c r="K277" s="16">
        <f t="shared" si="23"/>
        <v>340.56091057286545</v>
      </c>
      <c r="L277" s="16">
        <f t="shared" si="24"/>
        <v>-7.0910572865443555E-2</v>
      </c>
      <c r="M277" s="16">
        <f t="shared" si="25"/>
        <v>5.0283093441053795E-3</v>
      </c>
    </row>
    <row r="278" spans="6:13" x14ac:dyDescent="0.4">
      <c r="F278" s="1">
        <v>29799</v>
      </c>
      <c r="G278" s="16">
        <v>338.43</v>
      </c>
      <c r="H278" s="16">
        <f t="shared" si="21"/>
        <v>339.93166791926302</v>
      </c>
      <c r="I278">
        <f t="shared" si="22"/>
        <v>8</v>
      </c>
      <c r="J278" s="16" cm="1">
        <f t="array" ref="J278">INDEX(Sm,I278)</f>
        <v>-1.3852874640433905</v>
      </c>
      <c r="K278" s="16">
        <f t="shared" si="23"/>
        <v>338.54638045521961</v>
      </c>
      <c r="L278" s="16">
        <f t="shared" si="24"/>
        <v>-0.11638045521959839</v>
      </c>
      <c r="M278" s="16">
        <f t="shared" si="25"/>
        <v>1.3544410357120945E-2</v>
      </c>
    </row>
    <row r="279" spans="6:13" x14ac:dyDescent="0.4">
      <c r="F279" s="1">
        <v>29830</v>
      </c>
      <c r="G279" s="16">
        <v>336.69</v>
      </c>
      <c r="H279" s="16">
        <f t="shared" si="21"/>
        <v>340.0463880316014</v>
      </c>
      <c r="I279">
        <f t="shared" si="22"/>
        <v>9</v>
      </c>
      <c r="J279" s="16" cm="1">
        <f t="array" ref="J279">INDEX(Sm,I279)</f>
        <v>-3.188494698714738</v>
      </c>
      <c r="K279" s="16">
        <f t="shared" si="23"/>
        <v>336.85789333288665</v>
      </c>
      <c r="L279" s="16">
        <f t="shared" si="24"/>
        <v>-0.1678933328866492</v>
      </c>
      <c r="M279" s="16">
        <f t="shared" si="25"/>
        <v>2.8188171227787204E-2</v>
      </c>
    </row>
    <row r="280" spans="6:13" x14ac:dyDescent="0.4">
      <c r="F280" s="1">
        <v>29860</v>
      </c>
      <c r="G280" s="16">
        <v>336.86</v>
      </c>
      <c r="H280" s="16">
        <f t="shared" si="21"/>
        <v>340.157561262836</v>
      </c>
      <c r="I280">
        <f t="shared" si="22"/>
        <v>10</v>
      </c>
      <c r="J280" s="16" cm="1">
        <f t="array" ref="J280">INDEX(Sm,I280)</f>
        <v>-3.3139186770794531</v>
      </c>
      <c r="K280" s="16">
        <f t="shared" si="23"/>
        <v>336.84364258575653</v>
      </c>
      <c r="L280" s="16">
        <f t="shared" si="24"/>
        <v>1.6357414243486801E-2</v>
      </c>
      <c r="M280" s="16">
        <f t="shared" si="25"/>
        <v>2.6756500073302485E-4</v>
      </c>
    </row>
    <row r="281" spans="6:13" x14ac:dyDescent="0.4">
      <c r="F281" s="1">
        <v>29891</v>
      </c>
      <c r="G281" s="16">
        <v>338.36</v>
      </c>
      <c r="H281" s="16">
        <f t="shared" si="21"/>
        <v>340.27259938299551</v>
      </c>
      <c r="I281">
        <f t="shared" si="22"/>
        <v>11</v>
      </c>
      <c r="J281" s="16" cm="1">
        <f t="array" ref="J281">INDEX(Sm,I281)</f>
        <v>-2.0555969925100759</v>
      </c>
      <c r="K281" s="16">
        <f t="shared" si="23"/>
        <v>338.21700239048545</v>
      </c>
      <c r="L281" s="16">
        <f t="shared" si="24"/>
        <v>0.14299760951456619</v>
      </c>
      <c r="M281" s="16">
        <f t="shared" si="25"/>
        <v>2.044831632688035E-2</v>
      </c>
    </row>
    <row r="282" spans="6:13" x14ac:dyDescent="0.4">
      <c r="F282" s="1">
        <v>29921</v>
      </c>
      <c r="G282" s="16">
        <v>339.61</v>
      </c>
      <c r="H282" s="16">
        <f t="shared" si="21"/>
        <v>340.38408078998339</v>
      </c>
      <c r="I282">
        <f t="shared" si="22"/>
        <v>12</v>
      </c>
      <c r="J282" s="16" cm="1">
        <f t="array" ref="J282">INDEX(Sm,I282)</f>
        <v>-0.88675924001340456</v>
      </c>
      <c r="K282" s="16">
        <f t="shared" si="23"/>
        <v>339.49732154996997</v>
      </c>
      <c r="L282" s="16">
        <f t="shared" si="24"/>
        <v>0.11267845003004595</v>
      </c>
      <c r="M282" s="16">
        <f t="shared" si="25"/>
        <v>1.2696433101173563E-2</v>
      </c>
    </row>
    <row r="283" spans="6:13" x14ac:dyDescent="0.4">
      <c r="F283" s="1">
        <v>29952</v>
      </c>
      <c r="G283" s="16">
        <v>340.75</v>
      </c>
      <c r="H283" s="16">
        <f t="shared" si="21"/>
        <v>340.499437799492</v>
      </c>
      <c r="I283">
        <f t="shared" si="22"/>
        <v>1</v>
      </c>
      <c r="J283" s="16" cm="1">
        <f t="array" ref="J283">INDEX(Sm,I283)</f>
        <v>-3.5406241068958691E-2</v>
      </c>
      <c r="K283" s="16">
        <f t="shared" si="23"/>
        <v>340.46403155842302</v>
      </c>
      <c r="L283" s="16">
        <f t="shared" si="24"/>
        <v>0.28596844157698342</v>
      </c>
      <c r="M283" s="16">
        <f t="shared" si="25"/>
        <v>8.1777949577968578E-2</v>
      </c>
    </row>
    <row r="284" spans="6:13" x14ac:dyDescent="0.4">
      <c r="F284" s="1">
        <v>29983</v>
      </c>
      <c r="G284" s="16">
        <v>341.61</v>
      </c>
      <c r="H284" s="16">
        <f t="shared" si="21"/>
        <v>340.61495720613306</v>
      </c>
      <c r="I284">
        <f t="shared" si="22"/>
        <v>2</v>
      </c>
      <c r="J284" s="16" cm="1">
        <f t="array" ref="J284">INDEX(Sm,I284)</f>
        <v>0.68063113884422577</v>
      </c>
      <c r="K284" s="16">
        <f t="shared" si="23"/>
        <v>341.29558834497726</v>
      </c>
      <c r="L284" s="16">
        <f t="shared" si="24"/>
        <v>0.31441165502275226</v>
      </c>
      <c r="M284" s="16">
        <f t="shared" si="25"/>
        <v>9.8854688814146177E-2</v>
      </c>
    </row>
    <row r="285" spans="6:13" x14ac:dyDescent="0.4">
      <c r="F285" s="1">
        <v>30011</v>
      </c>
      <c r="G285" s="16">
        <v>342.7</v>
      </c>
      <c r="H285" s="16">
        <f t="shared" si="21"/>
        <v>340.71943708931462</v>
      </c>
      <c r="I285">
        <f t="shared" si="22"/>
        <v>3</v>
      </c>
      <c r="J285" s="16" cm="1">
        <f t="array" ref="J285">INDEX(Sm,I285)</f>
        <v>1.3939471632320417</v>
      </c>
      <c r="K285" s="16">
        <f t="shared" si="23"/>
        <v>342.11338425254667</v>
      </c>
      <c r="L285" s="16">
        <f t="shared" si="24"/>
        <v>0.58661574745332246</v>
      </c>
      <c r="M285" s="16">
        <f t="shared" si="25"/>
        <v>0.34411803516022021</v>
      </c>
    </row>
    <row r="286" spans="6:13" x14ac:dyDescent="0.4">
      <c r="F286" s="1">
        <v>30042</v>
      </c>
      <c r="G286" s="16">
        <v>343.57</v>
      </c>
      <c r="H286" s="16">
        <f t="shared" si="21"/>
        <v>340.835266206254</v>
      </c>
      <c r="I286">
        <f t="shared" si="22"/>
        <v>4</v>
      </c>
      <c r="J286" s="16" cm="1">
        <f t="array" ref="J286">INDEX(Sm,I286)</f>
        <v>2.6315659351379859</v>
      </c>
      <c r="K286" s="16">
        <f t="shared" si="23"/>
        <v>343.46683214139199</v>
      </c>
      <c r="L286" s="16">
        <f t="shared" si="24"/>
        <v>0.10316785860800337</v>
      </c>
      <c r="M286" s="16">
        <f t="shared" si="25"/>
        <v>1.0643607049760976E-2</v>
      </c>
    </row>
    <row r="287" spans="6:13" x14ac:dyDescent="0.4">
      <c r="F287" s="1">
        <v>30072</v>
      </c>
      <c r="G287" s="16">
        <v>344.14</v>
      </c>
      <c r="H287" s="16">
        <f t="shared" si="21"/>
        <v>340.94751415422689</v>
      </c>
      <c r="I287">
        <f t="shared" si="22"/>
        <v>5</v>
      </c>
      <c r="J287" s="16" cm="1">
        <f t="array" ref="J287">INDEX(Sm,I287)</f>
        <v>3.0968597809913625</v>
      </c>
      <c r="K287" s="16">
        <f t="shared" si="23"/>
        <v>344.04437393521823</v>
      </c>
      <c r="L287" s="16">
        <f t="shared" si="24"/>
        <v>9.5626064781754394E-2</v>
      </c>
      <c r="M287" s="16">
        <f t="shared" si="25"/>
        <v>9.1443442656442882E-3</v>
      </c>
    </row>
    <row r="288" spans="6:13" x14ac:dyDescent="0.4">
      <c r="F288" s="1">
        <v>30103</v>
      </c>
      <c r="G288" s="16">
        <v>343.35</v>
      </c>
      <c r="H288" s="16">
        <f t="shared" si="21"/>
        <v>341.06366435318358</v>
      </c>
      <c r="I288">
        <f t="shared" si="22"/>
        <v>6</v>
      </c>
      <c r="J288" s="16" cm="1">
        <f t="array" ref="J288">INDEX(Sm,I288)</f>
        <v>2.3186578027685911</v>
      </c>
      <c r="K288" s="16">
        <f t="shared" si="23"/>
        <v>343.38232215595218</v>
      </c>
      <c r="L288" s="16">
        <f t="shared" si="24"/>
        <v>-3.2322155952158482E-2</v>
      </c>
      <c r="M288" s="16">
        <f t="shared" si="25"/>
        <v>1.0447217653956539E-3</v>
      </c>
    </row>
    <row r="289" spans="6:13" x14ac:dyDescent="0.4">
      <c r="F289" s="1">
        <v>30133</v>
      </c>
      <c r="G289" s="16">
        <v>342.06</v>
      </c>
      <c r="H289" s="16">
        <f t="shared" si="21"/>
        <v>341.17622345605889</v>
      </c>
      <c r="I289">
        <f t="shared" si="22"/>
        <v>7</v>
      </c>
      <c r="J289" s="16" cm="1">
        <f t="array" ref="J289">INDEX(Sm,I289)</f>
        <v>0.74380149245581328</v>
      </c>
      <c r="K289" s="16">
        <f t="shared" si="23"/>
        <v>341.92002494851471</v>
      </c>
      <c r="L289" s="16">
        <f t="shared" si="24"/>
        <v>0.13997505148529399</v>
      </c>
      <c r="M289" s="16">
        <f t="shared" si="25"/>
        <v>1.9593015038310704E-2</v>
      </c>
    </row>
    <row r="290" spans="6:13" x14ac:dyDescent="0.4">
      <c r="F290" s="1">
        <v>30164</v>
      </c>
      <c r="G290" s="16">
        <v>339.81</v>
      </c>
      <c r="H290" s="16">
        <f t="shared" si="21"/>
        <v>341.29269562708271</v>
      </c>
      <c r="I290">
        <f t="shared" si="22"/>
        <v>8</v>
      </c>
      <c r="J290" s="16" cm="1">
        <f t="array" ref="J290">INDEX(Sm,I290)</f>
        <v>-1.3852874640433905</v>
      </c>
      <c r="K290" s="16">
        <f t="shared" si="23"/>
        <v>339.90740816303929</v>
      </c>
      <c r="L290" s="16">
        <f t="shared" si="24"/>
        <v>-9.740816303929023E-2</v>
      </c>
      <c r="M290" s="16">
        <f t="shared" si="25"/>
        <v>9.4883502266889467E-3</v>
      </c>
    </row>
    <row r="291" spans="6:13" x14ac:dyDescent="0.4">
      <c r="F291" s="1">
        <v>30195</v>
      </c>
      <c r="G291" s="16">
        <v>337.98</v>
      </c>
      <c r="H291" s="16">
        <f t="shared" si="21"/>
        <v>341.40933176513954</v>
      </c>
      <c r="I291">
        <f t="shared" si="22"/>
        <v>9</v>
      </c>
      <c r="J291" s="16" cm="1">
        <f t="array" ref="J291">INDEX(Sm,I291)</f>
        <v>-3.188494698714738</v>
      </c>
      <c r="K291" s="16">
        <f t="shared" si="23"/>
        <v>338.22083706642479</v>
      </c>
      <c r="L291" s="16">
        <f t="shared" si="24"/>
        <v>-0.24083706642477409</v>
      </c>
      <c r="M291" s="16">
        <f t="shared" si="25"/>
        <v>5.8002492564091047E-2</v>
      </c>
    </row>
    <row r="292" spans="6:13" x14ac:dyDescent="0.4">
      <c r="F292" s="1">
        <v>30225</v>
      </c>
      <c r="G292" s="16">
        <v>337.86</v>
      </c>
      <c r="H292" s="16">
        <f t="shared" si="21"/>
        <v>341.5223617829995</v>
      </c>
      <c r="I292">
        <f t="shared" si="22"/>
        <v>10</v>
      </c>
      <c r="J292" s="16" cm="1">
        <f t="array" ref="J292">INDEX(Sm,I292)</f>
        <v>-3.3139186770794531</v>
      </c>
      <c r="K292" s="16">
        <f t="shared" si="23"/>
        <v>338.20844310592003</v>
      </c>
      <c r="L292" s="16">
        <f t="shared" si="24"/>
        <v>-0.34844310592001193</v>
      </c>
      <c r="M292" s="16">
        <f t="shared" si="25"/>
        <v>0.12141259806318465</v>
      </c>
    </row>
    <row r="293" spans="6:13" x14ac:dyDescent="0.4">
      <c r="F293" s="1">
        <v>30256</v>
      </c>
      <c r="G293" s="16">
        <v>339.26</v>
      </c>
      <c r="H293" s="16">
        <f t="shared" si="21"/>
        <v>341.63932124016208</v>
      </c>
      <c r="I293">
        <f t="shared" si="22"/>
        <v>11</v>
      </c>
      <c r="J293" s="16" cm="1">
        <f t="array" ref="J293">INDEX(Sm,I293)</f>
        <v>-2.0555969925100759</v>
      </c>
      <c r="K293" s="16">
        <f t="shared" si="23"/>
        <v>339.58372424765201</v>
      </c>
      <c r="L293" s="16">
        <f t="shared" si="24"/>
        <v>-0.32372424765202368</v>
      </c>
      <c r="M293" s="16">
        <f t="shared" si="25"/>
        <v>0.10479738851786875</v>
      </c>
    </row>
    <row r="294" spans="6:13" x14ac:dyDescent="0.4">
      <c r="F294" s="1">
        <v>30286</v>
      </c>
      <c r="G294" s="16">
        <v>340.49</v>
      </c>
      <c r="H294" s="16">
        <f t="shared" si="21"/>
        <v>341.75266458084729</v>
      </c>
      <c r="I294">
        <f t="shared" si="22"/>
        <v>12</v>
      </c>
      <c r="J294" s="16" cm="1">
        <f t="array" ref="J294">INDEX(Sm,I294)</f>
        <v>-0.88675924001340456</v>
      </c>
      <c r="K294" s="16">
        <f t="shared" si="23"/>
        <v>340.86590534083388</v>
      </c>
      <c r="L294" s="16">
        <f t="shared" si="24"/>
        <v>-0.37590534083386729</v>
      </c>
      <c r="M294" s="16">
        <f t="shared" si="25"/>
        <v>0.14130482526742594</v>
      </c>
    </row>
    <row r="295" spans="6:13" x14ac:dyDescent="0.4">
      <c r="F295" s="1">
        <v>30317</v>
      </c>
      <c r="G295" s="16">
        <v>341.38</v>
      </c>
      <c r="H295" s="16">
        <f t="shared" si="21"/>
        <v>341.86994825336649</v>
      </c>
      <c r="I295">
        <f t="shared" si="22"/>
        <v>1</v>
      </c>
      <c r="J295" s="16" cm="1">
        <f t="array" ref="J295">INDEX(Sm,I295)</f>
        <v>-3.5406241068958691E-2</v>
      </c>
      <c r="K295" s="16">
        <f t="shared" si="23"/>
        <v>341.8345420122975</v>
      </c>
      <c r="L295" s="16">
        <f t="shared" si="24"/>
        <v>-0.45454201229750879</v>
      </c>
      <c r="M295" s="16">
        <f t="shared" si="25"/>
        <v>0.20660844094346864</v>
      </c>
    </row>
    <row r="296" spans="6:13" x14ac:dyDescent="0.4">
      <c r="F296" s="1">
        <v>30348</v>
      </c>
      <c r="G296" s="16">
        <v>342.52</v>
      </c>
      <c r="H296" s="16">
        <f t="shared" si="21"/>
        <v>341.98739703533317</v>
      </c>
      <c r="I296">
        <f t="shared" si="22"/>
        <v>2</v>
      </c>
      <c r="J296" s="16" cm="1">
        <f t="array" ref="J296">INDEX(Sm,I296)</f>
        <v>0.68063113884422577</v>
      </c>
      <c r="K296" s="16">
        <f t="shared" si="23"/>
        <v>342.66802817417738</v>
      </c>
      <c r="L296" s="16">
        <f t="shared" si="24"/>
        <v>-0.14802817417739789</v>
      </c>
      <c r="M296" s="16">
        <f t="shared" si="25"/>
        <v>2.1912340350294046E-2</v>
      </c>
    </row>
    <row r="297" spans="6:13" x14ac:dyDescent="0.4">
      <c r="F297" s="1">
        <v>30376</v>
      </c>
      <c r="G297" s="16">
        <v>343.1</v>
      </c>
      <c r="H297" s="16">
        <f t="shared" si="21"/>
        <v>342.09362191456796</v>
      </c>
      <c r="I297">
        <f t="shared" si="22"/>
        <v>3</v>
      </c>
      <c r="J297" s="16" cm="1">
        <f t="array" ref="J297">INDEX(Sm,I297)</f>
        <v>1.3939471632320417</v>
      </c>
      <c r="K297" s="16">
        <f t="shared" si="23"/>
        <v>343.4875690778</v>
      </c>
      <c r="L297" s="16">
        <f t="shared" si="24"/>
        <v>-0.38756907779998073</v>
      </c>
      <c r="M297" s="16">
        <f t="shared" si="25"/>
        <v>0.15020979006672752</v>
      </c>
    </row>
    <row r="298" spans="6:13" x14ac:dyDescent="0.4">
      <c r="F298" s="1">
        <v>30407</v>
      </c>
      <c r="G298" s="16">
        <v>344.94</v>
      </c>
      <c r="H298" s="16">
        <f t="shared" si="21"/>
        <v>342.21138557953441</v>
      </c>
      <c r="I298">
        <f t="shared" si="22"/>
        <v>4</v>
      </c>
      <c r="J298" s="16" cm="1">
        <f t="array" ref="J298">INDEX(Sm,I298)</f>
        <v>2.6315659351379859</v>
      </c>
      <c r="K298" s="16">
        <f t="shared" si="23"/>
        <v>344.84295151467239</v>
      </c>
      <c r="L298" s="16">
        <f t="shared" si="24"/>
        <v>9.7048485327604794E-2</v>
      </c>
      <c r="M298" s="16">
        <f t="shared" si="25"/>
        <v>9.4184085043823237E-3</v>
      </c>
    </row>
    <row r="299" spans="6:13" x14ac:dyDescent="0.4">
      <c r="F299" s="1">
        <v>30437</v>
      </c>
      <c r="G299" s="16">
        <v>345.76</v>
      </c>
      <c r="H299" s="16">
        <f t="shared" si="21"/>
        <v>342.3255082637744</v>
      </c>
      <c r="I299">
        <f t="shared" si="22"/>
        <v>5</v>
      </c>
      <c r="J299" s="16" cm="1">
        <f t="array" ref="J299">INDEX(Sm,I299)</f>
        <v>3.0968597809913625</v>
      </c>
      <c r="K299" s="16">
        <f t="shared" si="23"/>
        <v>345.42236804476573</v>
      </c>
      <c r="L299" s="16">
        <f t="shared" si="24"/>
        <v>0.33763195523425793</v>
      </c>
      <c r="M299" s="16">
        <f t="shared" si="25"/>
        <v>0.11399533719530795</v>
      </c>
    </row>
    <row r="300" spans="6:13" x14ac:dyDescent="0.4">
      <c r="F300" s="1">
        <v>30468</v>
      </c>
      <c r="G300" s="16">
        <v>345.32</v>
      </c>
      <c r="H300" s="16">
        <f t="shared" si="21"/>
        <v>342.44359837338732</v>
      </c>
      <c r="I300">
        <f t="shared" si="22"/>
        <v>6</v>
      </c>
      <c r="J300" s="16" cm="1">
        <f t="array" ref="J300">INDEX(Sm,I300)</f>
        <v>2.3186578027685911</v>
      </c>
      <c r="K300" s="16">
        <f t="shared" si="23"/>
        <v>344.76225617615592</v>
      </c>
      <c r="L300" s="16">
        <f t="shared" si="24"/>
        <v>0.55774382384407772</v>
      </c>
      <c r="M300" s="16">
        <f t="shared" si="25"/>
        <v>0.3110781730362136</v>
      </c>
    </row>
    <row r="301" spans="6:13" x14ac:dyDescent="0.4">
      <c r="F301" s="1">
        <v>30498</v>
      </c>
      <c r="G301" s="16">
        <v>343.98</v>
      </c>
      <c r="H301" s="16">
        <f t="shared" si="21"/>
        <v>342.55803740935858</v>
      </c>
      <c r="I301">
        <f t="shared" si="22"/>
        <v>7</v>
      </c>
      <c r="J301" s="16" cm="1">
        <f t="array" ref="J301">INDEX(Sm,I301)</f>
        <v>0.74380149245581328</v>
      </c>
      <c r="K301" s="16">
        <f t="shared" si="23"/>
        <v>343.30183890181439</v>
      </c>
      <c r="L301" s="16">
        <f t="shared" si="24"/>
        <v>0.67816109818562609</v>
      </c>
      <c r="M301" s="16">
        <f t="shared" si="25"/>
        <v>0.4599024750923344</v>
      </c>
    </row>
    <row r="302" spans="6:13" x14ac:dyDescent="0.4">
      <c r="F302" s="1">
        <v>30529</v>
      </c>
      <c r="G302" s="16">
        <v>342.38</v>
      </c>
      <c r="H302" s="16">
        <f t="shared" si="21"/>
        <v>342.67645486853291</v>
      </c>
      <c r="I302">
        <f t="shared" si="22"/>
        <v>8</v>
      </c>
      <c r="J302" s="16" cm="1">
        <f t="array" ref="J302">INDEX(Sm,I302)</f>
        <v>-1.3852874640433905</v>
      </c>
      <c r="K302" s="16">
        <f t="shared" si="23"/>
        <v>341.2911674044895</v>
      </c>
      <c r="L302" s="16">
        <f t="shared" si="24"/>
        <v>1.088832595510496</v>
      </c>
      <c r="M302" s="16">
        <f t="shared" si="25"/>
        <v>1.1855564210461236</v>
      </c>
    </row>
    <row r="303" spans="6:13" x14ac:dyDescent="0.4">
      <c r="F303" s="1">
        <v>30560</v>
      </c>
      <c r="G303" s="16">
        <v>339.87</v>
      </c>
      <c r="H303" s="16">
        <f t="shared" si="21"/>
        <v>342.79503903327537</v>
      </c>
      <c r="I303">
        <f t="shared" si="22"/>
        <v>9</v>
      </c>
      <c r="J303" s="16" cm="1">
        <f t="array" ref="J303">INDEX(Sm,I303)</f>
        <v>-3.188494698714738</v>
      </c>
      <c r="K303" s="16">
        <f t="shared" si="23"/>
        <v>339.60654433456062</v>
      </c>
      <c r="L303" s="16">
        <f t="shared" si="24"/>
        <v>0.26345566543938048</v>
      </c>
      <c r="M303" s="16">
        <f t="shared" si="25"/>
        <v>6.9408887652106774E-2</v>
      </c>
    </row>
    <row r="304" spans="6:13" x14ac:dyDescent="0.4">
      <c r="F304" s="1">
        <v>30590</v>
      </c>
      <c r="G304" s="16">
        <v>339.99</v>
      </c>
      <c r="H304" s="16">
        <f t="shared" si="21"/>
        <v>342.90995684933193</v>
      </c>
      <c r="I304">
        <f t="shared" si="22"/>
        <v>10</v>
      </c>
      <c r="J304" s="16" cm="1">
        <f t="array" ref="J304">INDEX(Sm,I304)</f>
        <v>-3.3139186770794531</v>
      </c>
      <c r="K304" s="16">
        <f t="shared" si="23"/>
        <v>339.59603817225246</v>
      </c>
      <c r="L304" s="16">
        <f t="shared" si="24"/>
        <v>0.39396182774754607</v>
      </c>
      <c r="M304" s="16">
        <f t="shared" si="25"/>
        <v>0.15520592172218717</v>
      </c>
    </row>
    <row r="305" spans="6:13" x14ac:dyDescent="0.4">
      <c r="F305" s="1">
        <v>30621</v>
      </c>
      <c r="G305" s="16">
        <v>341.15</v>
      </c>
      <c r="H305" s="16">
        <f t="shared" si="21"/>
        <v>343.02886973317243</v>
      </c>
      <c r="I305">
        <f t="shared" si="22"/>
        <v>11</v>
      </c>
      <c r="J305" s="16" cm="1">
        <f t="array" ref="J305">INDEX(Sm,I305)</f>
        <v>-2.0555969925100759</v>
      </c>
      <c r="K305" s="16">
        <f t="shared" si="23"/>
        <v>340.97327274066237</v>
      </c>
      <c r="L305" s="16">
        <f t="shared" si="24"/>
        <v>0.17672725933761058</v>
      </c>
      <c r="M305" s="16">
        <f t="shared" si="25"/>
        <v>3.1232524192983065E-2</v>
      </c>
    </row>
    <row r="306" spans="6:13" x14ac:dyDescent="0.4">
      <c r="F306" s="1">
        <v>30651</v>
      </c>
      <c r="G306" s="16">
        <v>342.99</v>
      </c>
      <c r="H306" s="16">
        <f t="shared" si="21"/>
        <v>343.14410610509117</v>
      </c>
      <c r="I306">
        <f t="shared" si="22"/>
        <v>12</v>
      </c>
      <c r="J306" s="16" cm="1">
        <f t="array" ref="J306">INDEX(Sm,I306)</f>
        <v>-0.88675924001340456</v>
      </c>
      <c r="K306" s="16">
        <f t="shared" si="23"/>
        <v>342.25734686507775</v>
      </c>
      <c r="L306" s="16">
        <f t="shared" si="24"/>
        <v>0.73265313492225914</v>
      </c>
      <c r="M306" s="16">
        <f t="shared" si="25"/>
        <v>0.53678061611141403</v>
      </c>
    </row>
    <row r="307" spans="6:13" x14ac:dyDescent="0.4">
      <c r="F307" s="1">
        <v>30682</v>
      </c>
      <c r="G307" s="16">
        <v>343.7</v>
      </c>
      <c r="H307" s="16">
        <f t="shared" si="21"/>
        <v>343.2633486192496</v>
      </c>
      <c r="I307">
        <f t="shared" si="22"/>
        <v>1</v>
      </c>
      <c r="J307" s="16" cm="1">
        <f t="array" ref="J307">INDEX(Sm,I307)</f>
        <v>-3.5406241068958691E-2</v>
      </c>
      <c r="K307" s="16">
        <f t="shared" si="23"/>
        <v>343.22794237818061</v>
      </c>
      <c r="L307" s="16">
        <f t="shared" si="24"/>
        <v>0.47205762181937416</v>
      </c>
      <c r="M307" s="16">
        <f t="shared" si="25"/>
        <v>0.22283839831776328</v>
      </c>
    </row>
    <row r="308" spans="6:13" x14ac:dyDescent="0.4">
      <c r="F308" s="1">
        <v>30713</v>
      </c>
      <c r="G308" s="16">
        <v>344.5</v>
      </c>
      <c r="H308" s="16">
        <f t="shared" si="21"/>
        <v>343.38275900047091</v>
      </c>
      <c r="I308">
        <f t="shared" si="22"/>
        <v>2</v>
      </c>
      <c r="J308" s="16" cm="1">
        <f t="array" ref="J308">INDEX(Sm,I308)</f>
        <v>0.68063113884422577</v>
      </c>
      <c r="K308" s="16">
        <f t="shared" si="23"/>
        <v>344.06339013931512</v>
      </c>
      <c r="L308" s="16">
        <f t="shared" si="24"/>
        <v>0.43660986068488228</v>
      </c>
      <c r="M308" s="16">
        <f t="shared" si="25"/>
        <v>0.19062817044727232</v>
      </c>
    </row>
    <row r="309" spans="6:13" x14ac:dyDescent="0.4">
      <c r="F309" s="1">
        <v>30742</v>
      </c>
      <c r="G309" s="16">
        <v>345.28</v>
      </c>
      <c r="H309" s="16">
        <f t="shared" si="21"/>
        <v>343.49461766668816</v>
      </c>
      <c r="I309">
        <f t="shared" si="22"/>
        <v>3</v>
      </c>
      <c r="J309" s="16" cm="1">
        <f t="array" ref="J309">INDEX(Sm,I309)</f>
        <v>1.3939471632320417</v>
      </c>
      <c r="K309" s="16">
        <f t="shared" si="23"/>
        <v>344.8885648299202</v>
      </c>
      <c r="L309" s="16">
        <f t="shared" si="24"/>
        <v>0.3914351700797738</v>
      </c>
      <c r="M309" s="16">
        <f t="shared" si="25"/>
        <v>0.15322149237538144</v>
      </c>
    </row>
    <row r="310" spans="6:13" x14ac:dyDescent="0.4">
      <c r="F310" s="1">
        <v>30773</v>
      </c>
      <c r="G310" s="16">
        <v>347.05</v>
      </c>
      <c r="H310" s="16">
        <f t="shared" si="21"/>
        <v>343.61435362353171</v>
      </c>
      <c r="I310">
        <f t="shared" si="22"/>
        <v>4</v>
      </c>
      <c r="J310" s="16" cm="1">
        <f t="array" ref="J310">INDEX(Sm,I310)</f>
        <v>2.6315659351379859</v>
      </c>
      <c r="K310" s="16">
        <f t="shared" si="23"/>
        <v>346.2459195586697</v>
      </c>
      <c r="L310" s="16">
        <f t="shared" si="24"/>
        <v>0.80408044133031353</v>
      </c>
      <c r="M310" s="16">
        <f t="shared" si="25"/>
        <v>0.64654535612995179</v>
      </c>
    </row>
    <row r="311" spans="6:13" x14ac:dyDescent="0.4">
      <c r="F311" s="1">
        <v>30803</v>
      </c>
      <c r="G311" s="16">
        <v>347.43</v>
      </c>
      <c r="H311" s="16">
        <f t="shared" si="21"/>
        <v>343.73038762093574</v>
      </c>
      <c r="I311">
        <f t="shared" si="22"/>
        <v>5</v>
      </c>
      <c r="J311" s="16" cm="1">
        <f t="array" ref="J311">INDEX(Sm,I311)</f>
        <v>3.0968597809913625</v>
      </c>
      <c r="K311" s="16">
        <f t="shared" si="23"/>
        <v>346.82724740192708</v>
      </c>
      <c r="L311" s="16">
        <f t="shared" si="24"/>
        <v>0.60275259807292514</v>
      </c>
      <c r="M311" s="16">
        <f t="shared" si="25"/>
        <v>0.36331069448366121</v>
      </c>
    </row>
    <row r="312" spans="6:13" x14ac:dyDescent="0.4">
      <c r="F312" s="1">
        <v>30834</v>
      </c>
      <c r="G312" s="16">
        <v>346.8</v>
      </c>
      <c r="H312" s="16">
        <f t="shared" si="21"/>
        <v>343.85045548968185</v>
      </c>
      <c r="I312">
        <f t="shared" si="22"/>
        <v>6</v>
      </c>
      <c r="J312" s="16" cm="1">
        <f t="array" ref="J312">INDEX(Sm,I312)</f>
        <v>2.3186578027685911</v>
      </c>
      <c r="K312" s="16">
        <f t="shared" si="23"/>
        <v>346.16911329245045</v>
      </c>
      <c r="L312" s="16">
        <f t="shared" si="24"/>
        <v>0.63088670754956411</v>
      </c>
      <c r="M312" s="16">
        <f t="shared" si="25"/>
        <v>0.3980180377627292</v>
      </c>
    </row>
    <row r="313" spans="6:13" x14ac:dyDescent="0.4">
      <c r="F313" s="1">
        <v>30864</v>
      </c>
      <c r="G313" s="16">
        <v>345.39</v>
      </c>
      <c r="H313" s="16">
        <f t="shared" si="21"/>
        <v>343.96681113703858</v>
      </c>
      <c r="I313">
        <f t="shared" si="22"/>
        <v>7</v>
      </c>
      <c r="J313" s="16" cm="1">
        <f t="array" ref="J313">INDEX(Sm,I313)</f>
        <v>0.74380149245581328</v>
      </c>
      <c r="K313" s="16">
        <f t="shared" si="23"/>
        <v>344.71061262949439</v>
      </c>
      <c r="L313" s="16">
        <f t="shared" si="24"/>
        <v>0.67938737050559439</v>
      </c>
      <c r="M313" s="16">
        <f t="shared" si="25"/>
        <v>0.46156719920250577</v>
      </c>
    </row>
    <row r="314" spans="6:13" x14ac:dyDescent="0.4">
      <c r="F314" s="1">
        <v>30895</v>
      </c>
      <c r="G314" s="16">
        <v>343.28</v>
      </c>
      <c r="H314" s="16">
        <f t="shared" si="21"/>
        <v>344.08721183775765</v>
      </c>
      <c r="I314">
        <f t="shared" si="22"/>
        <v>8</v>
      </c>
      <c r="J314" s="16" cm="1">
        <f t="array" ref="J314">INDEX(Sm,I314)</f>
        <v>-1.3852874640433905</v>
      </c>
      <c r="K314" s="16">
        <f t="shared" si="23"/>
        <v>342.70192437371423</v>
      </c>
      <c r="L314" s="16">
        <f t="shared" si="24"/>
        <v>0.57807562628573805</v>
      </c>
      <c r="M314" s="16">
        <f t="shared" si="25"/>
        <v>0.33417142970564828</v>
      </c>
    </row>
    <row r="315" spans="6:13" x14ac:dyDescent="0.4">
      <c r="F315" s="1">
        <v>30926</v>
      </c>
      <c r="G315" s="16">
        <v>341.07</v>
      </c>
      <c r="H315" s="16">
        <f t="shared" si="21"/>
        <v>344.20778203600992</v>
      </c>
      <c r="I315">
        <f t="shared" si="22"/>
        <v>9</v>
      </c>
      <c r="J315" s="16" cm="1">
        <f t="array" ref="J315">INDEX(Sm,I315)</f>
        <v>-3.188494698714738</v>
      </c>
      <c r="K315" s="16">
        <f t="shared" si="23"/>
        <v>341.01928733729517</v>
      </c>
      <c r="L315" s="16">
        <f t="shared" si="24"/>
        <v>5.0712662704825107E-2</v>
      </c>
      <c r="M315" s="16">
        <f t="shared" si="25"/>
        <v>2.5717741586133592E-3</v>
      </c>
    </row>
    <row r="316" spans="6:13" x14ac:dyDescent="0.4">
      <c r="F316" s="1">
        <v>30956</v>
      </c>
      <c r="G316" s="16">
        <v>341.35</v>
      </c>
      <c r="H316" s="16">
        <f t="shared" si="21"/>
        <v>344.32462448200386</v>
      </c>
      <c r="I316">
        <f t="shared" si="22"/>
        <v>10</v>
      </c>
      <c r="J316" s="16" cm="1">
        <f t="array" ref="J316">INDEX(Sm,I316)</f>
        <v>-3.3139186770794531</v>
      </c>
      <c r="K316" s="16">
        <f t="shared" si="23"/>
        <v>341.01070580492438</v>
      </c>
      <c r="L316" s="16">
        <f t="shared" si="24"/>
        <v>0.33929419507563807</v>
      </c>
      <c r="M316" s="16">
        <f t="shared" si="25"/>
        <v>0.11512055081202514</v>
      </c>
    </row>
    <row r="317" spans="6:13" x14ac:dyDescent="0.4">
      <c r="F317" s="1">
        <v>30987</v>
      </c>
      <c r="G317" s="16">
        <v>342.98</v>
      </c>
      <c r="H317" s="16">
        <f t="shared" si="21"/>
        <v>344.44552890470266</v>
      </c>
      <c r="I317">
        <f t="shared" si="22"/>
        <v>11</v>
      </c>
      <c r="J317" s="16" cm="1">
        <f t="array" ref="J317">INDEX(Sm,I317)</f>
        <v>-2.0555969925100759</v>
      </c>
      <c r="K317" s="16">
        <f t="shared" si="23"/>
        <v>342.38993191219259</v>
      </c>
      <c r="L317" s="16">
        <f t="shared" si="24"/>
        <v>0.59006808780742404</v>
      </c>
      <c r="M317" s="16">
        <f t="shared" si="25"/>
        <v>0.34818034824870986</v>
      </c>
    </row>
    <row r="318" spans="6:13" x14ac:dyDescent="0.4">
      <c r="F318" s="1">
        <v>31017</v>
      </c>
      <c r="G318" s="16">
        <v>344.22</v>
      </c>
      <c r="H318" s="16">
        <f t="shared" si="21"/>
        <v>344.56269524169448</v>
      </c>
      <c r="I318">
        <f t="shared" si="22"/>
        <v>12</v>
      </c>
      <c r="J318" s="16" cm="1">
        <f t="array" ref="J318">INDEX(Sm,I318)</f>
        <v>-0.88675924001340456</v>
      </c>
      <c r="K318" s="16">
        <f t="shared" si="23"/>
        <v>343.67593600168107</v>
      </c>
      <c r="L318" s="16">
        <f t="shared" si="24"/>
        <v>0.54406399831896124</v>
      </c>
      <c r="M318" s="16">
        <f t="shared" si="25"/>
        <v>0.29600563426681464</v>
      </c>
    </row>
    <row r="319" spans="6:13" x14ac:dyDescent="0.4">
      <c r="F319" s="1">
        <v>31048</v>
      </c>
      <c r="G319" s="16">
        <v>344.97</v>
      </c>
      <c r="H319" s="16">
        <f t="shared" si="21"/>
        <v>344.68393481532053</v>
      </c>
      <c r="I319">
        <f t="shared" si="22"/>
        <v>1</v>
      </c>
      <c r="J319" s="16" cm="1">
        <f t="array" ref="J319">INDEX(Sm,I319)</f>
        <v>-3.5406241068958691E-2</v>
      </c>
      <c r="K319" s="16">
        <f t="shared" si="23"/>
        <v>344.64852857425154</v>
      </c>
      <c r="L319" s="16">
        <f t="shared" si="24"/>
        <v>0.32147142574848431</v>
      </c>
      <c r="M319" s="16">
        <f t="shared" si="25"/>
        <v>0.10334387757276325</v>
      </c>
    </row>
    <row r="320" spans="6:13" x14ac:dyDescent="0.4">
      <c r="F320" s="1">
        <v>31079</v>
      </c>
      <c r="G320" s="16">
        <v>345.99</v>
      </c>
      <c r="H320" s="16">
        <f t="shared" si="21"/>
        <v>344.80534506742725</v>
      </c>
      <c r="I320">
        <f t="shared" si="22"/>
        <v>2</v>
      </c>
      <c r="J320" s="16" cm="1">
        <f t="array" ref="J320">INDEX(Sm,I320)</f>
        <v>0.68063113884422577</v>
      </c>
      <c r="K320" s="16">
        <f t="shared" si="23"/>
        <v>345.48597620627146</v>
      </c>
      <c r="L320" s="16">
        <f t="shared" si="24"/>
        <v>0.50402379372854966</v>
      </c>
      <c r="M320" s="16">
        <f t="shared" si="25"/>
        <v>0.2540399846445196</v>
      </c>
    </row>
    <row r="321" spans="6:13" x14ac:dyDescent="0.4">
      <c r="F321" s="1">
        <v>31107</v>
      </c>
      <c r="G321" s="16">
        <v>347.42</v>
      </c>
      <c r="H321" s="16">
        <f t="shared" si="21"/>
        <v>344.91515284194747</v>
      </c>
      <c r="I321">
        <f t="shared" si="22"/>
        <v>3</v>
      </c>
      <c r="J321" s="16" cm="1">
        <f t="array" ref="J321">INDEX(Sm,I321)</f>
        <v>1.3939471632320417</v>
      </c>
      <c r="K321" s="16">
        <f t="shared" si="23"/>
        <v>346.30910000517952</v>
      </c>
      <c r="L321" s="16">
        <f t="shared" si="24"/>
        <v>1.1108999948204996</v>
      </c>
      <c r="M321" s="16">
        <f t="shared" si="25"/>
        <v>1.2340987984921861</v>
      </c>
    </row>
    <row r="322" spans="6:13" x14ac:dyDescent="0.4">
      <c r="F322" s="1">
        <v>31138</v>
      </c>
      <c r="G322" s="16">
        <v>348.35</v>
      </c>
      <c r="H322" s="16">
        <f t="shared" si="21"/>
        <v>345.03688859785024</v>
      </c>
      <c r="I322">
        <f t="shared" si="22"/>
        <v>4</v>
      </c>
      <c r="J322" s="16" cm="1">
        <f t="array" ref="J322">INDEX(Sm,I322)</f>
        <v>2.6315659351379859</v>
      </c>
      <c r="K322" s="16">
        <f t="shared" si="23"/>
        <v>347.66845453298822</v>
      </c>
      <c r="L322" s="16">
        <f t="shared" si="24"/>
        <v>0.68154546701180152</v>
      </c>
      <c r="M322" s="16">
        <f t="shared" si="25"/>
        <v>0.46450422360433463</v>
      </c>
    </row>
    <row r="323" spans="6:13" x14ac:dyDescent="0.4">
      <c r="F323" s="1">
        <v>31168</v>
      </c>
      <c r="G323" s="16">
        <v>348.93</v>
      </c>
      <c r="H323" s="16">
        <f t="shared" ref="H323:H386" si="26">EXP(_A*F323+_B)+_C</f>
        <v>345.15486056514214</v>
      </c>
      <c r="I323">
        <f t="shared" ref="I323:I386" si="27">MONTH(F323)</f>
        <v>5</v>
      </c>
      <c r="J323" s="16" cm="1">
        <f t="array" ref="J323">INDEX(Sm,I323)</f>
        <v>3.0968597809913625</v>
      </c>
      <c r="K323" s="16">
        <f t="shared" ref="K323:K386" si="28">H323+J323</f>
        <v>348.25172034613348</v>
      </c>
      <c r="L323" s="16">
        <f t="shared" ref="L323:L386" si="29">G323-K323</f>
        <v>0.67827965386652522</v>
      </c>
      <c r="M323" s="16">
        <f t="shared" ref="M323:M386" si="30">L323*L323</f>
        <v>0.46006328884929326</v>
      </c>
    </row>
    <row r="324" spans="6:13" x14ac:dyDescent="0.4">
      <c r="F324" s="1">
        <v>31199</v>
      </c>
      <c r="G324" s="16">
        <v>348.25</v>
      </c>
      <c r="H324" s="16">
        <f t="shared" si="26"/>
        <v>345.27693377645454</v>
      </c>
      <c r="I324">
        <f t="shared" si="27"/>
        <v>6</v>
      </c>
      <c r="J324" s="16" cm="1">
        <f t="array" ref="J324">INDEX(Sm,I324)</f>
        <v>2.3186578027685911</v>
      </c>
      <c r="K324" s="16">
        <f t="shared" si="28"/>
        <v>347.59559157922314</v>
      </c>
      <c r="L324" s="16">
        <f t="shared" si="29"/>
        <v>0.65440842077686057</v>
      </c>
      <c r="M324" s="16">
        <f t="shared" si="30"/>
        <v>0.4282503811836646</v>
      </c>
    </row>
    <row r="325" spans="6:13" x14ac:dyDescent="0.4">
      <c r="F325" s="1">
        <v>31229</v>
      </c>
      <c r="G325" s="16">
        <v>346.56</v>
      </c>
      <c r="H325" s="16">
        <f t="shared" si="26"/>
        <v>345.3952327658136</v>
      </c>
      <c r="I325">
        <f t="shared" si="27"/>
        <v>7</v>
      </c>
      <c r="J325" s="16" cm="1">
        <f t="array" ref="J325">INDEX(Sm,I325)</f>
        <v>0.74380149245581328</v>
      </c>
      <c r="K325" s="16">
        <f t="shared" si="28"/>
        <v>346.13903425826942</v>
      </c>
      <c r="L325" s="16">
        <f t="shared" si="29"/>
        <v>0.42096574173058343</v>
      </c>
      <c r="M325" s="16">
        <f t="shared" si="30"/>
        <v>0.17721215571078028</v>
      </c>
    </row>
    <row r="326" spans="6:13" x14ac:dyDescent="0.4">
      <c r="F326" s="1">
        <v>31260</v>
      </c>
      <c r="G326" s="16">
        <v>344.67</v>
      </c>
      <c r="H326" s="16">
        <f t="shared" si="26"/>
        <v>345.51764436797265</v>
      </c>
      <c r="I326">
        <f t="shared" si="27"/>
        <v>8</v>
      </c>
      <c r="J326" s="16" cm="1">
        <f t="array" ref="J326">INDEX(Sm,I326)</f>
        <v>-1.3852874640433905</v>
      </c>
      <c r="K326" s="16">
        <f t="shared" si="28"/>
        <v>344.13235690392924</v>
      </c>
      <c r="L326" s="16">
        <f t="shared" si="29"/>
        <v>0.53764309607078076</v>
      </c>
      <c r="M326" s="16">
        <f t="shared" si="30"/>
        <v>0.28906009875257477</v>
      </c>
    </row>
    <row r="327" spans="6:13" x14ac:dyDescent="0.4">
      <c r="F327" s="1">
        <v>31291</v>
      </c>
      <c r="G327" s="16">
        <v>343.09</v>
      </c>
      <c r="H327" s="16">
        <f t="shared" si="26"/>
        <v>345.64022829856907</v>
      </c>
      <c r="I327">
        <f t="shared" si="27"/>
        <v>9</v>
      </c>
      <c r="J327" s="16" cm="1">
        <f t="array" ref="J327">INDEX(Sm,I327)</f>
        <v>-3.188494698714738</v>
      </c>
      <c r="K327" s="16">
        <f t="shared" si="28"/>
        <v>342.45173359985432</v>
      </c>
      <c r="L327" s="16">
        <f t="shared" si="29"/>
        <v>0.63826640014565328</v>
      </c>
      <c r="M327" s="16">
        <f t="shared" si="30"/>
        <v>0.40738399755489119</v>
      </c>
    </row>
    <row r="328" spans="6:13" x14ac:dyDescent="0.4">
      <c r="F328" s="1">
        <v>31321</v>
      </c>
      <c r="G328" s="16">
        <v>342.8</v>
      </c>
      <c r="H328" s="16">
        <f t="shared" si="26"/>
        <v>345.7590222169506</v>
      </c>
      <c r="I328">
        <f t="shared" si="27"/>
        <v>10</v>
      </c>
      <c r="J328" s="16" cm="1">
        <f t="array" ref="J328">INDEX(Sm,I328)</f>
        <v>-3.3139186770794531</v>
      </c>
      <c r="K328" s="16">
        <f t="shared" si="28"/>
        <v>342.44510353987113</v>
      </c>
      <c r="L328" s="16">
        <f t="shared" si="29"/>
        <v>0.35489646012888443</v>
      </c>
      <c r="M328" s="16">
        <f t="shared" si="30"/>
        <v>0.12595149741201286</v>
      </c>
    </row>
    <row r="329" spans="6:13" x14ac:dyDescent="0.4">
      <c r="F329" s="1">
        <v>31352</v>
      </c>
      <c r="G329" s="16">
        <v>344.24</v>
      </c>
      <c r="H329" s="16">
        <f t="shared" si="26"/>
        <v>345.88194595412386</v>
      </c>
      <c r="I329">
        <f t="shared" si="27"/>
        <v>11</v>
      </c>
      <c r="J329" s="16" cm="1">
        <f t="array" ref="J329">INDEX(Sm,I329)</f>
        <v>-2.0555969925100759</v>
      </c>
      <c r="K329" s="16">
        <f t="shared" si="28"/>
        <v>343.8263489616138</v>
      </c>
      <c r="L329" s="16">
        <f t="shared" si="29"/>
        <v>0.41365103838620598</v>
      </c>
      <c r="M329" s="16">
        <f t="shared" si="30"/>
        <v>0.17110718155798646</v>
      </c>
    </row>
    <row r="330" spans="6:13" x14ac:dyDescent="0.4">
      <c r="F330" s="1">
        <v>31382</v>
      </c>
      <c r="G330" s="16">
        <v>345.56</v>
      </c>
      <c r="H330" s="16">
        <f t="shared" si="26"/>
        <v>346.0010691730472</v>
      </c>
      <c r="I330">
        <f t="shared" si="27"/>
        <v>12</v>
      </c>
      <c r="J330" s="16" cm="1">
        <f t="array" ref="J330">INDEX(Sm,I330)</f>
        <v>-0.88675924001340456</v>
      </c>
      <c r="K330" s="16">
        <f t="shared" si="28"/>
        <v>345.11430993303378</v>
      </c>
      <c r="L330" s="16">
        <f t="shared" si="29"/>
        <v>0.44569006696622182</v>
      </c>
      <c r="M330" s="16">
        <f t="shared" si="30"/>
        <v>0.1986396357923553</v>
      </c>
    </row>
    <row r="331" spans="6:13" x14ac:dyDescent="0.4">
      <c r="F331" s="1">
        <v>31413</v>
      </c>
      <c r="G331" s="16">
        <v>346.3</v>
      </c>
      <c r="H331" s="16">
        <f t="shared" si="26"/>
        <v>346.12433365875222</v>
      </c>
      <c r="I331">
        <f t="shared" si="27"/>
        <v>1</v>
      </c>
      <c r="J331" s="16" cm="1">
        <f t="array" ref="J331">INDEX(Sm,I331)</f>
        <v>-3.5406241068958691E-2</v>
      </c>
      <c r="K331" s="16">
        <f t="shared" si="28"/>
        <v>346.08892741768324</v>
      </c>
      <c r="L331" s="16">
        <f t="shared" si="29"/>
        <v>0.21107258231677406</v>
      </c>
      <c r="M331" s="16">
        <f t="shared" si="30"/>
        <v>4.4551635005871365E-2</v>
      </c>
    </row>
    <row r="332" spans="6:13" x14ac:dyDescent="0.4">
      <c r="F332" s="1">
        <v>31444</v>
      </c>
      <c r="G332" s="16">
        <v>346.95</v>
      </c>
      <c r="H332" s="16">
        <f t="shared" si="26"/>
        <v>346.24777167356564</v>
      </c>
      <c r="I332">
        <f t="shared" si="27"/>
        <v>2</v>
      </c>
      <c r="J332" s="16" cm="1">
        <f t="array" ref="J332">INDEX(Sm,I332)</f>
        <v>0.68063113884422577</v>
      </c>
      <c r="K332" s="16">
        <f t="shared" si="28"/>
        <v>346.92840281240984</v>
      </c>
      <c r="L332" s="16">
        <f t="shared" si="29"/>
        <v>2.159718759014595E-2</v>
      </c>
      <c r="M332" s="16">
        <f t="shared" si="30"/>
        <v>4.6643851180395421E-4</v>
      </c>
    </row>
    <row r="333" spans="6:13" x14ac:dyDescent="0.4">
      <c r="F333" s="1">
        <v>31472</v>
      </c>
      <c r="G333" s="16">
        <v>347.85</v>
      </c>
      <c r="H333" s="16">
        <f t="shared" si="26"/>
        <v>346.35941342920552</v>
      </c>
      <c r="I333">
        <f t="shared" si="27"/>
        <v>3</v>
      </c>
      <c r="J333" s="16" cm="1">
        <f t="array" ref="J333">INDEX(Sm,I333)</f>
        <v>1.3939471632320417</v>
      </c>
      <c r="K333" s="16">
        <f t="shared" si="28"/>
        <v>347.75336059243756</v>
      </c>
      <c r="L333" s="16">
        <f t="shared" si="29"/>
        <v>9.6639407562463475E-2</v>
      </c>
      <c r="M333" s="16">
        <f t="shared" si="30"/>
        <v>9.3391750940239222E-3</v>
      </c>
    </row>
    <row r="334" spans="6:13" x14ac:dyDescent="0.4">
      <c r="F334" s="1">
        <v>31503</v>
      </c>
      <c r="G334" s="16">
        <v>349.55</v>
      </c>
      <c r="H334" s="16">
        <f t="shared" si="26"/>
        <v>346.48318238429556</v>
      </c>
      <c r="I334">
        <f t="shared" si="27"/>
        <v>4</v>
      </c>
      <c r="J334" s="16" cm="1">
        <f t="array" ref="J334">INDEX(Sm,I334)</f>
        <v>2.6315659351379859</v>
      </c>
      <c r="K334" s="16">
        <f t="shared" si="28"/>
        <v>349.11474831943355</v>
      </c>
      <c r="L334" s="16">
        <f t="shared" si="29"/>
        <v>0.43525168056646635</v>
      </c>
      <c r="M334" s="16">
        <f t="shared" si="30"/>
        <v>0.18944402543593325</v>
      </c>
    </row>
    <row r="335" spans="6:13" x14ac:dyDescent="0.4">
      <c r="F335" s="1">
        <v>31533</v>
      </c>
      <c r="G335" s="16">
        <v>350.22</v>
      </c>
      <c r="H335" s="16">
        <f t="shared" si="26"/>
        <v>346.60312468894836</v>
      </c>
      <c r="I335">
        <f t="shared" si="27"/>
        <v>5</v>
      </c>
      <c r="J335" s="16" cm="1">
        <f t="array" ref="J335">INDEX(Sm,I335)</f>
        <v>3.0968597809913625</v>
      </c>
      <c r="K335" s="16">
        <f t="shared" si="28"/>
        <v>349.69998446993969</v>
      </c>
      <c r="L335" s="16">
        <f t="shared" si="29"/>
        <v>0.52001553006033419</v>
      </c>
      <c r="M335" s="16">
        <f t="shared" si="30"/>
        <v>0.27041615150393034</v>
      </c>
    </row>
    <row r="336" spans="6:13" x14ac:dyDescent="0.4">
      <c r="F336" s="1">
        <v>31564</v>
      </c>
      <c r="G336" s="16">
        <v>349.55</v>
      </c>
      <c r="H336" s="16">
        <f t="shared" si="26"/>
        <v>346.72723673554111</v>
      </c>
      <c r="I336">
        <f t="shared" si="27"/>
        <v>6</v>
      </c>
      <c r="J336" s="16" cm="1">
        <f t="array" ref="J336">INDEX(Sm,I336)</f>
        <v>2.3186578027685911</v>
      </c>
      <c r="K336" s="16">
        <f t="shared" si="28"/>
        <v>349.04589453830971</v>
      </c>
      <c r="L336" s="16">
        <f t="shared" si="29"/>
        <v>0.50410546169030113</v>
      </c>
      <c r="M336" s="16">
        <f t="shared" si="30"/>
        <v>0.25412231650599165</v>
      </c>
    </row>
    <row r="337" spans="6:13" x14ac:dyDescent="0.4">
      <c r="F337" s="1">
        <v>31594</v>
      </c>
      <c r="G337" s="16">
        <v>347.94</v>
      </c>
      <c r="H337" s="16">
        <f t="shared" si="26"/>
        <v>346.84751152409922</v>
      </c>
      <c r="I337">
        <f t="shared" si="27"/>
        <v>7</v>
      </c>
      <c r="J337" s="16" cm="1">
        <f t="array" ref="J337">INDEX(Sm,I337)</f>
        <v>0.74380149245581328</v>
      </c>
      <c r="K337" s="16">
        <f t="shared" si="28"/>
        <v>347.59131301655503</v>
      </c>
      <c r="L337" s="16">
        <f t="shared" si="29"/>
        <v>0.34868698344496352</v>
      </c>
      <c r="M337" s="16">
        <f t="shared" si="30"/>
        <v>0.12158261242394826</v>
      </c>
    </row>
    <row r="338" spans="6:13" x14ac:dyDescent="0.4">
      <c r="F338" s="1">
        <v>31625</v>
      </c>
      <c r="G338" s="16">
        <v>345.9</v>
      </c>
      <c r="H338" s="16">
        <f t="shared" si="26"/>
        <v>346.97196761325546</v>
      </c>
      <c r="I338">
        <f t="shared" si="27"/>
        <v>8</v>
      </c>
      <c r="J338" s="16" cm="1">
        <f t="array" ref="J338">INDEX(Sm,I338)</f>
        <v>-1.3852874640433905</v>
      </c>
      <c r="K338" s="16">
        <f t="shared" si="28"/>
        <v>345.58668014921204</v>
      </c>
      <c r="L338" s="16">
        <f t="shared" si="29"/>
        <v>0.31331985078793423</v>
      </c>
      <c r="M338" s="16">
        <f t="shared" si="30"/>
        <v>9.816932889777337E-2</v>
      </c>
    </row>
    <row r="339" spans="6:13" x14ac:dyDescent="0.4">
      <c r="F339" s="1">
        <v>31656</v>
      </c>
      <c r="G339" s="16">
        <v>344.85</v>
      </c>
      <c r="H339" s="16">
        <f t="shared" si="26"/>
        <v>347.09659890903396</v>
      </c>
      <c r="I339">
        <f t="shared" si="27"/>
        <v>9</v>
      </c>
      <c r="J339" s="16" cm="1">
        <f t="array" ref="J339">INDEX(Sm,I339)</f>
        <v>-3.188494698714738</v>
      </c>
      <c r="K339" s="16">
        <f t="shared" si="28"/>
        <v>343.90810421031921</v>
      </c>
      <c r="L339" s="16">
        <f t="shared" si="29"/>
        <v>0.94189578968081378</v>
      </c>
      <c r="M339" s="16">
        <f t="shared" si="30"/>
        <v>0.88716767861844381</v>
      </c>
    </row>
    <row r="340" spans="6:13" x14ac:dyDescent="0.4">
      <c r="F340" s="1">
        <v>31686</v>
      </c>
      <c r="G340" s="16">
        <v>344.17</v>
      </c>
      <c r="H340" s="16">
        <f t="shared" si="26"/>
        <v>347.21737689279144</v>
      </c>
      <c r="I340">
        <f t="shared" si="27"/>
        <v>10</v>
      </c>
      <c r="J340" s="16" cm="1">
        <f t="array" ref="J340">INDEX(Sm,I340)</f>
        <v>-3.3139186770794531</v>
      </c>
      <c r="K340" s="16">
        <f t="shared" si="28"/>
        <v>343.90345821571196</v>
      </c>
      <c r="L340" s="16">
        <f t="shared" si="29"/>
        <v>0.26654178428805153</v>
      </c>
      <c r="M340" s="16">
        <f t="shared" si="30"/>
        <v>7.1044522771458188E-2</v>
      </c>
    </row>
    <row r="341" spans="6:13" x14ac:dyDescent="0.4">
      <c r="F341" s="1">
        <v>31717</v>
      </c>
      <c r="G341" s="16">
        <v>345.66</v>
      </c>
      <c r="H341" s="16">
        <f t="shared" si="26"/>
        <v>347.34235367050866</v>
      </c>
      <c r="I341">
        <f t="shared" si="27"/>
        <v>11</v>
      </c>
      <c r="J341" s="16" cm="1">
        <f t="array" ref="J341">INDEX(Sm,I341)</f>
        <v>-2.0555969925100759</v>
      </c>
      <c r="K341" s="16">
        <f t="shared" si="28"/>
        <v>345.2867566779986</v>
      </c>
      <c r="L341" s="16">
        <f t="shared" si="29"/>
        <v>0.37324332200142862</v>
      </c>
      <c r="M341" s="16">
        <f t="shared" si="30"/>
        <v>0.13931057741866212</v>
      </c>
    </row>
    <row r="342" spans="6:13" x14ac:dyDescent="0.4">
      <c r="F342" s="1">
        <v>31747</v>
      </c>
      <c r="G342" s="16">
        <v>346.9</v>
      </c>
      <c r="H342" s="16">
        <f t="shared" si="26"/>
        <v>347.46346645470061</v>
      </c>
      <c r="I342">
        <f t="shared" si="27"/>
        <v>12</v>
      </c>
      <c r="J342" s="16" cm="1">
        <f t="array" ref="J342">INDEX(Sm,I342)</f>
        <v>-0.88675924001340456</v>
      </c>
      <c r="K342" s="16">
        <f t="shared" si="28"/>
        <v>346.57670721468719</v>
      </c>
      <c r="L342" s="16">
        <f t="shared" si="29"/>
        <v>0.3232927853127876</v>
      </c>
      <c r="M342" s="16">
        <f t="shared" si="30"/>
        <v>0.10451822503530017</v>
      </c>
    </row>
    <row r="343" spans="6:13" x14ac:dyDescent="0.4">
      <c r="F343" s="1">
        <v>31778</v>
      </c>
      <c r="G343" s="16">
        <v>348.02</v>
      </c>
      <c r="H343" s="16">
        <f t="shared" si="26"/>
        <v>347.5887896720435</v>
      </c>
      <c r="I343">
        <f t="shared" si="27"/>
        <v>1</v>
      </c>
      <c r="J343" s="16" cm="1">
        <f t="array" ref="J343">INDEX(Sm,I343)</f>
        <v>-3.5406241068958691E-2</v>
      </c>
      <c r="K343" s="16">
        <f t="shared" si="28"/>
        <v>347.55338343097452</v>
      </c>
      <c r="L343" s="16">
        <f t="shared" si="29"/>
        <v>0.46661656902546156</v>
      </c>
      <c r="M343" s="16">
        <f t="shared" si="30"/>
        <v>0.21773102248909332</v>
      </c>
    </row>
    <row r="344" spans="6:13" x14ac:dyDescent="0.4">
      <c r="F344" s="1">
        <v>31809</v>
      </c>
      <c r="G344" s="16">
        <v>348.48</v>
      </c>
      <c r="H344" s="16">
        <f t="shared" si="26"/>
        <v>347.71428931673336</v>
      </c>
      <c r="I344">
        <f t="shared" si="27"/>
        <v>2</v>
      </c>
      <c r="J344" s="16" cm="1">
        <f t="array" ref="J344">INDEX(Sm,I344)</f>
        <v>0.68063113884422577</v>
      </c>
      <c r="K344" s="16">
        <f t="shared" si="28"/>
        <v>348.39492045557756</v>
      </c>
      <c r="L344" s="16">
        <f t="shared" si="29"/>
        <v>8.5079544422455911E-2</v>
      </c>
      <c r="M344" s="16">
        <f t="shared" si="30"/>
        <v>7.2385288791326488E-3</v>
      </c>
    </row>
    <row r="345" spans="6:13" x14ac:dyDescent="0.4">
      <c r="F345" s="1">
        <v>31837</v>
      </c>
      <c r="G345" s="16">
        <v>349.42</v>
      </c>
      <c r="H345" s="16">
        <f t="shared" si="26"/>
        <v>347.82779568417232</v>
      </c>
      <c r="I345">
        <f t="shared" si="27"/>
        <v>3</v>
      </c>
      <c r="J345" s="16" cm="1">
        <f t="array" ref="J345">INDEX(Sm,I345)</f>
        <v>1.3939471632320417</v>
      </c>
      <c r="K345" s="16">
        <f t="shared" si="28"/>
        <v>349.22174284740436</v>
      </c>
      <c r="L345" s="16">
        <f t="shared" si="29"/>
        <v>0.19825715259565868</v>
      </c>
      <c r="M345" s="16">
        <f t="shared" si="30"/>
        <v>3.9305898555338295E-2</v>
      </c>
    </row>
    <row r="346" spans="6:13" x14ac:dyDescent="0.4">
      <c r="F346" s="1">
        <v>31868</v>
      </c>
      <c r="G346" s="16">
        <v>350.98</v>
      </c>
      <c r="H346" s="16">
        <f t="shared" si="26"/>
        <v>347.95363179641788</v>
      </c>
      <c r="I346">
        <f t="shared" si="27"/>
        <v>4</v>
      </c>
      <c r="J346" s="16" cm="1">
        <f t="array" ref="J346">INDEX(Sm,I346)</f>
        <v>2.6315659351379859</v>
      </c>
      <c r="K346" s="16">
        <f t="shared" si="28"/>
        <v>350.58519773155587</v>
      </c>
      <c r="L346" s="16">
        <f t="shared" si="29"/>
        <v>0.39480226844415256</v>
      </c>
      <c r="M346" s="16">
        <f t="shared" si="30"/>
        <v>0.15586883116864869</v>
      </c>
    </row>
    <row r="347" spans="6:13" x14ac:dyDescent="0.4">
      <c r="F347" s="1">
        <v>31898</v>
      </c>
      <c r="G347" s="16">
        <v>351.85</v>
      </c>
      <c r="H347" s="16">
        <f t="shared" si="26"/>
        <v>348.07557734649788</v>
      </c>
      <c r="I347">
        <f t="shared" si="27"/>
        <v>5</v>
      </c>
      <c r="J347" s="16" cm="1">
        <f t="array" ref="J347">INDEX(Sm,I347)</f>
        <v>3.0968597809913625</v>
      </c>
      <c r="K347" s="16">
        <f t="shared" si="28"/>
        <v>351.17243712748922</v>
      </c>
      <c r="L347" s="16">
        <f t="shared" si="29"/>
        <v>0.67756287251080494</v>
      </c>
      <c r="M347" s="16">
        <f t="shared" si="30"/>
        <v>0.45909144620509329</v>
      </c>
    </row>
    <row r="348" spans="6:13" x14ac:dyDescent="0.4">
      <c r="F348" s="1">
        <v>31929</v>
      </c>
      <c r="G348" s="16">
        <v>351.26</v>
      </c>
      <c r="H348" s="16">
        <f t="shared" si="26"/>
        <v>348.20176228047194</v>
      </c>
      <c r="I348">
        <f t="shared" si="27"/>
        <v>6</v>
      </c>
      <c r="J348" s="16" cm="1">
        <f t="array" ref="J348">INDEX(Sm,I348)</f>
        <v>2.3186578027685911</v>
      </c>
      <c r="K348" s="16">
        <f t="shared" si="28"/>
        <v>350.52042008324054</v>
      </c>
      <c r="L348" s="16">
        <f t="shared" si="29"/>
        <v>0.73957991675945323</v>
      </c>
      <c r="M348" s="16">
        <f t="shared" si="30"/>
        <v>0.54697845327391981</v>
      </c>
    </row>
    <row r="349" spans="6:13" x14ac:dyDescent="0.4">
      <c r="F349" s="1">
        <v>31959</v>
      </c>
      <c r="G349" s="16">
        <v>349.51</v>
      </c>
      <c r="H349" s="16">
        <f t="shared" si="26"/>
        <v>348.32404586751761</v>
      </c>
      <c r="I349">
        <f t="shared" si="27"/>
        <v>7</v>
      </c>
      <c r="J349" s="16" cm="1">
        <f t="array" ref="J349">INDEX(Sm,I349)</f>
        <v>0.74380149245581328</v>
      </c>
      <c r="K349" s="16">
        <f t="shared" si="28"/>
        <v>349.06784735997343</v>
      </c>
      <c r="L349" s="16">
        <f t="shared" si="29"/>
        <v>0.4421526400265634</v>
      </c>
      <c r="M349" s="16">
        <f t="shared" si="30"/>
        <v>0.19549895708245976</v>
      </c>
    </row>
    <row r="350" spans="6:13" x14ac:dyDescent="0.4">
      <c r="F350" s="1">
        <v>31990</v>
      </c>
      <c r="G350" s="16">
        <v>348.1</v>
      </c>
      <c r="H350" s="16">
        <f t="shared" si="26"/>
        <v>348.45058059016515</v>
      </c>
      <c r="I350">
        <f t="shared" si="27"/>
        <v>8</v>
      </c>
      <c r="J350" s="16" cm="1">
        <f t="array" ref="J350">INDEX(Sm,I350)</f>
        <v>-1.3852874640433905</v>
      </c>
      <c r="K350" s="16">
        <f t="shared" si="28"/>
        <v>347.06529312612173</v>
      </c>
      <c r="L350" s="16">
        <f t="shared" si="29"/>
        <v>1.0347068738782923</v>
      </c>
      <c r="M350" s="16">
        <f t="shared" si="30"/>
        <v>1.0706183148509882</v>
      </c>
    </row>
    <row r="351" spans="6:13" x14ac:dyDescent="0.4">
      <c r="F351" s="1">
        <v>32021</v>
      </c>
      <c r="G351" s="16">
        <v>346.45</v>
      </c>
      <c r="H351" s="16">
        <f t="shared" si="26"/>
        <v>348.57729344569088</v>
      </c>
      <c r="I351">
        <f t="shared" si="27"/>
        <v>9</v>
      </c>
      <c r="J351" s="16" cm="1">
        <f t="array" ref="J351">INDEX(Sm,I351)</f>
        <v>-3.188494698714738</v>
      </c>
      <c r="K351" s="16">
        <f t="shared" si="28"/>
        <v>345.38879874697614</v>
      </c>
      <c r="L351" s="16">
        <f t="shared" si="29"/>
        <v>1.061201253023853</v>
      </c>
      <c r="M351" s="16">
        <f t="shared" si="30"/>
        <v>1.1261480994193958</v>
      </c>
    </row>
    <row r="352" spans="6:13" x14ac:dyDescent="0.4">
      <c r="F352" s="1">
        <v>32051</v>
      </c>
      <c r="G352" s="16">
        <v>346.36</v>
      </c>
      <c r="H352" s="16">
        <f t="shared" si="26"/>
        <v>348.70008863217231</v>
      </c>
      <c r="I352">
        <f t="shared" si="27"/>
        <v>10</v>
      </c>
      <c r="J352" s="16" cm="1">
        <f t="array" ref="J352">INDEX(Sm,I352)</f>
        <v>-3.3139186770794531</v>
      </c>
      <c r="K352" s="16">
        <f t="shared" si="28"/>
        <v>345.38616995509284</v>
      </c>
      <c r="L352" s="16">
        <f t="shared" si="29"/>
        <v>0.9738300449071744</v>
      </c>
      <c r="M352" s="16">
        <f t="shared" si="30"/>
        <v>0.94834495636390925</v>
      </c>
    </row>
    <row r="353" spans="6:13" x14ac:dyDescent="0.4">
      <c r="F353" s="1">
        <v>32082</v>
      </c>
      <c r="G353" s="16">
        <v>347.81</v>
      </c>
      <c r="H353" s="16">
        <f t="shared" si="26"/>
        <v>348.82715273978692</v>
      </c>
      <c r="I353">
        <f t="shared" si="27"/>
        <v>11</v>
      </c>
      <c r="J353" s="16" cm="1">
        <f t="array" ref="J353">INDEX(Sm,I353)</f>
        <v>-2.0555969925100759</v>
      </c>
      <c r="K353" s="16">
        <f t="shared" si="28"/>
        <v>346.77155574727686</v>
      </c>
      <c r="L353" s="16">
        <f t="shared" si="29"/>
        <v>1.0384442527231386</v>
      </c>
      <c r="M353" s="16">
        <f t="shared" si="30"/>
        <v>1.0783664660137178</v>
      </c>
    </row>
    <row r="354" spans="6:13" x14ac:dyDescent="0.4">
      <c r="F354" s="1">
        <v>32112</v>
      </c>
      <c r="G354" s="16">
        <v>348.96</v>
      </c>
      <c r="H354" s="16">
        <f t="shared" si="26"/>
        <v>348.95028831845337</v>
      </c>
      <c r="I354">
        <f t="shared" si="27"/>
        <v>12</v>
      </c>
      <c r="J354" s="16" cm="1">
        <f t="array" ref="J354">INDEX(Sm,I354)</f>
        <v>-0.88675924001340456</v>
      </c>
      <c r="K354" s="16">
        <f t="shared" si="28"/>
        <v>348.06352907843996</v>
      </c>
      <c r="L354" s="16">
        <f t="shared" si="29"/>
        <v>0.89647092156002373</v>
      </c>
      <c r="M354" s="16">
        <f t="shared" si="30"/>
        <v>0.80366011320267816</v>
      </c>
    </row>
    <row r="355" spans="6:13" x14ac:dyDescent="0.4">
      <c r="F355" s="1">
        <v>32143</v>
      </c>
      <c r="G355" s="16">
        <v>350.43</v>
      </c>
      <c r="H355" s="16">
        <f t="shared" si="26"/>
        <v>349.07770465183893</v>
      </c>
      <c r="I355">
        <f t="shared" si="27"/>
        <v>1</v>
      </c>
      <c r="J355" s="16" cm="1">
        <f t="array" ref="J355">INDEX(Sm,I355)</f>
        <v>-3.5406241068958691E-2</v>
      </c>
      <c r="K355" s="16">
        <f t="shared" si="28"/>
        <v>349.04229841076994</v>
      </c>
      <c r="L355" s="16">
        <f t="shared" si="29"/>
        <v>1.3877015892300619</v>
      </c>
      <c r="M355" s="16">
        <f t="shared" si="30"/>
        <v>1.9257157007516394</v>
      </c>
    </row>
    <row r="356" spans="6:13" x14ac:dyDescent="0.4">
      <c r="F356" s="1">
        <v>32174</v>
      </c>
      <c r="G356" s="16">
        <v>351.73</v>
      </c>
      <c r="H356" s="16">
        <f t="shared" si="26"/>
        <v>349.20530035921541</v>
      </c>
      <c r="I356">
        <f t="shared" si="27"/>
        <v>2</v>
      </c>
      <c r="J356" s="16" cm="1">
        <f t="array" ref="J356">INDEX(Sm,I356)</f>
        <v>0.68063113884422577</v>
      </c>
      <c r="K356" s="16">
        <f t="shared" si="28"/>
        <v>349.88593149805962</v>
      </c>
      <c r="L356" s="16">
        <f t="shared" si="29"/>
        <v>1.8440685019403986</v>
      </c>
      <c r="M356" s="16">
        <f t="shared" si="30"/>
        <v>3.400588639848706</v>
      </c>
    </row>
    <row r="357" spans="6:13" x14ac:dyDescent="0.4">
      <c r="F357" s="1">
        <v>32203</v>
      </c>
      <c r="G357" s="16">
        <v>352.22</v>
      </c>
      <c r="H357" s="16">
        <f t="shared" si="26"/>
        <v>349.32482669768115</v>
      </c>
      <c r="I357">
        <f t="shared" si="27"/>
        <v>3</v>
      </c>
      <c r="J357" s="16" cm="1">
        <f t="array" ref="J357">INDEX(Sm,I357)</f>
        <v>1.3939471632320417</v>
      </c>
      <c r="K357" s="16">
        <f t="shared" si="28"/>
        <v>350.71877386091319</v>
      </c>
      <c r="L357" s="16">
        <f t="shared" si="29"/>
        <v>1.5012261390868389</v>
      </c>
      <c r="M357" s="16">
        <f t="shared" si="30"/>
        <v>2.2536799206775768</v>
      </c>
    </row>
    <row r="358" spans="6:13" x14ac:dyDescent="0.4">
      <c r="F358" s="1">
        <v>32234</v>
      </c>
      <c r="G358" s="16">
        <v>353.59</v>
      </c>
      <c r="H358" s="16">
        <f t="shared" si="26"/>
        <v>349.45277029819215</v>
      </c>
      <c r="I358">
        <f t="shared" si="27"/>
        <v>4</v>
      </c>
      <c r="J358" s="16" cm="1">
        <f t="array" ref="J358">INDEX(Sm,I358)</f>
        <v>2.6315659351379859</v>
      </c>
      <c r="K358" s="16">
        <f t="shared" si="28"/>
        <v>352.08433623333013</v>
      </c>
      <c r="L358" s="16">
        <f t="shared" si="29"/>
        <v>1.5056637666698407</v>
      </c>
      <c r="M358" s="16">
        <f t="shared" si="30"/>
        <v>2.2670233782624125</v>
      </c>
    </row>
    <row r="359" spans="6:13" x14ac:dyDescent="0.4">
      <c r="F359" s="1">
        <v>32264</v>
      </c>
      <c r="G359" s="16">
        <v>354.22</v>
      </c>
      <c r="H359" s="16">
        <f t="shared" si="26"/>
        <v>349.57675817786446</v>
      </c>
      <c r="I359">
        <f t="shared" si="27"/>
        <v>5</v>
      </c>
      <c r="J359" s="16" cm="1">
        <f t="array" ref="J359">INDEX(Sm,I359)</f>
        <v>3.0968597809913625</v>
      </c>
      <c r="K359" s="16">
        <f t="shared" si="28"/>
        <v>352.6736179588558</v>
      </c>
      <c r="L359" s="16">
        <f t="shared" si="29"/>
        <v>1.5463820411442271</v>
      </c>
      <c r="M359" s="16">
        <f t="shared" si="30"/>
        <v>2.3912974171733858</v>
      </c>
    </row>
    <row r="360" spans="6:13" x14ac:dyDescent="0.4">
      <c r="F360" s="1">
        <v>32295</v>
      </c>
      <c r="G360" s="16">
        <v>353.8</v>
      </c>
      <c r="H360" s="16">
        <f t="shared" si="26"/>
        <v>349.70505644212881</v>
      </c>
      <c r="I360">
        <f t="shared" si="27"/>
        <v>6</v>
      </c>
      <c r="J360" s="16" cm="1">
        <f t="array" ref="J360">INDEX(Sm,I360)</f>
        <v>2.3186578027685911</v>
      </c>
      <c r="K360" s="16">
        <f t="shared" si="28"/>
        <v>352.02371424489741</v>
      </c>
      <c r="L360" s="16">
        <f t="shared" si="29"/>
        <v>1.7762857551026059</v>
      </c>
      <c r="M360" s="16">
        <f t="shared" si="30"/>
        <v>3.1551910837804349</v>
      </c>
    </row>
    <row r="361" spans="6:13" x14ac:dyDescent="0.4">
      <c r="F361" s="1">
        <v>32325</v>
      </c>
      <c r="G361" s="16">
        <v>352.38</v>
      </c>
      <c r="H361" s="16">
        <f t="shared" si="26"/>
        <v>349.82938802016986</v>
      </c>
      <c r="I361">
        <f t="shared" si="27"/>
        <v>7</v>
      </c>
      <c r="J361" s="16" cm="1">
        <f t="array" ref="J361">INDEX(Sm,I361)</f>
        <v>0.74380149245581328</v>
      </c>
      <c r="K361" s="16">
        <f t="shared" si="28"/>
        <v>350.57318951262567</v>
      </c>
      <c r="L361" s="16">
        <f t="shared" si="29"/>
        <v>1.8068104873743209</v>
      </c>
      <c r="M361" s="16">
        <f t="shared" si="30"/>
        <v>3.2645641372858312</v>
      </c>
    </row>
    <row r="362" spans="6:13" x14ac:dyDescent="0.4">
      <c r="F362" s="1">
        <v>32356</v>
      </c>
      <c r="G362" s="16">
        <v>350.43</v>
      </c>
      <c r="H362" s="16">
        <f t="shared" si="26"/>
        <v>349.95804193132693</v>
      </c>
      <c r="I362">
        <f t="shared" si="27"/>
        <v>8</v>
      </c>
      <c r="J362" s="16" cm="1">
        <f t="array" ref="J362">INDEX(Sm,I362)</f>
        <v>-1.3852874640433905</v>
      </c>
      <c r="K362" s="16">
        <f t="shared" si="28"/>
        <v>348.57275446728352</v>
      </c>
      <c r="L362" s="16">
        <f t="shared" si="29"/>
        <v>1.8572455327164903</v>
      </c>
      <c r="M362" s="16">
        <f t="shared" si="30"/>
        <v>3.4493609687953599</v>
      </c>
    </row>
    <row r="363" spans="6:13" x14ac:dyDescent="0.4">
      <c r="F363" s="1">
        <v>32387</v>
      </c>
      <c r="G363" s="16">
        <v>348.73</v>
      </c>
      <c r="H363" s="16">
        <f t="shared" si="26"/>
        <v>350.08687695871043</v>
      </c>
      <c r="I363">
        <f t="shared" si="27"/>
        <v>9</v>
      </c>
      <c r="J363" s="16" cm="1">
        <f t="array" ref="J363">INDEX(Sm,I363)</f>
        <v>-3.188494698714738</v>
      </c>
      <c r="K363" s="16">
        <f t="shared" si="28"/>
        <v>346.89838225999569</v>
      </c>
      <c r="L363" s="16">
        <f t="shared" si="29"/>
        <v>1.831617740004333</v>
      </c>
      <c r="M363" s="16">
        <f t="shared" si="30"/>
        <v>3.3548235454985802</v>
      </c>
    </row>
    <row r="364" spans="6:13" x14ac:dyDescent="0.4">
      <c r="F364" s="1">
        <v>32417</v>
      </c>
      <c r="G364" s="16">
        <v>348.88</v>
      </c>
      <c r="H364" s="16">
        <f t="shared" si="26"/>
        <v>350.21172870439369</v>
      </c>
      <c r="I364">
        <f t="shared" si="27"/>
        <v>10</v>
      </c>
      <c r="J364" s="16" cm="1">
        <f t="array" ref="J364">INDEX(Sm,I364)</f>
        <v>-3.3139186770794531</v>
      </c>
      <c r="K364" s="16">
        <f t="shared" si="28"/>
        <v>346.89781002731422</v>
      </c>
      <c r="L364" s="16">
        <f t="shared" si="29"/>
        <v>1.9821899726857737</v>
      </c>
      <c r="M364" s="16">
        <f t="shared" si="30"/>
        <v>3.9290770878160282</v>
      </c>
    </row>
    <row r="365" spans="6:13" x14ac:dyDescent="0.4">
      <c r="F365" s="1">
        <v>32448</v>
      </c>
      <c r="G365" s="16">
        <v>350.07</v>
      </c>
      <c r="H365" s="16">
        <f t="shared" si="26"/>
        <v>350.3409208665945</v>
      </c>
      <c r="I365">
        <f t="shared" si="27"/>
        <v>11</v>
      </c>
      <c r="J365" s="16" cm="1">
        <f t="array" ref="J365">INDEX(Sm,I365)</f>
        <v>-2.0555969925100759</v>
      </c>
      <c r="K365" s="16">
        <f t="shared" si="28"/>
        <v>348.28532387408444</v>
      </c>
      <c r="L365" s="16">
        <f t="shared" si="29"/>
        <v>1.7846761259155528</v>
      </c>
      <c r="M365" s="16">
        <f t="shared" si="30"/>
        <v>3.1850688744129463</v>
      </c>
    </row>
    <row r="366" spans="6:13" x14ac:dyDescent="0.4">
      <c r="F366" s="1">
        <v>32478</v>
      </c>
      <c r="G366" s="16">
        <v>351.34</v>
      </c>
      <c r="H366" s="16">
        <f t="shared" si="26"/>
        <v>350.46611870531063</v>
      </c>
      <c r="I366">
        <f t="shared" si="27"/>
        <v>12</v>
      </c>
      <c r="J366" s="16" cm="1">
        <f t="array" ref="J366">INDEX(Sm,I366)</f>
        <v>-0.88675924001340456</v>
      </c>
      <c r="K366" s="16">
        <f t="shared" si="28"/>
        <v>349.57935946529722</v>
      </c>
      <c r="L366" s="16">
        <f t="shared" si="29"/>
        <v>1.7606405347027589</v>
      </c>
      <c r="M366" s="16">
        <f t="shared" si="30"/>
        <v>3.0998550924384167</v>
      </c>
    </row>
    <row r="367" spans="6:13" x14ac:dyDescent="0.4">
      <c r="F367" s="1">
        <v>32509</v>
      </c>
      <c r="G367" s="16">
        <v>352.76</v>
      </c>
      <c r="H367" s="16">
        <f t="shared" si="26"/>
        <v>350.59566899231766</v>
      </c>
      <c r="I367">
        <f t="shared" si="27"/>
        <v>1</v>
      </c>
      <c r="J367" s="16" cm="1">
        <f t="array" ref="J367">INDEX(Sm,I367)</f>
        <v>-3.5406241068958691E-2</v>
      </c>
      <c r="K367" s="16">
        <f t="shared" si="28"/>
        <v>350.56026275124867</v>
      </c>
      <c r="L367" s="16">
        <f t="shared" si="29"/>
        <v>2.1997372487513189</v>
      </c>
      <c r="M367" s="16">
        <f t="shared" si="30"/>
        <v>4.8388439635440221</v>
      </c>
    </row>
    <row r="368" spans="6:13" x14ac:dyDescent="0.4">
      <c r="F368" s="1">
        <v>32540</v>
      </c>
      <c r="G368" s="16">
        <v>353.07</v>
      </c>
      <c r="H368" s="16">
        <f t="shared" si="26"/>
        <v>350.72540165744999</v>
      </c>
      <c r="I368">
        <f t="shared" si="27"/>
        <v>2</v>
      </c>
      <c r="J368" s="16" cm="1">
        <f t="array" ref="J368">INDEX(Sm,I368)</f>
        <v>0.68063113884422577</v>
      </c>
      <c r="K368" s="16">
        <f t="shared" si="28"/>
        <v>351.4060327962942</v>
      </c>
      <c r="L368" s="16">
        <f t="shared" si="29"/>
        <v>1.6639672037057949</v>
      </c>
      <c r="M368" s="16">
        <f t="shared" si="30"/>
        <v>2.7687868550084822</v>
      </c>
    </row>
    <row r="369" spans="6:13" x14ac:dyDescent="0.4">
      <c r="F369" s="1">
        <v>32568</v>
      </c>
      <c r="G369" s="16">
        <v>353.68</v>
      </c>
      <c r="H369" s="16">
        <f t="shared" si="26"/>
        <v>350.84273651998075</v>
      </c>
      <c r="I369">
        <f t="shared" si="27"/>
        <v>3</v>
      </c>
      <c r="J369" s="16" cm="1">
        <f t="array" ref="J369">INDEX(Sm,I369)</f>
        <v>1.3939471632320417</v>
      </c>
      <c r="K369" s="16">
        <f t="shared" si="28"/>
        <v>352.23668368321279</v>
      </c>
      <c r="L369" s="16">
        <f t="shared" si="29"/>
        <v>1.4433163167872181</v>
      </c>
      <c r="M369" s="16">
        <f t="shared" si="30"/>
        <v>2.0831619903042213</v>
      </c>
    </row>
    <row r="370" spans="6:13" x14ac:dyDescent="0.4">
      <c r="F370" s="1">
        <v>32599</v>
      </c>
      <c r="G370" s="16">
        <v>355.42</v>
      </c>
      <c r="H370" s="16">
        <f t="shared" si="26"/>
        <v>350.97281700149796</v>
      </c>
      <c r="I370">
        <f t="shared" si="27"/>
        <v>4</v>
      </c>
      <c r="J370" s="16" cm="1">
        <f t="array" ref="J370">INDEX(Sm,I370)</f>
        <v>2.6315659351379859</v>
      </c>
      <c r="K370" s="16">
        <f t="shared" si="28"/>
        <v>353.60438293663594</v>
      </c>
      <c r="L370" s="16">
        <f t="shared" si="29"/>
        <v>1.8156170633640727</v>
      </c>
      <c r="M370" s="16">
        <f t="shared" si="30"/>
        <v>3.2964653207787791</v>
      </c>
    </row>
    <row r="371" spans="6:13" x14ac:dyDescent="0.4">
      <c r="F371" s="1">
        <v>32629</v>
      </c>
      <c r="G371" s="16">
        <v>355.67</v>
      </c>
      <c r="H371" s="16">
        <f t="shared" si="26"/>
        <v>351.09887569474768</v>
      </c>
      <c r="I371">
        <f t="shared" si="27"/>
        <v>5</v>
      </c>
      <c r="J371" s="16" cm="1">
        <f t="array" ref="J371">INDEX(Sm,I371)</f>
        <v>3.0968597809913625</v>
      </c>
      <c r="K371" s="16">
        <f t="shared" si="28"/>
        <v>354.19573547573901</v>
      </c>
      <c r="L371" s="16">
        <f t="shared" si="29"/>
        <v>1.4742645242610024</v>
      </c>
      <c r="M371" s="16">
        <f t="shared" si="30"/>
        <v>2.1734558874945198</v>
      </c>
    </row>
    <row r="372" spans="6:13" x14ac:dyDescent="0.4">
      <c r="F372" s="1">
        <v>32660</v>
      </c>
      <c r="G372" s="16">
        <v>355.12</v>
      </c>
      <c r="H372" s="16">
        <f t="shared" si="26"/>
        <v>351.22931676352084</v>
      </c>
      <c r="I372">
        <f t="shared" si="27"/>
        <v>6</v>
      </c>
      <c r="J372" s="16" cm="1">
        <f t="array" ref="J372">INDEX(Sm,I372)</f>
        <v>2.3186578027685911</v>
      </c>
      <c r="K372" s="16">
        <f t="shared" si="28"/>
        <v>353.54797456628944</v>
      </c>
      <c r="L372" s="16">
        <f t="shared" si="29"/>
        <v>1.5720254337105644</v>
      </c>
      <c r="M372" s="16">
        <f t="shared" si="30"/>
        <v>2.4712639642328882</v>
      </c>
    </row>
    <row r="373" spans="6:13" x14ac:dyDescent="0.4">
      <c r="F373" s="1">
        <v>32690</v>
      </c>
      <c r="G373" s="16">
        <v>353.9</v>
      </c>
      <c r="H373" s="16">
        <f t="shared" si="26"/>
        <v>351.35572489550066</v>
      </c>
      <c r="I373">
        <f t="shared" si="27"/>
        <v>7</v>
      </c>
      <c r="J373" s="16" cm="1">
        <f t="array" ref="J373">INDEX(Sm,I373)</f>
        <v>0.74380149245581328</v>
      </c>
      <c r="K373" s="16">
        <f t="shared" si="28"/>
        <v>352.09952638795647</v>
      </c>
      <c r="L373" s="16">
        <f t="shared" si="29"/>
        <v>1.8004736120435041</v>
      </c>
      <c r="M373" s="16">
        <f t="shared" si="30"/>
        <v>3.2417052276649825</v>
      </c>
    </row>
    <row r="374" spans="6:13" x14ac:dyDescent="0.4">
      <c r="F374" s="1">
        <v>32721</v>
      </c>
      <c r="G374" s="16">
        <v>351.67</v>
      </c>
      <c r="H374" s="16">
        <f t="shared" si="26"/>
        <v>351.48652755108924</v>
      </c>
      <c r="I374">
        <f t="shared" si="27"/>
        <v>8</v>
      </c>
      <c r="J374" s="16" cm="1">
        <f t="array" ref="J374">INDEX(Sm,I374)</f>
        <v>-1.3852874640433905</v>
      </c>
      <c r="K374" s="16">
        <f t="shared" si="28"/>
        <v>350.10124008704582</v>
      </c>
      <c r="L374" s="16">
        <f t="shared" si="29"/>
        <v>1.5687599129541923</v>
      </c>
      <c r="M374" s="16">
        <f t="shared" si="30"/>
        <v>2.4610076644920449</v>
      </c>
    </row>
    <row r="375" spans="6:13" x14ac:dyDescent="0.4">
      <c r="F375" s="1">
        <v>32752</v>
      </c>
      <c r="G375" s="16">
        <v>349.81</v>
      </c>
      <c r="H375" s="16">
        <f t="shared" si="26"/>
        <v>351.61751434786061</v>
      </c>
      <c r="I375">
        <f t="shared" si="27"/>
        <v>9</v>
      </c>
      <c r="J375" s="16" cm="1">
        <f t="array" ref="J375">INDEX(Sm,I375)</f>
        <v>-3.188494698714738</v>
      </c>
      <c r="K375" s="16">
        <f t="shared" si="28"/>
        <v>348.42901964914586</v>
      </c>
      <c r="L375" s="16">
        <f t="shared" si="29"/>
        <v>1.3809803508541449</v>
      </c>
      <c r="M375" s="16">
        <f t="shared" si="30"/>
        <v>1.9071067294452373</v>
      </c>
    </row>
    <row r="376" spans="6:13" x14ac:dyDescent="0.4">
      <c r="F376" s="1">
        <v>32782</v>
      </c>
      <c r="G376" s="16">
        <v>349.99</v>
      </c>
      <c r="H376" s="16">
        <f t="shared" si="26"/>
        <v>351.7444513351885</v>
      </c>
      <c r="I376">
        <f t="shared" si="27"/>
        <v>10</v>
      </c>
      <c r="J376" s="16" cm="1">
        <f t="array" ref="J376">INDEX(Sm,I376)</f>
        <v>-3.3139186770794531</v>
      </c>
      <c r="K376" s="16">
        <f t="shared" si="28"/>
        <v>348.43053265810903</v>
      </c>
      <c r="L376" s="16">
        <f t="shared" si="29"/>
        <v>1.5594673418909792</v>
      </c>
      <c r="M376" s="16">
        <f t="shared" si="30"/>
        <v>2.4319383904245164</v>
      </c>
    </row>
    <row r="377" spans="6:13" x14ac:dyDescent="0.4">
      <c r="F377" s="1">
        <v>32813</v>
      </c>
      <c r="G377" s="16">
        <v>351.3</v>
      </c>
      <c r="H377" s="16">
        <f t="shared" si="26"/>
        <v>351.87580123155067</v>
      </c>
      <c r="I377">
        <f t="shared" si="27"/>
        <v>11</v>
      </c>
      <c r="J377" s="16" cm="1">
        <f t="array" ref="J377">INDEX(Sm,I377)</f>
        <v>-2.0555969925100759</v>
      </c>
      <c r="K377" s="16">
        <f t="shared" si="28"/>
        <v>349.82020423904061</v>
      </c>
      <c r="L377" s="16">
        <f t="shared" si="29"/>
        <v>1.479795760959405</v>
      </c>
      <c r="M377" s="16">
        <f t="shared" si="30"/>
        <v>2.1897954941534246</v>
      </c>
    </row>
    <row r="378" spans="6:13" x14ac:dyDescent="0.4">
      <c r="F378" s="1">
        <v>32843</v>
      </c>
      <c r="G378" s="16">
        <v>352.52</v>
      </c>
      <c r="H378" s="16">
        <f t="shared" si="26"/>
        <v>352.003090092268</v>
      </c>
      <c r="I378">
        <f t="shared" si="27"/>
        <v>12</v>
      </c>
      <c r="J378" s="16" cm="1">
        <f t="array" ref="J378">INDEX(Sm,I378)</f>
        <v>-0.88675924001340456</v>
      </c>
      <c r="K378" s="16">
        <f t="shared" si="28"/>
        <v>351.11633085225458</v>
      </c>
      <c r="L378" s="16">
        <f t="shared" si="29"/>
        <v>1.4036691477454042</v>
      </c>
      <c r="M378" s="16">
        <f t="shared" si="30"/>
        <v>1.9702870763323093</v>
      </c>
    </row>
    <row r="379" spans="6:13" x14ac:dyDescent="0.4">
      <c r="F379" s="1">
        <v>32874</v>
      </c>
      <c r="G379" s="16">
        <v>353.66</v>
      </c>
      <c r="H379" s="16">
        <f t="shared" si="26"/>
        <v>352.13480409474471</v>
      </c>
      <c r="I379">
        <f t="shared" si="27"/>
        <v>1</v>
      </c>
      <c r="J379" s="16" cm="1">
        <f t="array" ref="J379">INDEX(Sm,I379)</f>
        <v>-3.5406241068958691E-2</v>
      </c>
      <c r="K379" s="16">
        <f t="shared" si="28"/>
        <v>352.09939785367573</v>
      </c>
      <c r="L379" s="16">
        <f t="shared" si="29"/>
        <v>1.5606021463242996</v>
      </c>
      <c r="M379" s="16">
        <f t="shared" si="30"/>
        <v>2.4354790591120108</v>
      </c>
    </row>
    <row r="380" spans="6:13" x14ac:dyDescent="0.4">
      <c r="F380" s="1">
        <v>32905</v>
      </c>
      <c r="G380" s="16">
        <v>354.7</v>
      </c>
      <c r="H380" s="16">
        <f t="shared" si="26"/>
        <v>352.26670352137893</v>
      </c>
      <c r="I380">
        <f t="shared" si="27"/>
        <v>2</v>
      </c>
      <c r="J380" s="16" cm="1">
        <f t="array" ref="J380">INDEX(Sm,I380)</f>
        <v>0.68063113884422577</v>
      </c>
      <c r="K380" s="16">
        <f t="shared" si="28"/>
        <v>352.94733466022313</v>
      </c>
      <c r="L380" s="16">
        <f t="shared" si="29"/>
        <v>1.7526653397768541</v>
      </c>
      <c r="M380" s="16">
        <f t="shared" si="30"/>
        <v>3.0718357932551155</v>
      </c>
    </row>
    <row r="381" spans="6:13" x14ac:dyDescent="0.4">
      <c r="F381" s="1">
        <v>32933</v>
      </c>
      <c r="G381" s="16">
        <v>355.38</v>
      </c>
      <c r="H381" s="16">
        <f t="shared" si="26"/>
        <v>352.38599808051129</v>
      </c>
      <c r="I381">
        <f t="shared" si="27"/>
        <v>3</v>
      </c>
      <c r="J381" s="16" cm="1">
        <f t="array" ref="J381">INDEX(Sm,I381)</f>
        <v>1.3939471632320417</v>
      </c>
      <c r="K381" s="16">
        <f t="shared" si="28"/>
        <v>353.77994524374333</v>
      </c>
      <c r="L381" s="16">
        <f t="shared" si="29"/>
        <v>1.600054756256668</v>
      </c>
      <c r="M381" s="16">
        <f t="shared" si="30"/>
        <v>2.5601752230195856</v>
      </c>
    </row>
    <row r="382" spans="6:13" x14ac:dyDescent="0.4">
      <c r="F382" s="1">
        <v>32964</v>
      </c>
      <c r="G382" s="16">
        <v>356.2</v>
      </c>
      <c r="H382" s="16">
        <f t="shared" si="26"/>
        <v>352.51825113267006</v>
      </c>
      <c r="I382">
        <f t="shared" si="27"/>
        <v>4</v>
      </c>
      <c r="J382" s="16" cm="1">
        <f t="array" ref="J382">INDEX(Sm,I382)</f>
        <v>2.6315659351379859</v>
      </c>
      <c r="K382" s="16">
        <f t="shared" si="28"/>
        <v>355.14981706780804</v>
      </c>
      <c r="L382" s="16">
        <f t="shared" si="29"/>
        <v>1.0501829321919445</v>
      </c>
      <c r="M382" s="16">
        <f t="shared" si="30"/>
        <v>1.1028841910672702</v>
      </c>
    </row>
    <row r="383" spans="6:13" x14ac:dyDescent="0.4">
      <c r="F383" s="1">
        <v>32994</v>
      </c>
      <c r="G383" s="16">
        <v>357.16</v>
      </c>
      <c r="H383" s="16">
        <f t="shared" si="26"/>
        <v>352.64641522569121</v>
      </c>
      <c r="I383">
        <f t="shared" si="27"/>
        <v>5</v>
      </c>
      <c r="J383" s="16" cm="1">
        <f t="array" ref="J383">INDEX(Sm,I383)</f>
        <v>3.0968597809913625</v>
      </c>
      <c r="K383" s="16">
        <f t="shared" si="28"/>
        <v>355.74327500668255</v>
      </c>
      <c r="L383" s="16">
        <f t="shared" si="29"/>
        <v>1.416724993317473</v>
      </c>
      <c r="M383" s="16">
        <f t="shared" si="30"/>
        <v>2.007109706690394</v>
      </c>
    </row>
    <row r="384" spans="6:13" x14ac:dyDescent="0.4">
      <c r="F384" s="1">
        <v>33025</v>
      </c>
      <c r="G384" s="16">
        <v>356.23</v>
      </c>
      <c r="H384" s="16">
        <f t="shared" si="26"/>
        <v>352.77903488754117</v>
      </c>
      <c r="I384">
        <f t="shared" si="27"/>
        <v>6</v>
      </c>
      <c r="J384" s="16" cm="1">
        <f t="array" ref="J384">INDEX(Sm,I384)</f>
        <v>2.3186578027685911</v>
      </c>
      <c r="K384" s="16">
        <f t="shared" si="28"/>
        <v>355.09769269030977</v>
      </c>
      <c r="L384" s="16">
        <f t="shared" si="29"/>
        <v>1.1323073096902476</v>
      </c>
      <c r="M384" s="16">
        <f t="shared" si="30"/>
        <v>1.2821198435779664</v>
      </c>
    </row>
    <row r="385" spans="6:13" x14ac:dyDescent="0.4">
      <c r="F385" s="1">
        <v>33055</v>
      </c>
      <c r="G385" s="16">
        <v>354.81</v>
      </c>
      <c r="H385" s="16">
        <f t="shared" si="26"/>
        <v>352.90755425552805</v>
      </c>
      <c r="I385">
        <f t="shared" si="27"/>
        <v>7</v>
      </c>
      <c r="J385" s="16" cm="1">
        <f t="array" ref="J385">INDEX(Sm,I385)</f>
        <v>0.74380149245581328</v>
      </c>
      <c r="K385" s="16">
        <f t="shared" si="28"/>
        <v>353.65135574798387</v>
      </c>
      <c r="L385" s="16">
        <f t="shared" si="29"/>
        <v>1.1586442520161313</v>
      </c>
      <c r="M385" s="16">
        <f t="shared" si="30"/>
        <v>1.3424565027300204</v>
      </c>
    </row>
    <row r="386" spans="6:13" x14ac:dyDescent="0.4">
      <c r="F386" s="1">
        <v>33086</v>
      </c>
      <c r="G386" s="16">
        <v>352.91</v>
      </c>
      <c r="H386" s="16">
        <f t="shared" si="26"/>
        <v>353.040541543323</v>
      </c>
      <c r="I386">
        <f t="shared" si="27"/>
        <v>8</v>
      </c>
      <c r="J386" s="16" cm="1">
        <f t="array" ref="J386">INDEX(Sm,I386)</f>
        <v>-1.3852874640433905</v>
      </c>
      <c r="K386" s="16">
        <f t="shared" si="28"/>
        <v>351.65525407927959</v>
      </c>
      <c r="L386" s="16">
        <f t="shared" si="29"/>
        <v>1.2547459207204383</v>
      </c>
      <c r="M386" s="16">
        <f t="shared" si="30"/>
        <v>1.5743873255645806</v>
      </c>
    </row>
    <row r="387" spans="6:13" x14ac:dyDescent="0.4">
      <c r="F387" s="1">
        <v>33117</v>
      </c>
      <c r="G387" s="16">
        <v>350.96</v>
      </c>
      <c r="H387" s="16">
        <f t="shared" ref="H387:H450" si="31">EXP(_A*F387+_B)+_C</f>
        <v>353.17371604777946</v>
      </c>
      <c r="I387">
        <f t="shared" ref="I387:I450" si="32">MONTH(F387)</f>
        <v>9</v>
      </c>
      <c r="J387" s="16" cm="1">
        <f t="array" ref="J387">INDEX(Sm,I387)</f>
        <v>-3.188494698714738</v>
      </c>
      <c r="K387" s="16">
        <f t="shared" ref="K387:K450" si="33">H387+J387</f>
        <v>349.98522134906472</v>
      </c>
      <c r="L387" s="16">
        <f t="shared" ref="L387:L450" si="34">G387-K387</f>
        <v>0.97477865093526361</v>
      </c>
      <c r="M387" s="16">
        <f t="shared" ref="M387:M450" si="35">L387*L387</f>
        <v>0.95019341831917248</v>
      </c>
    </row>
    <row r="388" spans="6:13" x14ac:dyDescent="0.4">
      <c r="F388" s="1">
        <v>33147</v>
      </c>
      <c r="G388" s="16">
        <v>351.18</v>
      </c>
      <c r="H388" s="16">
        <f t="shared" si="31"/>
        <v>353.30277310392</v>
      </c>
      <c r="I388">
        <f t="shared" si="32"/>
        <v>10</v>
      </c>
      <c r="J388" s="16" cm="1">
        <f t="array" ref="J388">INDEX(Sm,I388)</f>
        <v>-3.3139186770794531</v>
      </c>
      <c r="K388" s="16">
        <f t="shared" si="33"/>
        <v>349.98885442684053</v>
      </c>
      <c r="L388" s="16">
        <f t="shared" si="34"/>
        <v>1.1911455731594742</v>
      </c>
      <c r="M388" s="16">
        <f t="shared" si="35"/>
        <v>1.4188277764574124</v>
      </c>
    </row>
    <row r="389" spans="6:13" x14ac:dyDescent="0.4">
      <c r="F389" s="1">
        <v>33178</v>
      </c>
      <c r="G389" s="16">
        <v>352.83</v>
      </c>
      <c r="H389" s="16">
        <f t="shared" si="31"/>
        <v>353.43631677236294</v>
      </c>
      <c r="I389">
        <f t="shared" si="32"/>
        <v>11</v>
      </c>
      <c r="J389" s="16" cm="1">
        <f t="array" ref="J389">INDEX(Sm,I389)</f>
        <v>-2.0555969925100759</v>
      </c>
      <c r="K389" s="16">
        <f t="shared" si="33"/>
        <v>351.38071977985288</v>
      </c>
      <c r="L389" s="16">
        <f t="shared" si="34"/>
        <v>1.4492802201471022</v>
      </c>
      <c r="M389" s="16">
        <f t="shared" si="35"/>
        <v>2.1004131565096329</v>
      </c>
    </row>
    <row r="390" spans="6:13" x14ac:dyDescent="0.4">
      <c r="F390" s="1">
        <v>33208</v>
      </c>
      <c r="G390" s="16">
        <v>354.21</v>
      </c>
      <c r="H390" s="16">
        <f t="shared" si="31"/>
        <v>353.56573157879143</v>
      </c>
      <c r="I390">
        <f t="shared" si="32"/>
        <v>12</v>
      </c>
      <c r="J390" s="16" cm="1">
        <f t="array" ref="J390">INDEX(Sm,I390)</f>
        <v>-0.88675924001340456</v>
      </c>
      <c r="K390" s="16">
        <f t="shared" si="33"/>
        <v>352.67897233877801</v>
      </c>
      <c r="L390" s="16">
        <f t="shared" si="34"/>
        <v>1.5310276612219695</v>
      </c>
      <c r="M390" s="16">
        <f t="shared" si="35"/>
        <v>2.3440456994268137</v>
      </c>
    </row>
    <row r="391" spans="6:13" x14ac:dyDescent="0.4">
      <c r="F391" s="1">
        <v>33239</v>
      </c>
      <c r="G391" s="16">
        <v>354.72</v>
      </c>
      <c r="H391" s="16">
        <f t="shared" si="31"/>
        <v>353.69964543455512</v>
      </c>
      <c r="I391">
        <f t="shared" si="32"/>
        <v>1</v>
      </c>
      <c r="J391" s="16" cm="1">
        <f t="array" ref="J391">INDEX(Sm,I391)</f>
        <v>-3.5406241068958691E-2</v>
      </c>
      <c r="K391" s="16">
        <f t="shared" si="33"/>
        <v>353.66423919348614</v>
      </c>
      <c r="L391" s="16">
        <f t="shared" si="34"/>
        <v>1.0557608065138879</v>
      </c>
      <c r="M391" s="16">
        <f t="shared" si="35"/>
        <v>1.1146308805708551</v>
      </c>
    </row>
    <row r="392" spans="6:13" x14ac:dyDescent="0.4">
      <c r="F392" s="1">
        <v>33270</v>
      </c>
      <c r="G392" s="16">
        <v>355.75</v>
      </c>
      <c r="H392" s="16">
        <f t="shared" si="31"/>
        <v>353.83374781138298</v>
      </c>
      <c r="I392">
        <f t="shared" si="32"/>
        <v>2</v>
      </c>
      <c r="J392" s="16" cm="1">
        <f t="array" ref="J392">INDEX(Sm,I392)</f>
        <v>0.68063113884422577</v>
      </c>
      <c r="K392" s="16">
        <f t="shared" si="33"/>
        <v>354.51437895022718</v>
      </c>
      <c r="L392" s="16">
        <f t="shared" si="34"/>
        <v>1.2356210497728171</v>
      </c>
      <c r="M392" s="16">
        <f t="shared" si="35"/>
        <v>1.5267593786416784</v>
      </c>
    </row>
    <row r="393" spans="6:13" x14ac:dyDescent="0.4">
      <c r="F393" s="1">
        <v>33298</v>
      </c>
      <c r="G393" s="16">
        <v>357.16</v>
      </c>
      <c r="H393" s="16">
        <f t="shared" si="31"/>
        <v>353.9550347974639</v>
      </c>
      <c r="I393">
        <f t="shared" si="32"/>
        <v>3</v>
      </c>
      <c r="J393" s="16" cm="1">
        <f t="array" ref="J393">INDEX(Sm,I393)</f>
        <v>1.3939471632320417</v>
      </c>
      <c r="K393" s="16">
        <f t="shared" si="33"/>
        <v>355.34898196069594</v>
      </c>
      <c r="L393" s="16">
        <f t="shared" si="34"/>
        <v>1.8110180393040878</v>
      </c>
      <c r="M393" s="16">
        <f t="shared" si="35"/>
        <v>3.2797863386848225</v>
      </c>
    </row>
    <row r="394" spans="6:13" x14ac:dyDescent="0.4">
      <c r="F394" s="1">
        <v>33329</v>
      </c>
      <c r="G394" s="16">
        <v>358.6</v>
      </c>
      <c r="H394" s="16">
        <f t="shared" si="31"/>
        <v>354.08949670597849</v>
      </c>
      <c r="I394">
        <f t="shared" si="32"/>
        <v>4</v>
      </c>
      <c r="J394" s="16" cm="1">
        <f t="array" ref="J394">INDEX(Sm,I394)</f>
        <v>2.6315659351379859</v>
      </c>
      <c r="K394" s="16">
        <f t="shared" si="33"/>
        <v>356.72106264111648</v>
      </c>
      <c r="L394" s="16">
        <f t="shared" si="34"/>
        <v>1.8789373588835474</v>
      </c>
      <c r="M394" s="16">
        <f t="shared" si="35"/>
        <v>3.5304055986082807</v>
      </c>
    </row>
    <row r="395" spans="6:13" x14ac:dyDescent="0.4">
      <c r="F395" s="1">
        <v>33359</v>
      </c>
      <c r="G395" s="16">
        <v>359.34</v>
      </c>
      <c r="H395" s="16">
        <f t="shared" si="31"/>
        <v>354.21980136261504</v>
      </c>
      <c r="I395">
        <f t="shared" si="32"/>
        <v>5</v>
      </c>
      <c r="J395" s="16" cm="1">
        <f t="array" ref="J395">INDEX(Sm,I395)</f>
        <v>3.0968597809913625</v>
      </c>
      <c r="K395" s="16">
        <f t="shared" si="33"/>
        <v>357.31666114360638</v>
      </c>
      <c r="L395" s="16">
        <f t="shared" si="34"/>
        <v>2.0233388563935932</v>
      </c>
      <c r="M395" s="16">
        <f t="shared" si="35"/>
        <v>4.0939001277921339</v>
      </c>
    </row>
    <row r="396" spans="6:13" x14ac:dyDescent="0.4">
      <c r="F396" s="1">
        <v>33390</v>
      </c>
      <c r="G396" s="16">
        <v>358.24</v>
      </c>
      <c r="H396" s="16">
        <f t="shared" si="31"/>
        <v>354.35463600384128</v>
      </c>
      <c r="I396">
        <f t="shared" si="32"/>
        <v>6</v>
      </c>
      <c r="J396" s="16" cm="1">
        <f t="array" ref="J396">INDEX(Sm,I396)</f>
        <v>2.3186578027685911</v>
      </c>
      <c r="K396" s="16">
        <f t="shared" si="33"/>
        <v>356.67329380660988</v>
      </c>
      <c r="L396" s="16">
        <f t="shared" si="34"/>
        <v>1.5667061933901323</v>
      </c>
      <c r="M396" s="16">
        <f t="shared" si="35"/>
        <v>2.4545682964069986</v>
      </c>
    </row>
    <row r="397" spans="6:13" x14ac:dyDescent="0.4">
      <c r="F397" s="1">
        <v>33420</v>
      </c>
      <c r="G397" s="16">
        <v>356.17</v>
      </c>
      <c r="H397" s="16">
        <f t="shared" si="31"/>
        <v>354.48530186915423</v>
      </c>
      <c r="I397">
        <f t="shared" si="32"/>
        <v>7</v>
      </c>
      <c r="J397" s="16" cm="1">
        <f t="array" ref="J397">INDEX(Sm,I397)</f>
        <v>0.74380149245581328</v>
      </c>
      <c r="K397" s="16">
        <f t="shared" si="33"/>
        <v>355.22910336161004</v>
      </c>
      <c r="L397" s="16">
        <f t="shared" si="34"/>
        <v>0.9408966383899724</v>
      </c>
      <c r="M397" s="16">
        <f t="shared" si="35"/>
        <v>0.88528648413355049</v>
      </c>
    </row>
    <row r="398" spans="6:13" x14ac:dyDescent="0.4">
      <c r="F398" s="1">
        <v>33451</v>
      </c>
      <c r="G398" s="16">
        <v>354.01</v>
      </c>
      <c r="H398" s="16">
        <f t="shared" si="31"/>
        <v>354.62051027631918</v>
      </c>
      <c r="I398">
        <f t="shared" si="32"/>
        <v>8</v>
      </c>
      <c r="J398" s="16" cm="1">
        <f t="array" ref="J398">INDEX(Sm,I398)</f>
        <v>-1.3852874640433905</v>
      </c>
      <c r="K398" s="16">
        <f t="shared" si="33"/>
        <v>353.23522281227577</v>
      </c>
      <c r="L398" s="16">
        <f t="shared" si="34"/>
        <v>0.77477718772422577</v>
      </c>
      <c r="M398" s="16">
        <f t="shared" si="35"/>
        <v>0.60027969061786013</v>
      </c>
    </row>
    <row r="399" spans="6:13" x14ac:dyDescent="0.4">
      <c r="F399" s="1">
        <v>33482</v>
      </c>
      <c r="G399" s="16">
        <v>352.15</v>
      </c>
      <c r="H399" s="16">
        <f t="shared" si="31"/>
        <v>354.75590902699008</v>
      </c>
      <c r="I399">
        <f t="shared" si="32"/>
        <v>9</v>
      </c>
      <c r="J399" s="16" cm="1">
        <f t="array" ref="J399">INDEX(Sm,I399)</f>
        <v>-3.188494698714738</v>
      </c>
      <c r="K399" s="16">
        <f t="shared" si="33"/>
        <v>351.56741432827533</v>
      </c>
      <c r="L399" s="16">
        <f t="shared" si="34"/>
        <v>0.58258567172464382</v>
      </c>
      <c r="M399" s="16">
        <f t="shared" si="35"/>
        <v>0.33940606489885444</v>
      </c>
    </row>
    <row r="400" spans="6:13" x14ac:dyDescent="0.4">
      <c r="F400" s="1">
        <v>33512</v>
      </c>
      <c r="G400" s="16">
        <v>352.21</v>
      </c>
      <c r="H400" s="16">
        <f t="shared" si="31"/>
        <v>354.88712156078543</v>
      </c>
      <c r="I400">
        <f t="shared" si="32"/>
        <v>10</v>
      </c>
      <c r="J400" s="16" cm="1">
        <f t="array" ref="J400">INDEX(Sm,I400)</f>
        <v>-3.3139186770794531</v>
      </c>
      <c r="K400" s="16">
        <f t="shared" si="33"/>
        <v>351.57320288370596</v>
      </c>
      <c r="L400" s="16">
        <f t="shared" si="34"/>
        <v>0.63679711629401936</v>
      </c>
      <c r="M400" s="16">
        <f t="shared" si="35"/>
        <v>0.40551056732037882</v>
      </c>
    </row>
    <row r="401" spans="6:13" x14ac:dyDescent="0.4">
      <c r="F401" s="1">
        <v>33543</v>
      </c>
      <c r="G401" s="16">
        <v>353.75</v>
      </c>
      <c r="H401" s="16">
        <f t="shared" si="31"/>
        <v>355.02289564112436</v>
      </c>
      <c r="I401">
        <f t="shared" si="32"/>
        <v>11</v>
      </c>
      <c r="J401" s="16" cm="1">
        <f t="array" ref="J401">INDEX(Sm,I401)</f>
        <v>-2.0555969925100759</v>
      </c>
      <c r="K401" s="16">
        <f t="shared" si="33"/>
        <v>352.9672986486143</v>
      </c>
      <c r="L401" s="16">
        <f t="shared" si="34"/>
        <v>0.78270135138569685</v>
      </c>
      <c r="M401" s="16">
        <f t="shared" si="35"/>
        <v>0.61262140546099608</v>
      </c>
    </row>
    <row r="402" spans="6:13" x14ac:dyDescent="0.4">
      <c r="F402" s="1">
        <v>33573</v>
      </c>
      <c r="G402" s="16">
        <v>354.99</v>
      </c>
      <c r="H402" s="16">
        <f t="shared" si="31"/>
        <v>355.15447190026089</v>
      </c>
      <c r="I402">
        <f t="shared" si="32"/>
        <v>12</v>
      </c>
      <c r="J402" s="16" cm="1">
        <f t="array" ref="J402">INDEX(Sm,I402)</f>
        <v>-0.88675924001340456</v>
      </c>
      <c r="K402" s="16">
        <f t="shared" si="33"/>
        <v>354.26771266024747</v>
      </c>
      <c r="L402" s="16">
        <f t="shared" si="34"/>
        <v>0.72228733975254045</v>
      </c>
      <c r="M402" s="16">
        <f t="shared" si="35"/>
        <v>0.52169900116680179</v>
      </c>
    </row>
    <row r="403" spans="6:13" x14ac:dyDescent="0.4">
      <c r="F403" s="1">
        <v>33604</v>
      </c>
      <c r="G403" s="16">
        <v>355.99</v>
      </c>
      <c r="H403" s="16">
        <f t="shared" si="31"/>
        <v>355.29062235069375</v>
      </c>
      <c r="I403">
        <f t="shared" si="32"/>
        <v>1</v>
      </c>
      <c r="J403" s="16" cm="1">
        <f t="array" ref="J403">INDEX(Sm,I403)</f>
        <v>-3.5406241068958691E-2</v>
      </c>
      <c r="K403" s="16">
        <f t="shared" si="33"/>
        <v>355.25521610962477</v>
      </c>
      <c r="L403" s="16">
        <f t="shared" si="34"/>
        <v>0.73478389037524039</v>
      </c>
      <c r="M403" s="16">
        <f t="shared" si="35"/>
        <v>0.53990736555497332</v>
      </c>
    </row>
    <row r="404" spans="6:13" x14ac:dyDescent="0.4">
      <c r="F404" s="1">
        <v>33635</v>
      </c>
      <c r="G404" s="16">
        <v>356.72</v>
      </c>
      <c r="H404" s="16">
        <f t="shared" si="31"/>
        <v>355.42696447082091</v>
      </c>
      <c r="I404">
        <f t="shared" si="32"/>
        <v>2</v>
      </c>
      <c r="J404" s="16" cm="1">
        <f t="array" ref="J404">INDEX(Sm,I404)</f>
        <v>0.68063113884422577</v>
      </c>
      <c r="K404" s="16">
        <f t="shared" si="33"/>
        <v>356.10759560966511</v>
      </c>
      <c r="L404" s="16">
        <f t="shared" si="34"/>
        <v>0.61240439033491612</v>
      </c>
      <c r="M404" s="16">
        <f t="shared" si="35"/>
        <v>0.37503913730148031</v>
      </c>
    </row>
    <row r="405" spans="6:13" x14ac:dyDescent="0.4">
      <c r="F405" s="1">
        <v>33664</v>
      </c>
      <c r="G405" s="16">
        <v>357.81</v>
      </c>
      <c r="H405" s="16">
        <f t="shared" si="31"/>
        <v>355.55468408406279</v>
      </c>
      <c r="I405">
        <f t="shared" si="32"/>
        <v>3</v>
      </c>
      <c r="J405" s="16" cm="1">
        <f t="array" ref="J405">INDEX(Sm,I405)</f>
        <v>1.3939471632320417</v>
      </c>
      <c r="K405" s="16">
        <f t="shared" si="33"/>
        <v>356.94863124729483</v>
      </c>
      <c r="L405" s="16">
        <f t="shared" si="34"/>
        <v>0.86136875270517521</v>
      </c>
      <c r="M405" s="16">
        <f t="shared" si="35"/>
        <v>0.74195612813686929</v>
      </c>
    </row>
    <row r="406" spans="6:13" x14ac:dyDescent="0.4">
      <c r="F406" s="1">
        <v>33695</v>
      </c>
      <c r="G406" s="16">
        <v>359.15</v>
      </c>
      <c r="H406" s="16">
        <f t="shared" si="31"/>
        <v>355.69139794465457</v>
      </c>
      <c r="I406">
        <f t="shared" si="32"/>
        <v>4</v>
      </c>
      <c r="J406" s="16" cm="1">
        <f t="array" ref="J406">INDEX(Sm,I406)</f>
        <v>2.6315659351379859</v>
      </c>
      <c r="K406" s="16">
        <f t="shared" si="33"/>
        <v>358.32296387979255</v>
      </c>
      <c r="L406" s="16">
        <f t="shared" si="34"/>
        <v>0.82703612020742412</v>
      </c>
      <c r="M406" s="16">
        <f t="shared" si="35"/>
        <v>0.6839887441277489</v>
      </c>
    </row>
    <row r="407" spans="6:13" x14ac:dyDescent="0.4">
      <c r="F407" s="1">
        <v>33725</v>
      </c>
      <c r="G407" s="16">
        <v>359.66</v>
      </c>
      <c r="H407" s="16">
        <f t="shared" si="31"/>
        <v>355.82388492820729</v>
      </c>
      <c r="I407">
        <f t="shared" si="32"/>
        <v>5</v>
      </c>
      <c r="J407" s="16" cm="1">
        <f t="array" ref="J407">INDEX(Sm,I407)</f>
        <v>3.0968597809913625</v>
      </c>
      <c r="K407" s="16">
        <f t="shared" si="33"/>
        <v>358.92074470919863</v>
      </c>
      <c r="L407" s="16">
        <f t="shared" si="34"/>
        <v>0.7392552908013954</v>
      </c>
      <c r="M407" s="16">
        <f t="shared" si="35"/>
        <v>0.54649838497785563</v>
      </c>
    </row>
    <row r="408" spans="6:13" x14ac:dyDescent="0.4">
      <c r="F408" s="1">
        <v>33756</v>
      </c>
      <c r="G408" s="16">
        <v>359.25</v>
      </c>
      <c r="H408" s="16">
        <f t="shared" si="31"/>
        <v>355.96097776399387</v>
      </c>
      <c r="I408">
        <f t="shared" si="32"/>
        <v>6</v>
      </c>
      <c r="J408" s="16" cm="1">
        <f t="array" ref="J408">INDEX(Sm,I408)</f>
        <v>2.3186578027685911</v>
      </c>
      <c r="K408" s="16">
        <f t="shared" si="33"/>
        <v>358.27963556676247</v>
      </c>
      <c r="L408" s="16">
        <f t="shared" si="34"/>
        <v>0.97036443323753474</v>
      </c>
      <c r="M408" s="16">
        <f t="shared" si="35"/>
        <v>0.94160713329240198</v>
      </c>
    </row>
    <row r="409" spans="6:13" x14ac:dyDescent="0.4">
      <c r="F409" s="1">
        <v>33786</v>
      </c>
      <c r="G409" s="16">
        <v>357.02</v>
      </c>
      <c r="H409" s="16">
        <f t="shared" si="31"/>
        <v>356.09383200570323</v>
      </c>
      <c r="I409">
        <f t="shared" si="32"/>
        <v>7</v>
      </c>
      <c r="J409" s="16" cm="1">
        <f t="array" ref="J409">INDEX(Sm,I409)</f>
        <v>0.74380149245581328</v>
      </c>
      <c r="K409" s="16">
        <f t="shared" si="33"/>
        <v>356.83763349815905</v>
      </c>
      <c r="L409" s="16">
        <f t="shared" si="34"/>
        <v>0.18236650184093151</v>
      </c>
      <c r="M409" s="16">
        <f t="shared" si="35"/>
        <v>3.3257540993698473E-2</v>
      </c>
    </row>
    <row r="410" spans="6:13" x14ac:dyDescent="0.4">
      <c r="F410" s="1">
        <v>33817</v>
      </c>
      <c r="G410" s="16">
        <v>355</v>
      </c>
      <c r="H410" s="16">
        <f t="shared" si="31"/>
        <v>356.23130486721607</v>
      </c>
      <c r="I410">
        <f t="shared" si="32"/>
        <v>8</v>
      </c>
      <c r="J410" s="16" cm="1">
        <f t="array" ref="J410">INDEX(Sm,I410)</f>
        <v>-1.3852874640433905</v>
      </c>
      <c r="K410" s="16">
        <f t="shared" si="33"/>
        <v>354.84601740317265</v>
      </c>
      <c r="L410" s="16">
        <f t="shared" si="34"/>
        <v>0.15398259682734761</v>
      </c>
      <c r="M410" s="16">
        <f t="shared" si="35"/>
        <v>2.3710640125693482E-2</v>
      </c>
    </row>
    <row r="411" spans="6:13" x14ac:dyDescent="0.4">
      <c r="F411" s="1">
        <v>33848</v>
      </c>
      <c r="G411" s="16">
        <v>353.01</v>
      </c>
      <c r="H411" s="16">
        <f t="shared" si="31"/>
        <v>356.36897126008517</v>
      </c>
      <c r="I411">
        <f t="shared" si="32"/>
        <v>9</v>
      </c>
      <c r="J411" s="16" cm="1">
        <f t="array" ref="J411">INDEX(Sm,I411)</f>
        <v>-3.188494698714738</v>
      </c>
      <c r="K411" s="16">
        <f t="shared" si="33"/>
        <v>353.18047656137043</v>
      </c>
      <c r="L411" s="16">
        <f t="shared" si="34"/>
        <v>-0.17047656137043532</v>
      </c>
      <c r="M411" s="16">
        <f t="shared" si="35"/>
        <v>2.9062257976687801E-2</v>
      </c>
    </row>
    <row r="412" spans="6:13" x14ac:dyDescent="0.4">
      <c r="F412" s="1">
        <v>33878</v>
      </c>
      <c r="G412" s="16">
        <v>353.31</v>
      </c>
      <c r="H412" s="16">
        <f t="shared" si="31"/>
        <v>356.50238132581569</v>
      </c>
      <c r="I412">
        <f t="shared" si="32"/>
        <v>10</v>
      </c>
      <c r="J412" s="16" cm="1">
        <f t="array" ref="J412">INDEX(Sm,I412)</f>
        <v>-3.3139186770794531</v>
      </c>
      <c r="K412" s="16">
        <f t="shared" si="33"/>
        <v>353.18846264873622</v>
      </c>
      <c r="L412" s="16">
        <f t="shared" si="34"/>
        <v>0.12153735126378251</v>
      </c>
      <c r="M412" s="16">
        <f t="shared" si="35"/>
        <v>1.4771327752216056E-2</v>
      </c>
    </row>
    <row r="413" spans="6:13" x14ac:dyDescent="0.4">
      <c r="F413" s="1">
        <v>33909</v>
      </c>
      <c r="G413" s="16">
        <v>354.16</v>
      </c>
      <c r="H413" s="16">
        <f t="shared" si="31"/>
        <v>356.64042933432972</v>
      </c>
      <c r="I413">
        <f t="shared" si="32"/>
        <v>11</v>
      </c>
      <c r="J413" s="16" cm="1">
        <f t="array" ref="J413">INDEX(Sm,I413)</f>
        <v>-2.0555969925100759</v>
      </c>
      <c r="K413" s="16">
        <f t="shared" si="33"/>
        <v>354.58483234181966</v>
      </c>
      <c r="L413" s="16">
        <f t="shared" si="34"/>
        <v>-0.4248323418196378</v>
      </c>
      <c r="M413" s="16">
        <f t="shared" si="35"/>
        <v>0.18048251865595757</v>
      </c>
    </row>
    <row r="414" spans="6:13" x14ac:dyDescent="0.4">
      <c r="F414" s="1">
        <v>33939</v>
      </c>
      <c r="G414" s="16">
        <v>355.4</v>
      </c>
      <c r="H414" s="16">
        <f t="shared" si="31"/>
        <v>356.77420921703015</v>
      </c>
      <c r="I414">
        <f t="shared" si="32"/>
        <v>12</v>
      </c>
      <c r="J414" s="16" cm="1">
        <f t="array" ref="J414">INDEX(Sm,I414)</f>
        <v>-0.88675924001340456</v>
      </c>
      <c r="K414" s="16">
        <f t="shared" si="33"/>
        <v>355.88744997701673</v>
      </c>
      <c r="L414" s="16">
        <f t="shared" si="34"/>
        <v>-0.48744997701675175</v>
      </c>
      <c r="M414" s="16">
        <f t="shared" si="35"/>
        <v>0.23760748009363181</v>
      </c>
    </row>
    <row r="415" spans="6:13" x14ac:dyDescent="0.4">
      <c r="F415" s="1">
        <v>33970</v>
      </c>
      <c r="G415" s="16">
        <v>356.7</v>
      </c>
      <c r="H415" s="16">
        <f t="shared" si="31"/>
        <v>356.91263989903968</v>
      </c>
      <c r="I415">
        <f t="shared" si="32"/>
        <v>1</v>
      </c>
      <c r="J415" s="16" cm="1">
        <f t="array" ref="J415">INDEX(Sm,I415)</f>
        <v>-3.5406241068958691E-2</v>
      </c>
      <c r="K415" s="16">
        <f t="shared" si="33"/>
        <v>356.87723365797069</v>
      </c>
      <c r="L415" s="16">
        <f t="shared" si="34"/>
        <v>-0.17723365797070301</v>
      </c>
      <c r="M415" s="16">
        <f t="shared" si="35"/>
        <v>3.1411769517676137E-2</v>
      </c>
    </row>
    <row r="416" spans="6:13" x14ac:dyDescent="0.4">
      <c r="F416" s="1">
        <v>34001</v>
      </c>
      <c r="G416" s="16">
        <v>357.17</v>
      </c>
      <c r="H416" s="16">
        <f t="shared" si="31"/>
        <v>357.05126546080487</v>
      </c>
      <c r="I416">
        <f t="shared" si="32"/>
        <v>2</v>
      </c>
      <c r="J416" s="16" cm="1">
        <f t="array" ref="J416">INDEX(Sm,I416)</f>
        <v>0.68063113884422577</v>
      </c>
      <c r="K416" s="16">
        <f t="shared" si="33"/>
        <v>357.73189659964908</v>
      </c>
      <c r="L416" s="16">
        <f t="shared" si="34"/>
        <v>-0.56189659964906014</v>
      </c>
      <c r="M416" s="16">
        <f t="shared" si="35"/>
        <v>0.31572778869717616</v>
      </c>
    </row>
    <row r="417" spans="6:13" x14ac:dyDescent="0.4">
      <c r="F417" s="1">
        <v>34029</v>
      </c>
      <c r="G417" s="16">
        <v>358.38</v>
      </c>
      <c r="H417" s="16">
        <f t="shared" si="31"/>
        <v>357.17664337712506</v>
      </c>
      <c r="I417">
        <f t="shared" si="32"/>
        <v>3</v>
      </c>
      <c r="J417" s="16" cm="1">
        <f t="array" ref="J417">INDEX(Sm,I417)</f>
        <v>1.3939471632320417</v>
      </c>
      <c r="K417" s="16">
        <f t="shared" si="33"/>
        <v>358.5705905403571</v>
      </c>
      <c r="L417" s="16">
        <f t="shared" si="34"/>
        <v>-0.19059054035710687</v>
      </c>
      <c r="M417" s="16">
        <f t="shared" si="35"/>
        <v>3.6324754073613984E-2</v>
      </c>
    </row>
    <row r="418" spans="6:13" x14ac:dyDescent="0.4">
      <c r="F418" s="1">
        <v>34060</v>
      </c>
      <c r="G418" s="16">
        <v>359.46</v>
      </c>
      <c r="H418" s="16">
        <f t="shared" si="31"/>
        <v>357.3156405973441</v>
      </c>
      <c r="I418">
        <f t="shared" si="32"/>
        <v>4</v>
      </c>
      <c r="J418" s="16" cm="1">
        <f t="array" ref="J418">INDEX(Sm,I418)</f>
        <v>2.6315659351379859</v>
      </c>
      <c r="K418" s="16">
        <f t="shared" si="33"/>
        <v>359.94720653248208</v>
      </c>
      <c r="L418" s="16">
        <f t="shared" si="34"/>
        <v>-0.4872065324821051</v>
      </c>
      <c r="M418" s="16">
        <f t="shared" si="35"/>
        <v>0.23737020529323655</v>
      </c>
    </row>
    <row r="419" spans="6:13" x14ac:dyDescent="0.4">
      <c r="F419" s="1">
        <v>34090</v>
      </c>
      <c r="G419" s="16">
        <v>360.28</v>
      </c>
      <c r="H419" s="16">
        <f t="shared" si="31"/>
        <v>357.4503403443145</v>
      </c>
      <c r="I419">
        <f t="shared" si="32"/>
        <v>5</v>
      </c>
      <c r="J419" s="16" cm="1">
        <f t="array" ref="J419">INDEX(Sm,I419)</f>
        <v>3.0968597809913625</v>
      </c>
      <c r="K419" s="16">
        <f t="shared" si="33"/>
        <v>360.54720012530584</v>
      </c>
      <c r="L419" s="16">
        <f t="shared" si="34"/>
        <v>-0.26720012530586246</v>
      </c>
      <c r="M419" s="16">
        <f t="shared" si="35"/>
        <v>7.1395906963468592E-2</v>
      </c>
    </row>
    <row r="420" spans="6:13" x14ac:dyDescent="0.4">
      <c r="F420" s="1">
        <v>34121</v>
      </c>
      <c r="G420" s="16">
        <v>359.6</v>
      </c>
      <c r="H420" s="16">
        <f t="shared" si="31"/>
        <v>357.58972286927451</v>
      </c>
      <c r="I420">
        <f t="shared" si="32"/>
        <v>6</v>
      </c>
      <c r="J420" s="16" cm="1">
        <f t="array" ref="J420">INDEX(Sm,I420)</f>
        <v>2.3186578027685911</v>
      </c>
      <c r="K420" s="16">
        <f t="shared" si="33"/>
        <v>359.90838067204311</v>
      </c>
      <c r="L420" s="16">
        <f t="shared" si="34"/>
        <v>-0.30838067204308572</v>
      </c>
      <c r="M420" s="16">
        <f t="shared" si="35"/>
        <v>9.5098638889745193E-2</v>
      </c>
    </row>
    <row r="421" spans="6:13" x14ac:dyDescent="0.4">
      <c r="F421" s="1">
        <v>34151</v>
      </c>
      <c r="G421" s="16">
        <v>357.57</v>
      </c>
      <c r="H421" s="16">
        <f t="shared" si="31"/>
        <v>357.72479600825233</v>
      </c>
      <c r="I421">
        <f t="shared" si="32"/>
        <v>7</v>
      </c>
      <c r="J421" s="16" cm="1">
        <f t="array" ref="J421">INDEX(Sm,I421)</f>
        <v>0.74380149245581328</v>
      </c>
      <c r="K421" s="16">
        <f t="shared" si="33"/>
        <v>358.46859750070814</v>
      </c>
      <c r="L421" s="16">
        <f t="shared" si="34"/>
        <v>-0.89859750070814925</v>
      </c>
      <c r="M421" s="16">
        <f t="shared" si="35"/>
        <v>0.8074774682789323</v>
      </c>
    </row>
    <row r="422" spans="6:13" x14ac:dyDescent="0.4">
      <c r="F422" s="1">
        <v>34182</v>
      </c>
      <c r="G422" s="16">
        <v>355.52</v>
      </c>
      <c r="H422" s="16">
        <f t="shared" si="31"/>
        <v>357.86456490603018</v>
      </c>
      <c r="I422">
        <f t="shared" si="32"/>
        <v>8</v>
      </c>
      <c r="J422" s="16" cm="1">
        <f t="array" ref="J422">INDEX(Sm,I422)</f>
        <v>-1.3852874640433905</v>
      </c>
      <c r="K422" s="16">
        <f t="shared" si="33"/>
        <v>356.47927744198677</v>
      </c>
      <c r="L422" s="16">
        <f t="shared" si="34"/>
        <v>-0.95927744198678511</v>
      </c>
      <c r="M422" s="16">
        <f t="shared" si="35"/>
        <v>0.92021321070470985</v>
      </c>
    </row>
    <row r="423" spans="6:13" x14ac:dyDescent="0.4">
      <c r="F423" s="1">
        <v>34213</v>
      </c>
      <c r="G423" s="16">
        <v>353.69</v>
      </c>
      <c r="H423" s="16">
        <f t="shared" si="31"/>
        <v>358.00453056747506</v>
      </c>
      <c r="I423">
        <f t="shared" si="32"/>
        <v>9</v>
      </c>
      <c r="J423" s="16" cm="1">
        <f t="array" ref="J423">INDEX(Sm,I423)</f>
        <v>-3.188494698714738</v>
      </c>
      <c r="K423" s="16">
        <f t="shared" si="33"/>
        <v>354.81603586876031</v>
      </c>
      <c r="L423" s="16">
        <f t="shared" si="34"/>
        <v>-1.1260358687603116</v>
      </c>
      <c r="M423" s="16">
        <f t="shared" si="35"/>
        <v>1.2679567777347898</v>
      </c>
    </row>
    <row r="424" spans="6:13" x14ac:dyDescent="0.4">
      <c r="F424" s="1">
        <v>34243</v>
      </c>
      <c r="G424" s="16">
        <v>353.99</v>
      </c>
      <c r="H424" s="16">
        <f t="shared" si="31"/>
        <v>358.14016881370361</v>
      </c>
      <c r="I424">
        <f t="shared" si="32"/>
        <v>10</v>
      </c>
      <c r="J424" s="16" cm="1">
        <f t="array" ref="J424">INDEX(Sm,I424)</f>
        <v>-3.3139186770794531</v>
      </c>
      <c r="K424" s="16">
        <f t="shared" si="33"/>
        <v>354.82625013662414</v>
      </c>
      <c r="L424" s="16">
        <f t="shared" si="34"/>
        <v>-0.83625013662413039</v>
      </c>
      <c r="M424" s="16">
        <f t="shared" si="35"/>
        <v>0.69931429100387676</v>
      </c>
    </row>
    <row r="425" spans="6:13" x14ac:dyDescent="0.4">
      <c r="F425" s="1">
        <v>34274</v>
      </c>
      <c r="G425" s="16">
        <v>355.34</v>
      </c>
      <c r="H425" s="16">
        <f t="shared" si="31"/>
        <v>358.28052246443934</v>
      </c>
      <c r="I425">
        <f t="shared" si="32"/>
        <v>11</v>
      </c>
      <c r="J425" s="16" cm="1">
        <f t="array" ref="J425">INDEX(Sm,I425)</f>
        <v>-2.0555969925100759</v>
      </c>
      <c r="K425" s="16">
        <f t="shared" si="33"/>
        <v>356.22492547192928</v>
      </c>
      <c r="L425" s="16">
        <f t="shared" si="34"/>
        <v>-0.88492547192930715</v>
      </c>
      <c r="M425" s="16">
        <f t="shared" si="35"/>
        <v>0.78309309086930701</v>
      </c>
    </row>
    <row r="426" spans="6:13" x14ac:dyDescent="0.4">
      <c r="F426" s="1">
        <v>34304</v>
      </c>
      <c r="G426" s="16">
        <v>356.8</v>
      </c>
      <c r="H426" s="16">
        <f t="shared" si="31"/>
        <v>358.41653670422534</v>
      </c>
      <c r="I426">
        <f t="shared" si="32"/>
        <v>12</v>
      </c>
      <c r="J426" s="16" cm="1">
        <f t="array" ref="J426">INDEX(Sm,I426)</f>
        <v>-0.88675924001340456</v>
      </c>
      <c r="K426" s="16">
        <f t="shared" si="33"/>
        <v>357.52977746421192</v>
      </c>
      <c r="L426" s="16">
        <f t="shared" si="34"/>
        <v>-0.72977746421190659</v>
      </c>
      <c r="M426" s="16">
        <f t="shared" si="35"/>
        <v>0.53257514727156063</v>
      </c>
    </row>
    <row r="427" spans="6:13" x14ac:dyDescent="0.4">
      <c r="F427" s="1">
        <v>34335</v>
      </c>
      <c r="G427" s="16">
        <v>358.37</v>
      </c>
      <c r="H427" s="16">
        <f t="shared" si="31"/>
        <v>358.55727941977079</v>
      </c>
      <c r="I427">
        <f t="shared" si="32"/>
        <v>1</v>
      </c>
      <c r="J427" s="16" cm="1">
        <f t="array" ref="J427">INDEX(Sm,I427)</f>
        <v>-3.5406241068958691E-2</v>
      </c>
      <c r="K427" s="16">
        <f t="shared" si="33"/>
        <v>358.52187317870181</v>
      </c>
      <c r="L427" s="16">
        <f t="shared" si="34"/>
        <v>-0.1518731787018055</v>
      </c>
      <c r="M427" s="16">
        <f t="shared" si="35"/>
        <v>2.3065462408990548E-2</v>
      </c>
    </row>
    <row r="428" spans="6:13" x14ac:dyDescent="0.4">
      <c r="F428" s="1">
        <v>34366</v>
      </c>
      <c r="G428" s="16">
        <v>358.91</v>
      </c>
      <c r="H428" s="16">
        <f t="shared" si="31"/>
        <v>358.698220269903</v>
      </c>
      <c r="I428">
        <f t="shared" si="32"/>
        <v>2</v>
      </c>
      <c r="J428" s="16" cm="1">
        <f t="array" ref="J428">INDEX(Sm,I428)</f>
        <v>0.68063113884422577</v>
      </c>
      <c r="K428" s="16">
        <f t="shared" si="33"/>
        <v>359.37885140874721</v>
      </c>
      <c r="L428" s="16">
        <f t="shared" si="34"/>
        <v>-0.46885140874718445</v>
      </c>
      <c r="M428" s="16">
        <f t="shared" si="35"/>
        <v>0.21982164348421943</v>
      </c>
    </row>
    <row r="429" spans="6:13" x14ac:dyDescent="0.4">
      <c r="F429" s="1">
        <v>34394</v>
      </c>
      <c r="G429" s="16">
        <v>359.97</v>
      </c>
      <c r="H429" s="16">
        <f t="shared" si="31"/>
        <v>358.82569221583412</v>
      </c>
      <c r="I429">
        <f t="shared" si="32"/>
        <v>3</v>
      </c>
      <c r="J429" s="16" cm="1">
        <f t="array" ref="J429">INDEX(Sm,I429)</f>
        <v>1.3939471632320417</v>
      </c>
      <c r="K429" s="16">
        <f t="shared" si="33"/>
        <v>360.21963937906617</v>
      </c>
      <c r="L429" s="16">
        <f t="shared" si="34"/>
        <v>-0.24963937906613864</v>
      </c>
      <c r="M429" s="16">
        <f t="shared" si="35"/>
        <v>6.2319819580527264E-2</v>
      </c>
    </row>
    <row r="430" spans="6:13" x14ac:dyDescent="0.4">
      <c r="F430" s="1">
        <v>34425</v>
      </c>
      <c r="G430" s="16">
        <v>361.26</v>
      </c>
      <c r="H430" s="16">
        <f t="shared" si="31"/>
        <v>358.96701093176404</v>
      </c>
      <c r="I430">
        <f t="shared" si="32"/>
        <v>4</v>
      </c>
      <c r="J430" s="16" cm="1">
        <f t="array" ref="J430">INDEX(Sm,I430)</f>
        <v>2.6315659351379859</v>
      </c>
      <c r="K430" s="16">
        <f t="shared" si="33"/>
        <v>361.59857686690202</v>
      </c>
      <c r="L430" s="16">
        <f t="shared" si="34"/>
        <v>-0.33857686690203082</v>
      </c>
      <c r="M430" s="16">
        <f t="shared" si="35"/>
        <v>0.1146342948011955</v>
      </c>
    </row>
    <row r="431" spans="6:13" x14ac:dyDescent="0.4">
      <c r="F431" s="1">
        <v>34455</v>
      </c>
      <c r="G431" s="16">
        <v>361.69</v>
      </c>
      <c r="H431" s="16">
        <f t="shared" si="31"/>
        <v>359.10396039915571</v>
      </c>
      <c r="I431">
        <f t="shared" si="32"/>
        <v>5</v>
      </c>
      <c r="J431" s="16" cm="1">
        <f t="array" ref="J431">INDEX(Sm,I431)</f>
        <v>3.0968597809913625</v>
      </c>
      <c r="K431" s="16">
        <f t="shared" si="33"/>
        <v>362.20082018014705</v>
      </c>
      <c r="L431" s="16">
        <f t="shared" si="34"/>
        <v>-0.51082018014705</v>
      </c>
      <c r="M431" s="16">
        <f t="shared" si="35"/>
        <v>0.26093725644546462</v>
      </c>
    </row>
    <row r="432" spans="6:13" x14ac:dyDescent="0.4">
      <c r="F432" s="1">
        <v>34486</v>
      </c>
      <c r="G432" s="16">
        <v>360.94</v>
      </c>
      <c r="H432" s="16">
        <f t="shared" si="31"/>
        <v>359.24567085508676</v>
      </c>
      <c r="I432">
        <f t="shared" si="32"/>
        <v>6</v>
      </c>
      <c r="J432" s="16" cm="1">
        <f t="array" ref="J432">INDEX(Sm,I432)</f>
        <v>2.3186578027685911</v>
      </c>
      <c r="K432" s="16">
        <f t="shared" si="33"/>
        <v>361.56432865785536</v>
      </c>
      <c r="L432" s="16">
        <f t="shared" si="34"/>
        <v>-0.62432865785535796</v>
      </c>
      <c r="M432" s="16">
        <f t="shared" si="35"/>
        <v>0.38978627301947261</v>
      </c>
    </row>
    <row r="433" spans="6:13" x14ac:dyDescent="0.4">
      <c r="F433" s="1">
        <v>34516</v>
      </c>
      <c r="G433" s="16">
        <v>359.55</v>
      </c>
      <c r="H433" s="16">
        <f t="shared" si="31"/>
        <v>359.38299995078302</v>
      </c>
      <c r="I433">
        <f t="shared" si="32"/>
        <v>7</v>
      </c>
      <c r="J433" s="16" cm="1">
        <f t="array" ref="J433">INDEX(Sm,I433)</f>
        <v>0.74380149245581328</v>
      </c>
      <c r="K433" s="16">
        <f t="shared" si="33"/>
        <v>360.12680144323883</v>
      </c>
      <c r="L433" s="16">
        <f t="shared" si="34"/>
        <v>-0.57680144323882132</v>
      </c>
      <c r="M433" s="16">
        <f t="shared" si="35"/>
        <v>0.33269990492238721</v>
      </c>
    </row>
    <row r="434" spans="6:13" x14ac:dyDescent="0.4">
      <c r="F434" s="1">
        <v>34547</v>
      </c>
      <c r="G434" s="16">
        <v>357.48</v>
      </c>
      <c r="H434" s="16">
        <f t="shared" si="31"/>
        <v>359.52510323263107</v>
      </c>
      <c r="I434">
        <f t="shared" si="32"/>
        <v>8</v>
      </c>
      <c r="J434" s="16" cm="1">
        <f t="array" ref="J434">INDEX(Sm,I434)</f>
        <v>-1.3852874640433905</v>
      </c>
      <c r="K434" s="16">
        <f t="shared" si="33"/>
        <v>358.13981576858765</v>
      </c>
      <c r="L434" s="16">
        <f t="shared" si="34"/>
        <v>-0.65981576858763447</v>
      </c>
      <c r="M434" s="16">
        <f t="shared" si="35"/>
        <v>0.43535684847689082</v>
      </c>
    </row>
    <row r="435" spans="6:13" x14ac:dyDescent="0.4">
      <c r="F435" s="1">
        <v>34578</v>
      </c>
      <c r="G435" s="16">
        <v>355.84</v>
      </c>
      <c r="H435" s="16">
        <f t="shared" si="31"/>
        <v>359.66740656444222</v>
      </c>
      <c r="I435">
        <f t="shared" si="32"/>
        <v>9</v>
      </c>
      <c r="J435" s="16" cm="1">
        <f t="array" ref="J435">INDEX(Sm,I435)</f>
        <v>-3.188494698714738</v>
      </c>
      <c r="K435" s="16">
        <f t="shared" si="33"/>
        <v>356.47891186572747</v>
      </c>
      <c r="L435" s="16">
        <f t="shared" si="34"/>
        <v>-0.63891186572749348</v>
      </c>
      <c r="M435" s="16">
        <f t="shared" si="35"/>
        <v>0.40820837216738665</v>
      </c>
    </row>
    <row r="436" spans="6:13" x14ac:dyDescent="0.4">
      <c r="F436" s="1">
        <v>34608</v>
      </c>
      <c r="G436" s="16">
        <v>356</v>
      </c>
      <c r="H436" s="16">
        <f t="shared" si="31"/>
        <v>359.80531020566468</v>
      </c>
      <c r="I436">
        <f t="shared" si="32"/>
        <v>10</v>
      </c>
      <c r="J436" s="16" cm="1">
        <f t="array" ref="J436">INDEX(Sm,I436)</f>
        <v>-3.3139186770794531</v>
      </c>
      <c r="K436" s="16">
        <f t="shared" si="33"/>
        <v>356.49139152858521</v>
      </c>
      <c r="L436" s="16">
        <f t="shared" si="34"/>
        <v>-0.49139152858521129</v>
      </c>
      <c r="M436" s="16">
        <f t="shared" si="35"/>
        <v>0.24146563436531052</v>
      </c>
    </row>
    <row r="437" spans="6:13" x14ac:dyDescent="0.4">
      <c r="F437" s="1">
        <v>34639</v>
      </c>
      <c r="G437" s="16">
        <v>357.58</v>
      </c>
      <c r="H437" s="16">
        <f t="shared" si="31"/>
        <v>359.94800800686369</v>
      </c>
      <c r="I437">
        <f t="shared" si="32"/>
        <v>11</v>
      </c>
      <c r="J437" s="16" cm="1">
        <f t="array" ref="J437">INDEX(Sm,I437)</f>
        <v>-2.0555969925100759</v>
      </c>
      <c r="K437" s="16">
        <f t="shared" si="33"/>
        <v>357.89241101435363</v>
      </c>
      <c r="L437" s="16">
        <f t="shared" si="34"/>
        <v>-0.31241101435364271</v>
      </c>
      <c r="M437" s="16">
        <f t="shared" si="35"/>
        <v>9.7600641889471956E-2</v>
      </c>
    </row>
    <row r="438" spans="6:13" x14ac:dyDescent="0.4">
      <c r="F438" s="1">
        <v>34669</v>
      </c>
      <c r="G438" s="16">
        <v>359.04</v>
      </c>
      <c r="H438" s="16">
        <f t="shared" si="31"/>
        <v>360.0862939213909</v>
      </c>
      <c r="I438">
        <f t="shared" si="32"/>
        <v>12</v>
      </c>
      <c r="J438" s="16" cm="1">
        <f t="array" ref="J438">INDEX(Sm,I438)</f>
        <v>-0.88675924001340456</v>
      </c>
      <c r="K438" s="16">
        <f t="shared" si="33"/>
        <v>359.19953468137749</v>
      </c>
      <c r="L438" s="16">
        <f t="shared" si="34"/>
        <v>-0.1595346813774654</v>
      </c>
      <c r="M438" s="16">
        <f t="shared" si="35"/>
        <v>2.5451314562209407E-2</v>
      </c>
    </row>
    <row r="439" spans="6:13" x14ac:dyDescent="0.4">
      <c r="F439" s="1">
        <v>34700</v>
      </c>
      <c r="G439" s="16">
        <v>359.97</v>
      </c>
      <c r="H439" s="16">
        <f t="shared" si="31"/>
        <v>360.22938728545961</v>
      </c>
      <c r="I439">
        <f t="shared" si="32"/>
        <v>1</v>
      </c>
      <c r="J439" s="16" cm="1">
        <f t="array" ref="J439">INDEX(Sm,I439)</f>
        <v>-3.5406241068958691E-2</v>
      </c>
      <c r="K439" s="16">
        <f t="shared" si="33"/>
        <v>360.19398104439063</v>
      </c>
      <c r="L439" s="16">
        <f t="shared" si="34"/>
        <v>-0.22398104439059807</v>
      </c>
      <c r="M439" s="16">
        <f t="shared" si="35"/>
        <v>5.0167508246303061E-2</v>
      </c>
    </row>
    <row r="440" spans="6:13" x14ac:dyDescent="0.4">
      <c r="F440" s="1">
        <v>34731</v>
      </c>
      <c r="G440" s="16">
        <v>361</v>
      </c>
      <c r="H440" s="16">
        <f t="shared" si="31"/>
        <v>360.37268209330807</v>
      </c>
      <c r="I440">
        <f t="shared" si="32"/>
        <v>2</v>
      </c>
      <c r="J440" s="16" cm="1">
        <f t="array" ref="J440">INDEX(Sm,I440)</f>
        <v>0.68063113884422577</v>
      </c>
      <c r="K440" s="16">
        <f t="shared" si="33"/>
        <v>361.05331323215228</v>
      </c>
      <c r="L440" s="16">
        <f t="shared" si="34"/>
        <v>-5.3313232152277124E-2</v>
      </c>
      <c r="M440" s="16">
        <f t="shared" si="35"/>
        <v>2.8423007225225954E-3</v>
      </c>
    </row>
    <row r="441" spans="6:13" x14ac:dyDescent="0.4">
      <c r="F441" s="1">
        <v>34759</v>
      </c>
      <c r="G441" s="16">
        <v>361.63</v>
      </c>
      <c r="H441" s="16">
        <f t="shared" si="31"/>
        <v>360.50228304279227</v>
      </c>
      <c r="I441">
        <f t="shared" si="32"/>
        <v>3</v>
      </c>
      <c r="J441" s="16" cm="1">
        <f t="array" ref="J441">INDEX(Sm,I441)</f>
        <v>1.3939471632320417</v>
      </c>
      <c r="K441" s="16">
        <f t="shared" si="33"/>
        <v>361.89623020602431</v>
      </c>
      <c r="L441" s="16">
        <f t="shared" si="34"/>
        <v>-0.26623020602431779</v>
      </c>
      <c r="M441" s="16">
        <f t="shared" si="35"/>
        <v>7.0878522599750693E-2</v>
      </c>
    </row>
    <row r="442" spans="6:13" x14ac:dyDescent="0.4">
      <c r="F442" s="1">
        <v>34790</v>
      </c>
      <c r="G442" s="16">
        <v>363.45</v>
      </c>
      <c r="H442" s="16">
        <f t="shared" si="31"/>
        <v>360.64596202745537</v>
      </c>
      <c r="I442">
        <f t="shared" si="32"/>
        <v>4</v>
      </c>
      <c r="J442" s="16" cm="1">
        <f t="array" ref="J442">INDEX(Sm,I442)</f>
        <v>2.6315659351379859</v>
      </c>
      <c r="K442" s="16">
        <f t="shared" si="33"/>
        <v>363.27752796259335</v>
      </c>
      <c r="L442" s="16">
        <f t="shared" si="34"/>
        <v>0.17247203740663508</v>
      </c>
      <c r="M442" s="16">
        <f t="shared" si="35"/>
        <v>2.9746603687195731E-2</v>
      </c>
    </row>
    <row r="443" spans="6:13" x14ac:dyDescent="0.4">
      <c r="F443" s="1">
        <v>34820</v>
      </c>
      <c r="G443" s="16">
        <v>363.8</v>
      </c>
      <c r="H443" s="16">
        <f t="shared" si="31"/>
        <v>360.78519878951852</v>
      </c>
      <c r="I443">
        <f t="shared" si="32"/>
        <v>5</v>
      </c>
      <c r="J443" s="16" cm="1">
        <f t="array" ref="J443">INDEX(Sm,I443)</f>
        <v>3.0968597809913625</v>
      </c>
      <c r="K443" s="16">
        <f t="shared" si="33"/>
        <v>363.88205857050986</v>
      </c>
      <c r="L443" s="16">
        <f t="shared" si="34"/>
        <v>-8.2058570509843776E-2</v>
      </c>
      <c r="M443" s="16">
        <f t="shared" si="35"/>
        <v>6.7336089941190027E-3</v>
      </c>
    </row>
    <row r="444" spans="6:13" x14ac:dyDescent="0.4">
      <c r="F444" s="1">
        <v>34851</v>
      </c>
      <c r="G444" s="16">
        <v>363.26</v>
      </c>
      <c r="H444" s="16">
        <f t="shared" si="31"/>
        <v>360.92927605692319</v>
      </c>
      <c r="I444">
        <f t="shared" si="32"/>
        <v>6</v>
      </c>
      <c r="J444" s="16" cm="1">
        <f t="array" ref="J444">INDEX(Sm,I444)</f>
        <v>2.3186578027685911</v>
      </c>
      <c r="K444" s="16">
        <f t="shared" si="33"/>
        <v>363.24793385969178</v>
      </c>
      <c r="L444" s="16">
        <f t="shared" si="34"/>
        <v>1.2066140308206741E-2</v>
      </c>
      <c r="M444" s="16">
        <f t="shared" si="35"/>
        <v>1.4559174193733146E-4</v>
      </c>
    </row>
    <row r="445" spans="6:13" x14ac:dyDescent="0.4">
      <c r="F445" s="1">
        <v>34881</v>
      </c>
      <c r="G445" s="16">
        <v>361.89</v>
      </c>
      <c r="H445" s="16">
        <f t="shared" si="31"/>
        <v>361.06889878774473</v>
      </c>
      <c r="I445">
        <f t="shared" si="32"/>
        <v>7</v>
      </c>
      <c r="J445" s="16" cm="1">
        <f t="array" ref="J445">INDEX(Sm,I445)</f>
        <v>0.74380149245581328</v>
      </c>
      <c r="K445" s="16">
        <f t="shared" si="33"/>
        <v>361.81270028020054</v>
      </c>
      <c r="L445" s="16">
        <f t="shared" si="34"/>
        <v>7.7299719799441391E-2</v>
      </c>
      <c r="M445" s="16">
        <f t="shared" si="35"/>
        <v>5.975246681072151E-3</v>
      </c>
    </row>
    <row r="446" spans="6:13" x14ac:dyDescent="0.4">
      <c r="F446" s="1">
        <v>34912</v>
      </c>
      <c r="G446" s="16">
        <v>359.45</v>
      </c>
      <c r="H446" s="16">
        <f t="shared" si="31"/>
        <v>361.21337544194353</v>
      </c>
      <c r="I446">
        <f t="shared" si="32"/>
        <v>8</v>
      </c>
      <c r="J446" s="16" cm="1">
        <f t="array" ref="J446">INDEX(Sm,I446)</f>
        <v>-1.3852874640433905</v>
      </c>
      <c r="K446" s="16">
        <f t="shared" si="33"/>
        <v>359.82808797790011</v>
      </c>
      <c r="L446" s="16">
        <f t="shared" si="34"/>
        <v>-0.3780879779001225</v>
      </c>
      <c r="M446" s="16">
        <f t="shared" si="35"/>
        <v>0.14295051903260353</v>
      </c>
    </row>
    <row r="447" spans="6:13" x14ac:dyDescent="0.4">
      <c r="F447" s="1">
        <v>34943</v>
      </c>
      <c r="G447" s="16">
        <v>358.05</v>
      </c>
      <c r="H447" s="16">
        <f t="shared" si="31"/>
        <v>361.35805548728837</v>
      </c>
      <c r="I447">
        <f t="shared" si="32"/>
        <v>9</v>
      </c>
      <c r="J447" s="16" cm="1">
        <f t="array" ref="J447">INDEX(Sm,I447)</f>
        <v>-3.188494698714738</v>
      </c>
      <c r="K447" s="16">
        <f t="shared" si="33"/>
        <v>358.16956078857362</v>
      </c>
      <c r="L447" s="16">
        <f t="shared" si="34"/>
        <v>-0.11956078857360808</v>
      </c>
      <c r="M447" s="16">
        <f t="shared" si="35"/>
        <v>1.4294782164343012E-2</v>
      </c>
    </row>
    <row r="448" spans="6:13" x14ac:dyDescent="0.4">
      <c r="F448" s="1">
        <v>34973</v>
      </c>
      <c r="G448" s="16">
        <v>357.75</v>
      </c>
      <c r="H448" s="16">
        <f t="shared" si="31"/>
        <v>361.49826235954725</v>
      </c>
      <c r="I448">
        <f t="shared" si="32"/>
        <v>10</v>
      </c>
      <c r="J448" s="16" cm="1">
        <f t="array" ref="J448">INDEX(Sm,I448)</f>
        <v>-3.3139186770794531</v>
      </c>
      <c r="K448" s="16">
        <f t="shared" si="33"/>
        <v>358.18434368246778</v>
      </c>
      <c r="L448" s="16">
        <f t="shared" si="34"/>
        <v>-0.43434368246778376</v>
      </c>
      <c r="M448" s="16">
        <f t="shared" si="35"/>
        <v>0.18865443449967498</v>
      </c>
    </row>
    <row r="449" spans="6:13" x14ac:dyDescent="0.4">
      <c r="F449" s="1">
        <v>35004</v>
      </c>
      <c r="G449" s="16">
        <v>359.56</v>
      </c>
      <c r="H449" s="16">
        <f t="shared" si="31"/>
        <v>361.64334346260586</v>
      </c>
      <c r="I449">
        <f t="shared" si="32"/>
        <v>11</v>
      </c>
      <c r="J449" s="16" cm="1">
        <f t="array" ref="J449">INDEX(Sm,I449)</f>
        <v>-2.0555969925100759</v>
      </c>
      <c r="K449" s="16">
        <f t="shared" si="33"/>
        <v>359.58774647009579</v>
      </c>
      <c r="L449" s="16">
        <f t="shared" si="34"/>
        <v>-2.774647009579212E-2</v>
      </c>
      <c r="M449" s="16">
        <f t="shared" si="35"/>
        <v>7.6986660277668633E-4</v>
      </c>
    </row>
    <row r="450" spans="6:13" x14ac:dyDescent="0.4">
      <c r="F450" s="1">
        <v>35034</v>
      </c>
      <c r="G450" s="16">
        <v>360.7</v>
      </c>
      <c r="H450" s="16">
        <f t="shared" si="31"/>
        <v>361.78393899279979</v>
      </c>
      <c r="I450">
        <f t="shared" si="32"/>
        <v>12</v>
      </c>
      <c r="J450" s="16" cm="1">
        <f t="array" ref="J450">INDEX(Sm,I450)</f>
        <v>-0.88675924001340456</v>
      </c>
      <c r="K450" s="16">
        <f t="shared" si="33"/>
        <v>360.89717975278637</v>
      </c>
      <c r="L450" s="16">
        <f t="shared" si="34"/>
        <v>-0.19717975278638278</v>
      </c>
      <c r="M450" s="16">
        <f t="shared" si="35"/>
        <v>3.8879854908899024E-2</v>
      </c>
    </row>
    <row r="451" spans="6:13" x14ac:dyDescent="0.4">
      <c r="F451" s="1">
        <v>35065</v>
      </c>
      <c r="G451" s="16">
        <v>362.05</v>
      </c>
      <c r="H451" s="16">
        <f t="shared" ref="H451:H514" si="36">EXP(_A*F451+_B)+_C</f>
        <v>361.92942226531704</v>
      </c>
      <c r="I451">
        <f t="shared" ref="I451:I514" si="37">MONTH(F451)</f>
        <v>1</v>
      </c>
      <c r="J451" s="16" cm="1">
        <f t="array" ref="J451">INDEX(Sm,I451)</f>
        <v>-3.5406241068958691E-2</v>
      </c>
      <c r="K451" s="16">
        <f t="shared" ref="K451:K514" si="38">H451+J451</f>
        <v>361.89401602424806</v>
      </c>
      <c r="L451" s="16">
        <f t="shared" ref="L451:L514" si="39">G451-K451</f>
        <v>0.15598397575195122</v>
      </c>
      <c r="M451" s="16">
        <f t="shared" ref="M451:M514" si="40">L451*L451</f>
        <v>2.4331000691385305E-2</v>
      </c>
    </row>
    <row r="452" spans="6:13" x14ac:dyDescent="0.4">
      <c r="F452" s="1">
        <v>35096</v>
      </c>
      <c r="G452" s="16">
        <v>363.24</v>
      </c>
      <c r="H452" s="16">
        <f t="shared" si="36"/>
        <v>362.07511034607603</v>
      </c>
      <c r="I452">
        <f t="shared" si="37"/>
        <v>2</v>
      </c>
      <c r="J452" s="16" cm="1">
        <f t="array" ref="J452">INDEX(Sm,I452)</f>
        <v>0.68063113884422577</v>
      </c>
      <c r="K452" s="16">
        <f t="shared" si="38"/>
        <v>362.75574148492024</v>
      </c>
      <c r="L452" s="16">
        <f t="shared" si="39"/>
        <v>0.48425851507977313</v>
      </c>
      <c r="M452" s="16">
        <f t="shared" si="40"/>
        <v>0.23450630942726686</v>
      </c>
    </row>
    <row r="453" spans="6:13" x14ac:dyDescent="0.4">
      <c r="F453" s="1">
        <v>35125</v>
      </c>
      <c r="G453" s="16">
        <v>364.02</v>
      </c>
      <c r="H453" s="16">
        <f t="shared" si="36"/>
        <v>362.21158486555055</v>
      </c>
      <c r="I453">
        <f t="shared" si="37"/>
        <v>3</v>
      </c>
      <c r="J453" s="16" cm="1">
        <f t="array" ref="J453">INDEX(Sm,I453)</f>
        <v>1.3939471632320417</v>
      </c>
      <c r="K453" s="16">
        <f t="shared" si="38"/>
        <v>363.60553202878259</v>
      </c>
      <c r="L453" s="16">
        <f t="shared" si="39"/>
        <v>0.4144679712173911</v>
      </c>
      <c r="M453" s="16">
        <f t="shared" si="40"/>
        <v>0.17178369916506014</v>
      </c>
    </row>
    <row r="454" spans="6:13" x14ac:dyDescent="0.4">
      <c r="F454" s="1">
        <v>35156</v>
      </c>
      <c r="G454" s="16">
        <v>364.71</v>
      </c>
      <c r="H454" s="16">
        <f t="shared" si="36"/>
        <v>362.35767016878765</v>
      </c>
      <c r="I454">
        <f t="shared" si="37"/>
        <v>4</v>
      </c>
      <c r="J454" s="16" cm="1">
        <f t="array" ref="J454">INDEX(Sm,I454)</f>
        <v>2.6315659351379859</v>
      </c>
      <c r="K454" s="16">
        <f t="shared" si="38"/>
        <v>364.98923610392563</v>
      </c>
      <c r="L454" s="16">
        <f t="shared" si="39"/>
        <v>-0.27923610392565479</v>
      </c>
      <c r="M454" s="16">
        <f t="shared" si="40"/>
        <v>7.7972801735579078E-2</v>
      </c>
    </row>
    <row r="455" spans="6:13" x14ac:dyDescent="0.4">
      <c r="F455" s="1">
        <v>35186</v>
      </c>
      <c r="G455" s="16">
        <v>365.42</v>
      </c>
      <c r="H455" s="16">
        <f t="shared" si="36"/>
        <v>362.49923885160808</v>
      </c>
      <c r="I455">
        <f t="shared" si="37"/>
        <v>5</v>
      </c>
      <c r="J455" s="16" cm="1">
        <f t="array" ref="J455">INDEX(Sm,I455)</f>
        <v>3.0968597809913625</v>
      </c>
      <c r="K455" s="16">
        <f t="shared" si="38"/>
        <v>365.59609863259942</v>
      </c>
      <c r="L455" s="16">
        <f t="shared" si="39"/>
        <v>-0.17609863259940539</v>
      </c>
      <c r="M455" s="16">
        <f t="shared" si="40"/>
        <v>3.1010728403380362E-2</v>
      </c>
    </row>
    <row r="456" spans="6:13" x14ac:dyDescent="0.4">
      <c r="F456" s="1">
        <v>35217</v>
      </c>
      <c r="G456" s="16">
        <v>364.97</v>
      </c>
      <c r="H456" s="16">
        <f t="shared" si="36"/>
        <v>362.64572910797892</v>
      </c>
      <c r="I456">
        <f t="shared" si="37"/>
        <v>6</v>
      </c>
      <c r="J456" s="16" cm="1">
        <f t="array" ref="J456">INDEX(Sm,I456)</f>
        <v>2.3186578027685911</v>
      </c>
      <c r="K456" s="16">
        <f t="shared" si="38"/>
        <v>364.96438691074752</v>
      </c>
      <c r="L456" s="16">
        <f t="shared" si="39"/>
        <v>5.6130892525061427E-3</v>
      </c>
      <c r="M456" s="16">
        <f t="shared" si="40"/>
        <v>3.1506770956599965E-5</v>
      </c>
    </row>
    <row r="457" spans="6:13" x14ac:dyDescent="0.4">
      <c r="F457" s="1">
        <v>35247</v>
      </c>
      <c r="G457" s="16">
        <v>363.65</v>
      </c>
      <c r="H457" s="16">
        <f t="shared" si="36"/>
        <v>362.78769022371677</v>
      </c>
      <c r="I457">
        <f t="shared" si="37"/>
        <v>7</v>
      </c>
      <c r="J457" s="16" cm="1">
        <f t="array" ref="J457">INDEX(Sm,I457)</f>
        <v>0.74380149245581328</v>
      </c>
      <c r="K457" s="16">
        <f t="shared" si="38"/>
        <v>363.53149171617258</v>
      </c>
      <c r="L457" s="16">
        <f t="shared" si="39"/>
        <v>0.11850828382739564</v>
      </c>
      <c r="M457" s="16">
        <f t="shared" si="40"/>
        <v>1.4044213335714564E-2</v>
      </c>
    </row>
    <row r="458" spans="6:13" x14ac:dyDescent="0.4">
      <c r="F458" s="1">
        <v>35278</v>
      </c>
      <c r="G458" s="16">
        <v>361.48</v>
      </c>
      <c r="H458" s="16">
        <f t="shared" si="36"/>
        <v>362.93458655576421</v>
      </c>
      <c r="I458">
        <f t="shared" si="37"/>
        <v>8</v>
      </c>
      <c r="J458" s="16" cm="1">
        <f t="array" ref="J458">INDEX(Sm,I458)</f>
        <v>-1.3852874640433905</v>
      </c>
      <c r="K458" s="16">
        <f t="shared" si="38"/>
        <v>361.5492990917208</v>
      </c>
      <c r="L458" s="16">
        <f t="shared" si="39"/>
        <v>-6.9299091720779415E-2</v>
      </c>
      <c r="M458" s="16">
        <f t="shared" si="40"/>
        <v>4.8023641133249978E-3</v>
      </c>
    </row>
    <row r="459" spans="6:13" x14ac:dyDescent="0.4">
      <c r="F459" s="1">
        <v>35309</v>
      </c>
      <c r="G459" s="16">
        <v>359.45</v>
      </c>
      <c r="H459" s="16">
        <f t="shared" si="36"/>
        <v>363.08168968532834</v>
      </c>
      <c r="I459">
        <f t="shared" si="37"/>
        <v>9</v>
      </c>
      <c r="J459" s="16" cm="1">
        <f t="array" ref="J459">INDEX(Sm,I459)</f>
        <v>-3.188494698714738</v>
      </c>
      <c r="K459" s="16">
        <f t="shared" si="38"/>
        <v>359.89319498661359</v>
      </c>
      <c r="L459" s="16">
        <f t="shared" si="39"/>
        <v>-0.44319498661360512</v>
      </c>
      <c r="M459" s="16">
        <f t="shared" si="40"/>
        <v>0.19642179615943361</v>
      </c>
    </row>
    <row r="460" spans="6:13" x14ac:dyDescent="0.4">
      <c r="F460" s="1">
        <v>35339</v>
      </c>
      <c r="G460" s="16">
        <v>359.61</v>
      </c>
      <c r="H460" s="16">
        <f t="shared" si="36"/>
        <v>363.22424472563495</v>
      </c>
      <c r="I460">
        <f t="shared" si="37"/>
        <v>10</v>
      </c>
      <c r="J460" s="16" cm="1">
        <f t="array" ref="J460">INDEX(Sm,I460)</f>
        <v>-3.3139186770794531</v>
      </c>
      <c r="K460" s="16">
        <f t="shared" si="38"/>
        <v>359.91032604855548</v>
      </c>
      <c r="L460" s="16">
        <f t="shared" si="39"/>
        <v>-0.30032604855546197</v>
      </c>
      <c r="M460" s="16">
        <f t="shared" si="40"/>
        <v>9.0195735440937702E-2</v>
      </c>
    </row>
    <row r="461" spans="6:13" x14ac:dyDescent="0.4">
      <c r="F461" s="1">
        <v>35370</v>
      </c>
      <c r="G461" s="16">
        <v>360.76</v>
      </c>
      <c r="H461" s="16">
        <f t="shared" si="36"/>
        <v>363.37175562978001</v>
      </c>
      <c r="I461">
        <f t="shared" si="37"/>
        <v>11</v>
      </c>
      <c r="J461" s="16" cm="1">
        <f t="array" ref="J461">INDEX(Sm,I461)</f>
        <v>-2.0555969925100759</v>
      </c>
      <c r="K461" s="16">
        <f t="shared" si="38"/>
        <v>361.31615863726995</v>
      </c>
      <c r="L461" s="16">
        <f t="shared" si="39"/>
        <v>-0.5561586372699594</v>
      </c>
      <c r="M461" s="16">
        <f t="shared" si="40"/>
        <v>0.30931242980997825</v>
      </c>
    </row>
    <row r="462" spans="6:13" x14ac:dyDescent="0.4">
      <c r="F462" s="1">
        <v>35400</v>
      </c>
      <c r="G462" s="16">
        <v>362.33</v>
      </c>
      <c r="H462" s="16">
        <f t="shared" si="36"/>
        <v>363.51470583721851</v>
      </c>
      <c r="I462">
        <f t="shared" si="37"/>
        <v>12</v>
      </c>
      <c r="J462" s="16" cm="1">
        <f t="array" ref="J462">INDEX(Sm,I462)</f>
        <v>-0.88675924001340456</v>
      </c>
      <c r="K462" s="16">
        <f t="shared" si="38"/>
        <v>362.6279465972051</v>
      </c>
      <c r="L462" s="16">
        <f t="shared" si="39"/>
        <v>-0.29794659720511163</v>
      </c>
      <c r="M462" s="16">
        <f t="shared" si="40"/>
        <v>8.8772174786105038E-2</v>
      </c>
    </row>
    <row r="463" spans="6:13" x14ac:dyDescent="0.4">
      <c r="F463" s="1">
        <v>35431</v>
      </c>
      <c r="G463" s="16">
        <v>363.19</v>
      </c>
      <c r="H463" s="16">
        <f t="shared" si="36"/>
        <v>363.66262564630858</v>
      </c>
      <c r="I463">
        <f t="shared" si="37"/>
        <v>1</v>
      </c>
      <c r="J463" s="16" cm="1">
        <f t="array" ref="J463">INDEX(Sm,I463)</f>
        <v>-3.5406241068958691E-2</v>
      </c>
      <c r="K463" s="16">
        <f t="shared" si="38"/>
        <v>363.6272194052396</v>
      </c>
      <c r="L463" s="16">
        <f t="shared" si="39"/>
        <v>-0.43721940523960257</v>
      </c>
      <c r="M463" s="16">
        <f t="shared" si="40"/>
        <v>0.19116080831807181</v>
      </c>
    </row>
    <row r="464" spans="6:13" x14ac:dyDescent="0.4">
      <c r="F464" s="1">
        <v>35462</v>
      </c>
      <c r="G464" s="16">
        <v>363.99</v>
      </c>
      <c r="H464" s="16">
        <f t="shared" si="36"/>
        <v>363.81075369374435</v>
      </c>
      <c r="I464">
        <f t="shared" si="37"/>
        <v>2</v>
      </c>
      <c r="J464" s="16" cm="1">
        <f t="array" ref="J464">INDEX(Sm,I464)</f>
        <v>0.68063113884422577</v>
      </c>
      <c r="K464" s="16">
        <f t="shared" si="38"/>
        <v>364.49138483258855</v>
      </c>
      <c r="L464" s="16">
        <f t="shared" si="39"/>
        <v>-0.50138483258854194</v>
      </c>
      <c r="M464" s="16">
        <f t="shared" si="40"/>
        <v>0.2513867503498402</v>
      </c>
    </row>
    <row r="465" spans="6:13" x14ac:dyDescent="0.4">
      <c r="F465" s="1">
        <v>35490</v>
      </c>
      <c r="G465" s="16">
        <v>364.56</v>
      </c>
      <c r="H465" s="16">
        <f t="shared" si="36"/>
        <v>363.9447259979832</v>
      </c>
      <c r="I465">
        <f t="shared" si="37"/>
        <v>3</v>
      </c>
      <c r="J465" s="16" cm="1">
        <f t="array" ref="J465">INDEX(Sm,I465)</f>
        <v>1.3939471632320417</v>
      </c>
      <c r="K465" s="16">
        <f t="shared" si="38"/>
        <v>365.33867316121524</v>
      </c>
      <c r="L465" s="16">
        <f t="shared" si="39"/>
        <v>-0.778673161215238</v>
      </c>
      <c r="M465" s="16">
        <f t="shared" si="40"/>
        <v>0.60633189199693205</v>
      </c>
    </row>
    <row r="466" spans="6:13" x14ac:dyDescent="0.4">
      <c r="F466" s="1">
        <v>35521</v>
      </c>
      <c r="G466" s="16">
        <v>366.36</v>
      </c>
      <c r="H466" s="16">
        <f t="shared" si="36"/>
        <v>364.09325118026487</v>
      </c>
      <c r="I466">
        <f t="shared" si="37"/>
        <v>4</v>
      </c>
      <c r="J466" s="16" cm="1">
        <f t="array" ref="J466">INDEX(Sm,I466)</f>
        <v>2.6315659351379859</v>
      </c>
      <c r="K466" s="16">
        <f t="shared" si="38"/>
        <v>366.72481711540286</v>
      </c>
      <c r="L466" s="16">
        <f t="shared" si="39"/>
        <v>-0.36481711540284323</v>
      </c>
      <c r="M466" s="16">
        <f t="shared" si="40"/>
        <v>0.13309152769085145</v>
      </c>
    </row>
    <row r="467" spans="6:13" x14ac:dyDescent="0.4">
      <c r="F467" s="1">
        <v>35551</v>
      </c>
      <c r="G467" s="16">
        <v>366.8</v>
      </c>
      <c r="H467" s="16">
        <f t="shared" si="36"/>
        <v>364.23718430670112</v>
      </c>
      <c r="I467">
        <f t="shared" si="37"/>
        <v>5</v>
      </c>
      <c r="J467" s="16" cm="1">
        <f t="array" ref="J467">INDEX(Sm,I467)</f>
        <v>3.0968597809913625</v>
      </c>
      <c r="K467" s="16">
        <f t="shared" si="38"/>
        <v>367.33404408769246</v>
      </c>
      <c r="L467" s="16">
        <f t="shared" si="39"/>
        <v>-0.53404408769245038</v>
      </c>
      <c r="M467" s="16">
        <f t="shared" si="40"/>
        <v>0.28520308759926161</v>
      </c>
    </row>
    <row r="468" spans="6:13" x14ac:dyDescent="0.4">
      <c r="F468" s="1">
        <v>35582</v>
      </c>
      <c r="G468" s="16">
        <v>365.63</v>
      </c>
      <c r="H468" s="16">
        <f t="shared" si="36"/>
        <v>364.38612120553921</v>
      </c>
      <c r="I468">
        <f t="shared" si="37"/>
        <v>6</v>
      </c>
      <c r="J468" s="16" cm="1">
        <f t="array" ref="J468">INDEX(Sm,I468)</f>
        <v>2.3186578027685911</v>
      </c>
      <c r="K468" s="16">
        <f t="shared" si="38"/>
        <v>366.70477900830781</v>
      </c>
      <c r="L468" s="16">
        <f t="shared" si="39"/>
        <v>-1.0747790083078144</v>
      </c>
      <c r="M468" s="16">
        <f t="shared" si="40"/>
        <v>1.1551499166991288</v>
      </c>
    </row>
    <row r="469" spans="6:13" x14ac:dyDescent="0.4">
      <c r="F469" s="1">
        <v>35612</v>
      </c>
      <c r="G469" s="16">
        <v>364.47</v>
      </c>
      <c r="H469" s="16">
        <f t="shared" si="36"/>
        <v>364.53045331920612</v>
      </c>
      <c r="I469">
        <f t="shared" si="37"/>
        <v>7</v>
      </c>
      <c r="J469" s="16" cm="1">
        <f t="array" ref="J469">INDEX(Sm,I469)</f>
        <v>0.74380149245581328</v>
      </c>
      <c r="K469" s="16">
        <f t="shared" si="38"/>
        <v>365.27425481166193</v>
      </c>
      <c r="L469" s="16">
        <f t="shared" si="39"/>
        <v>-0.80425481166190593</v>
      </c>
      <c r="M469" s="16">
        <f t="shared" si="40"/>
        <v>0.64682580208132778</v>
      </c>
    </row>
    <row r="470" spans="6:13" x14ac:dyDescent="0.4">
      <c r="F470" s="1">
        <v>35643</v>
      </c>
      <c r="G470" s="16">
        <v>362.5</v>
      </c>
      <c r="H470" s="16">
        <f t="shared" si="36"/>
        <v>364.67980307589221</v>
      </c>
      <c r="I470">
        <f t="shared" si="37"/>
        <v>8</v>
      </c>
      <c r="J470" s="16" cm="1">
        <f t="array" ref="J470">INDEX(Sm,I470)</f>
        <v>-1.3852874640433905</v>
      </c>
      <c r="K470" s="16">
        <f t="shared" si="38"/>
        <v>363.29451561184879</v>
      </c>
      <c r="L470" s="16">
        <f t="shared" si="39"/>
        <v>-0.79451561184879438</v>
      </c>
      <c r="M470" s="16">
        <f t="shared" si="40"/>
        <v>0.63125505747146404</v>
      </c>
    </row>
    <row r="471" spans="6:13" x14ac:dyDescent="0.4">
      <c r="F471" s="1">
        <v>35674</v>
      </c>
      <c r="G471" s="16">
        <v>360.19</v>
      </c>
      <c r="H471" s="16">
        <f t="shared" si="36"/>
        <v>364.8293630839737</v>
      </c>
      <c r="I471">
        <f t="shared" si="37"/>
        <v>9</v>
      </c>
      <c r="J471" s="16" cm="1">
        <f t="array" ref="J471">INDEX(Sm,I471)</f>
        <v>-3.188494698714738</v>
      </c>
      <c r="K471" s="16">
        <f t="shared" si="38"/>
        <v>361.64086838525895</v>
      </c>
      <c r="L471" s="16">
        <f t="shared" si="39"/>
        <v>-1.450868385258957</v>
      </c>
      <c r="M471" s="16">
        <f t="shared" si="40"/>
        <v>2.1050190713439334</v>
      </c>
    </row>
    <row r="472" spans="6:13" x14ac:dyDescent="0.4">
      <c r="F472" s="1">
        <v>35704</v>
      </c>
      <c r="G472" s="16">
        <v>360.78</v>
      </c>
      <c r="H472" s="16">
        <f t="shared" si="36"/>
        <v>364.97429904178426</v>
      </c>
      <c r="I472">
        <f t="shared" si="37"/>
        <v>10</v>
      </c>
      <c r="J472" s="16" cm="1">
        <f t="array" ref="J472">INDEX(Sm,I472)</f>
        <v>-3.3139186770794531</v>
      </c>
      <c r="K472" s="16">
        <f t="shared" si="38"/>
        <v>361.66038036470479</v>
      </c>
      <c r="L472" s="16">
        <f t="shared" si="39"/>
        <v>-0.88038036470481984</v>
      </c>
      <c r="M472" s="16">
        <f t="shared" si="40"/>
        <v>0.77506958655779157</v>
      </c>
    </row>
    <row r="473" spans="6:13" x14ac:dyDescent="0.4">
      <c r="F473" s="1">
        <v>35735</v>
      </c>
      <c r="G473" s="16">
        <v>362.43</v>
      </c>
      <c r="H473" s="16">
        <f t="shared" si="36"/>
        <v>365.12427363499239</v>
      </c>
      <c r="I473">
        <f t="shared" si="37"/>
        <v>11</v>
      </c>
      <c r="J473" s="16" cm="1">
        <f t="array" ref="J473">INDEX(Sm,I473)</f>
        <v>-2.0555969925100759</v>
      </c>
      <c r="K473" s="16">
        <f t="shared" si="38"/>
        <v>363.06867664248233</v>
      </c>
      <c r="L473" s="16">
        <f t="shared" si="39"/>
        <v>-0.63867664248232359</v>
      </c>
      <c r="M473" s="16">
        <f t="shared" si="40"/>
        <v>0.40790785365249377</v>
      </c>
    </row>
    <row r="474" spans="6:13" x14ac:dyDescent="0.4">
      <c r="F474" s="1">
        <v>35765</v>
      </c>
      <c r="G474" s="16">
        <v>364.28</v>
      </c>
      <c r="H474" s="16">
        <f t="shared" si="36"/>
        <v>365.26961135991445</v>
      </c>
      <c r="I474">
        <f t="shared" si="37"/>
        <v>12</v>
      </c>
      <c r="J474" s="16" cm="1">
        <f t="array" ref="J474">INDEX(Sm,I474)</f>
        <v>-0.88675924001340456</v>
      </c>
      <c r="K474" s="16">
        <f t="shared" si="38"/>
        <v>364.38285211990103</v>
      </c>
      <c r="L474" s="16">
        <f t="shared" si="39"/>
        <v>-0.10285211990105836</v>
      </c>
      <c r="M474" s="16">
        <f t="shared" si="40"/>
        <v>1.0578558568141685E-2</v>
      </c>
    </row>
    <row r="475" spans="6:13" x14ac:dyDescent="0.4">
      <c r="F475" s="1">
        <v>35796</v>
      </c>
      <c r="G475" s="16">
        <v>365.33</v>
      </c>
      <c r="H475" s="16">
        <f t="shared" si="36"/>
        <v>365.42000168749246</v>
      </c>
      <c r="I475">
        <f t="shared" si="37"/>
        <v>1</v>
      </c>
      <c r="J475" s="16" cm="1">
        <f t="array" ref="J475">INDEX(Sm,I475)</f>
        <v>-3.5406241068958691E-2</v>
      </c>
      <c r="K475" s="16">
        <f t="shared" si="38"/>
        <v>365.38459544642348</v>
      </c>
      <c r="L475" s="16">
        <f t="shared" si="39"/>
        <v>-5.4595446423491012E-2</v>
      </c>
      <c r="M475" s="16">
        <f t="shared" si="40"/>
        <v>2.9806627701802774E-3</v>
      </c>
    </row>
    <row r="476" spans="6:13" x14ac:dyDescent="0.4">
      <c r="F476" s="1">
        <v>35827</v>
      </c>
      <c r="G476" s="16">
        <v>366.15</v>
      </c>
      <c r="H476" s="16">
        <f t="shared" si="36"/>
        <v>365.57060373135948</v>
      </c>
      <c r="I476">
        <f t="shared" si="37"/>
        <v>2</v>
      </c>
      <c r="J476" s="16" cm="1">
        <f t="array" ref="J476">INDEX(Sm,I476)</f>
        <v>0.68063113884422577</v>
      </c>
      <c r="K476" s="16">
        <f t="shared" si="38"/>
        <v>366.25123487020369</v>
      </c>
      <c r="L476" s="16">
        <f t="shared" si="39"/>
        <v>-0.10123487020371158</v>
      </c>
      <c r="M476" s="16">
        <f t="shared" si="40"/>
        <v>1.024849894516233E-2</v>
      </c>
    </row>
    <row r="477" spans="6:13" x14ac:dyDescent="0.4">
      <c r="F477" s="1">
        <v>35855</v>
      </c>
      <c r="G477" s="16">
        <v>367.31</v>
      </c>
      <c r="H477" s="16">
        <f t="shared" si="36"/>
        <v>365.70681360645892</v>
      </c>
      <c r="I477">
        <f t="shared" si="37"/>
        <v>3</v>
      </c>
      <c r="J477" s="16" cm="1">
        <f t="array" ref="J477">INDEX(Sm,I477)</f>
        <v>1.3939471632320417</v>
      </c>
      <c r="K477" s="16">
        <f t="shared" si="38"/>
        <v>367.10076076969096</v>
      </c>
      <c r="L477" s="16">
        <f t="shared" si="39"/>
        <v>0.20923923030903779</v>
      </c>
      <c r="M477" s="16">
        <f t="shared" si="40"/>
        <v>4.3781055500318557E-2</v>
      </c>
    </row>
    <row r="478" spans="6:13" x14ac:dyDescent="0.4">
      <c r="F478" s="1">
        <v>35886</v>
      </c>
      <c r="G478" s="16">
        <v>368.61</v>
      </c>
      <c r="H478" s="16">
        <f t="shared" si="36"/>
        <v>365.85781941801554</v>
      </c>
      <c r="I478">
        <f t="shared" si="37"/>
        <v>4</v>
      </c>
      <c r="J478" s="16" cm="1">
        <f t="array" ref="J478">INDEX(Sm,I478)</f>
        <v>2.6315659351379859</v>
      </c>
      <c r="K478" s="16">
        <f t="shared" si="38"/>
        <v>368.48938535315352</v>
      </c>
      <c r="L478" s="16">
        <f t="shared" si="39"/>
        <v>0.12061464684649081</v>
      </c>
      <c r="M478" s="16">
        <f t="shared" si="40"/>
        <v>1.4547893033903697E-2</v>
      </c>
    </row>
    <row r="479" spans="6:13" x14ac:dyDescent="0.4">
      <c r="F479" s="1">
        <v>35916</v>
      </c>
      <c r="G479" s="16">
        <v>369.3</v>
      </c>
      <c r="H479" s="16">
        <f t="shared" si="36"/>
        <v>366.00415647839463</v>
      </c>
      <c r="I479">
        <f t="shared" si="37"/>
        <v>5</v>
      </c>
      <c r="J479" s="16" cm="1">
        <f t="array" ref="J479">INDEX(Sm,I479)</f>
        <v>3.0968597809913625</v>
      </c>
      <c r="K479" s="16">
        <f t="shared" si="38"/>
        <v>369.10101625938597</v>
      </c>
      <c r="L479" s="16">
        <f t="shared" si="39"/>
        <v>0.19898374061403956</v>
      </c>
      <c r="M479" s="16">
        <f t="shared" si="40"/>
        <v>3.9594529028755376E-2</v>
      </c>
    </row>
    <row r="480" spans="6:13" x14ac:dyDescent="0.4">
      <c r="F480" s="1">
        <v>35947</v>
      </c>
      <c r="G480" s="16">
        <v>368.88</v>
      </c>
      <c r="H480" s="16">
        <f t="shared" si="36"/>
        <v>366.1555808828914</v>
      </c>
      <c r="I480">
        <f t="shared" si="37"/>
        <v>6</v>
      </c>
      <c r="J480" s="16" cm="1">
        <f t="array" ref="J480">INDEX(Sm,I480)</f>
        <v>2.3186578027685911</v>
      </c>
      <c r="K480" s="16">
        <f t="shared" si="38"/>
        <v>368.47423868566</v>
      </c>
      <c r="L480" s="16">
        <f t="shared" si="39"/>
        <v>0.40576131433999763</v>
      </c>
      <c r="M480" s="16">
        <f t="shared" si="40"/>
        <v>0.16464224421492235</v>
      </c>
    </row>
    <row r="481" spans="6:13" x14ac:dyDescent="0.4">
      <c r="F481" s="1">
        <v>35977</v>
      </c>
      <c r="G481" s="16">
        <v>367.64</v>
      </c>
      <c r="H481" s="16">
        <f t="shared" si="36"/>
        <v>366.30232359428311</v>
      </c>
      <c r="I481">
        <f t="shared" si="37"/>
        <v>7</v>
      </c>
      <c r="J481" s="16" cm="1">
        <f t="array" ref="J481">INDEX(Sm,I481)</f>
        <v>0.74380149245581328</v>
      </c>
      <c r="K481" s="16">
        <f t="shared" si="38"/>
        <v>367.04612508673893</v>
      </c>
      <c r="L481" s="16">
        <f t="shared" si="39"/>
        <v>0.59387491326106101</v>
      </c>
      <c r="M481" s="16">
        <f t="shared" si="40"/>
        <v>0.35268741260083275</v>
      </c>
    </row>
    <row r="482" spans="6:13" x14ac:dyDescent="0.4">
      <c r="F482" s="1">
        <v>36008</v>
      </c>
      <c r="G482" s="16">
        <v>365.78</v>
      </c>
      <c r="H482" s="16">
        <f t="shared" si="36"/>
        <v>366.45416775207298</v>
      </c>
      <c r="I482">
        <f t="shared" si="37"/>
        <v>8</v>
      </c>
      <c r="J482" s="16" cm="1">
        <f t="array" ref="J482">INDEX(Sm,I482)</f>
        <v>-1.3852874640433905</v>
      </c>
      <c r="K482" s="16">
        <f t="shared" si="38"/>
        <v>365.06888028802956</v>
      </c>
      <c r="L482" s="16">
        <f t="shared" si="39"/>
        <v>0.71111971197041157</v>
      </c>
      <c r="M482" s="16">
        <f t="shared" si="40"/>
        <v>0.50569124475288108</v>
      </c>
    </row>
    <row r="483" spans="6:13" x14ac:dyDescent="0.4">
      <c r="F483" s="1">
        <v>36039</v>
      </c>
      <c r="G483" s="16">
        <v>363.9</v>
      </c>
      <c r="H483" s="16">
        <f t="shared" si="36"/>
        <v>366.60622567282292</v>
      </c>
      <c r="I483">
        <f t="shared" si="37"/>
        <v>9</v>
      </c>
      <c r="J483" s="16" cm="1">
        <f t="array" ref="J483">INDEX(Sm,I483)</f>
        <v>-3.188494698714738</v>
      </c>
      <c r="K483" s="16">
        <f t="shared" si="38"/>
        <v>363.41773097410817</v>
      </c>
      <c r="L483" s="16">
        <f t="shared" si="39"/>
        <v>0.48226902589181009</v>
      </c>
      <c r="M483" s="16">
        <f t="shared" si="40"/>
        <v>0.23258341333463539</v>
      </c>
    </row>
    <row r="484" spans="6:13" x14ac:dyDescent="0.4">
      <c r="F484" s="1">
        <v>36069</v>
      </c>
      <c r="G484" s="16">
        <v>364.23</v>
      </c>
      <c r="H484" s="16">
        <f t="shared" si="36"/>
        <v>366.75358231360747</v>
      </c>
      <c r="I484">
        <f t="shared" si="37"/>
        <v>10</v>
      </c>
      <c r="J484" s="16" cm="1">
        <f t="array" ref="J484">INDEX(Sm,I484)</f>
        <v>-3.3139186770794531</v>
      </c>
      <c r="K484" s="16">
        <f t="shared" si="38"/>
        <v>363.439663636528</v>
      </c>
      <c r="L484" s="16">
        <f t="shared" si="39"/>
        <v>0.79033636347202219</v>
      </c>
      <c r="M484" s="16">
        <f t="shared" si="40"/>
        <v>0.62463156742618031</v>
      </c>
    </row>
    <row r="485" spans="6:13" x14ac:dyDescent="0.4">
      <c r="F485" s="1">
        <v>36100</v>
      </c>
      <c r="G485" s="16">
        <v>365.46</v>
      </c>
      <c r="H485" s="16">
        <f t="shared" si="36"/>
        <v>366.90606174377785</v>
      </c>
      <c r="I485">
        <f t="shared" si="37"/>
        <v>11</v>
      </c>
      <c r="J485" s="16" cm="1">
        <f t="array" ref="J485">INDEX(Sm,I485)</f>
        <v>-2.0555969925100759</v>
      </c>
      <c r="K485" s="16">
        <f t="shared" si="38"/>
        <v>364.85046475126779</v>
      </c>
      <c r="L485" s="16">
        <f t="shared" si="39"/>
        <v>0.60953524873218612</v>
      </c>
      <c r="M485" s="16">
        <f t="shared" si="40"/>
        <v>0.37153321944700801</v>
      </c>
    </row>
    <row r="486" spans="6:13" x14ac:dyDescent="0.4">
      <c r="F486" s="1">
        <v>36130</v>
      </c>
      <c r="G486" s="16">
        <v>366.97</v>
      </c>
      <c r="H486" s="16">
        <f t="shared" si="36"/>
        <v>367.05382686188432</v>
      </c>
      <c r="I486">
        <f t="shared" si="37"/>
        <v>12</v>
      </c>
      <c r="J486" s="16" cm="1">
        <f t="array" ref="J486">INDEX(Sm,I486)</f>
        <v>-0.88675924001340456</v>
      </c>
      <c r="K486" s="16">
        <f t="shared" si="38"/>
        <v>366.1670676218709</v>
      </c>
      <c r="L486" s="16">
        <f t="shared" si="39"/>
        <v>0.80293237812912821</v>
      </c>
      <c r="M486" s="16">
        <f t="shared" si="40"/>
        <v>0.64470040384809735</v>
      </c>
    </row>
    <row r="487" spans="6:13" x14ac:dyDescent="0.4">
      <c r="F487" s="1">
        <v>36161</v>
      </c>
      <c r="G487" s="16">
        <v>368.15</v>
      </c>
      <c r="H487" s="16">
        <f t="shared" si="36"/>
        <v>367.20672896991283</v>
      </c>
      <c r="I487">
        <f t="shared" si="37"/>
        <v>1</v>
      </c>
      <c r="J487" s="16" cm="1">
        <f t="array" ref="J487">INDEX(Sm,I487)</f>
        <v>-3.5406241068958691E-2</v>
      </c>
      <c r="K487" s="16">
        <f t="shared" si="38"/>
        <v>367.17132272884385</v>
      </c>
      <c r="L487" s="16">
        <f t="shared" si="39"/>
        <v>0.97867727115612979</v>
      </c>
      <c r="M487" s="16">
        <f t="shared" si="40"/>
        <v>0.95780920107760881</v>
      </c>
    </row>
    <row r="488" spans="6:13" x14ac:dyDescent="0.4">
      <c r="F488" s="1">
        <v>36192</v>
      </c>
      <c r="G488" s="16">
        <v>368.87</v>
      </c>
      <c r="H488" s="16">
        <f t="shared" si="36"/>
        <v>367.35984633026118</v>
      </c>
      <c r="I488">
        <f t="shared" si="37"/>
        <v>2</v>
      </c>
      <c r="J488" s="16" cm="1">
        <f t="array" ref="J488">INDEX(Sm,I488)</f>
        <v>0.68063113884422577</v>
      </c>
      <c r="K488" s="16">
        <f t="shared" si="38"/>
        <v>368.04047746910538</v>
      </c>
      <c r="L488" s="16">
        <f t="shared" si="39"/>
        <v>0.82952253089462147</v>
      </c>
      <c r="M488" s="16">
        <f t="shared" si="40"/>
        <v>0.68810762926181823</v>
      </c>
    </row>
    <row r="489" spans="6:13" x14ac:dyDescent="0.4">
      <c r="F489" s="1">
        <v>36220</v>
      </c>
      <c r="G489" s="16">
        <v>369.59</v>
      </c>
      <c r="H489" s="16">
        <f t="shared" si="36"/>
        <v>367.49833114755234</v>
      </c>
      <c r="I489">
        <f t="shared" si="37"/>
        <v>3</v>
      </c>
      <c r="J489" s="16" cm="1">
        <f t="array" ref="J489">INDEX(Sm,I489)</f>
        <v>1.3939471632320417</v>
      </c>
      <c r="K489" s="16">
        <f t="shared" si="38"/>
        <v>368.89227831078438</v>
      </c>
      <c r="L489" s="16">
        <f t="shared" si="39"/>
        <v>0.69772168921559796</v>
      </c>
      <c r="M489" s="16">
        <f t="shared" si="40"/>
        <v>0.48681555560186746</v>
      </c>
    </row>
    <row r="490" spans="6:13" x14ac:dyDescent="0.4">
      <c r="F490" s="1">
        <v>36251</v>
      </c>
      <c r="G490" s="16">
        <v>371.14</v>
      </c>
      <c r="H490" s="16">
        <f t="shared" si="36"/>
        <v>367.6518590192141</v>
      </c>
      <c r="I490">
        <f t="shared" si="37"/>
        <v>4</v>
      </c>
      <c r="J490" s="16" cm="1">
        <f t="array" ref="J490">INDEX(Sm,I490)</f>
        <v>2.6315659351379859</v>
      </c>
      <c r="K490" s="16">
        <f t="shared" si="38"/>
        <v>370.28342495435209</v>
      </c>
      <c r="L490" s="16">
        <f t="shared" si="39"/>
        <v>0.85657504564790088</v>
      </c>
      <c r="M490" s="16">
        <f t="shared" si="40"/>
        <v>0.73372080882670343</v>
      </c>
    </row>
    <row r="491" spans="6:13" x14ac:dyDescent="0.4">
      <c r="F491" s="1">
        <v>36281</v>
      </c>
      <c r="G491" s="16">
        <v>371</v>
      </c>
      <c r="H491" s="16">
        <f t="shared" si="36"/>
        <v>367.80064016342067</v>
      </c>
      <c r="I491">
        <f t="shared" si="37"/>
        <v>5</v>
      </c>
      <c r="J491" s="16" cm="1">
        <f t="array" ref="J491">INDEX(Sm,I491)</f>
        <v>3.0968597809913625</v>
      </c>
      <c r="K491" s="16">
        <f t="shared" si="38"/>
        <v>370.897499944412</v>
      </c>
      <c r="L491" s="16">
        <f t="shared" si="39"/>
        <v>0.10250005558799558</v>
      </c>
      <c r="M491" s="16">
        <f t="shared" si="40"/>
        <v>1.0506261395542183E-2</v>
      </c>
    </row>
    <row r="492" spans="6:13" x14ac:dyDescent="0.4">
      <c r="F492" s="1">
        <v>36312</v>
      </c>
      <c r="G492" s="16">
        <v>370.35</v>
      </c>
      <c r="H492" s="16">
        <f t="shared" si="36"/>
        <v>367.95459361925373</v>
      </c>
      <c r="I492">
        <f t="shared" si="37"/>
        <v>6</v>
      </c>
      <c r="J492" s="16" cm="1">
        <f t="array" ref="J492">INDEX(Sm,I492)</f>
        <v>2.3186578027685911</v>
      </c>
      <c r="K492" s="16">
        <f t="shared" si="38"/>
        <v>370.27325142202233</v>
      </c>
      <c r="L492" s="16">
        <f t="shared" si="39"/>
        <v>7.6748577977696186E-2</v>
      </c>
      <c r="M492" s="16">
        <f t="shared" si="40"/>
        <v>5.8903442215985117E-3</v>
      </c>
    </row>
    <row r="493" spans="6:13" x14ac:dyDescent="0.4">
      <c r="F493" s="1">
        <v>36342</v>
      </c>
      <c r="G493" s="16">
        <v>369.27</v>
      </c>
      <c r="H493" s="16">
        <f t="shared" si="36"/>
        <v>368.10378718955138</v>
      </c>
      <c r="I493">
        <f t="shared" si="37"/>
        <v>7</v>
      </c>
      <c r="J493" s="16" cm="1">
        <f t="array" ref="J493">INDEX(Sm,I493)</f>
        <v>0.74380149245581328</v>
      </c>
      <c r="K493" s="16">
        <f t="shared" si="38"/>
        <v>368.8475886820072</v>
      </c>
      <c r="L493" s="16">
        <f t="shared" si="39"/>
        <v>0.42241131799278264</v>
      </c>
      <c r="M493" s="16">
        <f t="shared" si="40"/>
        <v>0.17843132156839975</v>
      </c>
    </row>
    <row r="494" spans="6:13" x14ac:dyDescent="0.4">
      <c r="F494" s="1">
        <v>36373</v>
      </c>
      <c r="G494" s="16">
        <v>366.93</v>
      </c>
      <c r="H494" s="16">
        <f t="shared" si="36"/>
        <v>368.25816740928883</v>
      </c>
      <c r="I494">
        <f t="shared" si="37"/>
        <v>8</v>
      </c>
      <c r="J494" s="16" cm="1">
        <f t="array" ref="J494">INDEX(Sm,I494)</f>
        <v>-1.3852874640433905</v>
      </c>
      <c r="K494" s="16">
        <f t="shared" si="38"/>
        <v>366.87287994524542</v>
      </c>
      <c r="L494" s="16">
        <f t="shared" si="39"/>
        <v>5.7120054754591365E-2</v>
      </c>
      <c r="M494" s="16">
        <f t="shared" si="40"/>
        <v>3.2627006551675156E-3</v>
      </c>
    </row>
    <row r="495" spans="6:13" x14ac:dyDescent="0.4">
      <c r="F495" s="1">
        <v>36404</v>
      </c>
      <c r="G495" s="16">
        <v>364.64</v>
      </c>
      <c r="H495" s="16">
        <f t="shared" si="36"/>
        <v>368.4127649622003</v>
      </c>
      <c r="I495">
        <f t="shared" si="37"/>
        <v>9</v>
      </c>
      <c r="J495" s="16" cm="1">
        <f t="array" ref="J495">INDEX(Sm,I495)</f>
        <v>-3.188494698714738</v>
      </c>
      <c r="K495" s="16">
        <f t="shared" si="38"/>
        <v>365.22427026348555</v>
      </c>
      <c r="L495" s="16">
        <f t="shared" si="39"/>
        <v>-0.5842702634855641</v>
      </c>
      <c r="M495" s="16">
        <f t="shared" si="40"/>
        <v>0.34137174079349047</v>
      </c>
    </row>
    <row r="496" spans="6:13" x14ac:dyDescent="0.4">
      <c r="F496" s="1">
        <v>36434</v>
      </c>
      <c r="G496" s="16">
        <v>365.13</v>
      </c>
      <c r="H496" s="16">
        <f t="shared" si="36"/>
        <v>368.56258271558102</v>
      </c>
      <c r="I496">
        <f t="shared" si="37"/>
        <v>10</v>
      </c>
      <c r="J496" s="16" cm="1">
        <f t="array" ref="J496">INDEX(Sm,I496)</f>
        <v>-3.3139186770794531</v>
      </c>
      <c r="K496" s="16">
        <f t="shared" si="38"/>
        <v>365.24866403850154</v>
      </c>
      <c r="L496" s="16">
        <f t="shared" si="39"/>
        <v>-0.11866403850154938</v>
      </c>
      <c r="M496" s="16">
        <f t="shared" si="40"/>
        <v>1.4081154033497195E-2</v>
      </c>
    </row>
    <row r="497" spans="6:13" x14ac:dyDescent="0.4">
      <c r="F497" s="1">
        <v>36465</v>
      </c>
      <c r="G497" s="16">
        <v>366.68</v>
      </c>
      <c r="H497" s="16">
        <f t="shared" si="36"/>
        <v>368.71760881785451</v>
      </c>
      <c r="I497">
        <f t="shared" si="37"/>
        <v>11</v>
      </c>
      <c r="J497" s="16" cm="1">
        <f t="array" ref="J497">INDEX(Sm,I497)</f>
        <v>-2.0555969925100759</v>
      </c>
      <c r="K497" s="16">
        <f t="shared" si="38"/>
        <v>366.66201182534445</v>
      </c>
      <c r="L497" s="16">
        <f t="shared" si="39"/>
        <v>1.7988174655556577E-2</v>
      </c>
      <c r="M497" s="16">
        <f t="shared" si="40"/>
        <v>3.2357442743880796E-4</v>
      </c>
    </row>
    <row r="498" spans="6:13" x14ac:dyDescent="0.4">
      <c r="F498" s="1">
        <v>36495</v>
      </c>
      <c r="G498" s="16">
        <v>368</v>
      </c>
      <c r="H498" s="16">
        <f t="shared" si="36"/>
        <v>368.86784187084015</v>
      </c>
      <c r="I498">
        <f t="shared" si="37"/>
        <v>12</v>
      </c>
      <c r="J498" s="16" cm="1">
        <f t="array" ref="J498">INDEX(Sm,I498)</f>
        <v>-0.88675924001340456</v>
      </c>
      <c r="K498" s="16">
        <f t="shared" si="38"/>
        <v>367.98108263082673</v>
      </c>
      <c r="L498" s="16">
        <f t="shared" si="39"/>
        <v>1.8917369173266252E-2</v>
      </c>
      <c r="M498" s="16">
        <f t="shared" si="40"/>
        <v>3.5786685643764425E-4</v>
      </c>
    </row>
    <row r="499" spans="6:13" x14ac:dyDescent="0.4">
      <c r="F499" s="1">
        <v>36526</v>
      </c>
      <c r="G499" s="16">
        <v>369.14</v>
      </c>
      <c r="H499" s="16">
        <f t="shared" si="36"/>
        <v>369.02329771042815</v>
      </c>
      <c r="I499">
        <f t="shared" si="37"/>
        <v>1</v>
      </c>
      <c r="J499" s="16" cm="1">
        <f t="array" ref="J499">INDEX(Sm,I499)</f>
        <v>-3.5406241068958691E-2</v>
      </c>
      <c r="K499" s="16">
        <f t="shared" si="38"/>
        <v>368.98789146935917</v>
      </c>
      <c r="L499" s="16">
        <f t="shared" si="39"/>
        <v>0.15210853064081675</v>
      </c>
      <c r="M499" s="16">
        <f t="shared" si="40"/>
        <v>2.313700509370829E-2</v>
      </c>
    </row>
    <row r="500" spans="6:13" x14ac:dyDescent="0.4">
      <c r="F500" s="1">
        <v>36557</v>
      </c>
      <c r="G500" s="16">
        <v>369.46</v>
      </c>
      <c r="H500" s="16">
        <f t="shared" si="36"/>
        <v>369.17897239742467</v>
      </c>
      <c r="I500">
        <f t="shared" si="37"/>
        <v>2</v>
      </c>
      <c r="J500" s="16" cm="1">
        <f t="array" ref="J500">INDEX(Sm,I500)</f>
        <v>0.68063113884422577</v>
      </c>
      <c r="K500" s="16">
        <f t="shared" si="38"/>
        <v>369.85960353626888</v>
      </c>
      <c r="L500" s="16">
        <f t="shared" si="39"/>
        <v>-0.39960353626889855</v>
      </c>
      <c r="M500" s="16">
        <f t="shared" si="40"/>
        <v>0.15968298619860893</v>
      </c>
    </row>
    <row r="501" spans="6:13" x14ac:dyDescent="0.4">
      <c r="F501" s="1">
        <v>36586</v>
      </c>
      <c r="G501" s="16">
        <v>370.51</v>
      </c>
      <c r="H501" s="16">
        <f t="shared" si="36"/>
        <v>369.32480195322302</v>
      </c>
      <c r="I501">
        <f t="shared" si="37"/>
        <v>3</v>
      </c>
      <c r="J501" s="16" cm="1">
        <f t="array" ref="J501">INDEX(Sm,I501)</f>
        <v>1.3939471632320417</v>
      </c>
      <c r="K501" s="16">
        <f t="shared" si="38"/>
        <v>370.71874911645506</v>
      </c>
      <c r="L501" s="16">
        <f t="shared" si="39"/>
        <v>-0.208749116455067</v>
      </c>
      <c r="M501" s="16">
        <f t="shared" si="40"/>
        <v>4.3576193620771121E-2</v>
      </c>
    </row>
    <row r="502" spans="6:13" x14ac:dyDescent="0.4">
      <c r="F502" s="1">
        <v>36617</v>
      </c>
      <c r="G502" s="16">
        <v>371.66</v>
      </c>
      <c r="H502" s="16">
        <f t="shared" si="36"/>
        <v>369.48090109144869</v>
      </c>
      <c r="I502">
        <f t="shared" si="37"/>
        <v>4</v>
      </c>
      <c r="J502" s="16" cm="1">
        <f t="array" ref="J502">INDEX(Sm,I502)</f>
        <v>2.6315659351379859</v>
      </c>
      <c r="K502" s="16">
        <f t="shared" si="38"/>
        <v>372.11246702658667</v>
      </c>
      <c r="L502" s="16">
        <f t="shared" si="39"/>
        <v>-0.45246702658664617</v>
      </c>
      <c r="M502" s="16">
        <f t="shared" si="40"/>
        <v>0.20472641014816076</v>
      </c>
    </row>
    <row r="503" spans="6:13" x14ac:dyDescent="0.4">
      <c r="F503" s="1">
        <v>36647</v>
      </c>
      <c r="G503" s="16">
        <v>371.83</v>
      </c>
      <c r="H503" s="16">
        <f t="shared" si="36"/>
        <v>369.63217400459138</v>
      </c>
      <c r="I503">
        <f t="shared" si="37"/>
        <v>5</v>
      </c>
      <c r="J503" s="16" cm="1">
        <f t="array" ref="J503">INDEX(Sm,I503)</f>
        <v>3.0968597809913625</v>
      </c>
      <c r="K503" s="16">
        <f t="shared" si="38"/>
        <v>372.72903378558271</v>
      </c>
      <c r="L503" s="16">
        <f t="shared" si="39"/>
        <v>-0.89903378558273062</v>
      </c>
      <c r="M503" s="16">
        <f t="shared" si="40"/>
        <v>0.80826174761921521</v>
      </c>
    </row>
    <row r="504" spans="6:13" x14ac:dyDescent="0.4">
      <c r="F504" s="1">
        <v>36678</v>
      </c>
      <c r="G504" s="16">
        <v>371.69</v>
      </c>
      <c r="H504" s="16">
        <f t="shared" si="36"/>
        <v>369.7887058546217</v>
      </c>
      <c r="I504">
        <f t="shared" si="37"/>
        <v>6</v>
      </c>
      <c r="J504" s="16" cm="1">
        <f t="array" ref="J504">INDEX(Sm,I504)</f>
        <v>2.3186578027685911</v>
      </c>
      <c r="K504" s="16">
        <f t="shared" si="38"/>
        <v>372.10736365739029</v>
      </c>
      <c r="L504" s="16">
        <f t="shared" si="39"/>
        <v>-0.41736365739029679</v>
      </c>
      <c r="M504" s="16">
        <f t="shared" si="40"/>
        <v>0.17419242251020503</v>
      </c>
    </row>
    <row r="505" spans="6:13" x14ac:dyDescent="0.4">
      <c r="F505" s="1">
        <v>36708</v>
      </c>
      <c r="G505" s="16">
        <v>370.12</v>
      </c>
      <c r="H505" s="16">
        <f t="shared" si="36"/>
        <v>369.94039810111866</v>
      </c>
      <c r="I505">
        <f t="shared" si="37"/>
        <v>7</v>
      </c>
      <c r="J505" s="16" cm="1">
        <f t="array" ref="J505">INDEX(Sm,I505)</f>
        <v>0.74380149245581328</v>
      </c>
      <c r="K505" s="16">
        <f t="shared" si="38"/>
        <v>370.68419959357448</v>
      </c>
      <c r="L505" s="16">
        <f t="shared" si="39"/>
        <v>-0.56419959357447169</v>
      </c>
      <c r="M505" s="16">
        <f t="shared" si="40"/>
        <v>0.31832118138959903</v>
      </c>
    </row>
    <row r="506" spans="6:13" x14ac:dyDescent="0.4">
      <c r="F506" s="1">
        <v>36739</v>
      </c>
      <c r="G506" s="16">
        <v>368.12</v>
      </c>
      <c r="H506" s="16">
        <f t="shared" si="36"/>
        <v>370.09736386244441</v>
      </c>
      <c r="I506">
        <f t="shared" si="37"/>
        <v>8</v>
      </c>
      <c r="J506" s="16" cm="1">
        <f t="array" ref="J506">INDEX(Sm,I506)</f>
        <v>-1.3852874640433905</v>
      </c>
      <c r="K506" s="16">
        <f t="shared" si="38"/>
        <v>368.712076398401</v>
      </c>
      <c r="L506" s="16">
        <f t="shared" si="39"/>
        <v>-0.59207639840099091</v>
      </c>
      <c r="M506" s="16">
        <f t="shared" si="40"/>
        <v>0.3505544615434889</v>
      </c>
    </row>
    <row r="507" spans="6:13" x14ac:dyDescent="0.4">
      <c r="F507" s="1">
        <v>36770</v>
      </c>
      <c r="G507" s="16">
        <v>366.62</v>
      </c>
      <c r="H507" s="16">
        <f t="shared" si="36"/>
        <v>370.25455059681423</v>
      </c>
      <c r="I507">
        <f t="shared" si="37"/>
        <v>9</v>
      </c>
      <c r="J507" s="16" cm="1">
        <f t="array" ref="J507">INDEX(Sm,I507)</f>
        <v>-3.188494698714738</v>
      </c>
      <c r="K507" s="16">
        <f t="shared" si="38"/>
        <v>367.06605589809948</v>
      </c>
      <c r="L507" s="16">
        <f t="shared" si="39"/>
        <v>-0.44605589809947332</v>
      </c>
      <c r="M507" s="16">
        <f t="shared" si="40"/>
        <v>0.19896586422932774</v>
      </c>
    </row>
    <row r="508" spans="6:13" x14ac:dyDescent="0.4">
      <c r="F508" s="1">
        <v>36800</v>
      </c>
      <c r="G508" s="16">
        <v>366.73</v>
      </c>
      <c r="H508" s="16">
        <f t="shared" si="36"/>
        <v>370.40687748013846</v>
      </c>
      <c r="I508">
        <f t="shared" si="37"/>
        <v>10</v>
      </c>
      <c r="J508" s="16" cm="1">
        <f t="array" ref="J508">INDEX(Sm,I508)</f>
        <v>-3.3139186770794531</v>
      </c>
      <c r="K508" s="16">
        <f t="shared" si="38"/>
        <v>367.09295880305899</v>
      </c>
      <c r="L508" s="16">
        <f t="shared" si="39"/>
        <v>-0.36295880305897299</v>
      </c>
      <c r="M508" s="16">
        <f t="shared" si="40"/>
        <v>0.13173909271800235</v>
      </c>
    </row>
    <row r="509" spans="6:13" x14ac:dyDescent="0.4">
      <c r="F509" s="1">
        <v>36831</v>
      </c>
      <c r="G509" s="16">
        <v>368.29</v>
      </c>
      <c r="H509" s="16">
        <f t="shared" si="36"/>
        <v>370.56449994116423</v>
      </c>
      <c r="I509">
        <f t="shared" si="37"/>
        <v>11</v>
      </c>
      <c r="J509" s="16" cm="1">
        <f t="array" ref="J509">INDEX(Sm,I509)</f>
        <v>-2.0555969925100759</v>
      </c>
      <c r="K509" s="16">
        <f t="shared" si="38"/>
        <v>368.50890294865417</v>
      </c>
      <c r="L509" s="16">
        <f t="shared" si="39"/>
        <v>-0.21890294865414717</v>
      </c>
      <c r="M509" s="16">
        <f t="shared" si="40"/>
        <v>4.791850092948019E-2</v>
      </c>
    </row>
    <row r="510" spans="6:13" x14ac:dyDescent="0.4">
      <c r="F510" s="1">
        <v>36861</v>
      </c>
      <c r="G510" s="16">
        <v>369.52</v>
      </c>
      <c r="H510" s="16">
        <f t="shared" si="36"/>
        <v>370.7172490794818</v>
      </c>
      <c r="I510">
        <f t="shared" si="37"/>
        <v>12</v>
      </c>
      <c r="J510" s="16" cm="1">
        <f t="array" ref="J510">INDEX(Sm,I510)</f>
        <v>-0.88675924001340456</v>
      </c>
      <c r="K510" s="16">
        <f t="shared" si="38"/>
        <v>369.83048983946838</v>
      </c>
      <c r="L510" s="16">
        <f t="shared" si="39"/>
        <v>-0.31048983946840281</v>
      </c>
      <c r="M510" s="16">
        <f t="shared" si="40"/>
        <v>9.640394041311455E-2</v>
      </c>
    </row>
    <row r="511" spans="6:13" x14ac:dyDescent="0.4">
      <c r="F511" s="1">
        <v>36892</v>
      </c>
      <c r="G511" s="16">
        <v>370.28</v>
      </c>
      <c r="H511" s="16">
        <f t="shared" si="36"/>
        <v>370.87530847501176</v>
      </c>
      <c r="I511">
        <f t="shared" si="37"/>
        <v>1</v>
      </c>
      <c r="J511" s="16" cm="1">
        <f t="array" ref="J511">INDEX(Sm,I511)</f>
        <v>-3.5406241068958691E-2</v>
      </c>
      <c r="K511" s="16">
        <f t="shared" si="38"/>
        <v>370.83990223394278</v>
      </c>
      <c r="L511" s="16">
        <f t="shared" si="39"/>
        <v>-0.55990223394280747</v>
      </c>
      <c r="M511" s="16">
        <f t="shared" si="40"/>
        <v>0.31349051157414631</v>
      </c>
    </row>
    <row r="512" spans="6:13" x14ac:dyDescent="0.4">
      <c r="F512" s="1">
        <v>36923</v>
      </c>
      <c r="G512" s="16">
        <v>371.5</v>
      </c>
      <c r="H512" s="16">
        <f t="shared" si="36"/>
        <v>371.03359038318047</v>
      </c>
      <c r="I512">
        <f t="shared" si="37"/>
        <v>2</v>
      </c>
      <c r="J512" s="16" cm="1">
        <f t="array" ref="J512">INDEX(Sm,I512)</f>
        <v>0.68063113884422577</v>
      </c>
      <c r="K512" s="16">
        <f t="shared" si="38"/>
        <v>371.71422152202467</v>
      </c>
      <c r="L512" s="16">
        <f t="shared" si="39"/>
        <v>-0.21422152202467259</v>
      </c>
      <c r="M512" s="16">
        <f t="shared" si="40"/>
        <v>4.5890860498567283E-2</v>
      </c>
    </row>
    <row r="513" spans="6:13" x14ac:dyDescent="0.4">
      <c r="F513" s="1">
        <v>36951</v>
      </c>
      <c r="G513" s="16">
        <v>372.12</v>
      </c>
      <c r="H513" s="16">
        <f t="shared" si="36"/>
        <v>371.17674620224227</v>
      </c>
      <c r="I513">
        <f t="shared" si="37"/>
        <v>3</v>
      </c>
      <c r="J513" s="16" cm="1">
        <f t="array" ref="J513">INDEX(Sm,I513)</f>
        <v>1.3939471632320417</v>
      </c>
      <c r="K513" s="16">
        <f t="shared" si="38"/>
        <v>372.57069336547431</v>
      </c>
      <c r="L513" s="16">
        <f t="shared" si="39"/>
        <v>-0.45069336547430794</v>
      </c>
      <c r="M513" s="16">
        <f t="shared" si="40"/>
        <v>0.2031245096825581</v>
      </c>
    </row>
    <row r="514" spans="6:13" x14ac:dyDescent="0.4">
      <c r="F514" s="1">
        <v>36982</v>
      </c>
      <c r="G514" s="16">
        <v>372.86</v>
      </c>
      <c r="H514" s="16">
        <f t="shared" si="36"/>
        <v>371.33545246800088</v>
      </c>
      <c r="I514">
        <f t="shared" si="37"/>
        <v>4</v>
      </c>
      <c r="J514" s="16" cm="1">
        <f t="array" ref="J514">INDEX(Sm,I514)</f>
        <v>2.6315659351379859</v>
      </c>
      <c r="K514" s="16">
        <f t="shared" si="38"/>
        <v>373.96701840313887</v>
      </c>
      <c r="L514" s="16">
        <f t="shared" si="39"/>
        <v>-1.1070184031388521</v>
      </c>
      <c r="M514" s="16">
        <f t="shared" si="40"/>
        <v>1.2254897448880941</v>
      </c>
    </row>
    <row r="515" spans="6:13" x14ac:dyDescent="0.4">
      <c r="F515" s="1">
        <v>37012</v>
      </c>
      <c r="G515" s="16">
        <v>374.02</v>
      </c>
      <c r="H515" s="16">
        <f t="shared" ref="H515:H578" si="41">EXP(_A*F515+_B)+_C</f>
        <v>371.48925190231051</v>
      </c>
      <c r="I515">
        <f t="shared" ref="I515:I578" si="42">MONTH(F515)</f>
        <v>5</v>
      </c>
      <c r="J515" s="16" cm="1">
        <f t="array" ref="J515">INDEX(Sm,I515)</f>
        <v>3.0968597809913625</v>
      </c>
      <c r="K515" s="16">
        <f t="shared" ref="K515:K578" si="43">H515+J515</f>
        <v>374.58611168330185</v>
      </c>
      <c r="L515" s="16">
        <f t="shared" ref="L515:L578" si="44">G515-K515</f>
        <v>-0.56611168330186956</v>
      </c>
      <c r="M515" s="16">
        <f t="shared" ref="M515:M578" si="45">L515*L515</f>
        <v>0.32048243797087628</v>
      </c>
    </row>
    <row r="516" spans="6:13" x14ac:dyDescent="0.4">
      <c r="F516" s="1">
        <v>37043</v>
      </c>
      <c r="G516" s="16">
        <v>373.31</v>
      </c>
      <c r="H516" s="16">
        <f t="shared" si="41"/>
        <v>371.64839810691467</v>
      </c>
      <c r="I516">
        <f t="shared" si="42"/>
        <v>6</v>
      </c>
      <c r="J516" s="16" cm="1">
        <f t="array" ref="J516">INDEX(Sm,I516)</f>
        <v>2.3186578027685911</v>
      </c>
      <c r="K516" s="16">
        <f t="shared" si="43"/>
        <v>373.96705590968327</v>
      </c>
      <c r="L516" s="16">
        <f t="shared" si="44"/>
        <v>-0.65705590968326533</v>
      </c>
      <c r="M516" s="16">
        <f t="shared" si="45"/>
        <v>0.4317224684497033</v>
      </c>
    </row>
    <row r="517" spans="6:13" x14ac:dyDescent="0.4">
      <c r="F517" s="1">
        <v>37073</v>
      </c>
      <c r="G517" s="16">
        <v>371.62</v>
      </c>
      <c r="H517" s="16">
        <f t="shared" si="41"/>
        <v>371.80262387817601</v>
      </c>
      <c r="I517">
        <f t="shared" si="42"/>
        <v>7</v>
      </c>
      <c r="J517" s="16" cm="1">
        <f t="array" ref="J517">INDEX(Sm,I517)</f>
        <v>0.74380149245581328</v>
      </c>
      <c r="K517" s="16">
        <f t="shared" si="43"/>
        <v>372.54642537063182</v>
      </c>
      <c r="L517" s="16">
        <f t="shared" si="44"/>
        <v>-0.92642537063181862</v>
      </c>
      <c r="M517" s="16">
        <f t="shared" si="45"/>
        <v>0.85826396735030253</v>
      </c>
    </row>
    <row r="518" spans="6:13" x14ac:dyDescent="0.4">
      <c r="F518" s="1">
        <v>37104</v>
      </c>
      <c r="G518" s="16">
        <v>369.55</v>
      </c>
      <c r="H518" s="16">
        <f t="shared" si="41"/>
        <v>371.96221124115033</v>
      </c>
      <c r="I518">
        <f t="shared" si="42"/>
        <v>8</v>
      </c>
      <c r="J518" s="16" cm="1">
        <f t="array" ref="J518">INDEX(Sm,I518)</f>
        <v>-1.3852874640433905</v>
      </c>
      <c r="K518" s="16">
        <f t="shared" si="43"/>
        <v>370.57692377710691</v>
      </c>
      <c r="L518" s="16">
        <f t="shared" si="44"/>
        <v>-1.0269237771069015</v>
      </c>
      <c r="M518" s="16">
        <f t="shared" si="45"/>
        <v>1.0545724439875053</v>
      </c>
    </row>
    <row r="519" spans="6:13" x14ac:dyDescent="0.4">
      <c r="F519" s="1">
        <v>37135</v>
      </c>
      <c r="G519" s="16">
        <v>367.96</v>
      </c>
      <c r="H519" s="16">
        <f t="shared" si="41"/>
        <v>372.12202326780334</v>
      </c>
      <c r="I519">
        <f t="shared" si="42"/>
        <v>9</v>
      </c>
      <c r="J519" s="16" cm="1">
        <f t="array" ref="J519">INDEX(Sm,I519)</f>
        <v>-3.188494698714738</v>
      </c>
      <c r="K519" s="16">
        <f t="shared" si="43"/>
        <v>368.93352856908859</v>
      </c>
      <c r="L519" s="16">
        <f t="shared" si="44"/>
        <v>-0.9735285690886144</v>
      </c>
      <c r="M519" s="16">
        <f t="shared" si="45"/>
        <v>0.94775787483172502</v>
      </c>
    </row>
    <row r="520" spans="6:13" x14ac:dyDescent="0.4">
      <c r="F520" s="1">
        <v>37165</v>
      </c>
      <c r="G520" s="16">
        <v>368.09</v>
      </c>
      <c r="H520" s="16">
        <f t="shared" si="41"/>
        <v>372.27689427543248</v>
      </c>
      <c r="I520">
        <f t="shared" si="42"/>
        <v>10</v>
      </c>
      <c r="J520" s="16" cm="1">
        <f t="array" ref="J520">INDEX(Sm,I520)</f>
        <v>-3.3139186770794531</v>
      </c>
      <c r="K520" s="16">
        <f t="shared" si="43"/>
        <v>368.96297559835301</v>
      </c>
      <c r="L520" s="16">
        <f t="shared" si="44"/>
        <v>-0.87297559835303673</v>
      </c>
      <c r="M520" s="16">
        <f t="shared" si="45"/>
        <v>0.76208639531984246</v>
      </c>
    </row>
    <row r="521" spans="6:13" x14ac:dyDescent="0.4">
      <c r="F521" s="1">
        <v>37196</v>
      </c>
      <c r="G521" s="16">
        <v>369.68</v>
      </c>
      <c r="H521" s="16">
        <f t="shared" si="41"/>
        <v>372.43714930613561</v>
      </c>
      <c r="I521">
        <f t="shared" si="42"/>
        <v>11</v>
      </c>
      <c r="J521" s="16" cm="1">
        <f t="array" ref="J521">INDEX(Sm,I521)</f>
        <v>-2.0555969925100759</v>
      </c>
      <c r="K521" s="16">
        <f t="shared" si="43"/>
        <v>370.38155231362555</v>
      </c>
      <c r="L521" s="16">
        <f t="shared" si="44"/>
        <v>-0.70155231362554105</v>
      </c>
      <c r="M521" s="16">
        <f t="shared" si="45"/>
        <v>0.49217564875334952</v>
      </c>
    </row>
    <row r="522" spans="6:13" x14ac:dyDescent="0.4">
      <c r="F522" s="1">
        <v>37226</v>
      </c>
      <c r="G522" s="16">
        <v>371.24</v>
      </c>
      <c r="H522" s="16">
        <f t="shared" si="41"/>
        <v>372.59244962115218</v>
      </c>
      <c r="I522">
        <f t="shared" si="42"/>
        <v>12</v>
      </c>
      <c r="J522" s="16" cm="1">
        <f t="array" ref="J522">INDEX(Sm,I522)</f>
        <v>-0.88675924001340456</v>
      </c>
      <c r="K522" s="16">
        <f t="shared" si="43"/>
        <v>371.70569038113877</v>
      </c>
      <c r="L522" s="16">
        <f t="shared" si="44"/>
        <v>-0.46569038113875649</v>
      </c>
      <c r="M522" s="16">
        <f t="shared" si="45"/>
        <v>0.2168675310851603</v>
      </c>
    </row>
    <row r="523" spans="6:13" x14ac:dyDescent="0.4">
      <c r="F523" s="1">
        <v>37257</v>
      </c>
      <c r="G523" s="16">
        <v>372.44</v>
      </c>
      <c r="H523" s="16">
        <f t="shared" si="41"/>
        <v>372.75314888392677</v>
      </c>
      <c r="I523">
        <f t="shared" si="42"/>
        <v>1</v>
      </c>
      <c r="J523" s="16" cm="1">
        <f t="array" ref="J523">INDEX(Sm,I523)</f>
        <v>-3.5406241068958691E-2</v>
      </c>
      <c r="K523" s="16">
        <f t="shared" si="43"/>
        <v>372.71774264285779</v>
      </c>
      <c r="L523" s="16">
        <f t="shared" si="44"/>
        <v>-0.27774264285778827</v>
      </c>
      <c r="M523" s="16">
        <f t="shared" si="45"/>
        <v>7.7140975661628919E-2</v>
      </c>
    </row>
    <row r="524" spans="6:13" x14ac:dyDescent="0.4">
      <c r="F524" s="1">
        <v>37288</v>
      </c>
      <c r="G524" s="16">
        <v>373.08</v>
      </c>
      <c r="H524" s="16">
        <f t="shared" si="41"/>
        <v>372.91407437568898</v>
      </c>
      <c r="I524">
        <f t="shared" si="42"/>
        <v>2</v>
      </c>
      <c r="J524" s="16" cm="1">
        <f t="array" ref="J524">INDEX(Sm,I524)</f>
        <v>0.68063113884422577</v>
      </c>
      <c r="K524" s="16">
        <f t="shared" si="43"/>
        <v>373.59470551453319</v>
      </c>
      <c r="L524" s="16">
        <f t="shared" si="44"/>
        <v>-0.51470551453320468</v>
      </c>
      <c r="M524" s="16">
        <f t="shared" si="45"/>
        <v>0.26492176669089096</v>
      </c>
    </row>
    <row r="525" spans="6:13" x14ac:dyDescent="0.4">
      <c r="F525" s="1">
        <v>37316</v>
      </c>
      <c r="G525" s="16">
        <v>373.52</v>
      </c>
      <c r="H525" s="16">
        <f t="shared" si="41"/>
        <v>373.05962114630654</v>
      </c>
      <c r="I525">
        <f t="shared" si="42"/>
        <v>3</v>
      </c>
      <c r="J525" s="16" cm="1">
        <f t="array" ref="J525">INDEX(Sm,I525)</f>
        <v>1.3939471632320417</v>
      </c>
      <c r="K525" s="16">
        <f t="shared" si="43"/>
        <v>374.45356830953858</v>
      </c>
      <c r="L525" s="16">
        <f t="shared" si="44"/>
        <v>-0.93356830953860026</v>
      </c>
      <c r="M525" s="16">
        <f t="shared" si="45"/>
        <v>0.87154978857475973</v>
      </c>
    </row>
    <row r="526" spans="6:13" x14ac:dyDescent="0.4">
      <c r="F526" s="1">
        <v>37347</v>
      </c>
      <c r="G526" s="16">
        <v>374.85</v>
      </c>
      <c r="H526" s="16">
        <f t="shared" si="41"/>
        <v>373.22097808316965</v>
      </c>
      <c r="I526">
        <f t="shared" si="42"/>
        <v>4</v>
      </c>
      <c r="J526" s="16" cm="1">
        <f t="array" ref="J526">INDEX(Sm,I526)</f>
        <v>2.6315659351379859</v>
      </c>
      <c r="K526" s="16">
        <f t="shared" si="43"/>
        <v>375.85254401830764</v>
      </c>
      <c r="L526" s="16">
        <f t="shared" si="44"/>
        <v>-1.0025440183076171</v>
      </c>
      <c r="M526" s="16">
        <f t="shared" si="45"/>
        <v>1.0050945086443837</v>
      </c>
    </row>
    <row r="527" spans="6:13" x14ac:dyDescent="0.4">
      <c r="F527" s="1">
        <v>37377</v>
      </c>
      <c r="G527" s="16">
        <v>375.55</v>
      </c>
      <c r="H527" s="16">
        <f t="shared" si="41"/>
        <v>373.37734623595077</v>
      </c>
      <c r="I527">
        <f t="shared" si="42"/>
        <v>5</v>
      </c>
      <c r="J527" s="16" cm="1">
        <f t="array" ref="J527">INDEX(Sm,I527)</f>
        <v>3.0968597809913625</v>
      </c>
      <c r="K527" s="16">
        <f t="shared" si="43"/>
        <v>376.47420601694211</v>
      </c>
      <c r="L527" s="16">
        <f t="shared" si="44"/>
        <v>-0.92420601694209381</v>
      </c>
      <c r="M527" s="16">
        <f t="shared" si="45"/>
        <v>0.85415676175196975</v>
      </c>
    </row>
    <row r="528" spans="6:13" x14ac:dyDescent="0.4">
      <c r="F528" s="1">
        <v>37408</v>
      </c>
      <c r="G528" s="16">
        <v>375.4</v>
      </c>
      <c r="H528" s="16">
        <f t="shared" si="41"/>
        <v>373.53915045940442</v>
      </c>
      <c r="I528">
        <f t="shared" si="42"/>
        <v>6</v>
      </c>
      <c r="J528" s="16" cm="1">
        <f t="array" ref="J528">INDEX(Sm,I528)</f>
        <v>2.3186578027685911</v>
      </c>
      <c r="K528" s="16">
        <f t="shared" si="43"/>
        <v>375.85780826217302</v>
      </c>
      <c r="L528" s="16">
        <f t="shared" si="44"/>
        <v>-0.45780826217304593</v>
      </c>
      <c r="M528" s="16">
        <f t="shared" si="45"/>
        <v>0.20958840491390435</v>
      </c>
    </row>
    <row r="529" spans="6:13" x14ac:dyDescent="0.4">
      <c r="F529" s="1">
        <v>37438</v>
      </c>
      <c r="G529" s="16">
        <v>374.02</v>
      </c>
      <c r="H529" s="16">
        <f t="shared" si="41"/>
        <v>373.69595206970718</v>
      </c>
      <c r="I529">
        <f t="shared" si="42"/>
        <v>7</v>
      </c>
      <c r="J529" s="16" cm="1">
        <f t="array" ref="J529">INDEX(Sm,I529)</f>
        <v>0.74380149245581328</v>
      </c>
      <c r="K529" s="16">
        <f t="shared" si="43"/>
        <v>374.43975356216299</v>
      </c>
      <c r="L529" s="16">
        <f t="shared" si="44"/>
        <v>-0.41975356216300952</v>
      </c>
      <c r="M529" s="16">
        <f t="shared" si="45"/>
        <v>0.17619305294853549</v>
      </c>
    </row>
    <row r="530" spans="6:13" x14ac:dyDescent="0.4">
      <c r="F530" s="1">
        <v>37469</v>
      </c>
      <c r="G530" s="16">
        <v>371.48</v>
      </c>
      <c r="H530" s="16">
        <f t="shared" si="41"/>
        <v>373.85820481964424</v>
      </c>
      <c r="I530">
        <f t="shared" si="42"/>
        <v>8</v>
      </c>
      <c r="J530" s="16" cm="1">
        <f t="array" ref="J530">INDEX(Sm,I530)</f>
        <v>-1.3852874640433905</v>
      </c>
      <c r="K530" s="16">
        <f t="shared" si="43"/>
        <v>372.47291735560083</v>
      </c>
      <c r="L530" s="16">
        <f t="shared" si="44"/>
        <v>-0.99291735560080951</v>
      </c>
      <c r="M530" s="16">
        <f t="shared" si="45"/>
        <v>0.98588487505330447</v>
      </c>
    </row>
    <row r="531" spans="6:13" x14ac:dyDescent="0.4">
      <c r="F531" s="1">
        <v>37500</v>
      </c>
      <c r="G531" s="16">
        <v>370.7</v>
      </c>
      <c r="H531" s="16">
        <f t="shared" si="41"/>
        <v>374.02068598553484</v>
      </c>
      <c r="I531">
        <f t="shared" si="42"/>
        <v>9</v>
      </c>
      <c r="J531" s="16" cm="1">
        <f t="array" ref="J531">INDEX(Sm,I531)</f>
        <v>-3.188494698714738</v>
      </c>
      <c r="K531" s="16">
        <f t="shared" si="43"/>
        <v>370.83219128682009</v>
      </c>
      <c r="L531" s="16">
        <f t="shared" si="44"/>
        <v>-0.1321912868201025</v>
      </c>
      <c r="M531" s="16">
        <f t="shared" si="45"/>
        <v>1.7474536311154608E-2</v>
      </c>
    </row>
    <row r="532" spans="6:13" x14ac:dyDescent="0.4">
      <c r="F532" s="1">
        <v>37530</v>
      </c>
      <c r="G532" s="16">
        <v>370.25</v>
      </c>
      <c r="H532" s="16">
        <f t="shared" si="41"/>
        <v>374.17814360877674</v>
      </c>
      <c r="I532">
        <f t="shared" si="42"/>
        <v>10</v>
      </c>
      <c r="J532" s="16" cm="1">
        <f t="array" ref="J532">INDEX(Sm,I532)</f>
        <v>-3.3139186770794531</v>
      </c>
      <c r="K532" s="16">
        <f t="shared" si="43"/>
        <v>370.86422493169727</v>
      </c>
      <c r="L532" s="16">
        <f t="shared" si="44"/>
        <v>-0.61422493169726522</v>
      </c>
      <c r="M532" s="16">
        <f t="shared" si="45"/>
        <v>0.37727226671851011</v>
      </c>
    </row>
    <row r="533" spans="6:13" x14ac:dyDescent="0.4">
      <c r="F533" s="1">
        <v>37561</v>
      </c>
      <c r="G533" s="16">
        <v>372.08</v>
      </c>
      <c r="H533" s="16">
        <f t="shared" si="41"/>
        <v>374.34107517765688</v>
      </c>
      <c r="I533">
        <f t="shared" si="42"/>
        <v>11</v>
      </c>
      <c r="J533" s="16" cm="1">
        <f t="array" ref="J533">INDEX(Sm,I533)</f>
        <v>-2.0555969925100759</v>
      </c>
      <c r="K533" s="16">
        <f t="shared" si="43"/>
        <v>372.28547818514681</v>
      </c>
      <c r="L533" s="16">
        <f t="shared" si="44"/>
        <v>-0.20547818514683058</v>
      </c>
      <c r="M533" s="16">
        <f t="shared" si="45"/>
        <v>4.2221284571235189E-2</v>
      </c>
    </row>
    <row r="534" spans="6:13" x14ac:dyDescent="0.4">
      <c r="F534" s="1">
        <v>37591</v>
      </c>
      <c r="G534" s="16">
        <v>373.78</v>
      </c>
      <c r="H534" s="16">
        <f t="shared" si="41"/>
        <v>374.4989692784672</v>
      </c>
      <c r="I534">
        <f t="shared" si="42"/>
        <v>12</v>
      </c>
      <c r="J534" s="16" cm="1">
        <f t="array" ref="J534">INDEX(Sm,I534)</f>
        <v>-0.88675924001340456</v>
      </c>
      <c r="K534" s="16">
        <f t="shared" si="43"/>
        <v>373.61221003845378</v>
      </c>
      <c r="L534" s="16">
        <f t="shared" si="44"/>
        <v>0.16778996154619108</v>
      </c>
      <c r="M534" s="16">
        <f t="shared" si="45"/>
        <v>2.815347119567228E-2</v>
      </c>
    </row>
    <row r="535" spans="6:13" x14ac:dyDescent="0.4">
      <c r="F535" s="1">
        <v>37622</v>
      </c>
      <c r="G535" s="16">
        <v>374.68</v>
      </c>
      <c r="H535" s="16">
        <f t="shared" si="41"/>
        <v>374.66235249886819</v>
      </c>
      <c r="I535">
        <f t="shared" si="42"/>
        <v>1</v>
      </c>
      <c r="J535" s="16" cm="1">
        <f t="array" ref="J535">INDEX(Sm,I535)</f>
        <v>-3.5406241068958691E-2</v>
      </c>
      <c r="K535" s="16">
        <f t="shared" si="43"/>
        <v>374.6269462577992</v>
      </c>
      <c r="L535" s="16">
        <f t="shared" si="44"/>
        <v>5.305374220080239E-2</v>
      </c>
      <c r="M535" s="16">
        <f t="shared" si="45"/>
        <v>2.8146995615092002E-3</v>
      </c>
    </row>
    <row r="536" spans="6:13" x14ac:dyDescent="0.4">
      <c r="F536" s="1">
        <v>37653</v>
      </c>
      <c r="G536" s="16">
        <v>375.62</v>
      </c>
      <c r="H536" s="16">
        <f t="shared" si="41"/>
        <v>374.82596572667507</v>
      </c>
      <c r="I536">
        <f t="shared" si="42"/>
        <v>2</v>
      </c>
      <c r="J536" s="16" cm="1">
        <f t="array" ref="J536">INDEX(Sm,I536)</f>
        <v>0.68063113884422577</v>
      </c>
      <c r="K536" s="16">
        <f t="shared" si="43"/>
        <v>375.50659686551927</v>
      </c>
      <c r="L536" s="16">
        <f t="shared" si="44"/>
        <v>0.11340313448073402</v>
      </c>
      <c r="M536" s="16">
        <f t="shared" si="45"/>
        <v>1.2860270910055446E-2</v>
      </c>
    </row>
    <row r="537" spans="6:13" x14ac:dyDescent="0.4">
      <c r="F537" s="1">
        <v>37681</v>
      </c>
      <c r="G537" s="16">
        <v>376.11</v>
      </c>
      <c r="H537" s="16">
        <f t="shared" si="41"/>
        <v>374.97394338190435</v>
      </c>
      <c r="I537">
        <f t="shared" si="42"/>
        <v>3</v>
      </c>
      <c r="J537" s="16" cm="1">
        <f t="array" ref="J537">INDEX(Sm,I537)</f>
        <v>1.3939471632320417</v>
      </c>
      <c r="K537" s="16">
        <f t="shared" si="43"/>
        <v>376.36789054513639</v>
      </c>
      <c r="L537" s="16">
        <f t="shared" si="44"/>
        <v>-0.25789054513637666</v>
      </c>
      <c r="M537" s="16">
        <f t="shared" si="45"/>
        <v>6.6507533270737523E-2</v>
      </c>
    </row>
    <row r="538" spans="6:13" x14ac:dyDescent="0.4">
      <c r="F538" s="1">
        <v>37712</v>
      </c>
      <c r="G538" s="16">
        <v>377.65</v>
      </c>
      <c r="H538" s="16">
        <f t="shared" si="41"/>
        <v>375.13799526069687</v>
      </c>
      <c r="I538">
        <f t="shared" si="42"/>
        <v>4</v>
      </c>
      <c r="J538" s="16" cm="1">
        <f t="array" ref="J538">INDEX(Sm,I538)</f>
        <v>2.6315659351379859</v>
      </c>
      <c r="K538" s="16">
        <f t="shared" si="43"/>
        <v>377.76956119583485</v>
      </c>
      <c r="L538" s="16">
        <f t="shared" si="44"/>
        <v>-0.11956119583487634</v>
      </c>
      <c r="M538" s="16">
        <f t="shared" si="45"/>
        <v>1.4294879549465652E-2</v>
      </c>
    </row>
    <row r="539" spans="6:13" x14ac:dyDescent="0.4">
      <c r="F539" s="1">
        <v>37742</v>
      </c>
      <c r="G539" s="16">
        <v>378.35</v>
      </c>
      <c r="H539" s="16">
        <f t="shared" si="41"/>
        <v>375.29697503402269</v>
      </c>
      <c r="I539">
        <f t="shared" si="42"/>
        <v>5</v>
      </c>
      <c r="J539" s="16" cm="1">
        <f t="array" ref="J539">INDEX(Sm,I539)</f>
        <v>3.0968597809913625</v>
      </c>
      <c r="K539" s="16">
        <f t="shared" si="43"/>
        <v>378.39383481501403</v>
      </c>
      <c r="L539" s="16">
        <f t="shared" si="44"/>
        <v>-4.3834815014008655E-2</v>
      </c>
      <c r="M539" s="16">
        <f t="shared" si="45"/>
        <v>1.9214910073123586E-3</v>
      </c>
    </row>
    <row r="540" spans="6:13" x14ac:dyDescent="0.4">
      <c r="F540" s="1">
        <v>37773</v>
      </c>
      <c r="G540" s="16">
        <v>378.13</v>
      </c>
      <c r="H540" s="16">
        <f t="shared" si="41"/>
        <v>375.46148166987098</v>
      </c>
      <c r="I540">
        <f t="shared" si="42"/>
        <v>6</v>
      </c>
      <c r="J540" s="16" cm="1">
        <f t="array" ref="J540">INDEX(Sm,I540)</f>
        <v>2.3186578027685911</v>
      </c>
      <c r="K540" s="16">
        <f t="shared" si="43"/>
        <v>377.78013947263958</v>
      </c>
      <c r="L540" s="16">
        <f t="shared" si="44"/>
        <v>0.34986052736041984</v>
      </c>
      <c r="M540" s="16">
        <f t="shared" si="45"/>
        <v>0.12240238860491108</v>
      </c>
    </row>
    <row r="541" spans="6:13" x14ac:dyDescent="0.4">
      <c r="F541" s="1">
        <v>37803</v>
      </c>
      <c r="G541" s="16">
        <v>376.6</v>
      </c>
      <c r="H541" s="16">
        <f t="shared" si="41"/>
        <v>375.62090214021407</v>
      </c>
      <c r="I541">
        <f t="shared" si="42"/>
        <v>7</v>
      </c>
      <c r="J541" s="16" cm="1">
        <f t="array" ref="J541">INDEX(Sm,I541)</f>
        <v>0.74380149245581328</v>
      </c>
      <c r="K541" s="16">
        <f t="shared" si="43"/>
        <v>376.36470363266989</v>
      </c>
      <c r="L541" s="16">
        <f t="shared" si="44"/>
        <v>0.23529636733013604</v>
      </c>
      <c r="M541" s="16">
        <f t="shared" si="45"/>
        <v>5.5364380478758309E-2</v>
      </c>
    </row>
    <row r="542" spans="6:13" x14ac:dyDescent="0.4">
      <c r="F542" s="1">
        <v>37834</v>
      </c>
      <c r="G542" s="16">
        <v>374.48</v>
      </c>
      <c r="H542" s="16">
        <f t="shared" si="41"/>
        <v>375.78586479371938</v>
      </c>
      <c r="I542">
        <f t="shared" si="42"/>
        <v>8</v>
      </c>
      <c r="J542" s="16" cm="1">
        <f t="array" ref="J542">INDEX(Sm,I542)</f>
        <v>-1.3852874640433905</v>
      </c>
      <c r="K542" s="16">
        <f t="shared" si="43"/>
        <v>374.40057732967597</v>
      </c>
      <c r="L542" s="16">
        <f t="shared" si="44"/>
        <v>7.9422670324049705E-2</v>
      </c>
      <c r="M542" s="16">
        <f t="shared" si="45"/>
        <v>6.3079605614026852E-3</v>
      </c>
    </row>
    <row r="543" spans="6:13" x14ac:dyDescent="0.4">
      <c r="F543" s="1">
        <v>37865</v>
      </c>
      <c r="G543" s="16">
        <v>372.98</v>
      </c>
      <c r="H543" s="16">
        <f t="shared" si="41"/>
        <v>375.95105967812253</v>
      </c>
      <c r="I543">
        <f t="shared" si="42"/>
        <v>9</v>
      </c>
      <c r="J543" s="16" cm="1">
        <f t="array" ref="J543">INDEX(Sm,I543)</f>
        <v>-3.188494698714738</v>
      </c>
      <c r="K543" s="16">
        <f t="shared" si="43"/>
        <v>372.76256497940778</v>
      </c>
      <c r="L543" s="16">
        <f t="shared" si="44"/>
        <v>0.21743502059223374</v>
      </c>
      <c r="M543" s="16">
        <f t="shared" si="45"/>
        <v>4.7277988179945114E-2</v>
      </c>
    </row>
    <row r="544" spans="6:13" x14ac:dyDescent="0.4">
      <c r="F544" s="1">
        <v>37895</v>
      </c>
      <c r="G544" s="16">
        <v>373</v>
      </c>
      <c r="H544" s="16">
        <f t="shared" si="41"/>
        <v>376.11114711796364</v>
      </c>
      <c r="I544">
        <f t="shared" si="42"/>
        <v>10</v>
      </c>
      <c r="J544" s="16" cm="1">
        <f t="array" ref="J544">INDEX(Sm,I544)</f>
        <v>-3.3139186770794531</v>
      </c>
      <c r="K544" s="16">
        <f t="shared" si="43"/>
        <v>372.79722844088417</v>
      </c>
      <c r="L544" s="16">
        <f t="shared" si="44"/>
        <v>0.20277155911583122</v>
      </c>
      <c r="M544" s="16">
        <f t="shared" si="45"/>
        <v>4.1116305186265037E-2</v>
      </c>
    </row>
    <row r="545" spans="6:13" x14ac:dyDescent="0.4">
      <c r="F545" s="1">
        <v>37926</v>
      </c>
      <c r="G545" s="16">
        <v>374.35</v>
      </c>
      <c r="H545" s="16">
        <f t="shared" si="41"/>
        <v>376.27679992787091</v>
      </c>
      <c r="I545">
        <f t="shared" si="42"/>
        <v>11</v>
      </c>
      <c r="J545" s="16" cm="1">
        <f t="array" ref="J545">INDEX(Sm,I545)</f>
        <v>-2.0555969925100759</v>
      </c>
      <c r="K545" s="16">
        <f t="shared" si="43"/>
        <v>374.22120293536085</v>
      </c>
      <c r="L545" s="16">
        <f t="shared" si="44"/>
        <v>0.12879706463917273</v>
      </c>
      <c r="M545" s="16">
        <f t="shared" si="45"/>
        <v>1.658868385966724E-2</v>
      </c>
    </row>
    <row r="546" spans="6:13" x14ac:dyDescent="0.4">
      <c r="F546" s="1">
        <v>37956</v>
      </c>
      <c r="G546" s="16">
        <v>375.69</v>
      </c>
      <c r="H546" s="16">
        <f t="shared" si="41"/>
        <v>376.43733113521625</v>
      </c>
      <c r="I546">
        <f t="shared" si="42"/>
        <v>12</v>
      </c>
      <c r="J546" s="16" cm="1">
        <f t="array" ref="J546">INDEX(Sm,I546)</f>
        <v>-0.88675924001340456</v>
      </c>
      <c r="K546" s="16">
        <f t="shared" si="43"/>
        <v>375.55057189520284</v>
      </c>
      <c r="L546" s="16">
        <f t="shared" si="44"/>
        <v>0.13942810479716172</v>
      </c>
      <c r="M546" s="16">
        <f t="shared" si="45"/>
        <v>1.9440196407328313E-2</v>
      </c>
    </row>
    <row r="547" spans="6:13" x14ac:dyDescent="0.4">
      <c r="F547" s="1">
        <v>37987</v>
      </c>
      <c r="G547" s="16">
        <v>376.79</v>
      </c>
      <c r="H547" s="16">
        <f t="shared" si="41"/>
        <v>376.60344314001151</v>
      </c>
      <c r="I547">
        <f t="shared" si="42"/>
        <v>1</v>
      </c>
      <c r="J547" s="16" cm="1">
        <f t="array" ref="J547">INDEX(Sm,I547)</f>
        <v>-3.5406241068958691E-2</v>
      </c>
      <c r="K547" s="16">
        <f t="shared" si="43"/>
        <v>376.56803689894252</v>
      </c>
      <c r="L547" s="16">
        <f t="shared" si="44"/>
        <v>0.22196310105749717</v>
      </c>
      <c r="M547" s="16">
        <f t="shared" si="45"/>
        <v>4.9267618231060704E-2</v>
      </c>
    </row>
    <row r="548" spans="6:13" x14ac:dyDescent="0.4">
      <c r="F548" s="1">
        <v>38018</v>
      </c>
      <c r="G548" s="16">
        <v>377.37</v>
      </c>
      <c r="H548" s="16">
        <f t="shared" si="41"/>
        <v>376.76978899373682</v>
      </c>
      <c r="I548">
        <f t="shared" si="42"/>
        <v>2</v>
      </c>
      <c r="J548" s="16" cm="1">
        <f t="array" ref="J548">INDEX(Sm,I548)</f>
        <v>0.68063113884422577</v>
      </c>
      <c r="K548" s="16">
        <f t="shared" si="43"/>
        <v>377.45042013258103</v>
      </c>
      <c r="L548" s="16">
        <f t="shared" si="44"/>
        <v>-8.0420132581025427E-2</v>
      </c>
      <c r="M548" s="16">
        <f t="shared" si="45"/>
        <v>6.4673977243497075E-3</v>
      </c>
    </row>
    <row r="549" spans="6:13" x14ac:dyDescent="0.4">
      <c r="F549" s="1">
        <v>38047</v>
      </c>
      <c r="G549" s="16">
        <v>378.39</v>
      </c>
      <c r="H549" s="16">
        <f t="shared" si="41"/>
        <v>376.92561485358408</v>
      </c>
      <c r="I549">
        <f t="shared" si="42"/>
        <v>3</v>
      </c>
      <c r="J549" s="16" cm="1">
        <f t="array" ref="J549">INDEX(Sm,I549)</f>
        <v>1.3939471632320417</v>
      </c>
      <c r="K549" s="16">
        <f t="shared" si="43"/>
        <v>378.31956201681612</v>
      </c>
      <c r="L549" s="16">
        <f t="shared" si="44"/>
        <v>7.0437983183865072E-2</v>
      </c>
      <c r="M549" s="16">
        <f t="shared" si="45"/>
        <v>4.9615094750104583E-3</v>
      </c>
    </row>
    <row r="550" spans="6:13" x14ac:dyDescent="0.4">
      <c r="F550" s="1">
        <v>38078</v>
      </c>
      <c r="G550" s="16">
        <v>380.5</v>
      </c>
      <c r="H550" s="16">
        <f t="shared" si="41"/>
        <v>377.09241425376217</v>
      </c>
      <c r="I550">
        <f t="shared" si="42"/>
        <v>4</v>
      </c>
      <c r="J550" s="16" cm="1">
        <f t="array" ref="J550">INDEX(Sm,I550)</f>
        <v>2.6315659351379859</v>
      </c>
      <c r="K550" s="16">
        <f t="shared" si="43"/>
        <v>379.72398018890016</v>
      </c>
      <c r="L550" s="16">
        <f t="shared" si="44"/>
        <v>0.77601981109984308</v>
      </c>
      <c r="M550" s="16">
        <f t="shared" si="45"/>
        <v>0.60220674721943612</v>
      </c>
    </row>
    <row r="551" spans="6:13" x14ac:dyDescent="0.4">
      <c r="F551" s="1">
        <v>38108</v>
      </c>
      <c r="G551" s="16">
        <v>380.62</v>
      </c>
      <c r="H551" s="16">
        <f t="shared" si="41"/>
        <v>377.25405660145361</v>
      </c>
      <c r="I551">
        <f t="shared" si="42"/>
        <v>5</v>
      </c>
      <c r="J551" s="16" cm="1">
        <f t="array" ref="J551">INDEX(Sm,I551)</f>
        <v>3.0968597809913625</v>
      </c>
      <c r="K551" s="16">
        <f t="shared" si="43"/>
        <v>380.35091638244495</v>
      </c>
      <c r="L551" s="16">
        <f t="shared" si="44"/>
        <v>0.26908361755505439</v>
      </c>
      <c r="M551" s="16">
        <f t="shared" si="45"/>
        <v>7.2405993236514768E-2</v>
      </c>
    </row>
    <row r="552" spans="6:13" x14ac:dyDescent="0.4">
      <c r="F552" s="1">
        <v>38139</v>
      </c>
      <c r="G552" s="16">
        <v>379.55</v>
      </c>
      <c r="H552" s="16">
        <f t="shared" si="41"/>
        <v>377.42131837490484</v>
      </c>
      <c r="I552">
        <f t="shared" si="42"/>
        <v>6</v>
      </c>
      <c r="J552" s="16" cm="1">
        <f t="array" ref="J552">INDEX(Sm,I552)</f>
        <v>2.3186578027685911</v>
      </c>
      <c r="K552" s="16">
        <f t="shared" si="43"/>
        <v>379.73997617767344</v>
      </c>
      <c r="L552" s="16">
        <f t="shared" si="44"/>
        <v>-0.18997617767342945</v>
      </c>
      <c r="M552" s="16">
        <f t="shared" si="45"/>
        <v>3.6090948083406432E-2</v>
      </c>
    </row>
    <row r="553" spans="6:13" x14ac:dyDescent="0.4">
      <c r="F553" s="1">
        <v>38169</v>
      </c>
      <c r="G553" s="16">
        <v>377.76</v>
      </c>
      <c r="H553" s="16">
        <f t="shared" si="41"/>
        <v>377.58340880035485</v>
      </c>
      <c r="I553">
        <f t="shared" si="42"/>
        <v>7</v>
      </c>
      <c r="J553" s="16" cm="1">
        <f t="array" ref="J553">INDEX(Sm,I553)</f>
        <v>0.74380149245581328</v>
      </c>
      <c r="K553" s="16">
        <f t="shared" si="43"/>
        <v>378.32721029281066</v>
      </c>
      <c r="L553" s="16">
        <f t="shared" si="44"/>
        <v>-0.56721029281067104</v>
      </c>
      <c r="M553" s="16">
        <f t="shared" si="45"/>
        <v>0.32172751627036716</v>
      </c>
    </row>
    <row r="554" spans="6:13" x14ac:dyDescent="0.4">
      <c r="F554" s="1">
        <v>38200</v>
      </c>
      <c r="G554" s="16">
        <v>375.83</v>
      </c>
      <c r="H554" s="16">
        <f t="shared" si="41"/>
        <v>377.75113422879247</v>
      </c>
      <c r="I554">
        <f t="shared" si="42"/>
        <v>8</v>
      </c>
      <c r="J554" s="16" cm="1">
        <f t="array" ref="J554">INDEX(Sm,I554)</f>
        <v>-1.3852874640433905</v>
      </c>
      <c r="K554" s="16">
        <f t="shared" si="43"/>
        <v>376.36584676474905</v>
      </c>
      <c r="L554" s="16">
        <f t="shared" si="44"/>
        <v>-0.53584676474906701</v>
      </c>
      <c r="M554" s="16">
        <f t="shared" si="45"/>
        <v>0.28713175529204193</v>
      </c>
    </row>
    <row r="555" spans="6:13" x14ac:dyDescent="0.4">
      <c r="F555" s="1">
        <v>38231</v>
      </c>
      <c r="G555" s="16">
        <v>374.05</v>
      </c>
      <c r="H555" s="16">
        <f t="shared" si="41"/>
        <v>377.91909577750357</v>
      </c>
      <c r="I555">
        <f t="shared" si="42"/>
        <v>9</v>
      </c>
      <c r="J555" s="16" cm="1">
        <f t="array" ref="J555">INDEX(Sm,I555)</f>
        <v>-3.188494698714738</v>
      </c>
      <c r="K555" s="16">
        <f t="shared" si="43"/>
        <v>374.73060107878882</v>
      </c>
      <c r="L555" s="16">
        <f t="shared" si="44"/>
        <v>-0.68060107878881126</v>
      </c>
      <c r="M555" s="16">
        <f t="shared" si="45"/>
        <v>0.46321782844849368</v>
      </c>
    </row>
    <row r="556" spans="6:13" x14ac:dyDescent="0.4">
      <c r="F556" s="1">
        <v>38261</v>
      </c>
      <c r="G556" s="16">
        <v>374.22</v>
      </c>
      <c r="H556" s="16">
        <f t="shared" si="41"/>
        <v>378.08186434277764</v>
      </c>
      <c r="I556">
        <f t="shared" si="42"/>
        <v>10</v>
      </c>
      <c r="J556" s="16" cm="1">
        <f t="array" ref="J556">INDEX(Sm,I556)</f>
        <v>-3.3139186770794531</v>
      </c>
      <c r="K556" s="16">
        <f t="shared" si="43"/>
        <v>374.76794566569816</v>
      </c>
      <c r="L556" s="16">
        <f t="shared" si="44"/>
        <v>-0.54794566569813696</v>
      </c>
      <c r="M556" s="16">
        <f t="shared" si="45"/>
        <v>0.30024445255737447</v>
      </c>
    </row>
    <row r="557" spans="6:13" x14ac:dyDescent="0.4">
      <c r="F557" s="1">
        <v>38292</v>
      </c>
      <c r="G557" s="16">
        <v>375.84</v>
      </c>
      <c r="H557" s="16">
        <f t="shared" si="41"/>
        <v>378.25029148627459</v>
      </c>
      <c r="I557">
        <f t="shared" si="42"/>
        <v>11</v>
      </c>
      <c r="J557" s="16" cm="1">
        <f t="array" ref="J557">INDEX(Sm,I557)</f>
        <v>-2.0555969925100759</v>
      </c>
      <c r="K557" s="16">
        <f t="shared" si="43"/>
        <v>376.19469449376453</v>
      </c>
      <c r="L557" s="16">
        <f t="shared" si="44"/>
        <v>-0.35469449376455486</v>
      </c>
      <c r="M557" s="16">
        <f t="shared" si="45"/>
        <v>0.12580818390689386</v>
      </c>
    </row>
    <row r="558" spans="6:13" x14ac:dyDescent="0.4">
      <c r="F558" s="1">
        <v>38322</v>
      </c>
      <c r="G558" s="16">
        <v>377.44</v>
      </c>
      <c r="H558" s="16">
        <f t="shared" si="41"/>
        <v>378.41351125121832</v>
      </c>
      <c r="I558">
        <f t="shared" si="42"/>
        <v>12</v>
      </c>
      <c r="J558" s="16" cm="1">
        <f t="array" ref="J558">INDEX(Sm,I558)</f>
        <v>-0.88675924001340456</v>
      </c>
      <c r="K558" s="16">
        <f t="shared" si="43"/>
        <v>377.52675201120491</v>
      </c>
      <c r="L558" s="16">
        <f t="shared" si="44"/>
        <v>-8.6752011204907831E-2</v>
      </c>
      <c r="M558" s="16">
        <f t="shared" si="45"/>
        <v>7.5259114480964538E-3</v>
      </c>
    </row>
    <row r="559" spans="6:13" x14ac:dyDescent="0.4">
      <c r="F559" s="1">
        <v>38353</v>
      </c>
      <c r="G559" s="16">
        <v>378.34</v>
      </c>
      <c r="H559" s="16">
        <f t="shared" si="41"/>
        <v>378.582405280145</v>
      </c>
      <c r="I559">
        <f t="shared" si="42"/>
        <v>1</v>
      </c>
      <c r="J559" s="16" cm="1">
        <f t="array" ref="J559">INDEX(Sm,I559)</f>
        <v>-3.5406241068958691E-2</v>
      </c>
      <c r="K559" s="16">
        <f t="shared" si="43"/>
        <v>378.54699903907601</v>
      </c>
      <c r="L559" s="16">
        <f t="shared" si="44"/>
        <v>-0.20699903907603812</v>
      </c>
      <c r="M559" s="16">
        <f t="shared" si="45"/>
        <v>4.2848602178403153E-2</v>
      </c>
    </row>
    <row r="560" spans="6:13" x14ac:dyDescent="0.4">
      <c r="F560" s="1">
        <v>38384</v>
      </c>
      <c r="G560" s="16">
        <v>379.61</v>
      </c>
      <c r="H560" s="16">
        <f t="shared" si="41"/>
        <v>378.75153707447578</v>
      </c>
      <c r="I560">
        <f t="shared" si="42"/>
        <v>2</v>
      </c>
      <c r="J560" s="16" cm="1">
        <f t="array" ref="J560">INDEX(Sm,I560)</f>
        <v>0.68063113884422577</v>
      </c>
      <c r="K560" s="16">
        <f t="shared" si="43"/>
        <v>379.43216821331998</v>
      </c>
      <c r="L560" s="16">
        <f t="shared" si="44"/>
        <v>0.17783178668003075</v>
      </c>
      <c r="M560" s="16">
        <f t="shared" si="45"/>
        <v>3.1624144353811959E-2</v>
      </c>
    </row>
    <row r="561" spans="6:13" x14ac:dyDescent="0.4">
      <c r="F561" s="1">
        <v>38412</v>
      </c>
      <c r="G561" s="16">
        <v>380.08</v>
      </c>
      <c r="H561" s="16">
        <f t="shared" si="41"/>
        <v>378.90450591865351</v>
      </c>
      <c r="I561">
        <f t="shared" si="42"/>
        <v>3</v>
      </c>
      <c r="J561" s="16" cm="1">
        <f t="array" ref="J561">INDEX(Sm,I561)</f>
        <v>1.3939471632320417</v>
      </c>
      <c r="K561" s="16">
        <f t="shared" si="43"/>
        <v>380.29845308188555</v>
      </c>
      <c r="L561" s="16">
        <f t="shared" si="44"/>
        <v>-0.21845308188557055</v>
      </c>
      <c r="M561" s="16">
        <f t="shared" si="45"/>
        <v>4.7721748985303791E-2</v>
      </c>
    </row>
    <row r="562" spans="6:13" x14ac:dyDescent="0.4">
      <c r="F562" s="1">
        <v>38443</v>
      </c>
      <c r="G562" s="16">
        <v>382.05</v>
      </c>
      <c r="H562" s="16">
        <f t="shared" si="41"/>
        <v>379.07409115937912</v>
      </c>
      <c r="I562">
        <f t="shared" si="42"/>
        <v>4</v>
      </c>
      <c r="J562" s="16" cm="1">
        <f t="array" ref="J562">INDEX(Sm,I562)</f>
        <v>2.6315659351379859</v>
      </c>
      <c r="K562" s="16">
        <f t="shared" si="43"/>
        <v>381.70565709451711</v>
      </c>
      <c r="L562" s="16">
        <f t="shared" si="44"/>
        <v>0.34434290548290392</v>
      </c>
      <c r="M562" s="16">
        <f t="shared" si="45"/>
        <v>0.11857203655640811</v>
      </c>
    </row>
    <row r="563" spans="6:13" x14ac:dyDescent="0.4">
      <c r="F563" s="1">
        <v>38473</v>
      </c>
      <c r="G563" s="16">
        <v>382.24</v>
      </c>
      <c r="H563" s="16">
        <f t="shared" si="41"/>
        <v>379.23843321585798</v>
      </c>
      <c r="I563">
        <f t="shared" si="42"/>
        <v>5</v>
      </c>
      <c r="J563" s="16" cm="1">
        <f t="array" ref="J563">INDEX(Sm,I563)</f>
        <v>3.0968597809913625</v>
      </c>
      <c r="K563" s="16">
        <f t="shared" si="43"/>
        <v>382.33529299684932</v>
      </c>
      <c r="L563" s="16">
        <f t="shared" si="44"/>
        <v>-9.5292996849309475E-2</v>
      </c>
      <c r="M563" s="16">
        <f t="shared" si="45"/>
        <v>9.0807552485225058E-3</v>
      </c>
    </row>
    <row r="564" spans="6:13" x14ac:dyDescent="0.4">
      <c r="F564" s="1">
        <v>38504</v>
      </c>
      <c r="G564" s="16">
        <v>382.08</v>
      </c>
      <c r="H564" s="16">
        <f t="shared" si="41"/>
        <v>379.40848855229575</v>
      </c>
      <c r="I564">
        <f t="shared" si="42"/>
        <v>6</v>
      </c>
      <c r="J564" s="16" cm="1">
        <f t="array" ref="J564">INDEX(Sm,I564)</f>
        <v>2.3186578027685911</v>
      </c>
      <c r="K564" s="16">
        <f t="shared" si="43"/>
        <v>381.72714635506435</v>
      </c>
      <c r="L564" s="16">
        <f t="shared" si="44"/>
        <v>0.3528536449356352</v>
      </c>
      <c r="M564" s="16">
        <f t="shared" si="45"/>
        <v>0.12450569474436332</v>
      </c>
    </row>
    <row r="565" spans="6:13" x14ac:dyDescent="0.4">
      <c r="F565" s="1">
        <v>38534</v>
      </c>
      <c r="G565" s="16">
        <v>380.66</v>
      </c>
      <c r="H565" s="16">
        <f t="shared" si="41"/>
        <v>379.57328617021221</v>
      </c>
      <c r="I565">
        <f t="shared" si="42"/>
        <v>7</v>
      </c>
      <c r="J565" s="16" cm="1">
        <f t="array" ref="J565">INDEX(Sm,I565)</f>
        <v>0.74380149245581328</v>
      </c>
      <c r="K565" s="16">
        <f t="shared" si="43"/>
        <v>380.31708766266803</v>
      </c>
      <c r="L565" s="16">
        <f t="shared" si="44"/>
        <v>0.34291233733199533</v>
      </c>
      <c r="M565" s="16">
        <f t="shared" si="45"/>
        <v>0.11758887109449216</v>
      </c>
    </row>
    <row r="566" spans="6:13" x14ac:dyDescent="0.4">
      <c r="F566" s="1">
        <v>38565</v>
      </c>
      <c r="G566" s="16">
        <v>378.67</v>
      </c>
      <c r="H566" s="16">
        <f t="shared" si="41"/>
        <v>379.74381290548251</v>
      </c>
      <c r="I566">
        <f t="shared" si="42"/>
        <v>8</v>
      </c>
      <c r="J566" s="16" cm="1">
        <f t="array" ref="J566">INDEX(Sm,I566)</f>
        <v>-1.3852874640433905</v>
      </c>
      <c r="K566" s="16">
        <f t="shared" si="43"/>
        <v>378.3585254414391</v>
      </c>
      <c r="L566" s="16">
        <f t="shared" si="44"/>
        <v>0.3114745585609171</v>
      </c>
      <c r="M566" s="16">
        <f t="shared" si="45"/>
        <v>9.7016400630718175E-2</v>
      </c>
    </row>
    <row r="567" spans="6:13" x14ac:dyDescent="0.4">
      <c r="F567" s="1">
        <v>38596</v>
      </c>
      <c r="G567" s="16">
        <v>376.42</v>
      </c>
      <c r="H567" s="16">
        <f t="shared" si="41"/>
        <v>379.91457970464603</v>
      </c>
      <c r="I567">
        <f t="shared" si="42"/>
        <v>9</v>
      </c>
      <c r="J567" s="16" cm="1">
        <f t="array" ref="J567">INDEX(Sm,I567)</f>
        <v>-3.188494698714738</v>
      </c>
      <c r="K567" s="16">
        <f t="shared" si="43"/>
        <v>376.72608500593128</v>
      </c>
      <c r="L567" s="16">
        <f t="shared" si="44"/>
        <v>-0.30608500593126564</v>
      </c>
      <c r="M567" s="16">
        <f t="shared" si="45"/>
        <v>9.3688030855942919E-2</v>
      </c>
    </row>
    <row r="568" spans="6:13" x14ac:dyDescent="0.4">
      <c r="F568" s="1">
        <v>38626</v>
      </c>
      <c r="G568" s="16">
        <v>376.8</v>
      </c>
      <c r="H568" s="16">
        <f t="shared" si="41"/>
        <v>380.0800667885029</v>
      </c>
      <c r="I568">
        <f t="shared" si="42"/>
        <v>10</v>
      </c>
      <c r="J568" s="16" cm="1">
        <f t="array" ref="J568">INDEX(Sm,I568)</f>
        <v>-3.3139186770794531</v>
      </c>
      <c r="K568" s="16">
        <f t="shared" si="43"/>
        <v>376.76614811142343</v>
      </c>
      <c r="L568" s="16">
        <f t="shared" si="44"/>
        <v>3.3851888576577949E-2</v>
      </c>
      <c r="M568" s="16">
        <f t="shared" si="45"/>
        <v>1.1459503602010486E-3</v>
      </c>
    </row>
    <row r="569" spans="6:13" x14ac:dyDescent="0.4">
      <c r="F569" s="1">
        <v>38657</v>
      </c>
      <c r="G569" s="16">
        <v>378.31</v>
      </c>
      <c r="H569" s="16">
        <f t="shared" si="41"/>
        <v>380.25130695869632</v>
      </c>
      <c r="I569">
        <f t="shared" si="42"/>
        <v>11</v>
      </c>
      <c r="J569" s="16" cm="1">
        <f t="array" ref="J569">INDEX(Sm,I569)</f>
        <v>-2.0555969925100759</v>
      </c>
      <c r="K569" s="16">
        <f t="shared" si="43"/>
        <v>378.19570996618626</v>
      </c>
      <c r="L569" s="16">
        <f t="shared" si="44"/>
        <v>0.11429003381374514</v>
      </c>
      <c r="M569" s="16">
        <f t="shared" si="45"/>
        <v>1.3062211829147007E-2</v>
      </c>
    </row>
    <row r="570" spans="6:13" x14ac:dyDescent="0.4">
      <c r="F570" s="1">
        <v>38687</v>
      </c>
      <c r="G570" s="16">
        <v>379.96</v>
      </c>
      <c r="H570" s="16">
        <f t="shared" si="41"/>
        <v>380.41725277804346</v>
      </c>
      <c r="I570">
        <f t="shared" si="42"/>
        <v>12</v>
      </c>
      <c r="J570" s="16" cm="1">
        <f t="array" ref="J570">INDEX(Sm,I570)</f>
        <v>-0.88675924001340456</v>
      </c>
      <c r="K570" s="16">
        <f t="shared" si="43"/>
        <v>379.53049353803004</v>
      </c>
      <c r="L570" s="16">
        <f t="shared" si="44"/>
        <v>0.42950646196993603</v>
      </c>
      <c r="M570" s="16">
        <f t="shared" si="45"/>
        <v>0.18447580087393209</v>
      </c>
    </row>
    <row r="571" spans="6:13" x14ac:dyDescent="0.4">
      <c r="F571" s="1">
        <v>38718</v>
      </c>
      <c r="G571" s="16">
        <v>381.37</v>
      </c>
      <c r="H571" s="16">
        <f t="shared" si="41"/>
        <v>380.58896763146652</v>
      </c>
      <c r="I571">
        <f t="shared" si="42"/>
        <v>1</v>
      </c>
      <c r="J571" s="16" cm="1">
        <f t="array" ref="J571">INDEX(Sm,I571)</f>
        <v>-3.5406241068958691E-2</v>
      </c>
      <c r="K571" s="16">
        <f t="shared" si="43"/>
        <v>380.55356139039753</v>
      </c>
      <c r="L571" s="16">
        <f t="shared" si="44"/>
        <v>0.81643860960247139</v>
      </c>
      <c r="M571" s="16">
        <f t="shared" si="45"/>
        <v>0.66657200324961674</v>
      </c>
    </row>
    <row r="572" spans="6:13" x14ac:dyDescent="0.4">
      <c r="F572" s="1">
        <v>38749</v>
      </c>
      <c r="G572" s="16">
        <v>382.02</v>
      </c>
      <c r="H572" s="16">
        <f t="shared" si="41"/>
        <v>380.76092422139016</v>
      </c>
      <c r="I572">
        <f t="shared" si="42"/>
        <v>2</v>
      </c>
      <c r="J572" s="16" cm="1">
        <f t="array" ref="J572">INDEX(Sm,I572)</f>
        <v>0.68063113884422577</v>
      </c>
      <c r="K572" s="16">
        <f t="shared" si="43"/>
        <v>381.44155536023436</v>
      </c>
      <c r="L572" s="16">
        <f t="shared" si="44"/>
        <v>0.5784446397656211</v>
      </c>
      <c r="M572" s="16">
        <f t="shared" si="45"/>
        <v>0.33459820127357914</v>
      </c>
    </row>
    <row r="573" spans="6:13" x14ac:dyDescent="0.4">
      <c r="F573" s="1">
        <v>38777</v>
      </c>
      <c r="G573" s="16">
        <v>382.56</v>
      </c>
      <c r="H573" s="16">
        <f t="shared" si="41"/>
        <v>380.91644791173746</v>
      </c>
      <c r="I573">
        <f t="shared" si="42"/>
        <v>3</v>
      </c>
      <c r="J573" s="16" cm="1">
        <f t="array" ref="J573">INDEX(Sm,I573)</f>
        <v>1.3939471632320417</v>
      </c>
      <c r="K573" s="16">
        <f t="shared" si="43"/>
        <v>382.31039507496951</v>
      </c>
      <c r="L573" s="16">
        <f t="shared" si="44"/>
        <v>0.24960492503049636</v>
      </c>
      <c r="M573" s="16">
        <f t="shared" si="45"/>
        <v>6.2302618599479706E-2</v>
      </c>
    </row>
    <row r="574" spans="6:13" x14ac:dyDescent="0.4">
      <c r="F574" s="1">
        <v>38808</v>
      </c>
      <c r="G574" s="16">
        <v>384.36</v>
      </c>
      <c r="H574" s="16">
        <f t="shared" si="41"/>
        <v>381.08886552140063</v>
      </c>
      <c r="I574">
        <f t="shared" si="42"/>
        <v>4</v>
      </c>
      <c r="J574" s="16" cm="1">
        <f t="array" ref="J574">INDEX(Sm,I574)</f>
        <v>2.6315659351379859</v>
      </c>
      <c r="K574" s="16">
        <f t="shared" si="43"/>
        <v>383.72043145653862</v>
      </c>
      <c r="L574" s="16">
        <f t="shared" si="44"/>
        <v>0.6395685434613938</v>
      </c>
      <c r="M574" s="16">
        <f t="shared" si="45"/>
        <v>0.40904792178532878</v>
      </c>
    </row>
    <row r="575" spans="6:13" x14ac:dyDescent="0.4">
      <c r="F575" s="1">
        <v>38838</v>
      </c>
      <c r="G575" s="16">
        <v>384.92</v>
      </c>
      <c r="H575" s="16">
        <f t="shared" si="41"/>
        <v>381.25595237650646</v>
      </c>
      <c r="I575">
        <f t="shared" si="42"/>
        <v>5</v>
      </c>
      <c r="J575" s="16" cm="1">
        <f t="array" ref="J575">INDEX(Sm,I575)</f>
        <v>3.0968597809913625</v>
      </c>
      <c r="K575" s="16">
        <f t="shared" si="43"/>
        <v>384.35281215749779</v>
      </c>
      <c r="L575" s="16">
        <f t="shared" si="44"/>
        <v>0.56718784250222143</v>
      </c>
      <c r="M575" s="16">
        <f t="shared" si="45"/>
        <v>0.32170204868232471</v>
      </c>
    </row>
    <row r="576" spans="6:13" x14ac:dyDescent="0.4">
      <c r="F576" s="1">
        <v>38869</v>
      </c>
      <c r="G576" s="16">
        <v>384.03</v>
      </c>
      <c r="H576" s="16">
        <f t="shared" si="41"/>
        <v>381.42884793329904</v>
      </c>
      <c r="I576">
        <f t="shared" si="42"/>
        <v>6</v>
      </c>
      <c r="J576" s="16" cm="1">
        <f t="array" ref="J576">INDEX(Sm,I576)</f>
        <v>2.3186578027685911</v>
      </c>
      <c r="K576" s="16">
        <f t="shared" si="43"/>
        <v>383.74750573606764</v>
      </c>
      <c r="L576" s="16">
        <f t="shared" si="44"/>
        <v>0.28249426393233534</v>
      </c>
      <c r="M576" s="16">
        <f t="shared" si="45"/>
        <v>7.9803009154671936E-2</v>
      </c>
    </row>
    <row r="577" spans="6:13" x14ac:dyDescent="0.4">
      <c r="F577" s="1">
        <v>38899</v>
      </c>
      <c r="G577" s="16">
        <v>382.28</v>
      </c>
      <c r="H577" s="16">
        <f t="shared" si="41"/>
        <v>381.59639795851223</v>
      </c>
      <c r="I577">
        <f t="shared" si="42"/>
        <v>7</v>
      </c>
      <c r="J577" s="16" cm="1">
        <f t="array" ref="J577">INDEX(Sm,I577)</f>
        <v>0.74380149245581328</v>
      </c>
      <c r="K577" s="16">
        <f t="shared" si="43"/>
        <v>382.34019945096804</v>
      </c>
      <c r="L577" s="16">
        <f t="shared" si="44"/>
        <v>-6.0199450968070778E-2</v>
      </c>
      <c r="M577" s="16">
        <f t="shared" si="45"/>
        <v>3.6239738968571575E-3</v>
      </c>
    </row>
    <row r="578" spans="6:13" x14ac:dyDescent="0.4">
      <c r="F578" s="1">
        <v>38930</v>
      </c>
      <c r="G578" s="16">
        <v>380.48</v>
      </c>
      <c r="H578" s="16">
        <f t="shared" si="41"/>
        <v>381.76977278731897</v>
      </c>
      <c r="I578">
        <f t="shared" si="42"/>
        <v>8</v>
      </c>
      <c r="J578" s="16" cm="1">
        <f t="array" ref="J578">INDEX(Sm,I578)</f>
        <v>-1.3852874640433905</v>
      </c>
      <c r="K578" s="16">
        <f t="shared" si="43"/>
        <v>380.38448532327556</v>
      </c>
      <c r="L578" s="16">
        <f t="shared" si="44"/>
        <v>9.5514676724462788E-2</v>
      </c>
      <c r="M578" s="16">
        <f t="shared" si="45"/>
        <v>9.1230534697786334E-3</v>
      </c>
    </row>
    <row r="579" spans="6:13" x14ac:dyDescent="0.4">
      <c r="F579" s="1">
        <v>38961</v>
      </c>
      <c r="G579" s="16">
        <v>378.81</v>
      </c>
      <c r="H579" s="16">
        <f t="shared" ref="H579:H642" si="46">EXP(_A*F579+_B)+_C</f>
        <v>381.94339168950438</v>
      </c>
      <c r="I579">
        <f t="shared" ref="I579:I642" si="47">MONTH(F579)</f>
        <v>9</v>
      </c>
      <c r="J579" s="16" cm="1">
        <f t="array" ref="J579">INDEX(Sm,I579)</f>
        <v>-3.188494698714738</v>
      </c>
      <c r="K579" s="16">
        <f t="shared" ref="K579:K642" si="48">H579+J579</f>
        <v>378.75489699078963</v>
      </c>
      <c r="L579" s="16">
        <f t="shared" ref="L579:L642" si="49">G579-K579</f>
        <v>5.5103009210370146E-2</v>
      </c>
      <c r="M579" s="16">
        <f t="shared" ref="M579:M642" si="50">L579*L579</f>
        <v>3.0363416240381373E-3</v>
      </c>
    </row>
    <row r="580" spans="6:13" x14ac:dyDescent="0.4">
      <c r="F580" s="1">
        <v>38991</v>
      </c>
      <c r="G580" s="16">
        <v>379.06</v>
      </c>
      <c r="H580" s="16">
        <f t="shared" si="46"/>
        <v>382.11164269594008</v>
      </c>
      <c r="I580">
        <f t="shared" si="47"/>
        <v>10</v>
      </c>
      <c r="J580" s="16" cm="1">
        <f t="array" ref="J580">INDEX(Sm,I580)</f>
        <v>-3.3139186770794531</v>
      </c>
      <c r="K580" s="16">
        <f t="shared" si="48"/>
        <v>378.79772401886061</v>
      </c>
      <c r="L580" s="16">
        <f t="shared" si="49"/>
        <v>0.26227598113939621</v>
      </c>
      <c r="M580" s="16">
        <f t="shared" si="50"/>
        <v>6.8788690282632917E-2</v>
      </c>
    </row>
    <row r="581" spans="6:13" x14ac:dyDescent="0.4">
      <c r="F581" s="1">
        <v>39022</v>
      </c>
      <c r="G581" s="16">
        <v>380.14</v>
      </c>
      <c r="H581" s="16">
        <f t="shared" si="46"/>
        <v>382.28574287527607</v>
      </c>
      <c r="I581">
        <f t="shared" si="47"/>
        <v>11</v>
      </c>
      <c r="J581" s="16" cm="1">
        <f t="array" ref="J581">INDEX(Sm,I581)</f>
        <v>-2.0555969925100759</v>
      </c>
      <c r="K581" s="16">
        <f t="shared" si="48"/>
        <v>380.23014588276601</v>
      </c>
      <c r="L581" s="16">
        <f t="shared" si="49"/>
        <v>-9.0145882766023533E-2</v>
      </c>
      <c r="M581" s="16">
        <f t="shared" si="50"/>
        <v>8.1262801796656587E-3</v>
      </c>
    </row>
    <row r="582" spans="6:13" x14ac:dyDescent="0.4">
      <c r="F582" s="1">
        <v>39052</v>
      </c>
      <c r="G582" s="16">
        <v>381.66</v>
      </c>
      <c r="H582" s="16">
        <f t="shared" si="46"/>
        <v>382.4544602788838</v>
      </c>
      <c r="I582">
        <f t="shared" si="47"/>
        <v>12</v>
      </c>
      <c r="J582" s="16" cm="1">
        <f t="array" ref="J582">INDEX(Sm,I582)</f>
        <v>-0.88675924001340456</v>
      </c>
      <c r="K582" s="16">
        <f t="shared" si="48"/>
        <v>381.56770103887038</v>
      </c>
      <c r="L582" s="16">
        <f t="shared" si="49"/>
        <v>9.2298961129642976E-2</v>
      </c>
      <c r="M582" s="16">
        <f t="shared" si="50"/>
        <v>8.5190982256113448E-3</v>
      </c>
    </row>
    <row r="583" spans="6:13" x14ac:dyDescent="0.4">
      <c r="F583" s="1">
        <v>39083</v>
      </c>
      <c r="G583" s="16">
        <v>382.58</v>
      </c>
      <c r="H583" s="16">
        <f t="shared" si="46"/>
        <v>382.62904306948622</v>
      </c>
      <c r="I583">
        <f t="shared" si="47"/>
        <v>1</v>
      </c>
      <c r="J583" s="16" cm="1">
        <f t="array" ref="J583">INDEX(Sm,I583)</f>
        <v>-3.5406241068958691E-2</v>
      </c>
      <c r="K583" s="16">
        <f t="shared" si="48"/>
        <v>382.59363682841723</v>
      </c>
      <c r="L583" s="16">
        <f t="shared" si="49"/>
        <v>-1.3636828417247671E-2</v>
      </c>
      <c r="M583" s="16">
        <f t="shared" si="50"/>
        <v>1.859630892814536E-4</v>
      </c>
    </row>
    <row r="584" spans="6:13" x14ac:dyDescent="0.4">
      <c r="F584" s="1">
        <v>39114</v>
      </c>
      <c r="G584" s="16">
        <v>383.71</v>
      </c>
      <c r="H584" s="16">
        <f t="shared" si="46"/>
        <v>382.80387163401002</v>
      </c>
      <c r="I584">
        <f t="shared" si="47"/>
        <v>2</v>
      </c>
      <c r="J584" s="16" cm="1">
        <f t="array" ref="J584">INDEX(Sm,I584)</f>
        <v>0.68063113884422577</v>
      </c>
      <c r="K584" s="16">
        <f t="shared" si="48"/>
        <v>383.48450277285423</v>
      </c>
      <c r="L584" s="16">
        <f t="shared" si="49"/>
        <v>0.22549722714575182</v>
      </c>
      <c r="M584" s="16">
        <f t="shared" si="50"/>
        <v>5.0848999450422795E-2</v>
      </c>
    </row>
    <row r="585" spans="6:13" x14ac:dyDescent="0.4">
      <c r="F585" s="1">
        <v>39142</v>
      </c>
      <c r="G585" s="16">
        <v>384.34</v>
      </c>
      <c r="H585" s="16">
        <f t="shared" si="46"/>
        <v>382.96199284090824</v>
      </c>
      <c r="I585">
        <f t="shared" si="47"/>
        <v>3</v>
      </c>
      <c r="J585" s="16" cm="1">
        <f t="array" ref="J585">INDEX(Sm,I585)</f>
        <v>1.3939471632320417</v>
      </c>
      <c r="K585" s="16">
        <f t="shared" si="48"/>
        <v>384.35594000414028</v>
      </c>
      <c r="L585" s="16">
        <f t="shared" si="49"/>
        <v>-1.5940004140304609E-2</v>
      </c>
      <c r="M585" s="16">
        <f t="shared" si="50"/>
        <v>2.5408373199292808E-4</v>
      </c>
    </row>
    <row r="586" spans="6:13" x14ac:dyDescent="0.4">
      <c r="F586" s="1">
        <v>39173</v>
      </c>
      <c r="G586" s="16">
        <v>386.23</v>
      </c>
      <c r="H586" s="16">
        <f t="shared" si="46"/>
        <v>383.13729012500431</v>
      </c>
      <c r="I586">
        <f t="shared" si="47"/>
        <v>4</v>
      </c>
      <c r="J586" s="16" cm="1">
        <f t="array" ref="J586">INDEX(Sm,I586)</f>
        <v>2.6315659351379859</v>
      </c>
      <c r="K586" s="16">
        <f t="shared" si="48"/>
        <v>385.7688560601423</v>
      </c>
      <c r="L586" s="16">
        <f t="shared" si="49"/>
        <v>0.4611439398577204</v>
      </c>
      <c r="M586" s="16">
        <f t="shared" si="50"/>
        <v>0.21265373326750084</v>
      </c>
    </row>
    <row r="587" spans="6:13" x14ac:dyDescent="0.4">
      <c r="F587" s="1">
        <v>39203</v>
      </c>
      <c r="G587" s="16">
        <v>386.41</v>
      </c>
      <c r="H587" s="16">
        <f t="shared" si="46"/>
        <v>383.30716762165571</v>
      </c>
      <c r="I587">
        <f t="shared" si="47"/>
        <v>5</v>
      </c>
      <c r="J587" s="16" cm="1">
        <f t="array" ref="J587">INDEX(Sm,I587)</f>
        <v>3.0968597809913625</v>
      </c>
      <c r="K587" s="16">
        <f t="shared" si="48"/>
        <v>386.40402740264705</v>
      </c>
      <c r="L587" s="16">
        <f t="shared" si="49"/>
        <v>5.9725973529793919E-3</v>
      </c>
      <c r="M587" s="16">
        <f t="shared" si="50"/>
        <v>3.5671919140816441E-5</v>
      </c>
    </row>
    <row r="588" spans="6:13" x14ac:dyDescent="0.4">
      <c r="F588" s="1">
        <v>39234</v>
      </c>
      <c r="G588" s="16">
        <v>385.87</v>
      </c>
      <c r="H588" s="16">
        <f t="shared" si="46"/>
        <v>383.4829508354307</v>
      </c>
      <c r="I588">
        <f t="shared" si="47"/>
        <v>6</v>
      </c>
      <c r="J588" s="16" cm="1">
        <f t="array" ref="J588">INDEX(Sm,I588)</f>
        <v>2.3186578027685911</v>
      </c>
      <c r="K588" s="16">
        <f t="shared" si="48"/>
        <v>385.8016086381993</v>
      </c>
      <c r="L588" s="16">
        <f t="shared" si="49"/>
        <v>6.8391361800706818E-2</v>
      </c>
      <c r="M588" s="16">
        <f t="shared" si="50"/>
        <v>4.67737836895518E-3</v>
      </c>
    </row>
    <row r="589" spans="6:13" x14ac:dyDescent="0.4">
      <c r="F589" s="1">
        <v>39264</v>
      </c>
      <c r="G589" s="16">
        <v>384.44</v>
      </c>
      <c r="H589" s="16">
        <f t="shared" si="46"/>
        <v>383.65329923793695</v>
      </c>
      <c r="I589">
        <f t="shared" si="47"/>
        <v>7</v>
      </c>
      <c r="J589" s="16" cm="1">
        <f t="array" ref="J589">INDEX(Sm,I589)</f>
        <v>0.74380149245581328</v>
      </c>
      <c r="K589" s="16">
        <f t="shared" si="48"/>
        <v>384.39710073039276</v>
      </c>
      <c r="L589" s="16">
        <f t="shared" si="49"/>
        <v>4.2899269607232782E-2</v>
      </c>
      <c r="M589" s="16">
        <f t="shared" si="50"/>
        <v>1.8403473328340463E-3</v>
      </c>
    </row>
    <row r="590" spans="6:13" x14ac:dyDescent="0.4">
      <c r="F590" s="1">
        <v>39295</v>
      </c>
      <c r="G590" s="16">
        <v>381.84</v>
      </c>
      <c r="H590" s="16">
        <f t="shared" si="46"/>
        <v>383.82956972840384</v>
      </c>
      <c r="I590">
        <f t="shared" si="47"/>
        <v>8</v>
      </c>
      <c r="J590" s="16" cm="1">
        <f t="array" ref="J590">INDEX(Sm,I590)</f>
        <v>-1.3852874640433905</v>
      </c>
      <c r="K590" s="16">
        <f t="shared" si="48"/>
        <v>382.44428226436042</v>
      </c>
      <c r="L590" s="16">
        <f t="shared" si="49"/>
        <v>-0.60428226436044952</v>
      </c>
      <c r="M590" s="16">
        <f t="shared" si="50"/>
        <v>0.3651570550205922</v>
      </c>
    </row>
    <row r="591" spans="6:13" x14ac:dyDescent="0.4">
      <c r="F591" s="1">
        <v>39326</v>
      </c>
      <c r="G591" s="16">
        <v>380.86</v>
      </c>
      <c r="H591" s="16">
        <f t="shared" si="46"/>
        <v>384.00608836869969</v>
      </c>
      <c r="I591">
        <f t="shared" si="47"/>
        <v>9</v>
      </c>
      <c r="J591" s="16" cm="1">
        <f t="array" ref="J591">INDEX(Sm,I591)</f>
        <v>-3.188494698714738</v>
      </c>
      <c r="K591" s="16">
        <f t="shared" si="48"/>
        <v>380.81759366998494</v>
      </c>
      <c r="L591" s="16">
        <f t="shared" si="49"/>
        <v>4.2406330015069216E-2</v>
      </c>
      <c r="M591" s="16">
        <f t="shared" si="50"/>
        <v>1.7982968253469603E-3</v>
      </c>
    </row>
    <row r="592" spans="6:13" x14ac:dyDescent="0.4">
      <c r="F592" s="1">
        <v>39356</v>
      </c>
      <c r="G592" s="16">
        <v>380.86</v>
      </c>
      <c r="H592" s="16">
        <f t="shared" si="46"/>
        <v>384.17714946003611</v>
      </c>
      <c r="I592">
        <f t="shared" si="47"/>
        <v>10</v>
      </c>
      <c r="J592" s="16" cm="1">
        <f t="array" ref="J592">INDEX(Sm,I592)</f>
        <v>-3.3139186770794531</v>
      </c>
      <c r="K592" s="16">
        <f t="shared" si="48"/>
        <v>380.86323078295663</v>
      </c>
      <c r="L592" s="16">
        <f t="shared" si="49"/>
        <v>-3.2307829566207147E-3</v>
      </c>
      <c r="M592" s="16">
        <f t="shared" si="50"/>
        <v>1.0437958512790887E-5</v>
      </c>
    </row>
    <row r="593" spans="6:13" x14ac:dyDescent="0.4">
      <c r="F593" s="1">
        <v>39387</v>
      </c>
      <c r="G593" s="16">
        <v>382.36</v>
      </c>
      <c r="H593" s="16">
        <f t="shared" si="46"/>
        <v>384.35415741564958</v>
      </c>
      <c r="I593">
        <f t="shared" si="47"/>
        <v>11</v>
      </c>
      <c r="J593" s="16" cm="1">
        <f t="array" ref="J593">INDEX(Sm,I593)</f>
        <v>-2.0555969925100759</v>
      </c>
      <c r="K593" s="16">
        <f t="shared" si="48"/>
        <v>382.29856042313952</v>
      </c>
      <c r="L593" s="16">
        <f t="shared" si="49"/>
        <v>6.1439576860493617E-2</v>
      </c>
      <c r="M593" s="16">
        <f t="shared" si="50"/>
        <v>3.7748216047965026E-3</v>
      </c>
    </row>
    <row r="594" spans="6:13" x14ac:dyDescent="0.4">
      <c r="F594" s="1">
        <v>39417</v>
      </c>
      <c r="G594" s="16">
        <v>383.61</v>
      </c>
      <c r="H594" s="16">
        <f t="shared" si="46"/>
        <v>384.52569269380319</v>
      </c>
      <c r="I594">
        <f t="shared" si="47"/>
        <v>12</v>
      </c>
      <c r="J594" s="16" cm="1">
        <f t="array" ref="J594">INDEX(Sm,I594)</f>
        <v>-0.88675924001340456</v>
      </c>
      <c r="K594" s="16">
        <f t="shared" si="48"/>
        <v>383.63893345378978</v>
      </c>
      <c r="L594" s="16">
        <f t="shared" si="49"/>
        <v>-2.8933453789761643E-2</v>
      </c>
      <c r="M594" s="16">
        <f t="shared" si="50"/>
        <v>8.3714474820427236E-4</v>
      </c>
    </row>
    <row r="595" spans="6:13" x14ac:dyDescent="0.4">
      <c r="F595" s="1">
        <v>39448</v>
      </c>
      <c r="G595" s="16">
        <v>385.07</v>
      </c>
      <c r="H595" s="16">
        <f t="shared" si="46"/>
        <v>384.70319132113184</v>
      </c>
      <c r="I595">
        <f t="shared" si="47"/>
        <v>1</v>
      </c>
      <c r="J595" s="16" cm="1">
        <f t="array" ref="J595">INDEX(Sm,I595)</f>
        <v>-3.5406241068958691E-2</v>
      </c>
      <c r="K595" s="16">
        <f t="shared" si="48"/>
        <v>384.66778508006286</v>
      </c>
      <c r="L595" s="16">
        <f t="shared" si="49"/>
        <v>0.40221491993713698</v>
      </c>
      <c r="M595" s="16">
        <f t="shared" si="50"/>
        <v>0.16177684182003751</v>
      </c>
    </row>
    <row r="596" spans="6:13" x14ac:dyDescent="0.4">
      <c r="F596" s="1">
        <v>39479</v>
      </c>
      <c r="G596" s="16">
        <v>385.84</v>
      </c>
      <c r="H596" s="16">
        <f t="shared" si="46"/>
        <v>384.88093982723444</v>
      </c>
      <c r="I596">
        <f t="shared" si="47"/>
        <v>2</v>
      </c>
      <c r="J596" s="16" cm="1">
        <f t="array" ref="J596">INDEX(Sm,I596)</f>
        <v>0.68063113884422577</v>
      </c>
      <c r="K596" s="16">
        <f t="shared" si="48"/>
        <v>385.56157096607865</v>
      </c>
      <c r="L596" s="16">
        <f t="shared" si="49"/>
        <v>0.27842903392132712</v>
      </c>
      <c r="M596" s="16">
        <f t="shared" si="50"/>
        <v>7.7522726930363522E-2</v>
      </c>
    </row>
    <row r="597" spans="6:13" x14ac:dyDescent="0.4">
      <c r="F597" s="1">
        <v>39508</v>
      </c>
      <c r="G597" s="16">
        <v>385.83</v>
      </c>
      <c r="H597" s="16">
        <f t="shared" si="46"/>
        <v>385.04744721638605</v>
      </c>
      <c r="I597">
        <f t="shared" si="47"/>
        <v>3</v>
      </c>
      <c r="J597" s="16" cm="1">
        <f t="array" ref="J597">INDEX(Sm,I597)</f>
        <v>1.3939471632320417</v>
      </c>
      <c r="K597" s="16">
        <f t="shared" si="48"/>
        <v>386.44139437961809</v>
      </c>
      <c r="L597" s="16">
        <f t="shared" si="49"/>
        <v>-0.61139437961810472</v>
      </c>
      <c r="M597" s="16">
        <f t="shared" si="50"/>
        <v>0.37380308742860713</v>
      </c>
    </row>
    <row r="598" spans="6:13" x14ac:dyDescent="0.4">
      <c r="F598" s="1">
        <v>39539</v>
      </c>
      <c r="G598" s="16">
        <v>386.77</v>
      </c>
      <c r="H598" s="16">
        <f t="shared" si="46"/>
        <v>385.22568035858035</v>
      </c>
      <c r="I598">
        <f t="shared" si="47"/>
        <v>4</v>
      </c>
      <c r="J598" s="16" cm="1">
        <f t="array" ref="J598">INDEX(Sm,I598)</f>
        <v>2.6315659351379859</v>
      </c>
      <c r="K598" s="16">
        <f t="shared" si="48"/>
        <v>387.85724629371833</v>
      </c>
      <c r="L598" s="16">
        <f t="shared" si="49"/>
        <v>-1.0872462937183514</v>
      </c>
      <c r="M598" s="16">
        <f t="shared" si="50"/>
        <v>1.1821045032042916</v>
      </c>
    </row>
    <row r="599" spans="6:13" x14ac:dyDescent="0.4">
      <c r="F599" s="1">
        <v>39569</v>
      </c>
      <c r="G599" s="16">
        <v>388.51</v>
      </c>
      <c r="H599" s="16">
        <f t="shared" si="46"/>
        <v>385.39840294337353</v>
      </c>
      <c r="I599">
        <f t="shared" si="47"/>
        <v>5</v>
      </c>
      <c r="J599" s="16" cm="1">
        <f t="array" ref="J599">INDEX(Sm,I599)</f>
        <v>3.0968597809913625</v>
      </c>
      <c r="K599" s="16">
        <f t="shared" si="48"/>
        <v>388.49526272436486</v>
      </c>
      <c r="L599" s="16">
        <f t="shared" si="49"/>
        <v>1.4737275635127389E-2</v>
      </c>
      <c r="M599" s="16">
        <f t="shared" si="50"/>
        <v>2.171872931457194E-4</v>
      </c>
    </row>
    <row r="600" spans="6:13" x14ac:dyDescent="0.4">
      <c r="F600" s="1">
        <v>39600</v>
      </c>
      <c r="G600" s="16">
        <v>388.05</v>
      </c>
      <c r="H600" s="16">
        <f t="shared" si="46"/>
        <v>385.5771301535396</v>
      </c>
      <c r="I600">
        <f t="shared" si="47"/>
        <v>6</v>
      </c>
      <c r="J600" s="16" cm="1">
        <f t="array" ref="J600">INDEX(Sm,I600)</f>
        <v>2.3186578027685911</v>
      </c>
      <c r="K600" s="16">
        <f t="shared" si="48"/>
        <v>387.8957879563082</v>
      </c>
      <c r="L600" s="16">
        <f t="shared" si="49"/>
        <v>0.15421204369181396</v>
      </c>
      <c r="M600" s="16">
        <f t="shared" si="50"/>
        <v>2.3781354419605938E-2</v>
      </c>
    </row>
    <row r="601" spans="6:13" x14ac:dyDescent="0.4">
      <c r="F601" s="1">
        <v>39630</v>
      </c>
      <c r="G601" s="16">
        <v>386.25</v>
      </c>
      <c r="H601" s="16">
        <f t="shared" si="46"/>
        <v>385.75033153086304</v>
      </c>
      <c r="I601">
        <f t="shared" si="47"/>
        <v>7</v>
      </c>
      <c r="J601" s="16" cm="1">
        <f t="array" ref="J601">INDEX(Sm,I601)</f>
        <v>0.74380149245581328</v>
      </c>
      <c r="K601" s="16">
        <f t="shared" si="48"/>
        <v>386.49413302331885</v>
      </c>
      <c r="L601" s="16">
        <f t="shared" si="49"/>
        <v>-0.24413302331885234</v>
      </c>
      <c r="M601" s="16">
        <f t="shared" si="50"/>
        <v>5.9600933074803297E-2</v>
      </c>
    </row>
    <row r="602" spans="6:13" x14ac:dyDescent="0.4">
      <c r="F602" s="1">
        <v>39661</v>
      </c>
      <c r="G602" s="16">
        <v>384.08</v>
      </c>
      <c r="H602" s="16">
        <f t="shared" si="46"/>
        <v>385.9295541785728</v>
      </c>
      <c r="I602">
        <f t="shared" si="47"/>
        <v>8</v>
      </c>
      <c r="J602" s="16" cm="1">
        <f t="array" ref="J602">INDEX(Sm,I602)</f>
        <v>-1.3852874640433905</v>
      </c>
      <c r="K602" s="16">
        <f t="shared" si="48"/>
        <v>384.54426671452939</v>
      </c>
      <c r="L602" s="16">
        <f t="shared" si="49"/>
        <v>-0.46426671452940127</v>
      </c>
      <c r="M602" s="16">
        <f t="shared" si="50"/>
        <v>0.21554358221992456</v>
      </c>
    </row>
    <row r="603" spans="6:13" x14ac:dyDescent="0.4">
      <c r="F603" s="1">
        <v>39692</v>
      </c>
      <c r="G603" s="16">
        <v>383.09</v>
      </c>
      <c r="H603" s="16">
        <f t="shared" si="46"/>
        <v>386.10902913209566</v>
      </c>
      <c r="I603">
        <f t="shared" si="47"/>
        <v>9</v>
      </c>
      <c r="J603" s="16" cm="1">
        <f t="array" ref="J603">INDEX(Sm,I603)</f>
        <v>-3.188494698714738</v>
      </c>
      <c r="K603" s="16">
        <f t="shared" si="48"/>
        <v>382.92053443338091</v>
      </c>
      <c r="L603" s="16">
        <f t="shared" si="49"/>
        <v>0.16946556661906698</v>
      </c>
      <c r="M603" s="16">
        <f t="shared" si="50"/>
        <v>2.8718578269521428E-2</v>
      </c>
    </row>
    <row r="604" spans="6:13" x14ac:dyDescent="0.4">
      <c r="F604" s="1">
        <v>39722</v>
      </c>
      <c r="G604" s="16">
        <v>382.78</v>
      </c>
      <c r="H604" s="16">
        <f t="shared" si="46"/>
        <v>386.28295513427719</v>
      </c>
      <c r="I604">
        <f t="shared" si="47"/>
        <v>10</v>
      </c>
      <c r="J604" s="16" cm="1">
        <f t="array" ref="J604">INDEX(Sm,I604)</f>
        <v>-3.3139186770794531</v>
      </c>
      <c r="K604" s="16">
        <f t="shared" si="48"/>
        <v>382.96903645719772</v>
      </c>
      <c r="L604" s="16">
        <f t="shared" si="49"/>
        <v>-0.18903645719774431</v>
      </c>
      <c r="M604" s="16">
        <f t="shared" si="50"/>
        <v>3.5734782149874619E-2</v>
      </c>
    </row>
    <row r="605" spans="6:13" x14ac:dyDescent="0.4">
      <c r="F605" s="1">
        <v>39753</v>
      </c>
      <c r="G605" s="16">
        <v>384.01</v>
      </c>
      <c r="H605" s="16">
        <f t="shared" si="46"/>
        <v>386.4629275981124</v>
      </c>
      <c r="I605">
        <f t="shared" si="47"/>
        <v>11</v>
      </c>
      <c r="J605" s="16" cm="1">
        <f t="array" ref="J605">INDEX(Sm,I605)</f>
        <v>-2.0555969925100759</v>
      </c>
      <c r="K605" s="16">
        <f t="shared" si="48"/>
        <v>384.40733060560234</v>
      </c>
      <c r="L605" s="16">
        <f t="shared" si="49"/>
        <v>-0.3973306056023489</v>
      </c>
      <c r="M605" s="16">
        <f t="shared" si="50"/>
        <v>0.15787161014832932</v>
      </c>
    </row>
    <row r="606" spans="6:13" x14ac:dyDescent="0.4">
      <c r="F606" s="1">
        <v>39783</v>
      </c>
      <c r="G606" s="16">
        <v>385.11</v>
      </c>
      <c r="H606" s="16">
        <f t="shared" si="46"/>
        <v>386.63733572873559</v>
      </c>
      <c r="I606">
        <f t="shared" si="47"/>
        <v>12</v>
      </c>
      <c r="J606" s="16" cm="1">
        <f t="array" ref="J606">INDEX(Sm,I606)</f>
        <v>-0.88675924001340456</v>
      </c>
      <c r="K606" s="16">
        <f t="shared" si="48"/>
        <v>385.75057648872217</v>
      </c>
      <c r="L606" s="16">
        <f t="shared" si="49"/>
        <v>-0.64057648872216078</v>
      </c>
      <c r="M606" s="16">
        <f t="shared" si="50"/>
        <v>0.41033823790361257</v>
      </c>
    </row>
    <row r="607" spans="6:13" x14ac:dyDescent="0.4">
      <c r="F607" s="1">
        <v>39814</v>
      </c>
      <c r="G607" s="16">
        <v>386.65</v>
      </c>
      <c r="H607" s="16">
        <f t="shared" si="46"/>
        <v>386.81780708199778</v>
      </c>
      <c r="I607">
        <f t="shared" si="47"/>
        <v>1</v>
      </c>
      <c r="J607" s="16" cm="1">
        <f t="array" ref="J607">INDEX(Sm,I607)</f>
        <v>-3.5406241068958691E-2</v>
      </c>
      <c r="K607" s="16">
        <f t="shared" si="48"/>
        <v>386.7824008409288</v>
      </c>
      <c r="L607" s="16">
        <f t="shared" si="49"/>
        <v>-0.13240084092882398</v>
      </c>
      <c r="M607" s="16">
        <f t="shared" si="50"/>
        <v>1.7529982678659753E-2</v>
      </c>
    </row>
    <row r="608" spans="6:13" x14ac:dyDescent="0.4">
      <c r="F608" s="1">
        <v>39845</v>
      </c>
      <c r="G608" s="16">
        <v>387.12</v>
      </c>
      <c r="H608" s="16">
        <f t="shared" si="46"/>
        <v>386.99853249897376</v>
      </c>
      <c r="I608">
        <f t="shared" si="47"/>
        <v>2</v>
      </c>
      <c r="J608" s="16" cm="1">
        <f t="array" ref="J608">INDEX(Sm,I608)</f>
        <v>0.68063113884422577</v>
      </c>
      <c r="K608" s="16">
        <f t="shared" si="48"/>
        <v>387.67916363781796</v>
      </c>
      <c r="L608" s="16">
        <f t="shared" si="49"/>
        <v>-0.55916363781796008</v>
      </c>
      <c r="M608" s="16">
        <f t="shared" si="50"/>
        <v>0.31266397385781486</v>
      </c>
    </row>
    <row r="609" spans="6:13" x14ac:dyDescent="0.4">
      <c r="F609" s="1">
        <v>39873</v>
      </c>
      <c r="G609" s="16">
        <v>388.52</v>
      </c>
      <c r="H609" s="16">
        <f t="shared" si="46"/>
        <v>387.16198703014425</v>
      </c>
      <c r="I609">
        <f t="shared" si="47"/>
        <v>3</v>
      </c>
      <c r="J609" s="16" cm="1">
        <f t="array" ref="J609">INDEX(Sm,I609)</f>
        <v>1.3939471632320417</v>
      </c>
      <c r="K609" s="16">
        <f t="shared" si="48"/>
        <v>388.55593419337629</v>
      </c>
      <c r="L609" s="16">
        <f t="shared" si="49"/>
        <v>-3.5934193376306212E-2</v>
      </c>
      <c r="M609" s="16">
        <f t="shared" si="50"/>
        <v>1.2912662536057693E-3</v>
      </c>
    </row>
    <row r="610" spans="6:13" x14ac:dyDescent="0.4">
      <c r="F610" s="1">
        <v>39904</v>
      </c>
      <c r="G610" s="16">
        <v>389.57</v>
      </c>
      <c r="H610" s="16">
        <f t="shared" si="46"/>
        <v>387.3431969762953</v>
      </c>
      <c r="I610">
        <f t="shared" si="47"/>
        <v>4</v>
      </c>
      <c r="J610" s="16" cm="1">
        <f t="array" ref="J610">INDEX(Sm,I610)</f>
        <v>2.6315659351379859</v>
      </c>
      <c r="K610" s="16">
        <f t="shared" si="48"/>
        <v>389.97476291143329</v>
      </c>
      <c r="L610" s="16">
        <f t="shared" si="49"/>
        <v>-0.4047629114332949</v>
      </c>
      <c r="M610" s="16">
        <f t="shared" si="50"/>
        <v>0.16383301447195733</v>
      </c>
    </row>
    <row r="611" spans="6:13" x14ac:dyDescent="0.4">
      <c r="F611" s="1">
        <v>39934</v>
      </c>
      <c r="G611" s="16">
        <v>390.17</v>
      </c>
      <c r="H611" s="16">
        <f t="shared" si="46"/>
        <v>387.51880432913731</v>
      </c>
      <c r="I611">
        <f t="shared" si="47"/>
        <v>5</v>
      </c>
      <c r="J611" s="16" cm="1">
        <f t="array" ref="J611">INDEX(Sm,I611)</f>
        <v>3.0968597809913625</v>
      </c>
      <c r="K611" s="16">
        <f t="shared" si="48"/>
        <v>390.61566411012865</v>
      </c>
      <c r="L611" s="16">
        <f t="shared" si="49"/>
        <v>-0.44566411012863227</v>
      </c>
      <c r="M611" s="16">
        <f t="shared" si="50"/>
        <v>0.19861649905674567</v>
      </c>
    </row>
    <row r="612" spans="6:13" x14ac:dyDescent="0.4">
      <c r="F612" s="1">
        <v>39965</v>
      </c>
      <c r="G612" s="16">
        <v>389.62</v>
      </c>
      <c r="H612" s="16">
        <f t="shared" si="46"/>
        <v>387.70051659505583</v>
      </c>
      <c r="I612">
        <f t="shared" si="47"/>
        <v>6</v>
      </c>
      <c r="J612" s="16" cm="1">
        <f t="array" ref="J612">INDEX(Sm,I612)</f>
        <v>2.3186578027685911</v>
      </c>
      <c r="K612" s="16">
        <f t="shared" si="48"/>
        <v>390.01917439782443</v>
      </c>
      <c r="L612" s="16">
        <f t="shared" si="49"/>
        <v>-0.39917439782442443</v>
      </c>
      <c r="M612" s="16">
        <f t="shared" si="50"/>
        <v>0.15934019987849185</v>
      </c>
    </row>
    <row r="613" spans="6:13" x14ac:dyDescent="0.4">
      <c r="F613" s="1">
        <v>39995</v>
      </c>
      <c r="G613" s="16">
        <v>388.07</v>
      </c>
      <c r="H613" s="16">
        <f t="shared" si="46"/>
        <v>387.87661073709739</v>
      </c>
      <c r="I613">
        <f t="shared" si="47"/>
        <v>7</v>
      </c>
      <c r="J613" s="16" cm="1">
        <f t="array" ref="J613">INDEX(Sm,I613)</f>
        <v>0.74380149245581328</v>
      </c>
      <c r="K613" s="16">
        <f t="shared" si="48"/>
        <v>388.62041222955321</v>
      </c>
      <c r="L613" s="16">
        <f t="shared" si="49"/>
        <v>-0.550412229553217</v>
      </c>
      <c r="M613" s="16">
        <f t="shared" si="50"/>
        <v>0.30295362244174323</v>
      </c>
    </row>
    <row r="614" spans="6:13" x14ac:dyDescent="0.4">
      <c r="F614" s="1">
        <v>40026</v>
      </c>
      <c r="G614" s="16">
        <v>386.08</v>
      </c>
      <c r="H614" s="16">
        <f t="shared" si="46"/>
        <v>388.05882671522977</v>
      </c>
      <c r="I614">
        <f t="shared" si="47"/>
        <v>8</v>
      </c>
      <c r="J614" s="16" cm="1">
        <f t="array" ref="J614">INDEX(Sm,I614)</f>
        <v>-1.3852874640433905</v>
      </c>
      <c r="K614" s="16">
        <f t="shared" si="48"/>
        <v>386.67353925118636</v>
      </c>
      <c r="L614" s="16">
        <f t="shared" si="49"/>
        <v>-0.59353925118637108</v>
      </c>
      <c r="M614" s="16">
        <f t="shared" si="50"/>
        <v>0.35228884269887811</v>
      </c>
    </row>
    <row r="615" spans="6:13" x14ac:dyDescent="0.4">
      <c r="F615" s="1">
        <v>40057</v>
      </c>
      <c r="G615" s="16">
        <v>384.65</v>
      </c>
      <c r="H615" s="16">
        <f t="shared" si="46"/>
        <v>388.24129921312181</v>
      </c>
      <c r="I615">
        <f t="shared" si="47"/>
        <v>9</v>
      </c>
      <c r="J615" s="16" cm="1">
        <f t="array" ref="J615">INDEX(Sm,I615)</f>
        <v>-3.188494698714738</v>
      </c>
      <c r="K615" s="16">
        <f t="shared" si="48"/>
        <v>385.05280451440706</v>
      </c>
      <c r="L615" s="16">
        <f t="shared" si="49"/>
        <v>-0.40280451440708021</v>
      </c>
      <c r="M615" s="16">
        <f t="shared" si="50"/>
        <v>0.1622514768267237</v>
      </c>
    </row>
    <row r="616" spans="6:13" x14ac:dyDescent="0.4">
      <c r="F616" s="1">
        <v>40087</v>
      </c>
      <c r="G616" s="16">
        <v>384.33</v>
      </c>
      <c r="H616" s="16">
        <f t="shared" si="46"/>
        <v>388.4181300825187</v>
      </c>
      <c r="I616">
        <f t="shared" si="47"/>
        <v>10</v>
      </c>
      <c r="J616" s="16" cm="1">
        <f t="array" ref="J616">INDEX(Sm,I616)</f>
        <v>-3.3139186770794531</v>
      </c>
      <c r="K616" s="16">
        <f t="shared" si="48"/>
        <v>385.10421140543923</v>
      </c>
      <c r="L616" s="16">
        <f t="shared" si="49"/>
        <v>-0.77421140543924594</v>
      </c>
      <c r="M616" s="16">
        <f t="shared" si="50"/>
        <v>0.59940330031221245</v>
      </c>
    </row>
    <row r="617" spans="6:13" x14ac:dyDescent="0.4">
      <c r="F617" s="1">
        <v>40118</v>
      </c>
      <c r="G617" s="16">
        <v>386.05</v>
      </c>
      <c r="H617" s="16">
        <f t="shared" si="46"/>
        <v>388.60110840001192</v>
      </c>
      <c r="I617">
        <f t="shared" si="47"/>
        <v>11</v>
      </c>
      <c r="J617" s="16" cm="1">
        <f t="array" ref="J617">INDEX(Sm,I617)</f>
        <v>-2.0555969925100759</v>
      </c>
      <c r="K617" s="16">
        <f t="shared" si="48"/>
        <v>386.54551140750186</v>
      </c>
      <c r="L617" s="16">
        <f t="shared" si="49"/>
        <v>-0.49551140750185141</v>
      </c>
      <c r="M617" s="16">
        <f t="shared" si="50"/>
        <v>0.24553155496446585</v>
      </c>
    </row>
    <row r="618" spans="6:13" x14ac:dyDescent="0.4">
      <c r="F618" s="1">
        <v>40148</v>
      </c>
      <c r="G618" s="16">
        <v>387.49</v>
      </c>
      <c r="H618" s="16">
        <f t="shared" si="46"/>
        <v>388.77842945023554</v>
      </c>
      <c r="I618">
        <f t="shared" si="47"/>
        <v>12</v>
      </c>
      <c r="J618" s="16" cm="1">
        <f t="array" ref="J618">INDEX(Sm,I618)</f>
        <v>-0.88675924001340456</v>
      </c>
      <c r="K618" s="16">
        <f t="shared" si="48"/>
        <v>387.89167021022212</v>
      </c>
      <c r="L618" s="16">
        <f t="shared" si="49"/>
        <v>-0.40167021022210747</v>
      </c>
      <c r="M618" s="16">
        <f t="shared" si="50"/>
        <v>0.16133895777987201</v>
      </c>
    </row>
    <row r="619" spans="6:13" x14ac:dyDescent="0.4">
      <c r="F619" s="1">
        <v>40179</v>
      </c>
      <c r="G619" s="16">
        <v>388.55</v>
      </c>
      <c r="H619" s="16">
        <f t="shared" si="46"/>
        <v>388.96191498947815</v>
      </c>
      <c r="I619">
        <f t="shared" si="47"/>
        <v>1</v>
      </c>
      <c r="J619" s="16" cm="1">
        <f t="array" ref="J619">INDEX(Sm,I619)</f>
        <v>-3.5406241068958691E-2</v>
      </c>
      <c r="K619" s="16">
        <f t="shared" si="48"/>
        <v>388.92650874840916</v>
      </c>
      <c r="L619" s="16">
        <f t="shared" si="49"/>
        <v>-0.37650874840915094</v>
      </c>
      <c r="M619" s="16">
        <f t="shared" si="50"/>
        <v>0.14175883762862532</v>
      </c>
    </row>
    <row r="620" spans="6:13" x14ac:dyDescent="0.4">
      <c r="F620" s="1">
        <v>40210</v>
      </c>
      <c r="G620" s="16">
        <v>390.08</v>
      </c>
      <c r="H620" s="16">
        <f t="shared" si="46"/>
        <v>389.14565883574141</v>
      </c>
      <c r="I620">
        <f t="shared" si="47"/>
        <v>2</v>
      </c>
      <c r="J620" s="16" cm="1">
        <f t="array" ref="J620">INDEX(Sm,I620)</f>
        <v>0.68063113884422577</v>
      </c>
      <c r="K620" s="16">
        <f t="shared" si="48"/>
        <v>389.82628997458562</v>
      </c>
      <c r="L620" s="16">
        <f t="shared" si="49"/>
        <v>0.25371002541436383</v>
      </c>
      <c r="M620" s="16">
        <f t="shared" si="50"/>
        <v>6.4368776995757132E-2</v>
      </c>
    </row>
    <row r="621" spans="6:13" x14ac:dyDescent="0.4">
      <c r="F621" s="1">
        <v>40238</v>
      </c>
      <c r="G621" s="16">
        <v>391.01</v>
      </c>
      <c r="H621" s="16">
        <f t="shared" si="46"/>
        <v>389.31184334232023</v>
      </c>
      <c r="I621">
        <f t="shared" si="47"/>
        <v>3</v>
      </c>
      <c r="J621" s="16" cm="1">
        <f t="array" ref="J621">INDEX(Sm,I621)</f>
        <v>1.3939471632320417</v>
      </c>
      <c r="K621" s="16">
        <f t="shared" si="48"/>
        <v>390.70579050555227</v>
      </c>
      <c r="L621" s="16">
        <f t="shared" si="49"/>
        <v>0.3042094944477185</v>
      </c>
      <c r="M621" s="16">
        <f t="shared" si="50"/>
        <v>9.2543416512136475E-2</v>
      </c>
    </row>
    <row r="622" spans="6:13" x14ac:dyDescent="0.4">
      <c r="F622" s="1">
        <v>40269</v>
      </c>
      <c r="G622" s="16">
        <v>392.38</v>
      </c>
      <c r="H622" s="16">
        <f t="shared" si="46"/>
        <v>389.49607981023968</v>
      </c>
      <c r="I622">
        <f t="shared" si="47"/>
        <v>4</v>
      </c>
      <c r="J622" s="16" cm="1">
        <f t="array" ref="J622">INDEX(Sm,I622)</f>
        <v>2.6315659351379859</v>
      </c>
      <c r="K622" s="16">
        <f t="shared" si="48"/>
        <v>392.12764574537766</v>
      </c>
      <c r="L622" s="16">
        <f t="shared" si="49"/>
        <v>0.25235425462233252</v>
      </c>
      <c r="M622" s="16">
        <f t="shared" si="50"/>
        <v>6.3682669825993035E-2</v>
      </c>
    </row>
    <row r="623" spans="6:13" x14ac:dyDescent="0.4">
      <c r="F623" s="1">
        <v>40299</v>
      </c>
      <c r="G623" s="16">
        <v>393.22</v>
      </c>
      <c r="H623" s="16">
        <f t="shared" si="46"/>
        <v>389.67462011178202</v>
      </c>
      <c r="I623">
        <f t="shared" si="47"/>
        <v>5</v>
      </c>
      <c r="J623" s="16" cm="1">
        <f t="array" ref="J623">INDEX(Sm,I623)</f>
        <v>3.0968597809913625</v>
      </c>
      <c r="K623" s="16">
        <f t="shared" si="48"/>
        <v>392.77147989277336</v>
      </c>
      <c r="L623" s="16">
        <f t="shared" si="49"/>
        <v>0.44852010722667046</v>
      </c>
      <c r="M623" s="16">
        <f t="shared" si="50"/>
        <v>0.20117028658662398</v>
      </c>
    </row>
    <row r="624" spans="6:13" x14ac:dyDescent="0.4">
      <c r="F624" s="1">
        <v>40330</v>
      </c>
      <c r="G624" s="16">
        <v>392.24</v>
      </c>
      <c r="H624" s="16">
        <f t="shared" si="46"/>
        <v>389.85936728908416</v>
      </c>
      <c r="I624">
        <f t="shared" si="47"/>
        <v>6</v>
      </c>
      <c r="J624" s="16" cm="1">
        <f t="array" ref="J624">INDEX(Sm,I624)</f>
        <v>2.3186578027685911</v>
      </c>
      <c r="K624" s="16">
        <f t="shared" si="48"/>
        <v>392.17802509185276</v>
      </c>
      <c r="L624" s="16">
        <f t="shared" si="49"/>
        <v>6.1974908147249153E-2</v>
      </c>
      <c r="M624" s="16">
        <f t="shared" si="50"/>
        <v>3.8408892398599692E-3</v>
      </c>
    </row>
    <row r="625" spans="6:13" x14ac:dyDescent="0.4">
      <c r="F625" s="1">
        <v>40360</v>
      </c>
      <c r="G625" s="16">
        <v>390.33</v>
      </c>
      <c r="H625" s="16">
        <f t="shared" si="46"/>
        <v>390.03840251005369</v>
      </c>
      <c r="I625">
        <f t="shared" si="47"/>
        <v>7</v>
      </c>
      <c r="J625" s="16" cm="1">
        <f t="array" ref="J625">INDEX(Sm,I625)</f>
        <v>0.74380149245581328</v>
      </c>
      <c r="K625" s="16">
        <f t="shared" si="48"/>
        <v>390.7822040025095</v>
      </c>
      <c r="L625" s="16">
        <f t="shared" si="49"/>
        <v>-0.45220400250951798</v>
      </c>
      <c r="M625" s="16">
        <f t="shared" si="50"/>
        <v>0.20448845988562814</v>
      </c>
    </row>
    <row r="626" spans="6:13" x14ac:dyDescent="0.4">
      <c r="F626" s="1">
        <v>40391</v>
      </c>
      <c r="G626" s="16">
        <v>388.52</v>
      </c>
      <c r="H626" s="16">
        <f t="shared" si="46"/>
        <v>390.22366181244104</v>
      </c>
      <c r="I626">
        <f t="shared" si="47"/>
        <v>8</v>
      </c>
      <c r="J626" s="16" cm="1">
        <f t="array" ref="J626">INDEX(Sm,I626)</f>
        <v>-1.3852874640433905</v>
      </c>
      <c r="K626" s="16">
        <f t="shared" si="48"/>
        <v>388.83837434839762</v>
      </c>
      <c r="L626" s="16">
        <f t="shared" si="49"/>
        <v>-0.31837434839764001</v>
      </c>
      <c r="M626" s="16">
        <f t="shared" si="50"/>
        <v>0.10136222571762186</v>
      </c>
    </row>
    <row r="627" spans="6:13" x14ac:dyDescent="0.4">
      <c r="F627" s="1">
        <v>40422</v>
      </c>
      <c r="G627" s="16">
        <v>386.84</v>
      </c>
      <c r="H627" s="16">
        <f t="shared" si="46"/>
        <v>390.40918191891501</v>
      </c>
      <c r="I627">
        <f t="shared" si="47"/>
        <v>9</v>
      </c>
      <c r="J627" s="16" cm="1">
        <f t="array" ref="J627">INDEX(Sm,I627)</f>
        <v>-3.188494698714738</v>
      </c>
      <c r="K627" s="16">
        <f t="shared" si="48"/>
        <v>387.22068722020026</v>
      </c>
      <c r="L627" s="16">
        <f t="shared" si="49"/>
        <v>-0.38068722020028645</v>
      </c>
      <c r="M627" s="16">
        <f t="shared" si="50"/>
        <v>0.14492275962382137</v>
      </c>
    </row>
    <row r="628" spans="6:13" x14ac:dyDescent="0.4">
      <c r="F628" s="1">
        <v>40452</v>
      </c>
      <c r="G628" s="16">
        <v>387.16</v>
      </c>
      <c r="H628" s="16">
        <f t="shared" si="46"/>
        <v>390.5889661718702</v>
      </c>
      <c r="I628">
        <f t="shared" si="47"/>
        <v>10</v>
      </c>
      <c r="J628" s="16" cm="1">
        <f t="array" ref="J628">INDEX(Sm,I628)</f>
        <v>-3.3139186770794531</v>
      </c>
      <c r="K628" s="16">
        <f t="shared" si="48"/>
        <v>387.27504749479073</v>
      </c>
      <c r="L628" s="16">
        <f t="shared" si="49"/>
        <v>-0.11504749479070142</v>
      </c>
      <c r="M628" s="16">
        <f t="shared" si="50"/>
        <v>1.3235926057616471E-2</v>
      </c>
    </row>
    <row r="629" spans="6:13" x14ac:dyDescent="0.4">
      <c r="F629" s="1">
        <v>40483</v>
      </c>
      <c r="G629" s="16">
        <v>388.67</v>
      </c>
      <c r="H629" s="16">
        <f t="shared" si="46"/>
        <v>390.77500054601376</v>
      </c>
      <c r="I629">
        <f t="shared" si="47"/>
        <v>11</v>
      </c>
      <c r="J629" s="16" cm="1">
        <f t="array" ref="J629">INDEX(Sm,I629)</f>
        <v>-2.0555969925100759</v>
      </c>
      <c r="K629" s="16">
        <f t="shared" si="48"/>
        <v>388.7194035535037</v>
      </c>
      <c r="L629" s="16">
        <f t="shared" si="49"/>
        <v>-4.9403553503680087E-2</v>
      </c>
      <c r="M629" s="16">
        <f t="shared" si="50"/>
        <v>2.440711098790981E-3</v>
      </c>
    </row>
    <row r="630" spans="6:13" x14ac:dyDescent="0.4">
      <c r="F630" s="1">
        <v>40513</v>
      </c>
      <c r="G630" s="16">
        <v>389.81</v>
      </c>
      <c r="H630" s="16">
        <f t="shared" si="46"/>
        <v>390.95528316666923</v>
      </c>
      <c r="I630">
        <f t="shared" si="47"/>
        <v>12</v>
      </c>
      <c r="J630" s="16" cm="1">
        <f t="array" ref="J630">INDEX(Sm,I630)</f>
        <v>-0.88675924001340456</v>
      </c>
      <c r="K630" s="16">
        <f t="shared" si="48"/>
        <v>390.06852392665581</v>
      </c>
      <c r="L630" s="16">
        <f t="shared" si="49"/>
        <v>-0.25852392665581192</v>
      </c>
      <c r="M630" s="16">
        <f t="shared" si="50"/>
        <v>6.6834620653539623E-2</v>
      </c>
    </row>
    <row r="631" spans="6:13" x14ac:dyDescent="0.4">
      <c r="F631" s="1">
        <v>40544</v>
      </c>
      <c r="G631" s="16">
        <v>391.3</v>
      </c>
      <c r="H631" s="16">
        <f t="shared" si="46"/>
        <v>391.14183323404905</v>
      </c>
      <c r="I631">
        <f t="shared" si="47"/>
        <v>1</v>
      </c>
      <c r="J631" s="16" cm="1">
        <f t="array" ref="J631">INDEX(Sm,I631)</f>
        <v>-3.5406241068958691E-2</v>
      </c>
      <c r="K631" s="16">
        <f t="shared" si="48"/>
        <v>391.10642699298006</v>
      </c>
      <c r="L631" s="16">
        <f t="shared" si="49"/>
        <v>0.19357300701994973</v>
      </c>
      <c r="M631" s="16">
        <f t="shared" si="50"/>
        <v>3.7470509046745509E-2</v>
      </c>
    </row>
    <row r="632" spans="6:13" x14ac:dyDescent="0.4">
      <c r="F632" s="1">
        <v>40575</v>
      </c>
      <c r="G632" s="16">
        <v>391.92</v>
      </c>
      <c r="H632" s="16">
        <f t="shared" si="46"/>
        <v>391.32864592262655</v>
      </c>
      <c r="I632">
        <f t="shared" si="47"/>
        <v>2</v>
      </c>
      <c r="J632" s="16" cm="1">
        <f t="array" ref="J632">INDEX(Sm,I632)</f>
        <v>0.68063113884422577</v>
      </c>
      <c r="K632" s="16">
        <f t="shared" si="48"/>
        <v>392.00927706147075</v>
      </c>
      <c r="L632" s="16">
        <f t="shared" si="49"/>
        <v>-8.9277061470738772E-2</v>
      </c>
      <c r="M632" s="16">
        <f t="shared" si="50"/>
        <v>7.9703937048500699E-3</v>
      </c>
    </row>
    <row r="633" spans="6:13" x14ac:dyDescent="0.4">
      <c r="F633" s="1">
        <v>40603</v>
      </c>
      <c r="G633" s="16">
        <v>392.45</v>
      </c>
      <c r="H633" s="16">
        <f t="shared" si="46"/>
        <v>391.49760599995858</v>
      </c>
      <c r="I633">
        <f t="shared" si="47"/>
        <v>3</v>
      </c>
      <c r="J633" s="16" cm="1">
        <f t="array" ref="J633">INDEX(Sm,I633)</f>
        <v>1.3939471632320417</v>
      </c>
      <c r="K633" s="16">
        <f t="shared" si="48"/>
        <v>392.89155316319062</v>
      </c>
      <c r="L633" s="16">
        <f t="shared" si="49"/>
        <v>-0.44155316319063331</v>
      </c>
      <c r="M633" s="16">
        <f t="shared" si="50"/>
        <v>0.19496919592365405</v>
      </c>
    </row>
    <row r="634" spans="6:13" x14ac:dyDescent="0.4">
      <c r="F634" s="1">
        <v>40634</v>
      </c>
      <c r="G634" s="16">
        <v>393.37</v>
      </c>
      <c r="H634" s="16">
        <f t="shared" si="46"/>
        <v>391.68491953783229</v>
      </c>
      <c r="I634">
        <f t="shared" si="47"/>
        <v>4</v>
      </c>
      <c r="J634" s="16" cm="1">
        <f t="array" ref="J634">INDEX(Sm,I634)</f>
        <v>2.6315659351379859</v>
      </c>
      <c r="K634" s="16">
        <f t="shared" si="48"/>
        <v>394.31648547297027</v>
      </c>
      <c r="L634" s="16">
        <f t="shared" si="49"/>
        <v>-0.94648547297026653</v>
      </c>
      <c r="M634" s="16">
        <f t="shared" si="50"/>
        <v>0.89583475054374917</v>
      </c>
    </row>
    <row r="635" spans="6:13" x14ac:dyDescent="0.4">
      <c r="F635" s="1">
        <v>40664</v>
      </c>
      <c r="G635" s="16">
        <v>394.28</v>
      </c>
      <c r="H635" s="16">
        <f t="shared" si="46"/>
        <v>391.86644177342754</v>
      </c>
      <c r="I635">
        <f t="shared" si="47"/>
        <v>5</v>
      </c>
      <c r="J635" s="16" cm="1">
        <f t="array" ref="J635">INDEX(Sm,I635)</f>
        <v>3.0968597809913625</v>
      </c>
      <c r="K635" s="16">
        <f t="shared" si="48"/>
        <v>394.96330155441888</v>
      </c>
      <c r="L635" s="16">
        <f t="shared" si="49"/>
        <v>-0.68330155441890383</v>
      </c>
      <c r="M635" s="16">
        <f t="shared" si="50"/>
        <v>0.46690101427129022</v>
      </c>
    </row>
    <row r="636" spans="6:13" x14ac:dyDescent="0.4">
      <c r="F636" s="1">
        <v>40695</v>
      </c>
      <c r="G636" s="16">
        <v>393.69</v>
      </c>
      <c r="H636" s="16">
        <f t="shared" si="46"/>
        <v>392.05427455042002</v>
      </c>
      <c r="I636">
        <f t="shared" si="47"/>
        <v>6</v>
      </c>
      <c r="J636" s="16" cm="1">
        <f t="array" ref="J636">INDEX(Sm,I636)</f>
        <v>2.3186578027685911</v>
      </c>
      <c r="K636" s="16">
        <f t="shared" si="48"/>
        <v>394.37293235318862</v>
      </c>
      <c r="L636" s="16">
        <f t="shared" si="49"/>
        <v>-0.68293235318861889</v>
      </c>
      <c r="M636" s="16">
        <f t="shared" si="50"/>
        <v>0.46639659903174452</v>
      </c>
    </row>
    <row r="637" spans="6:13" x14ac:dyDescent="0.4">
      <c r="F637" s="1">
        <v>40725</v>
      </c>
      <c r="G637" s="16">
        <v>392.59</v>
      </c>
      <c r="H637" s="16">
        <f t="shared" si="46"/>
        <v>392.23629997145906</v>
      </c>
      <c r="I637">
        <f t="shared" si="47"/>
        <v>7</v>
      </c>
      <c r="J637" s="16" cm="1">
        <f t="array" ref="J637">INDEX(Sm,I637)</f>
        <v>0.74380149245581328</v>
      </c>
      <c r="K637" s="16">
        <f t="shared" si="48"/>
        <v>392.98010146391488</v>
      </c>
      <c r="L637" s="16">
        <f t="shared" si="49"/>
        <v>-0.39010146391490252</v>
      </c>
      <c r="M637" s="16">
        <f t="shared" si="50"/>
        <v>0.15217915214854999</v>
      </c>
    </row>
    <row r="638" spans="6:13" x14ac:dyDescent="0.4">
      <c r="F638" s="1">
        <v>40756</v>
      </c>
      <c r="G638" s="16">
        <v>390.21</v>
      </c>
      <c r="H638" s="16">
        <f t="shared" si="46"/>
        <v>392.4246534269181</v>
      </c>
      <c r="I638">
        <f t="shared" si="47"/>
        <v>8</v>
      </c>
      <c r="J638" s="16" cm="1">
        <f t="array" ref="J638">INDEX(Sm,I638)</f>
        <v>-1.3852874640433905</v>
      </c>
      <c r="K638" s="16">
        <f t="shared" si="48"/>
        <v>391.03936596287468</v>
      </c>
      <c r="L638" s="16">
        <f t="shared" si="49"/>
        <v>-0.82936596287470365</v>
      </c>
      <c r="M638" s="16">
        <f t="shared" si="50"/>
        <v>0.68784790037508436</v>
      </c>
    </row>
    <row r="639" spans="6:13" x14ac:dyDescent="0.4">
      <c r="F639" s="1">
        <v>40787</v>
      </c>
      <c r="G639" s="16">
        <v>389</v>
      </c>
      <c r="H639" s="16">
        <f t="shared" si="46"/>
        <v>392.61327204234601</v>
      </c>
      <c r="I639">
        <f t="shared" si="47"/>
        <v>9</v>
      </c>
      <c r="J639" s="16" cm="1">
        <f t="array" ref="J639">INDEX(Sm,I639)</f>
        <v>-3.188494698714738</v>
      </c>
      <c r="K639" s="16">
        <f t="shared" si="48"/>
        <v>389.42477734363126</v>
      </c>
      <c r="L639" s="16">
        <f t="shared" si="49"/>
        <v>-0.42477734363126274</v>
      </c>
      <c r="M639" s="16">
        <f t="shared" si="50"/>
        <v>0.18043579166243187</v>
      </c>
    </row>
    <row r="640" spans="6:13" x14ac:dyDescent="0.4">
      <c r="F640" s="1">
        <v>40817</v>
      </c>
      <c r="G640" s="16">
        <v>388.93</v>
      </c>
      <c r="H640" s="16">
        <f t="shared" si="46"/>
        <v>392.79605900550968</v>
      </c>
      <c r="I640">
        <f t="shared" si="47"/>
        <v>10</v>
      </c>
      <c r="J640" s="16" cm="1">
        <f t="array" ref="J640">INDEX(Sm,I640)</f>
        <v>-3.3139186770794531</v>
      </c>
      <c r="K640" s="16">
        <f t="shared" si="48"/>
        <v>389.48214032843021</v>
      </c>
      <c r="L640" s="16">
        <f t="shared" si="49"/>
        <v>-0.55214032843019822</v>
      </c>
      <c r="M640" s="16">
        <f t="shared" si="50"/>
        <v>0.30485894227900717</v>
      </c>
    </row>
    <row r="641" spans="6:13" x14ac:dyDescent="0.4">
      <c r="F641" s="1">
        <v>40848</v>
      </c>
      <c r="G641" s="16">
        <v>390.24</v>
      </c>
      <c r="H641" s="16">
        <f t="shared" si="46"/>
        <v>392.98520047777339</v>
      </c>
      <c r="I641">
        <f t="shared" si="47"/>
        <v>11</v>
      </c>
      <c r="J641" s="16" cm="1">
        <f t="array" ref="J641">INDEX(Sm,I641)</f>
        <v>-2.0555969925100759</v>
      </c>
      <c r="K641" s="16">
        <f t="shared" si="48"/>
        <v>390.92960348526333</v>
      </c>
      <c r="L641" s="16">
        <f t="shared" si="49"/>
        <v>-0.68960348526331927</v>
      </c>
      <c r="M641" s="16">
        <f t="shared" si="50"/>
        <v>0.47555296688731702</v>
      </c>
    </row>
    <row r="642" spans="6:13" x14ac:dyDescent="0.4">
      <c r="F642" s="1">
        <v>40878</v>
      </c>
      <c r="G642" s="16">
        <v>391.8</v>
      </c>
      <c r="H642" s="16">
        <f t="shared" si="46"/>
        <v>393.16849413224611</v>
      </c>
      <c r="I642">
        <f t="shared" si="47"/>
        <v>12</v>
      </c>
      <c r="J642" s="16" cm="1">
        <f t="array" ref="J642">INDEX(Sm,I642)</f>
        <v>-0.88675924001340456</v>
      </c>
      <c r="K642" s="16">
        <f t="shared" si="48"/>
        <v>392.28173489223269</v>
      </c>
      <c r="L642" s="16">
        <f t="shared" si="49"/>
        <v>-0.48173489223268007</v>
      </c>
      <c r="M642" s="16">
        <f t="shared" si="50"/>
        <v>0.23206850639443188</v>
      </c>
    </row>
    <row r="643" spans="6:13" x14ac:dyDescent="0.4">
      <c r="F643" s="1">
        <v>40909</v>
      </c>
      <c r="G643" s="16">
        <v>393.07</v>
      </c>
      <c r="H643" s="16">
        <f t="shared" ref="H643:H706" si="51">EXP(_A*F643+_B)+_C</f>
        <v>393.35815991072121</v>
      </c>
      <c r="I643">
        <f t="shared" ref="I643:I706" si="52">MONTH(F643)</f>
        <v>1</v>
      </c>
      <c r="J643" s="16" cm="1">
        <f t="array" ref="J643">INDEX(Sm,I643)</f>
        <v>-3.5406241068958691E-2</v>
      </c>
      <c r="K643" s="16">
        <f t="shared" ref="K643:K706" si="53">H643+J643</f>
        <v>393.32275366965223</v>
      </c>
      <c r="L643" s="16">
        <f t="shared" ref="L643:L706" si="54">G643-K643</f>
        <v>-0.25275366965223611</v>
      </c>
      <c r="M643" s="16">
        <f t="shared" ref="M643:M706" si="55">L643*L643</f>
        <v>6.3884417522671696E-2</v>
      </c>
    </row>
    <row r="644" spans="6:13" x14ac:dyDescent="0.4">
      <c r="F644" s="1">
        <v>40940</v>
      </c>
      <c r="G644" s="16">
        <v>393.35</v>
      </c>
      <c r="H644" s="16">
        <f t="shared" si="51"/>
        <v>393.54809269662564</v>
      </c>
      <c r="I644">
        <f t="shared" si="52"/>
        <v>2</v>
      </c>
      <c r="J644" s="16" cm="1">
        <f t="array" ref="J644">INDEX(Sm,I644)</f>
        <v>0.68063113884422577</v>
      </c>
      <c r="K644" s="16">
        <f t="shared" si="53"/>
        <v>394.22872383546985</v>
      </c>
      <c r="L644" s="16">
        <f t="shared" si="54"/>
        <v>-0.87872383546982746</v>
      </c>
      <c r="M644" s="16">
        <f t="shared" si="55"/>
        <v>0.77215557902280441</v>
      </c>
    </row>
    <row r="645" spans="6:13" x14ac:dyDescent="0.4">
      <c r="F645" s="1">
        <v>40969</v>
      </c>
      <c r="G645" s="16">
        <v>394.36</v>
      </c>
      <c r="H645" s="16">
        <f t="shared" si="51"/>
        <v>393.72601381106233</v>
      </c>
      <c r="I645">
        <f t="shared" si="52"/>
        <v>3</v>
      </c>
      <c r="J645" s="16" cm="1">
        <f t="array" ref="J645">INDEX(Sm,I645)</f>
        <v>1.3939471632320417</v>
      </c>
      <c r="K645" s="16">
        <f t="shared" si="53"/>
        <v>395.11996097429437</v>
      </c>
      <c r="L645" s="16">
        <f t="shared" si="54"/>
        <v>-0.75996097429435849</v>
      </c>
      <c r="M645" s="16">
        <f t="shared" si="55"/>
        <v>0.57754068245043066</v>
      </c>
    </row>
    <row r="646" spans="6:13" x14ac:dyDescent="0.4">
      <c r="F646" s="1">
        <v>41000</v>
      </c>
      <c r="G646" s="16">
        <v>396.43</v>
      </c>
      <c r="H646" s="16">
        <f t="shared" si="51"/>
        <v>393.91646445382565</v>
      </c>
      <c r="I646">
        <f t="shared" si="52"/>
        <v>4</v>
      </c>
      <c r="J646" s="16" cm="1">
        <f t="array" ref="J646">INDEX(Sm,I646)</f>
        <v>2.6315659351379859</v>
      </c>
      <c r="K646" s="16">
        <f t="shared" si="53"/>
        <v>396.54803038896364</v>
      </c>
      <c r="L646" s="16">
        <f t="shared" si="54"/>
        <v>-0.11803038896363205</v>
      </c>
      <c r="M646" s="16">
        <f t="shared" si="55"/>
        <v>1.3931172718906273E-2</v>
      </c>
    </row>
    <row r="647" spans="6:13" x14ac:dyDescent="0.4">
      <c r="F647" s="1">
        <v>41030</v>
      </c>
      <c r="G647" s="16">
        <v>396.87</v>
      </c>
      <c r="H647" s="16">
        <f t="shared" si="51"/>
        <v>394.10102680226794</v>
      </c>
      <c r="I647">
        <f t="shared" si="52"/>
        <v>5</v>
      </c>
      <c r="J647" s="16" cm="1">
        <f t="array" ref="J647">INDEX(Sm,I647)</f>
        <v>3.0968597809913625</v>
      </c>
      <c r="K647" s="16">
        <f t="shared" si="53"/>
        <v>397.19788658325928</v>
      </c>
      <c r="L647" s="16">
        <f t="shared" si="54"/>
        <v>-0.32788658325927145</v>
      </c>
      <c r="M647" s="16">
        <f t="shared" si="55"/>
        <v>0.10750961148143914</v>
      </c>
    </row>
    <row r="648" spans="6:13" x14ac:dyDescent="0.4">
      <c r="F648" s="1">
        <v>41061</v>
      </c>
      <c r="G648" s="16">
        <v>395.88</v>
      </c>
      <c r="H648" s="16">
        <f t="shared" si="51"/>
        <v>394.29200538030528</v>
      </c>
      <c r="I648">
        <f t="shared" si="52"/>
        <v>6</v>
      </c>
      <c r="J648" s="16" cm="1">
        <f t="array" ref="J648">INDEX(Sm,I648)</f>
        <v>2.3186578027685911</v>
      </c>
      <c r="K648" s="16">
        <f t="shared" si="53"/>
        <v>396.61066318307388</v>
      </c>
      <c r="L648" s="16">
        <f t="shared" si="54"/>
        <v>-0.73066318307388656</v>
      </c>
      <c r="M648" s="16">
        <f t="shared" si="55"/>
        <v>0.53386868709966384</v>
      </c>
    </row>
    <row r="649" spans="6:13" x14ac:dyDescent="0.4">
      <c r="F649" s="1">
        <v>41091</v>
      </c>
      <c r="G649" s="16">
        <v>394.52</v>
      </c>
      <c r="H649" s="16">
        <f t="shared" si="51"/>
        <v>394.47707934148127</v>
      </c>
      <c r="I649">
        <f t="shared" si="52"/>
        <v>7</v>
      </c>
      <c r="J649" s="16" cm="1">
        <f t="array" ref="J649">INDEX(Sm,I649)</f>
        <v>0.74380149245581328</v>
      </c>
      <c r="K649" s="16">
        <f t="shared" si="53"/>
        <v>395.22088083393709</v>
      </c>
      <c r="L649" s="16">
        <f t="shared" si="54"/>
        <v>-0.70088083393710576</v>
      </c>
      <c r="M649" s="16">
        <f t="shared" si="55"/>
        <v>0.49123394338037285</v>
      </c>
    </row>
    <row r="650" spans="6:13" x14ac:dyDescent="0.4">
      <c r="F650" s="1">
        <v>41122</v>
      </c>
      <c r="G650" s="16">
        <v>392.54</v>
      </c>
      <c r="H650" s="16">
        <f t="shared" si="51"/>
        <v>394.66858731824618</v>
      </c>
      <c r="I650">
        <f t="shared" si="52"/>
        <v>8</v>
      </c>
      <c r="J650" s="16" cm="1">
        <f t="array" ref="J650">INDEX(Sm,I650)</f>
        <v>-1.3852874640433905</v>
      </c>
      <c r="K650" s="16">
        <f t="shared" si="53"/>
        <v>393.28329985420277</v>
      </c>
      <c r="L650" s="16">
        <f t="shared" si="54"/>
        <v>-0.74329985420274625</v>
      </c>
      <c r="M650" s="16">
        <f t="shared" si="55"/>
        <v>0.55249467325782387</v>
      </c>
    </row>
    <row r="651" spans="6:13" x14ac:dyDescent="0.4">
      <c r="F651" s="1">
        <v>41153</v>
      </c>
      <c r="G651" s="16">
        <v>391.13</v>
      </c>
      <c r="H651" s="16">
        <f t="shared" si="51"/>
        <v>394.86036489584774</v>
      </c>
      <c r="I651">
        <f t="shared" si="52"/>
        <v>9</v>
      </c>
      <c r="J651" s="16" cm="1">
        <f t="array" ref="J651">INDEX(Sm,I651)</f>
        <v>-3.188494698714738</v>
      </c>
      <c r="K651" s="16">
        <f t="shared" si="53"/>
        <v>391.67187019713299</v>
      </c>
      <c r="L651" s="16">
        <f t="shared" si="54"/>
        <v>-0.54187019713299378</v>
      </c>
      <c r="M651" s="16">
        <f t="shared" si="55"/>
        <v>0.29362331054094953</v>
      </c>
    </row>
    <row r="652" spans="6:13" x14ac:dyDescent="0.4">
      <c r="F652" s="1">
        <v>41183</v>
      </c>
      <c r="G652" s="16">
        <v>391.01</v>
      </c>
      <c r="H652" s="16">
        <f t="shared" si="51"/>
        <v>395.04621315336556</v>
      </c>
      <c r="I652">
        <f t="shared" si="52"/>
        <v>10</v>
      </c>
      <c r="J652" s="16" cm="1">
        <f t="array" ref="J652">INDEX(Sm,I652)</f>
        <v>-3.3139186770794531</v>
      </c>
      <c r="K652" s="16">
        <f t="shared" si="53"/>
        <v>391.73229447628609</v>
      </c>
      <c r="L652" s="16">
        <f t="shared" si="54"/>
        <v>-0.72229447628609478</v>
      </c>
      <c r="M652" s="16">
        <f t="shared" si="55"/>
        <v>0.52170931047340396</v>
      </c>
    </row>
    <row r="653" spans="6:13" x14ac:dyDescent="0.4">
      <c r="F653" s="1">
        <v>41214</v>
      </c>
      <c r="G653" s="16">
        <v>392.95</v>
      </c>
      <c r="H653" s="16">
        <f t="shared" si="51"/>
        <v>395.23852234454694</v>
      </c>
      <c r="I653">
        <f t="shared" si="52"/>
        <v>11</v>
      </c>
      <c r="J653" s="16" cm="1">
        <f t="array" ref="J653">INDEX(Sm,I653)</f>
        <v>-2.0555969925100759</v>
      </c>
      <c r="K653" s="16">
        <f t="shared" si="53"/>
        <v>393.18292535203688</v>
      </c>
      <c r="L653" s="16">
        <f t="shared" si="54"/>
        <v>-0.23292535203688658</v>
      </c>
      <c r="M653" s="16">
        <f t="shared" si="55"/>
        <v>5.4254219621507546E-2</v>
      </c>
    </row>
    <row r="654" spans="6:13" x14ac:dyDescent="0.4">
      <c r="F654" s="1">
        <v>41244</v>
      </c>
      <c r="G654" s="16">
        <v>394.33</v>
      </c>
      <c r="H654" s="16">
        <f t="shared" si="51"/>
        <v>395.42488577937968</v>
      </c>
      <c r="I654">
        <f t="shared" si="52"/>
        <v>12</v>
      </c>
      <c r="J654" s="16" cm="1">
        <f t="array" ref="J654">INDEX(Sm,I654)</f>
        <v>-0.88675924001340456</v>
      </c>
      <c r="K654" s="16">
        <f t="shared" si="53"/>
        <v>394.53812653936626</v>
      </c>
      <c r="L654" s="16">
        <f t="shared" si="54"/>
        <v>-0.20812653936627612</v>
      </c>
      <c r="M654" s="16">
        <f t="shared" si="55"/>
        <v>4.3316656388582085E-2</v>
      </c>
    </row>
    <row r="655" spans="6:13" x14ac:dyDescent="0.4">
      <c r="F655" s="1">
        <v>41275</v>
      </c>
      <c r="G655" s="16">
        <v>395.61</v>
      </c>
      <c r="H655" s="16">
        <f t="shared" si="51"/>
        <v>395.61772805779083</v>
      </c>
      <c r="I655">
        <f t="shared" si="52"/>
        <v>1</v>
      </c>
      <c r="J655" s="16" cm="1">
        <f t="array" ref="J655">INDEX(Sm,I655)</f>
        <v>-3.5406241068958691E-2</v>
      </c>
      <c r="K655" s="16">
        <f t="shared" si="53"/>
        <v>395.58232181672184</v>
      </c>
      <c r="L655" s="16">
        <f t="shared" si="54"/>
        <v>2.7678183278169399E-2</v>
      </c>
      <c r="M655" s="16">
        <f t="shared" si="55"/>
        <v>7.6608182957993616E-4</v>
      </c>
    </row>
    <row r="656" spans="6:13" x14ac:dyDescent="0.4">
      <c r="F656" s="1">
        <v>41306</v>
      </c>
      <c r="G656" s="16">
        <v>396.85</v>
      </c>
      <c r="H656" s="16">
        <f t="shared" si="51"/>
        <v>395.81084181543997</v>
      </c>
      <c r="I656">
        <f t="shared" si="52"/>
        <v>2</v>
      </c>
      <c r="J656" s="16" cm="1">
        <f t="array" ref="J656">INDEX(Sm,I656)</f>
        <v>0.68063113884422577</v>
      </c>
      <c r="K656" s="16">
        <f t="shared" si="53"/>
        <v>396.49147295428418</v>
      </c>
      <c r="L656" s="16">
        <f t="shared" si="54"/>
        <v>0.35852704571584582</v>
      </c>
      <c r="M656" s="16">
        <f t="shared" si="55"/>
        <v>0.12854164250973218</v>
      </c>
    </row>
    <row r="657" spans="6:13" x14ac:dyDescent="0.4">
      <c r="F657" s="1">
        <v>41334</v>
      </c>
      <c r="G657" s="16">
        <v>397.26</v>
      </c>
      <c r="H657" s="16">
        <f t="shared" si="51"/>
        <v>395.98550080501252</v>
      </c>
      <c r="I657">
        <f t="shared" si="52"/>
        <v>3</v>
      </c>
      <c r="J657" s="16" cm="1">
        <f t="array" ref="J657">INDEX(Sm,I657)</f>
        <v>1.3939471632320417</v>
      </c>
      <c r="K657" s="16">
        <f t="shared" si="53"/>
        <v>397.37944796824456</v>
      </c>
      <c r="L657" s="16">
        <f t="shared" si="54"/>
        <v>-0.11944796824457171</v>
      </c>
      <c r="M657" s="16">
        <f t="shared" si="55"/>
        <v>1.4267817117756211E-2</v>
      </c>
    </row>
    <row r="658" spans="6:13" x14ac:dyDescent="0.4">
      <c r="F658" s="1">
        <v>41365</v>
      </c>
      <c r="G658" s="16">
        <v>398.35</v>
      </c>
      <c r="H658" s="16">
        <f t="shared" si="51"/>
        <v>396.179132305275</v>
      </c>
      <c r="I658">
        <f t="shared" si="52"/>
        <v>4</v>
      </c>
      <c r="J658" s="16" cm="1">
        <f t="array" ref="J658">INDEX(Sm,I658)</f>
        <v>2.6315659351379859</v>
      </c>
      <c r="K658" s="16">
        <f t="shared" si="53"/>
        <v>398.81069824041299</v>
      </c>
      <c r="L658" s="16">
        <f t="shared" si="54"/>
        <v>-0.4606982404129667</v>
      </c>
      <c r="M658" s="16">
        <f t="shared" si="55"/>
        <v>0.21224286871960366</v>
      </c>
    </row>
    <row r="659" spans="6:13" x14ac:dyDescent="0.4">
      <c r="F659" s="1">
        <v>41395</v>
      </c>
      <c r="G659" s="16">
        <v>399.98</v>
      </c>
      <c r="H659" s="16">
        <f t="shared" si="51"/>
        <v>396.36677716644385</v>
      </c>
      <c r="I659">
        <f t="shared" si="52"/>
        <v>5</v>
      </c>
      <c r="J659" s="16" cm="1">
        <f t="array" ref="J659">INDEX(Sm,I659)</f>
        <v>3.0968597809913625</v>
      </c>
      <c r="K659" s="16">
        <f t="shared" si="53"/>
        <v>399.46363694743519</v>
      </c>
      <c r="L659" s="16">
        <f t="shared" si="54"/>
        <v>0.51636305256482729</v>
      </c>
      <c r="M659" s="16">
        <f t="shared" si="55"/>
        <v>0.26663080205406658</v>
      </c>
    </row>
    <row r="660" spans="6:13" x14ac:dyDescent="0.4">
      <c r="F660" s="1">
        <v>41426</v>
      </c>
      <c r="G660" s="16">
        <v>398.87</v>
      </c>
      <c r="H660" s="16">
        <f t="shared" si="51"/>
        <v>396.56094541941906</v>
      </c>
      <c r="I660">
        <f t="shared" si="52"/>
        <v>6</v>
      </c>
      <c r="J660" s="16" cm="1">
        <f t="array" ref="J660">INDEX(Sm,I660)</f>
        <v>2.3186578027685911</v>
      </c>
      <c r="K660" s="16">
        <f t="shared" si="53"/>
        <v>398.87960322218765</v>
      </c>
      <c r="L660" s="16">
        <f t="shared" si="54"/>
        <v>-9.6032221876498625E-3</v>
      </c>
      <c r="M660" s="16">
        <f t="shared" si="55"/>
        <v>9.2221876385370616E-5</v>
      </c>
    </row>
    <row r="661" spans="6:13" x14ac:dyDescent="0.4">
      <c r="F661" s="1">
        <v>41456</v>
      </c>
      <c r="G661" s="16">
        <v>397.37</v>
      </c>
      <c r="H661" s="16">
        <f t="shared" si="51"/>
        <v>396.74911043814558</v>
      </c>
      <c r="I661">
        <f t="shared" si="52"/>
        <v>7</v>
      </c>
      <c r="J661" s="16" cm="1">
        <f t="array" ref="J661">INDEX(Sm,I661)</f>
        <v>0.74380149245581328</v>
      </c>
      <c r="K661" s="16">
        <f t="shared" si="53"/>
        <v>397.49291193060139</v>
      </c>
      <c r="L661" s="16">
        <f t="shared" si="54"/>
        <v>-0.12291193060138994</v>
      </c>
      <c r="M661" s="16">
        <f t="shared" si="55"/>
        <v>1.5107342684160897E-2</v>
      </c>
    </row>
    <row r="662" spans="6:13" x14ac:dyDescent="0.4">
      <c r="F662" s="1">
        <v>41487</v>
      </c>
      <c r="G662" s="16">
        <v>395.41</v>
      </c>
      <c r="H662" s="16">
        <f t="shared" si="51"/>
        <v>396.94381693172932</v>
      </c>
      <c r="I662">
        <f t="shared" si="52"/>
        <v>8</v>
      </c>
      <c r="J662" s="16" cm="1">
        <f t="array" ref="J662">INDEX(Sm,I662)</f>
        <v>-1.3852874640433905</v>
      </c>
      <c r="K662" s="16">
        <f t="shared" si="53"/>
        <v>395.5585294676859</v>
      </c>
      <c r="L662" s="16">
        <f t="shared" si="54"/>
        <v>-0.14852946768587572</v>
      </c>
      <c r="M662" s="16">
        <f t="shared" si="55"/>
        <v>2.2061002771049599E-2</v>
      </c>
    </row>
    <row r="663" spans="6:13" x14ac:dyDescent="0.4">
      <c r="F663" s="1">
        <v>41518</v>
      </c>
      <c r="G663" s="16">
        <v>393.39</v>
      </c>
      <c r="H663" s="16">
        <f t="shared" si="51"/>
        <v>397.13879752895332</v>
      </c>
      <c r="I663">
        <f t="shared" si="52"/>
        <v>9</v>
      </c>
      <c r="J663" s="16" cm="1">
        <f t="array" ref="J663">INDEX(Sm,I663)</f>
        <v>-3.188494698714738</v>
      </c>
      <c r="K663" s="16">
        <f t="shared" si="53"/>
        <v>393.95030283023857</v>
      </c>
      <c r="L663" s="16">
        <f t="shared" si="54"/>
        <v>-0.56030283023858374</v>
      </c>
      <c r="M663" s="16">
        <f t="shared" si="55"/>
        <v>0.31393926157336721</v>
      </c>
    </row>
    <row r="664" spans="6:13" x14ac:dyDescent="0.4">
      <c r="F664" s="1">
        <v>41548</v>
      </c>
      <c r="G664" s="16">
        <v>393.7</v>
      </c>
      <c r="H664" s="16">
        <f t="shared" si="51"/>
        <v>397.32774977611916</v>
      </c>
      <c r="I664">
        <f t="shared" si="52"/>
        <v>10</v>
      </c>
      <c r="J664" s="16" cm="1">
        <f t="array" ref="J664">INDEX(Sm,I664)</f>
        <v>-3.3139186770794531</v>
      </c>
      <c r="K664" s="16">
        <f t="shared" si="53"/>
        <v>394.01383109903969</v>
      </c>
      <c r="L664" s="16">
        <f t="shared" si="54"/>
        <v>-0.31383109903970308</v>
      </c>
      <c r="M664" s="16">
        <f t="shared" si="55"/>
        <v>9.8489958724467919E-2</v>
      </c>
    </row>
    <row r="665" spans="6:13" x14ac:dyDescent="0.4">
      <c r="F665" s="1">
        <v>41579</v>
      </c>
      <c r="G665" s="16">
        <v>395.19</v>
      </c>
      <c r="H665" s="16">
        <f t="shared" si="51"/>
        <v>397.52327086579589</v>
      </c>
      <c r="I665">
        <f t="shared" si="52"/>
        <v>11</v>
      </c>
      <c r="J665" s="16" cm="1">
        <f t="array" ref="J665">INDEX(Sm,I665)</f>
        <v>-2.0555969925100759</v>
      </c>
      <c r="K665" s="16">
        <f t="shared" si="53"/>
        <v>395.46767387328583</v>
      </c>
      <c r="L665" s="16">
        <f t="shared" si="54"/>
        <v>-0.27767387328583482</v>
      </c>
      <c r="M665" s="16">
        <f t="shared" si="55"/>
        <v>7.7102779905557847E-2</v>
      </c>
    </row>
    <row r="666" spans="6:13" x14ac:dyDescent="0.4">
      <c r="F666" s="1">
        <v>41609</v>
      </c>
      <c r="G666" s="16">
        <v>396.82</v>
      </c>
      <c r="H666" s="16">
        <f t="shared" si="51"/>
        <v>397.71274689463536</v>
      </c>
      <c r="I666">
        <f t="shared" si="52"/>
        <v>12</v>
      </c>
      <c r="J666" s="16" cm="1">
        <f t="array" ref="J666">INDEX(Sm,I666)</f>
        <v>-0.88675924001340456</v>
      </c>
      <c r="K666" s="16">
        <f t="shared" si="53"/>
        <v>396.82598765462194</v>
      </c>
      <c r="L666" s="16">
        <f t="shared" si="54"/>
        <v>-5.9876546219470583E-3</v>
      </c>
      <c r="M666" s="16">
        <f t="shared" si="55"/>
        <v>3.5852007871723972E-5</v>
      </c>
    </row>
    <row r="667" spans="6:13" x14ac:dyDescent="0.4">
      <c r="F667" s="1">
        <v>41640</v>
      </c>
      <c r="G667" s="16">
        <v>397.93</v>
      </c>
      <c r="H667" s="16">
        <f t="shared" si="51"/>
        <v>397.90880997502717</v>
      </c>
      <c r="I667">
        <f t="shared" si="52"/>
        <v>1</v>
      </c>
      <c r="J667" s="16" cm="1">
        <f t="array" ref="J667">INDEX(Sm,I667)</f>
        <v>-3.5406241068958691E-2</v>
      </c>
      <c r="K667" s="16">
        <f t="shared" si="53"/>
        <v>397.87340373395818</v>
      </c>
      <c r="L667" s="16">
        <f t="shared" si="54"/>
        <v>5.6596266041822219E-2</v>
      </c>
      <c r="M667" s="16">
        <f t="shared" si="55"/>
        <v>3.2031373298767188E-3</v>
      </c>
    </row>
    <row r="668" spans="6:13" x14ac:dyDescent="0.4">
      <c r="F668" s="1">
        <v>41671</v>
      </c>
      <c r="G668" s="16">
        <v>398.1</v>
      </c>
      <c r="H668" s="16">
        <f t="shared" si="51"/>
        <v>398.10514906883333</v>
      </c>
      <c r="I668">
        <f t="shared" si="52"/>
        <v>2</v>
      </c>
      <c r="J668" s="16" cm="1">
        <f t="array" ref="J668">INDEX(Sm,I668)</f>
        <v>0.68063113884422577</v>
      </c>
      <c r="K668" s="16">
        <f t="shared" si="53"/>
        <v>398.78578020767753</v>
      </c>
      <c r="L668" s="16">
        <f t="shared" si="54"/>
        <v>-0.68578020767751013</v>
      </c>
      <c r="M668" s="16">
        <f t="shared" si="55"/>
        <v>0.47029449324220896</v>
      </c>
    </row>
    <row r="669" spans="6:13" x14ac:dyDescent="0.4">
      <c r="F669" s="1">
        <v>41699</v>
      </c>
      <c r="G669" s="16">
        <v>399.47</v>
      </c>
      <c r="H669" s="16">
        <f t="shared" si="51"/>
        <v>398.28272516778765</v>
      </c>
      <c r="I669">
        <f t="shared" si="52"/>
        <v>3</v>
      </c>
      <c r="J669" s="16" cm="1">
        <f t="array" ref="J669">INDEX(Sm,I669)</f>
        <v>1.3939471632320417</v>
      </c>
      <c r="K669" s="16">
        <f t="shared" si="53"/>
        <v>399.67667233101969</v>
      </c>
      <c r="L669" s="16">
        <f t="shared" si="54"/>
        <v>-0.20667233101966076</v>
      </c>
      <c r="M669" s="16">
        <f t="shared" si="55"/>
        <v>4.2713452409100232E-2</v>
      </c>
    </row>
    <row r="670" spans="6:13" x14ac:dyDescent="0.4">
      <c r="F670" s="1">
        <v>41730</v>
      </c>
      <c r="G670" s="16">
        <v>401.33</v>
      </c>
      <c r="H670" s="16">
        <f t="shared" si="51"/>
        <v>398.47959065141049</v>
      </c>
      <c r="I670">
        <f t="shared" si="52"/>
        <v>4</v>
      </c>
      <c r="J670" s="16" cm="1">
        <f t="array" ref="J670">INDEX(Sm,I670)</f>
        <v>2.6315659351379859</v>
      </c>
      <c r="K670" s="16">
        <f t="shared" si="53"/>
        <v>401.11115658654847</v>
      </c>
      <c r="L670" s="16">
        <f t="shared" si="54"/>
        <v>0.21884341345150915</v>
      </c>
      <c r="M670" s="16">
        <f t="shared" si="55"/>
        <v>4.7892439611108173E-2</v>
      </c>
    </row>
    <row r="671" spans="6:13" x14ac:dyDescent="0.4">
      <c r="F671" s="1">
        <v>41760</v>
      </c>
      <c r="G671" s="16">
        <v>401.88</v>
      </c>
      <c r="H671" s="16">
        <f t="shared" si="51"/>
        <v>398.67036950863803</v>
      </c>
      <c r="I671">
        <f t="shared" si="52"/>
        <v>5</v>
      </c>
      <c r="J671" s="16" cm="1">
        <f t="array" ref="J671">INDEX(Sm,I671)</f>
        <v>3.0968597809913625</v>
      </c>
      <c r="K671" s="16">
        <f t="shared" si="53"/>
        <v>401.76722928962937</v>
      </c>
      <c r="L671" s="16">
        <f t="shared" si="54"/>
        <v>0.11277071037062569</v>
      </c>
      <c r="M671" s="16">
        <f t="shared" si="55"/>
        <v>1.2717233117495546E-2</v>
      </c>
    </row>
    <row r="672" spans="6:13" x14ac:dyDescent="0.4">
      <c r="F672" s="1">
        <v>41791</v>
      </c>
      <c r="G672" s="16">
        <v>401.31</v>
      </c>
      <c r="H672" s="16">
        <f t="shared" si="51"/>
        <v>398.86778070967915</v>
      </c>
      <c r="I672">
        <f t="shared" si="52"/>
        <v>6</v>
      </c>
      <c r="J672" s="16" cm="1">
        <f t="array" ref="J672">INDEX(Sm,I672)</f>
        <v>2.3186578027685911</v>
      </c>
      <c r="K672" s="16">
        <f t="shared" si="53"/>
        <v>401.18643851244775</v>
      </c>
      <c r="L672" s="16">
        <f t="shared" si="54"/>
        <v>0.12356148755225149</v>
      </c>
      <c r="M672" s="16">
        <f t="shared" si="55"/>
        <v>1.52674412061252E-2</v>
      </c>
    </row>
    <row r="673" spans="6:13" x14ac:dyDescent="0.4">
      <c r="F673" s="1">
        <v>41821</v>
      </c>
      <c r="G673" s="16">
        <v>399.07</v>
      </c>
      <c r="H673" s="16">
        <f t="shared" si="51"/>
        <v>399.05908841200164</v>
      </c>
      <c r="I673">
        <f t="shared" si="52"/>
        <v>7</v>
      </c>
      <c r="J673" s="16" cm="1">
        <f t="array" ref="J673">INDEX(Sm,I673)</f>
        <v>0.74380149245581328</v>
      </c>
      <c r="K673" s="16">
        <f t="shared" si="53"/>
        <v>399.80288990445746</v>
      </c>
      <c r="L673" s="16">
        <f t="shared" si="54"/>
        <v>-0.73288990445746549</v>
      </c>
      <c r="M673" s="16">
        <f t="shared" si="55"/>
        <v>0.53712761205567294</v>
      </c>
    </row>
    <row r="674" spans="6:13" x14ac:dyDescent="0.4">
      <c r="F674" s="1">
        <v>41852</v>
      </c>
      <c r="G674" s="16">
        <v>397.21</v>
      </c>
      <c r="H674" s="16">
        <f t="shared" si="51"/>
        <v>399.25704684320692</v>
      </c>
      <c r="I674">
        <f t="shared" si="52"/>
        <v>8</v>
      </c>
      <c r="J674" s="16" cm="1">
        <f t="array" ref="J674">INDEX(Sm,I674)</f>
        <v>-1.3852874640433905</v>
      </c>
      <c r="K674" s="16">
        <f t="shared" si="53"/>
        <v>397.87175937916351</v>
      </c>
      <c r="L674" s="16">
        <f t="shared" si="54"/>
        <v>-0.66175937916352723</v>
      </c>
      <c r="M674" s="16">
        <f t="shared" si="55"/>
        <v>0.43792547591089698</v>
      </c>
    </row>
    <row r="675" spans="6:13" x14ac:dyDescent="0.4">
      <c r="F675" s="1">
        <v>41883</v>
      </c>
      <c r="G675" s="16">
        <v>395.4</v>
      </c>
      <c r="H675" s="16">
        <f t="shared" si="51"/>
        <v>399.45528395606084</v>
      </c>
      <c r="I675">
        <f t="shared" si="52"/>
        <v>9</v>
      </c>
      <c r="J675" s="16" cm="1">
        <f t="array" ref="J675">INDEX(Sm,I675)</f>
        <v>-3.188494698714738</v>
      </c>
      <c r="K675" s="16">
        <f t="shared" si="53"/>
        <v>396.26678925734609</v>
      </c>
      <c r="L675" s="16">
        <f t="shared" si="54"/>
        <v>-0.86678925734611312</v>
      </c>
      <c r="M675" s="16">
        <f t="shared" si="55"/>
        <v>0.7513236166506263</v>
      </c>
    </row>
    <row r="676" spans="6:13" x14ac:dyDescent="0.4">
      <c r="F676" s="1">
        <v>41913</v>
      </c>
      <c r="G676" s="16">
        <v>395.65</v>
      </c>
      <c r="H676" s="16">
        <f t="shared" si="51"/>
        <v>399.6473920349091</v>
      </c>
      <c r="I676">
        <f t="shared" si="52"/>
        <v>10</v>
      </c>
      <c r="J676" s="16" cm="1">
        <f t="array" ref="J676">INDEX(Sm,I676)</f>
        <v>-3.3139186770794531</v>
      </c>
      <c r="K676" s="16">
        <f t="shared" si="53"/>
        <v>396.33347335782963</v>
      </c>
      <c r="L676" s="16">
        <f t="shared" si="54"/>
        <v>-0.68347335782965501</v>
      </c>
      <c r="M676" s="16">
        <f t="shared" si="55"/>
        <v>0.46713583086294364</v>
      </c>
    </row>
    <row r="677" spans="6:13" x14ac:dyDescent="0.4">
      <c r="F677" s="1">
        <v>41944</v>
      </c>
      <c r="G677" s="16">
        <v>397.23</v>
      </c>
      <c r="H677" s="16">
        <f t="shared" si="51"/>
        <v>399.8461786673812</v>
      </c>
      <c r="I677">
        <f t="shared" si="52"/>
        <v>11</v>
      </c>
      <c r="J677" s="16" cm="1">
        <f t="array" ref="J677">INDEX(Sm,I677)</f>
        <v>-2.0555969925100759</v>
      </c>
      <c r="K677" s="16">
        <f t="shared" si="53"/>
        <v>397.79058167487113</v>
      </c>
      <c r="L677" s="16">
        <f t="shared" si="54"/>
        <v>-0.56058167487111632</v>
      </c>
      <c r="M677" s="16">
        <f t="shared" si="55"/>
        <v>0.31425181420130599</v>
      </c>
    </row>
    <row r="678" spans="6:13" x14ac:dyDescent="0.4">
      <c r="F678" s="1">
        <v>41974</v>
      </c>
      <c r="G678" s="16">
        <v>398.79</v>
      </c>
      <c r="H678" s="16">
        <f t="shared" si="51"/>
        <v>400.03881927596933</v>
      </c>
      <c r="I678">
        <f t="shared" si="52"/>
        <v>12</v>
      </c>
      <c r="J678" s="16" cm="1">
        <f t="array" ref="J678">INDEX(Sm,I678)</f>
        <v>-0.88675924001340456</v>
      </c>
      <c r="K678" s="16">
        <f t="shared" si="53"/>
        <v>399.15206003595591</v>
      </c>
      <c r="L678" s="16">
        <f t="shared" si="54"/>
        <v>-0.36206003595589209</v>
      </c>
      <c r="M678" s="16">
        <f t="shared" si="55"/>
        <v>0.13108746963638188</v>
      </c>
    </row>
    <row r="679" spans="6:13" x14ac:dyDescent="0.4">
      <c r="F679" s="1">
        <v>42005</v>
      </c>
      <c r="G679" s="16">
        <v>399.85</v>
      </c>
      <c r="H679" s="16">
        <f t="shared" si="51"/>
        <v>400.23815695134567</v>
      </c>
      <c r="I679">
        <f t="shared" si="52"/>
        <v>1</v>
      </c>
      <c r="J679" s="16" cm="1">
        <f t="array" ref="J679">INDEX(Sm,I679)</f>
        <v>-3.5406241068958691E-2</v>
      </c>
      <c r="K679" s="16">
        <f t="shared" si="53"/>
        <v>400.20275071027669</v>
      </c>
      <c r="L679" s="16">
        <f t="shared" si="54"/>
        <v>-0.35275071027666627</v>
      </c>
      <c r="M679" s="16">
        <f t="shared" si="55"/>
        <v>0.12443306360069255</v>
      </c>
    </row>
    <row r="680" spans="6:13" x14ac:dyDescent="0.4">
      <c r="F680" s="1">
        <v>42036</v>
      </c>
      <c r="G680" s="16">
        <v>400.31</v>
      </c>
      <c r="H680" s="16">
        <f t="shared" si="51"/>
        <v>400.43777525004089</v>
      </c>
      <c r="I680">
        <f t="shared" si="52"/>
        <v>2</v>
      </c>
      <c r="J680" s="16" cm="1">
        <f t="array" ref="J680">INDEX(Sm,I680)</f>
        <v>0.68063113884422577</v>
      </c>
      <c r="K680" s="16">
        <f t="shared" si="53"/>
        <v>401.11840638888509</v>
      </c>
      <c r="L680" s="16">
        <f t="shared" si="54"/>
        <v>-0.8084063888850892</v>
      </c>
      <c r="M680" s="16">
        <f t="shared" si="55"/>
        <v>0.65352088959023003</v>
      </c>
    </row>
    <row r="681" spans="6:13" x14ac:dyDescent="0.4">
      <c r="F681" s="1">
        <v>42064</v>
      </c>
      <c r="G681" s="16">
        <v>401.51</v>
      </c>
      <c r="H681" s="16">
        <f t="shared" si="51"/>
        <v>400.6183171791854</v>
      </c>
      <c r="I681">
        <f t="shared" si="52"/>
        <v>3</v>
      </c>
      <c r="J681" s="16" cm="1">
        <f t="array" ref="J681">INDEX(Sm,I681)</f>
        <v>1.3939471632320417</v>
      </c>
      <c r="K681" s="16">
        <f t="shared" si="53"/>
        <v>402.01226434241744</v>
      </c>
      <c r="L681" s="16">
        <f t="shared" si="54"/>
        <v>-0.50226434241744755</v>
      </c>
      <c r="M681" s="16">
        <f t="shared" si="55"/>
        <v>0.25226946966403102</v>
      </c>
    </row>
    <row r="682" spans="6:13" x14ac:dyDescent="0.4">
      <c r="F682" s="1">
        <v>42095</v>
      </c>
      <c r="G682" s="16">
        <v>403.45</v>
      </c>
      <c r="H682" s="16">
        <f t="shared" si="51"/>
        <v>400.81847065932442</v>
      </c>
      <c r="I682">
        <f t="shared" si="52"/>
        <v>4</v>
      </c>
      <c r="J682" s="16" cm="1">
        <f t="array" ref="J682">INDEX(Sm,I682)</f>
        <v>2.6315659351379859</v>
      </c>
      <c r="K682" s="16">
        <f t="shared" si="53"/>
        <v>403.4500365944624</v>
      </c>
      <c r="L682" s="16">
        <f t="shared" si="54"/>
        <v>-3.6594462414996087E-5</v>
      </c>
      <c r="M682" s="16">
        <f t="shared" si="55"/>
        <v>1.3391546794425614E-9</v>
      </c>
    </row>
    <row r="683" spans="6:13" x14ac:dyDescent="0.4">
      <c r="F683" s="1">
        <v>42125</v>
      </c>
      <c r="G683" s="16">
        <v>404.1</v>
      </c>
      <c r="H683" s="16">
        <f t="shared" si="51"/>
        <v>401.01243585580437</v>
      </c>
      <c r="I683">
        <f t="shared" si="52"/>
        <v>5</v>
      </c>
      <c r="J683" s="16" cm="1">
        <f t="array" ref="J683">INDEX(Sm,I683)</f>
        <v>3.0968597809913625</v>
      </c>
      <c r="K683" s="16">
        <f t="shared" si="53"/>
        <v>404.10929563679571</v>
      </c>
      <c r="L683" s="16">
        <f t="shared" si="54"/>
        <v>-9.2956367956844588E-3</v>
      </c>
      <c r="M683" s="16">
        <f t="shared" si="55"/>
        <v>8.640886343728283E-5</v>
      </c>
    </row>
    <row r="684" spans="6:13" x14ac:dyDescent="0.4">
      <c r="F684" s="1">
        <v>42156</v>
      </c>
      <c r="G684" s="16">
        <v>402.88</v>
      </c>
      <c r="H684" s="16">
        <f t="shared" si="51"/>
        <v>401.21314416779296</v>
      </c>
      <c r="I684">
        <f t="shared" si="52"/>
        <v>6</v>
      </c>
      <c r="J684" s="16" cm="1">
        <f t="array" ref="J684">INDEX(Sm,I684)</f>
        <v>2.3186578027685911</v>
      </c>
      <c r="K684" s="16">
        <f t="shared" si="53"/>
        <v>403.53180197056156</v>
      </c>
      <c r="L684" s="16">
        <f t="shared" si="54"/>
        <v>-0.6518019705615643</v>
      </c>
      <c r="M684" s="16">
        <f t="shared" si="55"/>
        <v>0.42484580882793832</v>
      </c>
    </row>
    <row r="685" spans="6:13" x14ac:dyDescent="0.4">
      <c r="F685" s="1">
        <v>42186</v>
      </c>
      <c r="G685" s="16">
        <v>401.61</v>
      </c>
      <c r="H685" s="16">
        <f t="shared" si="51"/>
        <v>401.40764704200228</v>
      </c>
      <c r="I685">
        <f t="shared" si="52"/>
        <v>7</v>
      </c>
      <c r="J685" s="16" cm="1">
        <f t="array" ref="J685">INDEX(Sm,I685)</f>
        <v>0.74380149245581328</v>
      </c>
      <c r="K685" s="16">
        <f t="shared" si="53"/>
        <v>402.1514485344581</v>
      </c>
      <c r="L685" s="16">
        <f t="shared" si="54"/>
        <v>-0.54144853445808394</v>
      </c>
      <c r="M685" s="16">
        <f t="shared" si="55"/>
        <v>0.29316651546680689</v>
      </c>
    </row>
    <row r="686" spans="6:13" x14ac:dyDescent="0.4">
      <c r="F686" s="1">
        <v>42217</v>
      </c>
      <c r="G686" s="16">
        <v>399</v>
      </c>
      <c r="H686" s="16">
        <f t="shared" si="51"/>
        <v>401.60891172385232</v>
      </c>
      <c r="I686">
        <f t="shared" si="52"/>
        <v>8</v>
      </c>
      <c r="J686" s="16" cm="1">
        <f t="array" ref="J686">INDEX(Sm,I686)</f>
        <v>-1.3852874640433905</v>
      </c>
      <c r="K686" s="16">
        <f t="shared" si="53"/>
        <v>400.2236242598089</v>
      </c>
      <c r="L686" s="16">
        <f t="shared" si="54"/>
        <v>-1.2236242598089007</v>
      </c>
      <c r="M686" s="16">
        <f t="shared" si="55"/>
        <v>1.49725632919288</v>
      </c>
    </row>
    <row r="687" spans="6:13" x14ac:dyDescent="0.4">
      <c r="F687" s="1">
        <v>42248</v>
      </c>
      <c r="G687" s="16">
        <v>397.5</v>
      </c>
      <c r="H687" s="16">
        <f t="shared" si="51"/>
        <v>401.81045974181973</v>
      </c>
      <c r="I687">
        <f t="shared" si="52"/>
        <v>9</v>
      </c>
      <c r="J687" s="16" cm="1">
        <f t="array" ref="J687">INDEX(Sm,I687)</f>
        <v>-3.188494698714738</v>
      </c>
      <c r="K687" s="16">
        <f t="shared" si="53"/>
        <v>398.62196504310498</v>
      </c>
      <c r="L687" s="16">
        <f t="shared" si="54"/>
        <v>-1.1219650431049786</v>
      </c>
      <c r="M687" s="16">
        <f t="shared" si="55"/>
        <v>1.2588055579495565</v>
      </c>
    </row>
    <row r="688" spans="6:13" x14ac:dyDescent="0.4">
      <c r="F688" s="1">
        <v>42278</v>
      </c>
      <c r="G688" s="16">
        <v>398.28</v>
      </c>
      <c r="H688" s="16">
        <f t="shared" si="51"/>
        <v>402.00577636023718</v>
      </c>
      <c r="I688">
        <f t="shared" si="52"/>
        <v>10</v>
      </c>
      <c r="J688" s="16" cm="1">
        <f t="array" ref="J688">INDEX(Sm,I688)</f>
        <v>-3.3139186770794531</v>
      </c>
      <c r="K688" s="16">
        <f t="shared" si="53"/>
        <v>398.69185768315771</v>
      </c>
      <c r="L688" s="16">
        <f t="shared" si="54"/>
        <v>-0.4118576831577343</v>
      </c>
      <c r="M688" s="16">
        <f t="shared" si="55"/>
        <v>0.16962675117605666</v>
      </c>
    </row>
    <row r="689" spans="6:13" x14ac:dyDescent="0.4">
      <c r="F689" s="1">
        <v>42309</v>
      </c>
      <c r="G689" s="16">
        <v>400.24</v>
      </c>
      <c r="H689" s="16">
        <f t="shared" si="51"/>
        <v>402.20788307575776</v>
      </c>
      <c r="I689">
        <f t="shared" si="52"/>
        <v>11</v>
      </c>
      <c r="J689" s="16" cm="1">
        <f t="array" ref="J689">INDEX(Sm,I689)</f>
        <v>-2.0555969925100759</v>
      </c>
      <c r="K689" s="16">
        <f t="shared" si="53"/>
        <v>400.1522860832477</v>
      </c>
      <c r="L689" s="16">
        <f t="shared" si="54"/>
        <v>8.7713916752306886E-2</v>
      </c>
      <c r="M689" s="16">
        <f t="shared" si="55"/>
        <v>7.6937311920306228E-3</v>
      </c>
    </row>
    <row r="690" spans="6:13" x14ac:dyDescent="0.4">
      <c r="F690" s="1">
        <v>42339</v>
      </c>
      <c r="G690" s="16">
        <v>401.89</v>
      </c>
      <c r="H690" s="16">
        <f t="shared" si="51"/>
        <v>402.40374111808921</v>
      </c>
      <c r="I690">
        <f t="shared" si="52"/>
        <v>12</v>
      </c>
      <c r="J690" s="16" cm="1">
        <f t="array" ref="J690">INDEX(Sm,I690)</f>
        <v>-0.88675924001340456</v>
      </c>
      <c r="K690" s="16">
        <f t="shared" si="53"/>
        <v>401.5169818780758</v>
      </c>
      <c r="L690" s="16">
        <f t="shared" si="54"/>
        <v>0.37301812192418993</v>
      </c>
      <c r="M690" s="16">
        <f t="shared" si="55"/>
        <v>0.13914251928384982</v>
      </c>
    </row>
    <row r="691" spans="6:13" x14ac:dyDescent="0.4">
      <c r="F691" s="1">
        <v>42370</v>
      </c>
      <c r="G691" s="16">
        <v>402.65</v>
      </c>
      <c r="H691" s="16">
        <f t="shared" si="51"/>
        <v>402.6064080798904</v>
      </c>
      <c r="I691">
        <f t="shared" si="52"/>
        <v>1</v>
      </c>
      <c r="J691" s="16" cm="1">
        <f t="array" ref="J691">INDEX(Sm,I691)</f>
        <v>-3.5406241068958691E-2</v>
      </c>
      <c r="K691" s="16">
        <f t="shared" si="53"/>
        <v>402.57100183882142</v>
      </c>
      <c r="L691" s="16">
        <f t="shared" si="54"/>
        <v>7.8998161178560622E-2</v>
      </c>
      <c r="M691" s="16">
        <f t="shared" si="55"/>
        <v>6.2407094695938426E-3</v>
      </c>
    </row>
    <row r="692" spans="6:13" x14ac:dyDescent="0.4">
      <c r="F692" s="1">
        <v>42401</v>
      </c>
      <c r="G692" s="16">
        <v>404.16</v>
      </c>
      <c r="H692" s="16">
        <f t="shared" si="51"/>
        <v>402.80936035190888</v>
      </c>
      <c r="I692">
        <f t="shared" si="52"/>
        <v>2</v>
      </c>
      <c r="J692" s="16" cm="1">
        <f t="array" ref="J692">INDEX(Sm,I692)</f>
        <v>0.68063113884422577</v>
      </c>
      <c r="K692" s="16">
        <f t="shared" si="53"/>
        <v>403.48999149075308</v>
      </c>
      <c r="L692" s="16">
        <f t="shared" si="54"/>
        <v>0.67000850924694078</v>
      </c>
      <c r="M692" s="16">
        <f t="shared" si="55"/>
        <v>0.44891140246330791</v>
      </c>
    </row>
    <row r="693" spans="6:13" x14ac:dyDescent="0.4">
      <c r="F693" s="1">
        <v>42430</v>
      </c>
      <c r="G693" s="16">
        <v>404.85</v>
      </c>
      <c r="H693" s="16">
        <f t="shared" si="51"/>
        <v>402.99947757807939</v>
      </c>
      <c r="I693">
        <f t="shared" si="52"/>
        <v>3</v>
      </c>
      <c r="J693" s="16" cm="1">
        <f t="array" ref="J693">INDEX(Sm,I693)</f>
        <v>1.3939471632320417</v>
      </c>
      <c r="K693" s="16">
        <f t="shared" si="53"/>
        <v>404.39342474131143</v>
      </c>
      <c r="L693" s="16">
        <f t="shared" si="54"/>
        <v>0.45657525868858784</v>
      </c>
      <c r="M693" s="16">
        <f t="shared" si="55"/>
        <v>0.20846096684655091</v>
      </c>
    </row>
    <row r="694" spans="6:13" x14ac:dyDescent="0.4">
      <c r="F694" s="1">
        <v>42461</v>
      </c>
      <c r="G694" s="16">
        <v>407.57</v>
      </c>
      <c r="H694" s="16">
        <f t="shared" si="51"/>
        <v>403.20298320493652</v>
      </c>
      <c r="I694">
        <f t="shared" si="52"/>
        <v>4</v>
      </c>
      <c r="J694" s="16" cm="1">
        <f t="array" ref="J694">INDEX(Sm,I694)</f>
        <v>2.6315659351379859</v>
      </c>
      <c r="K694" s="16">
        <f t="shared" si="53"/>
        <v>405.8345491400745</v>
      </c>
      <c r="L694" s="16">
        <f t="shared" si="54"/>
        <v>1.7354508599254928</v>
      </c>
      <c r="M694" s="16">
        <f t="shared" si="55"/>
        <v>3.0117896872161323</v>
      </c>
    </row>
    <row r="695" spans="6:13" x14ac:dyDescent="0.4">
      <c r="F695" s="1">
        <v>42491</v>
      </c>
      <c r="G695" s="16">
        <v>407.66</v>
      </c>
      <c r="H695" s="16">
        <f t="shared" si="51"/>
        <v>403.40019690749477</v>
      </c>
      <c r="I695">
        <f t="shared" si="52"/>
        <v>5</v>
      </c>
      <c r="J695" s="16" cm="1">
        <f t="array" ref="J695">INDEX(Sm,I695)</f>
        <v>3.0968597809913625</v>
      </c>
      <c r="K695" s="16">
        <f t="shared" si="53"/>
        <v>406.49705668848611</v>
      </c>
      <c r="L695" s="16">
        <f t="shared" si="54"/>
        <v>1.1629433115139136</v>
      </c>
      <c r="M695" s="16">
        <f t="shared" si="55"/>
        <v>1.3524371457949476</v>
      </c>
    </row>
    <row r="696" spans="6:13" x14ac:dyDescent="0.4">
      <c r="F696" s="1">
        <v>42522</v>
      </c>
      <c r="G696" s="16">
        <v>407</v>
      </c>
      <c r="H696" s="16">
        <f t="shared" si="51"/>
        <v>403.60426665845955</v>
      </c>
      <c r="I696">
        <f t="shared" si="52"/>
        <v>6</v>
      </c>
      <c r="J696" s="16" cm="1">
        <f t="array" ref="J696">INDEX(Sm,I696)</f>
        <v>2.3186578027685911</v>
      </c>
      <c r="K696" s="16">
        <f t="shared" si="53"/>
        <v>405.92292446122815</v>
      </c>
      <c r="L696" s="16">
        <f t="shared" si="54"/>
        <v>1.0770755387718509</v>
      </c>
      <c r="M696" s="16">
        <f t="shared" si="55"/>
        <v>1.160091716220673</v>
      </c>
    </row>
    <row r="697" spans="6:13" x14ac:dyDescent="0.4">
      <c r="F697" s="1">
        <v>42552</v>
      </c>
      <c r="G697" s="16">
        <v>404.5</v>
      </c>
      <c r="H697" s="16">
        <f t="shared" si="51"/>
        <v>403.80202704370981</v>
      </c>
      <c r="I697">
        <f t="shared" si="52"/>
        <v>7</v>
      </c>
      <c r="J697" s="16" cm="1">
        <f t="array" ref="J697">INDEX(Sm,I697)</f>
        <v>0.74380149245581328</v>
      </c>
      <c r="K697" s="16">
        <f t="shared" si="53"/>
        <v>404.54582853616563</v>
      </c>
      <c r="L697" s="16">
        <f t="shared" si="54"/>
        <v>-4.582853616562943E-2</v>
      </c>
      <c r="M697" s="16">
        <f t="shared" si="55"/>
        <v>2.1002547270844046E-3</v>
      </c>
    </row>
    <row r="698" spans="6:13" x14ac:dyDescent="0.4">
      <c r="F698" s="1">
        <v>42583</v>
      </c>
      <c r="G698" s="16">
        <v>402.24</v>
      </c>
      <c r="H698" s="16">
        <f t="shared" si="51"/>
        <v>404.00666248255214</v>
      </c>
      <c r="I698">
        <f t="shared" si="52"/>
        <v>8</v>
      </c>
      <c r="J698" s="16" cm="1">
        <f t="array" ref="J698">INDEX(Sm,I698)</f>
        <v>-1.3852874640433905</v>
      </c>
      <c r="K698" s="16">
        <f t="shared" si="53"/>
        <v>402.62137501850873</v>
      </c>
      <c r="L698" s="16">
        <f t="shared" si="54"/>
        <v>-0.38137501850872013</v>
      </c>
      <c r="M698" s="16">
        <f t="shared" si="55"/>
        <v>0.14544690474252661</v>
      </c>
    </row>
    <row r="699" spans="6:13" x14ac:dyDescent="0.4">
      <c r="F699" s="1">
        <v>42614</v>
      </c>
      <c r="G699" s="16">
        <v>401.01</v>
      </c>
      <c r="H699" s="16">
        <f t="shared" si="51"/>
        <v>404.21158600279171</v>
      </c>
      <c r="I699">
        <f t="shared" si="52"/>
        <v>9</v>
      </c>
      <c r="J699" s="16" cm="1">
        <f t="array" ref="J699">INDEX(Sm,I699)</f>
        <v>-3.188494698714738</v>
      </c>
      <c r="K699" s="16">
        <f t="shared" si="53"/>
        <v>401.02309130407696</v>
      </c>
      <c r="L699" s="16">
        <f t="shared" si="54"/>
        <v>-1.3091304076965571E-2</v>
      </c>
      <c r="M699" s="16">
        <f t="shared" si="55"/>
        <v>1.7138224243557537E-4</v>
      </c>
    </row>
    <row r="700" spans="6:13" x14ac:dyDescent="0.4">
      <c r="F700" s="1">
        <v>42644</v>
      </c>
      <c r="G700" s="16">
        <v>401.5</v>
      </c>
      <c r="H700" s="16">
        <f t="shared" si="51"/>
        <v>404.41017376074149</v>
      </c>
      <c r="I700">
        <f t="shared" si="52"/>
        <v>10</v>
      </c>
      <c r="J700" s="16" cm="1">
        <f t="array" ref="J700">INDEX(Sm,I700)</f>
        <v>-3.3139186770794531</v>
      </c>
      <c r="K700" s="16">
        <f t="shared" si="53"/>
        <v>401.09625508366202</v>
      </c>
      <c r="L700" s="16">
        <f t="shared" si="54"/>
        <v>0.40374491633798471</v>
      </c>
      <c r="M700" s="16">
        <f t="shared" si="55"/>
        <v>0.16300995746876626</v>
      </c>
    </row>
    <row r="701" spans="6:13" x14ac:dyDescent="0.4">
      <c r="F701" s="1">
        <v>42675</v>
      </c>
      <c r="G701" s="16">
        <v>403.64</v>
      </c>
      <c r="H701" s="16">
        <f t="shared" si="51"/>
        <v>404.61566533553446</v>
      </c>
      <c r="I701">
        <f t="shared" si="52"/>
        <v>11</v>
      </c>
      <c r="J701" s="16" cm="1">
        <f t="array" ref="J701">INDEX(Sm,I701)</f>
        <v>-2.0555969925100759</v>
      </c>
      <c r="K701" s="16">
        <f t="shared" si="53"/>
        <v>402.5600683430244</v>
      </c>
      <c r="L701" s="16">
        <f t="shared" si="54"/>
        <v>1.0799316569755888</v>
      </c>
      <c r="M701" s="16">
        <f t="shared" si="55"/>
        <v>1.1662523837380407</v>
      </c>
    </row>
    <row r="702" spans="6:13" x14ac:dyDescent="0.4">
      <c r="F702" s="1">
        <v>42705</v>
      </c>
      <c r="G702" s="16">
        <v>404.55</v>
      </c>
      <c r="H702" s="16">
        <f t="shared" si="51"/>
        <v>404.8148035851018</v>
      </c>
      <c r="I702">
        <f t="shared" si="52"/>
        <v>12</v>
      </c>
      <c r="J702" s="16" cm="1">
        <f t="array" ref="J702">INDEX(Sm,I702)</f>
        <v>-0.88675924001340456</v>
      </c>
      <c r="K702" s="16">
        <f t="shared" si="53"/>
        <v>403.92804434508838</v>
      </c>
      <c r="L702" s="16">
        <f t="shared" si="54"/>
        <v>0.62195565491163052</v>
      </c>
      <c r="M702" s="16">
        <f t="shared" si="55"/>
        <v>0.38682883667655521</v>
      </c>
    </row>
    <row r="703" spans="6:13" x14ac:dyDescent="0.4">
      <c r="F703" s="1">
        <v>42736</v>
      </c>
      <c r="G703" s="16">
        <v>406.07</v>
      </c>
      <c r="H703" s="16">
        <f t="shared" si="51"/>
        <v>405.02086478911355</v>
      </c>
      <c r="I703">
        <f t="shared" si="52"/>
        <v>1</v>
      </c>
      <c r="J703" s="16" cm="1">
        <f t="array" ref="J703">INDEX(Sm,I703)</f>
        <v>-3.5406241068958691E-2</v>
      </c>
      <c r="K703" s="16">
        <f t="shared" si="53"/>
        <v>404.98545854804456</v>
      </c>
      <c r="L703" s="16">
        <f t="shared" si="54"/>
        <v>1.0845414519554311</v>
      </c>
      <c r="M703" s="16">
        <f t="shared" si="55"/>
        <v>1.1762301610095947</v>
      </c>
    </row>
    <row r="704" spans="6:13" x14ac:dyDescent="0.4">
      <c r="F704" s="1">
        <v>42767</v>
      </c>
      <c r="G704" s="16">
        <v>406.64</v>
      </c>
      <c r="H704" s="16">
        <f t="shared" si="51"/>
        <v>405.22721608168422</v>
      </c>
      <c r="I704">
        <f t="shared" si="52"/>
        <v>2</v>
      </c>
      <c r="J704" s="16" cm="1">
        <f t="array" ref="J704">INDEX(Sm,I704)</f>
        <v>0.68063113884422577</v>
      </c>
      <c r="K704" s="16">
        <f t="shared" si="53"/>
        <v>405.90784722052842</v>
      </c>
      <c r="L704" s="16">
        <f t="shared" si="54"/>
        <v>0.7321527794715621</v>
      </c>
      <c r="M704" s="16">
        <f t="shared" si="55"/>
        <v>0.53604769248793382</v>
      </c>
    </row>
    <row r="705" spans="6:13" x14ac:dyDescent="0.4">
      <c r="F705" s="1">
        <v>42795</v>
      </c>
      <c r="G705" s="16">
        <v>407.05</v>
      </c>
      <c r="H705" s="16">
        <f t="shared" si="51"/>
        <v>405.41384757131044</v>
      </c>
      <c r="I705">
        <f t="shared" si="52"/>
        <v>3</v>
      </c>
      <c r="J705" s="16" cm="1">
        <f t="array" ref="J705">INDEX(Sm,I705)</f>
        <v>1.3939471632320417</v>
      </c>
      <c r="K705" s="16">
        <f t="shared" si="53"/>
        <v>406.80779473454248</v>
      </c>
      <c r="L705" s="16">
        <f t="shared" si="54"/>
        <v>0.24220526545752818</v>
      </c>
      <c r="M705" s="16">
        <f t="shared" si="55"/>
        <v>5.8663390615351696E-2</v>
      </c>
    </row>
    <row r="706" spans="6:13" x14ac:dyDescent="0.4">
      <c r="F706" s="1">
        <v>42826</v>
      </c>
      <c r="G706" s="16">
        <v>408.95</v>
      </c>
      <c r="H706" s="16">
        <f t="shared" si="51"/>
        <v>405.62075209664295</v>
      </c>
      <c r="I706">
        <f t="shared" si="52"/>
        <v>4</v>
      </c>
      <c r="J706" s="16" cm="1">
        <f t="array" ref="J706">INDEX(Sm,I706)</f>
        <v>2.6315659351379859</v>
      </c>
      <c r="K706" s="16">
        <f t="shared" si="53"/>
        <v>408.25231803178093</v>
      </c>
      <c r="L706" s="16">
        <f t="shared" si="54"/>
        <v>0.69768196821905804</v>
      </c>
      <c r="M706" s="16">
        <f t="shared" si="55"/>
        <v>0.48676012877801872</v>
      </c>
    </row>
    <row r="707" spans="6:13" x14ac:dyDescent="0.4">
      <c r="F707" s="1">
        <v>42856</v>
      </c>
      <c r="G707" s="16">
        <v>409.91</v>
      </c>
      <c r="H707" s="16">
        <f t="shared" ref="H707:H714" si="56">EXP(_A*F707+_B)+_C</f>
        <v>405.8212596115801</v>
      </c>
      <c r="I707">
        <f t="shared" ref="I707:I714" si="57">MONTH(F707)</f>
        <v>5</v>
      </c>
      <c r="J707" s="16" cm="1">
        <f t="array" ref="J707">INDEX(Sm,I707)</f>
        <v>3.0968597809913625</v>
      </c>
      <c r="K707" s="16">
        <f t="shared" ref="K707:K714" si="58">H707+J707</f>
        <v>408.91811939257144</v>
      </c>
      <c r="L707" s="16">
        <f t="shared" ref="L707:L714" si="59">G707-K707</f>
        <v>0.99188060742858397</v>
      </c>
      <c r="M707" s="16">
        <f t="shared" ref="M707:M714" si="60">L707*L707</f>
        <v>0.98382713939289668</v>
      </c>
    </row>
    <row r="708" spans="6:13" x14ac:dyDescent="0.4">
      <c r="F708" s="1">
        <v>42887</v>
      </c>
      <c r="G708" s="16">
        <v>409.12</v>
      </c>
      <c r="H708" s="16">
        <f t="shared" si="56"/>
        <v>406.02873768287532</v>
      </c>
      <c r="I708">
        <f t="shared" si="57"/>
        <v>6</v>
      </c>
      <c r="J708" s="16" cm="1">
        <f t="array" ref="J708">INDEX(Sm,I708)</f>
        <v>2.3186578027685911</v>
      </c>
      <c r="K708" s="16">
        <f t="shared" si="58"/>
        <v>408.34739548564391</v>
      </c>
      <c r="L708" s="16">
        <f t="shared" si="59"/>
        <v>0.77260451435608957</v>
      </c>
      <c r="M708" s="16">
        <f t="shared" si="60"/>
        <v>0.59691773560340899</v>
      </c>
    </row>
    <row r="709" spans="6:13" x14ac:dyDescent="0.4">
      <c r="F709" s="1">
        <v>42917</v>
      </c>
      <c r="G709" s="16">
        <v>407.2</v>
      </c>
      <c r="H709" s="16">
        <f t="shared" si="56"/>
        <v>406.22980101105804</v>
      </c>
      <c r="I709">
        <f t="shared" si="57"/>
        <v>7</v>
      </c>
      <c r="J709" s="16" cm="1">
        <f t="array" ref="J709">INDEX(Sm,I709)</f>
        <v>0.74380149245581328</v>
      </c>
      <c r="K709" s="16">
        <f t="shared" si="58"/>
        <v>406.97360250351386</v>
      </c>
      <c r="L709" s="16">
        <f t="shared" si="59"/>
        <v>0.22639749648612906</v>
      </c>
      <c r="M709" s="16">
        <f t="shared" si="60"/>
        <v>5.125582641518682E-2</v>
      </c>
    </row>
    <row r="710" spans="6:13" x14ac:dyDescent="0.4">
      <c r="F710" s="1">
        <v>42948</v>
      </c>
      <c r="G710" s="16">
        <v>405.24</v>
      </c>
      <c r="H710" s="16">
        <f t="shared" si="56"/>
        <v>406.43785421820388</v>
      </c>
      <c r="I710">
        <f t="shared" si="57"/>
        <v>8</v>
      </c>
      <c r="J710" s="16" cm="1">
        <f t="array" ref="J710">INDEX(Sm,I710)</f>
        <v>-1.3852874640433905</v>
      </c>
      <c r="K710" s="16">
        <f t="shared" si="58"/>
        <v>405.05256675416047</v>
      </c>
      <c r="L710" s="16">
        <f t="shared" si="59"/>
        <v>0.18743324583954291</v>
      </c>
      <c r="M710" s="16">
        <f t="shared" si="60"/>
        <v>3.513122164594653E-2</v>
      </c>
    </row>
    <row r="711" spans="6:13" x14ac:dyDescent="0.4">
      <c r="F711" s="1">
        <v>42979</v>
      </c>
      <c r="G711" s="16">
        <v>403.27</v>
      </c>
      <c r="H711" s="16">
        <f t="shared" si="56"/>
        <v>406.64620031820817</v>
      </c>
      <c r="I711">
        <f t="shared" si="57"/>
        <v>9</v>
      </c>
      <c r="J711" s="16" cm="1">
        <f t="array" ref="J711">INDEX(Sm,I711)</f>
        <v>-3.188494698714738</v>
      </c>
      <c r="K711" s="16">
        <f t="shared" si="58"/>
        <v>403.45770561949342</v>
      </c>
      <c r="L711" s="16">
        <f t="shared" si="59"/>
        <v>-0.18770561949344255</v>
      </c>
      <c r="M711" s="16">
        <f t="shared" si="60"/>
        <v>3.5233399589417042E-2</v>
      </c>
    </row>
    <row r="712" spans="6:13" x14ac:dyDescent="0.4">
      <c r="F712" s="1">
        <v>43009</v>
      </c>
      <c r="G712" s="16">
        <v>403.64</v>
      </c>
      <c r="H712" s="16">
        <f t="shared" si="56"/>
        <v>406.8481048376554</v>
      </c>
      <c r="I712">
        <f t="shared" si="57"/>
        <v>10</v>
      </c>
      <c r="J712" s="16" cm="1">
        <f t="array" ref="J712">INDEX(Sm,I712)</f>
        <v>-3.3139186770794531</v>
      </c>
      <c r="K712" s="16">
        <f t="shared" si="58"/>
        <v>403.53418616057593</v>
      </c>
      <c r="L712" s="16">
        <f t="shared" si="59"/>
        <v>0.10581383942405864</v>
      </c>
      <c r="M712" s="16">
        <f t="shared" si="60"/>
        <v>1.1196568613660467E-2</v>
      </c>
    </row>
    <row r="713" spans="6:13" x14ac:dyDescent="0.4">
      <c r="F713" s="1">
        <v>43040</v>
      </c>
      <c r="G713" s="16">
        <v>405.17</v>
      </c>
      <c r="H713" s="16">
        <f t="shared" si="56"/>
        <v>407.05702847971384</v>
      </c>
      <c r="I713">
        <f t="shared" si="57"/>
        <v>11</v>
      </c>
      <c r="J713" s="16" cm="1">
        <f t="array" ref="J713">INDEX(Sm,I713)</f>
        <v>-2.0555969925100759</v>
      </c>
      <c r="K713" s="16">
        <f t="shared" si="58"/>
        <v>405.00143148720377</v>
      </c>
      <c r="L713" s="16">
        <f t="shared" si="59"/>
        <v>0.16856851279624152</v>
      </c>
      <c r="M713" s="16">
        <f t="shared" si="60"/>
        <v>2.8415343506336642E-2</v>
      </c>
    </row>
    <row r="714" spans="6:13" x14ac:dyDescent="0.4">
      <c r="F714" s="1">
        <v>43070</v>
      </c>
      <c r="G714" s="16">
        <v>406.75</v>
      </c>
      <c r="H714" s="16">
        <f t="shared" si="56"/>
        <v>407.25949268494765</v>
      </c>
      <c r="I714">
        <f t="shared" si="57"/>
        <v>12</v>
      </c>
      <c r="J714" s="16" cm="1">
        <f t="array" ref="J714">INDEX(Sm,I714)</f>
        <v>-0.88675924001340456</v>
      </c>
      <c r="K714" s="16">
        <f t="shared" si="58"/>
        <v>406.37273344493423</v>
      </c>
      <c r="L714" s="16">
        <f t="shared" si="59"/>
        <v>0.37726655506577345</v>
      </c>
      <c r="M714" s="16">
        <f t="shared" si="60"/>
        <v>0.14233005357119627</v>
      </c>
    </row>
    <row r="715" spans="6:13" x14ac:dyDescent="0.4">
      <c r="F715" s="1">
        <v>43101</v>
      </c>
      <c r="G715" s="16">
        <v>408.05</v>
      </c>
      <c r="H715" s="16">
        <f t="shared" ref="H715:H742" si="61">EXP(_A*F715+_B)+_C</f>
        <v>407.46899547002488</v>
      </c>
      <c r="I715">
        <f t="shared" ref="I715:I742" si="62">MONTH(F715)</f>
        <v>1</v>
      </c>
      <c r="J715" s="16" cm="1">
        <f t="array" ref="J715">INDEX(Sm,I715)</f>
        <v>-3.5406241068958691E-2</v>
      </c>
      <c r="K715" s="16">
        <f t="shared" ref="K715:K742" si="63">H715+J715</f>
        <v>407.4335892289559</v>
      </c>
      <c r="L715" s="16">
        <f t="shared" ref="L715:L742" si="64">G715-K715</f>
        <v>0.61641077104411579</v>
      </c>
      <c r="M715" s="16">
        <f t="shared" ref="M715:M742" si="65">L715*L715</f>
        <v>0.37996223865920131</v>
      </c>
    </row>
    <row r="716" spans="6:13" x14ac:dyDescent="0.4">
      <c r="F716" s="1">
        <v>43132</v>
      </c>
      <c r="G716" s="16">
        <v>408.34</v>
      </c>
      <c r="H716" s="16">
        <f t="shared" si="61"/>
        <v>407.6787931886455</v>
      </c>
      <c r="I716">
        <f t="shared" si="62"/>
        <v>2</v>
      </c>
      <c r="J716" s="16" cm="1">
        <f t="array" ref="J716">INDEX(Sm,I716)</f>
        <v>0.68063113884422577</v>
      </c>
      <c r="K716" s="16">
        <f t="shared" si="63"/>
        <v>408.35942432748971</v>
      </c>
      <c r="L716" s="16">
        <f t="shared" si="64"/>
        <v>-1.9424327489730331E-2</v>
      </c>
      <c r="M716" s="16">
        <f t="shared" si="65"/>
        <v>3.7730449842829339E-4</v>
      </c>
    </row>
    <row r="717" spans="6:13" x14ac:dyDescent="0.4">
      <c r="F717" s="1">
        <v>43160</v>
      </c>
      <c r="G717" s="16">
        <v>409.25</v>
      </c>
      <c r="H717" s="16">
        <f t="shared" si="61"/>
        <v>407.86854174926054</v>
      </c>
      <c r="I717">
        <f t="shared" si="62"/>
        <v>3</v>
      </c>
      <c r="J717" s="16" cm="1">
        <f t="array" ref="J717">INDEX(Sm,I717)</f>
        <v>1.3939471632320417</v>
      </c>
      <c r="K717" s="16">
        <f t="shared" si="63"/>
        <v>409.26248891249259</v>
      </c>
      <c r="L717" s="16">
        <f t="shared" si="64"/>
        <v>-1.2488912492585769E-2</v>
      </c>
      <c r="M717" s="16">
        <f t="shared" si="65"/>
        <v>1.5597293524746488E-4</v>
      </c>
    </row>
    <row r="718" spans="6:13" x14ac:dyDescent="0.4">
      <c r="F718" s="1">
        <v>43191</v>
      </c>
      <c r="G718" s="16">
        <v>410.3</v>
      </c>
      <c r="H718" s="16">
        <f t="shared" si="61"/>
        <v>408.0789019405936</v>
      </c>
      <c r="I718">
        <f t="shared" si="62"/>
        <v>4</v>
      </c>
      <c r="J718" s="16" cm="1">
        <f t="array" ref="J718">INDEX(Sm,I718)</f>
        <v>2.6315659351379859</v>
      </c>
      <c r="K718" s="16">
        <f t="shared" si="63"/>
        <v>410.71046787573158</v>
      </c>
      <c r="L718" s="16">
        <f t="shared" si="64"/>
        <v>-0.41046787573156962</v>
      </c>
      <c r="M718" s="16">
        <f t="shared" si="65"/>
        <v>0.16848387700758727</v>
      </c>
    </row>
    <row r="719" spans="6:13" x14ac:dyDescent="0.4">
      <c r="F719" s="1">
        <v>43221</v>
      </c>
      <c r="G719" s="16">
        <v>411.3</v>
      </c>
      <c r="H719" s="16">
        <f t="shared" si="61"/>
        <v>408.28275828031423</v>
      </c>
      <c r="I719">
        <f t="shared" si="62"/>
        <v>5</v>
      </c>
      <c r="J719" s="16" cm="1">
        <f t="array" ref="J719">INDEX(Sm,I719)</f>
        <v>3.0968597809913625</v>
      </c>
      <c r="K719" s="16">
        <f t="shared" si="63"/>
        <v>411.37961806130556</v>
      </c>
      <c r="L719" s="16">
        <f t="shared" si="64"/>
        <v>-7.9618061305552601E-2</v>
      </c>
      <c r="M719" s="16">
        <f t="shared" si="65"/>
        <v>6.3390356860547319E-3</v>
      </c>
    </row>
    <row r="720" spans="6:13" x14ac:dyDescent="0.4">
      <c r="F720" s="1">
        <v>43252</v>
      </c>
      <c r="G720" s="16">
        <v>410.88</v>
      </c>
      <c r="H720" s="16">
        <f t="shared" si="61"/>
        <v>408.49370159682701</v>
      </c>
      <c r="I720">
        <f t="shared" si="62"/>
        <v>6</v>
      </c>
      <c r="J720" s="16" cm="1">
        <f t="array" ref="J720">INDEX(Sm,I720)</f>
        <v>2.3186578027685911</v>
      </c>
      <c r="K720" s="16">
        <f t="shared" si="63"/>
        <v>410.81235939959561</v>
      </c>
      <c r="L720" s="16">
        <f t="shared" si="64"/>
        <v>6.7640600404388351E-2</v>
      </c>
      <c r="M720" s="16">
        <f t="shared" si="65"/>
        <v>4.5752508230661416E-3</v>
      </c>
    </row>
    <row r="721" spans="6:13" x14ac:dyDescent="0.4">
      <c r="F721" s="1">
        <v>43282</v>
      </c>
      <c r="G721" s="16">
        <v>408.9</v>
      </c>
      <c r="H721" s="16">
        <f t="shared" si="61"/>
        <v>408.69812303284243</v>
      </c>
      <c r="I721">
        <f t="shared" si="62"/>
        <v>7</v>
      </c>
      <c r="J721" s="16" cm="1">
        <f t="array" ref="J721">INDEX(Sm,I721)</f>
        <v>0.74380149245581328</v>
      </c>
      <c r="K721" s="16">
        <f t="shared" si="63"/>
        <v>409.44192452529825</v>
      </c>
      <c r="L721" s="16">
        <f t="shared" si="64"/>
        <v>-0.54192452529827051</v>
      </c>
      <c r="M721" s="16">
        <f t="shared" si="65"/>
        <v>0.29368219111975585</v>
      </c>
    </row>
    <row r="722" spans="6:13" x14ac:dyDescent="0.4">
      <c r="F722" s="1">
        <v>43313</v>
      </c>
      <c r="G722" s="16">
        <v>407.1</v>
      </c>
      <c r="H722" s="16">
        <f t="shared" si="61"/>
        <v>408.9096510909763</v>
      </c>
      <c r="I722">
        <f t="shared" si="62"/>
        <v>8</v>
      </c>
      <c r="J722" s="16" cm="1">
        <f t="array" ref="J722">INDEX(Sm,I722)</f>
        <v>-1.3852874640433905</v>
      </c>
      <c r="K722" s="16">
        <f t="shared" si="63"/>
        <v>407.52436362693288</v>
      </c>
      <c r="L722" s="16">
        <f t="shared" si="64"/>
        <v>-0.42436362693285901</v>
      </c>
      <c r="M722" s="16">
        <f t="shared" si="65"/>
        <v>0.18008448786361073</v>
      </c>
    </row>
    <row r="723" spans="6:13" x14ac:dyDescent="0.4">
      <c r="F723" s="1">
        <v>43344</v>
      </c>
      <c r="G723" s="16">
        <v>405.59</v>
      </c>
      <c r="H723" s="16">
        <f t="shared" si="61"/>
        <v>409.12147693378961</v>
      </c>
      <c r="I723">
        <f t="shared" si="62"/>
        <v>9</v>
      </c>
      <c r="J723" s="16" cm="1">
        <f t="array" ref="J723">INDEX(Sm,I723)</f>
        <v>-3.188494698714738</v>
      </c>
      <c r="K723" s="16">
        <f t="shared" si="63"/>
        <v>405.93298223507486</v>
      </c>
      <c r="L723" s="16">
        <f t="shared" si="64"/>
        <v>-0.34298223507488501</v>
      </c>
      <c r="M723" s="16">
        <f t="shared" si="65"/>
        <v>0.11763681357696368</v>
      </c>
    </row>
    <row r="724" spans="6:13" x14ac:dyDescent="0.4">
      <c r="F724" s="1">
        <v>43374</v>
      </c>
      <c r="G724" s="16">
        <v>405.99</v>
      </c>
      <c r="H724" s="16">
        <f t="shared" si="61"/>
        <v>409.32675361042925</v>
      </c>
      <c r="I724">
        <f t="shared" si="62"/>
        <v>10</v>
      </c>
      <c r="J724" s="16" cm="1">
        <f t="array" ref="J724">INDEX(Sm,I724)</f>
        <v>-3.3139186770794531</v>
      </c>
      <c r="K724" s="16">
        <f t="shared" si="63"/>
        <v>406.01283493334978</v>
      </c>
      <c r="L724" s="16">
        <f t="shared" si="64"/>
        <v>-2.2834933349770381E-2</v>
      </c>
      <c r="M724" s="16">
        <f t="shared" si="65"/>
        <v>5.2143418108845552E-4</v>
      </c>
    </row>
    <row r="725" spans="6:13" x14ac:dyDescent="0.4">
      <c r="F725" s="1">
        <v>43405</v>
      </c>
      <c r="G725" s="16">
        <v>408.12</v>
      </c>
      <c r="H725" s="16">
        <f t="shared" si="61"/>
        <v>409.53916664125484</v>
      </c>
      <c r="I725">
        <f t="shared" si="62"/>
        <v>11</v>
      </c>
      <c r="J725" s="16" cm="1">
        <f t="array" ref="J725">INDEX(Sm,I725)</f>
        <v>-2.0555969925100759</v>
      </c>
      <c r="K725" s="16">
        <f t="shared" si="63"/>
        <v>407.48356964874478</v>
      </c>
      <c r="L725" s="16">
        <f t="shared" si="64"/>
        <v>0.63643035125522829</v>
      </c>
      <c r="M725" s="16">
        <f t="shared" si="65"/>
        <v>0.40504359199885326</v>
      </c>
    </row>
    <row r="726" spans="6:13" x14ac:dyDescent="0.4">
      <c r="F726" s="1">
        <v>43435</v>
      </c>
      <c r="G726" s="16">
        <v>409.23</v>
      </c>
      <c r="H726" s="16">
        <f t="shared" si="61"/>
        <v>409.74501235140866</v>
      </c>
      <c r="I726">
        <f t="shared" si="62"/>
        <v>12</v>
      </c>
      <c r="J726" s="16" cm="1">
        <f t="array" ref="J726">INDEX(Sm,I726)</f>
        <v>-0.88675924001340456</v>
      </c>
      <c r="K726" s="16">
        <f t="shared" si="63"/>
        <v>408.85825311139524</v>
      </c>
      <c r="L726" s="16">
        <f t="shared" si="64"/>
        <v>0.37174688860477545</v>
      </c>
      <c r="M726" s="16">
        <f t="shared" si="65"/>
        <v>0.13819574918733132</v>
      </c>
    </row>
    <row r="727" spans="6:13" x14ac:dyDescent="0.4">
      <c r="F727" s="1">
        <v>43466</v>
      </c>
      <c r="G727" s="16">
        <v>410.92</v>
      </c>
      <c r="H727" s="16">
        <f t="shared" si="61"/>
        <v>409.95801419795066</v>
      </c>
      <c r="I727">
        <f t="shared" si="62"/>
        <v>1</v>
      </c>
      <c r="J727" s="16" cm="1">
        <f t="array" ref="J727">INDEX(Sm,I727)</f>
        <v>-3.5406241068958691E-2</v>
      </c>
      <c r="K727" s="16">
        <f t="shared" si="63"/>
        <v>409.92260795688168</v>
      </c>
      <c r="L727" s="16">
        <f t="shared" si="64"/>
        <v>0.99739204311833873</v>
      </c>
      <c r="M727" s="16">
        <f t="shared" si="65"/>
        <v>0.99479088767577406</v>
      </c>
    </row>
    <row r="728" spans="6:13" x14ac:dyDescent="0.4">
      <c r="F728" s="1">
        <v>43497</v>
      </c>
      <c r="G728" s="16">
        <v>411.66</v>
      </c>
      <c r="H728" s="16">
        <f t="shared" si="61"/>
        <v>410.17131590393967</v>
      </c>
      <c r="I728">
        <f t="shared" si="62"/>
        <v>2</v>
      </c>
      <c r="J728" s="16" cm="1">
        <f t="array" ref="J728">INDEX(Sm,I728)</f>
        <v>0.68063113884422577</v>
      </c>
      <c r="K728" s="16">
        <f t="shared" si="63"/>
        <v>410.85194704278388</v>
      </c>
      <c r="L728" s="16">
        <f t="shared" si="64"/>
        <v>0.80805295721614812</v>
      </c>
      <c r="M728" s="16">
        <f t="shared" si="65"/>
        <v>0.65294958166576211</v>
      </c>
    </row>
    <row r="729" spans="6:13" x14ac:dyDescent="0.4">
      <c r="F729" s="1">
        <v>43525</v>
      </c>
      <c r="G729" s="16">
        <v>412</v>
      </c>
      <c r="H729" s="16">
        <f t="shared" si="61"/>
        <v>410.36423359605908</v>
      </c>
      <c r="I729">
        <f t="shared" si="62"/>
        <v>3</v>
      </c>
      <c r="J729" s="16" cm="1">
        <f t="array" ref="J729">INDEX(Sm,I729)</f>
        <v>1.3939471632320417</v>
      </c>
      <c r="K729" s="16">
        <f t="shared" si="63"/>
        <v>411.75818075929112</v>
      </c>
      <c r="L729" s="16">
        <f t="shared" si="64"/>
        <v>0.24181924070887817</v>
      </c>
      <c r="M729" s="16">
        <f t="shared" si="65"/>
        <v>5.8476545177018363E-2</v>
      </c>
    </row>
    <row r="730" spans="6:13" x14ac:dyDescent="0.4">
      <c r="F730" s="1">
        <v>43556</v>
      </c>
      <c r="G730" s="16">
        <v>413.52</v>
      </c>
      <c r="H730" s="16">
        <f t="shared" si="61"/>
        <v>410.57810716903481</v>
      </c>
      <c r="I730">
        <f t="shared" si="62"/>
        <v>4</v>
      </c>
      <c r="J730" s="16" cm="1">
        <f t="array" ref="J730">INDEX(Sm,I730)</f>
        <v>2.6315659351379859</v>
      </c>
      <c r="K730" s="16">
        <f t="shared" si="63"/>
        <v>413.20967310417279</v>
      </c>
      <c r="L730" s="16">
        <f t="shared" si="64"/>
        <v>0.31032689582718831</v>
      </c>
      <c r="M730" s="16">
        <f t="shared" si="65"/>
        <v>9.6302782273738591E-2</v>
      </c>
    </row>
    <row r="731" spans="6:13" x14ac:dyDescent="0.4">
      <c r="F731" s="1">
        <v>43586</v>
      </c>
      <c r="G731" s="16">
        <v>414.83</v>
      </c>
      <c r="H731" s="16">
        <f t="shared" si="61"/>
        <v>410.78536826474647</v>
      </c>
      <c r="I731">
        <f t="shared" si="62"/>
        <v>5</v>
      </c>
      <c r="J731" s="16" cm="1">
        <f t="array" ref="J731">INDEX(Sm,I731)</f>
        <v>3.0968597809913625</v>
      </c>
      <c r="K731" s="16">
        <f t="shared" si="63"/>
        <v>413.8822280457378</v>
      </c>
      <c r="L731" s="16">
        <f t="shared" si="64"/>
        <v>0.94777195426217986</v>
      </c>
      <c r="M731" s="16">
        <f t="shared" si="65"/>
        <v>0.89827167728595159</v>
      </c>
    </row>
    <row r="732" spans="6:13" x14ac:dyDescent="0.4">
      <c r="F732" s="1">
        <v>43617</v>
      </c>
      <c r="G732" s="16">
        <v>413.96</v>
      </c>
      <c r="H732" s="16">
        <f t="shared" si="61"/>
        <v>410.99983470210805</v>
      </c>
      <c r="I732">
        <f t="shared" si="62"/>
        <v>6</v>
      </c>
      <c r="J732" s="16" cm="1">
        <f t="array" ref="J732">INDEX(Sm,I732)</f>
        <v>2.3186578027685911</v>
      </c>
      <c r="K732" s="16">
        <f t="shared" si="63"/>
        <v>413.31849250487664</v>
      </c>
      <c r="L732" s="16">
        <f t="shared" si="64"/>
        <v>0.64150749512333505</v>
      </c>
      <c r="M732" s="16">
        <f t="shared" si="65"/>
        <v>0.41153186629941574</v>
      </c>
    </row>
    <row r="733" spans="6:13" x14ac:dyDescent="0.4">
      <c r="F733" s="1">
        <v>43647</v>
      </c>
      <c r="G733" s="16">
        <v>411.85</v>
      </c>
      <c r="H733" s="16">
        <f t="shared" si="61"/>
        <v>411.20767033220704</v>
      </c>
      <c r="I733">
        <f t="shared" si="62"/>
        <v>7</v>
      </c>
      <c r="J733" s="16" cm="1">
        <f t="array" ref="J733">INDEX(Sm,I733)</f>
        <v>0.74380149245581328</v>
      </c>
      <c r="K733" s="16">
        <f t="shared" si="63"/>
        <v>411.95147182466286</v>
      </c>
      <c r="L733" s="16">
        <f t="shared" si="64"/>
        <v>-0.10147182466283766</v>
      </c>
      <c r="M733" s="16">
        <f t="shared" si="65"/>
        <v>1.0296531200405669E-2</v>
      </c>
    </row>
    <row r="734" spans="6:13" x14ac:dyDescent="0.4">
      <c r="F734" s="1">
        <v>43678</v>
      </c>
      <c r="G734" s="16">
        <v>410.08</v>
      </c>
      <c r="H734" s="16">
        <f t="shared" si="61"/>
        <v>411.42273127739372</v>
      </c>
      <c r="I734">
        <f t="shared" si="62"/>
        <v>8</v>
      </c>
      <c r="J734" s="16" cm="1">
        <f t="array" ref="J734">INDEX(Sm,I734)</f>
        <v>-1.3852874640433905</v>
      </c>
      <c r="K734" s="16">
        <f t="shared" si="63"/>
        <v>410.03744381335031</v>
      </c>
      <c r="L734" s="16">
        <f t="shared" si="64"/>
        <v>4.255618664967642E-2</v>
      </c>
      <c r="M734" s="16">
        <f t="shared" si="65"/>
        <v>1.8110290221620975E-3</v>
      </c>
    </row>
    <row r="735" spans="6:13" x14ac:dyDescent="0.4">
      <c r="F735" s="1">
        <v>43709</v>
      </c>
      <c r="G735" s="16">
        <v>408.55</v>
      </c>
      <c r="H735" s="16">
        <f t="shared" si="61"/>
        <v>411.63809498078245</v>
      </c>
      <c r="I735">
        <f t="shared" si="62"/>
        <v>9</v>
      </c>
      <c r="J735" s="16" cm="1">
        <f t="array" ref="J735">INDEX(Sm,I735)</f>
        <v>-3.188494698714738</v>
      </c>
      <c r="K735" s="16">
        <f t="shared" si="63"/>
        <v>408.44960028206771</v>
      </c>
      <c r="L735" s="16">
        <f t="shared" si="64"/>
        <v>0.10039971793230507</v>
      </c>
      <c r="M735" s="16">
        <f t="shared" si="65"/>
        <v>1.008010336088642E-2</v>
      </c>
    </row>
    <row r="736" spans="6:13" x14ac:dyDescent="0.4">
      <c r="F736" s="1">
        <v>43739</v>
      </c>
      <c r="G736" s="16">
        <v>408.43</v>
      </c>
      <c r="H736" s="16">
        <f t="shared" si="61"/>
        <v>411.84680013551406</v>
      </c>
      <c r="I736">
        <f t="shared" si="62"/>
        <v>10</v>
      </c>
      <c r="J736" s="16" cm="1">
        <f t="array" ref="J736">INDEX(Sm,I736)</f>
        <v>-3.3139186770794531</v>
      </c>
      <c r="K736" s="16">
        <f t="shared" si="63"/>
        <v>408.53288145843459</v>
      </c>
      <c r="L736" s="16">
        <f t="shared" si="64"/>
        <v>-0.10288145843458096</v>
      </c>
      <c r="M736" s="16">
        <f t="shared" si="65"/>
        <v>1.058459448962641E-2</v>
      </c>
    </row>
    <row r="737" spans="6:13" x14ac:dyDescent="0.4">
      <c r="F737" s="1">
        <v>43770</v>
      </c>
      <c r="G737" s="16">
        <v>410.29</v>
      </c>
      <c r="H737" s="16">
        <f t="shared" si="61"/>
        <v>412.06276083397779</v>
      </c>
      <c r="I737">
        <f t="shared" si="62"/>
        <v>11</v>
      </c>
      <c r="J737" s="16" cm="1">
        <f t="array" ref="J737">INDEX(Sm,I737)</f>
        <v>-2.0555969925100759</v>
      </c>
      <c r="K737" s="16">
        <f t="shared" si="63"/>
        <v>410.00716384146773</v>
      </c>
      <c r="L737" s="16">
        <f t="shared" si="64"/>
        <v>0.28283615853229094</v>
      </c>
      <c r="M737" s="16">
        <f t="shared" si="65"/>
        <v>7.9996292573303207E-2</v>
      </c>
    </row>
    <row r="738" spans="6:13" x14ac:dyDescent="0.4">
      <c r="F738" s="1">
        <v>43800</v>
      </c>
      <c r="G738" s="16">
        <v>411.85</v>
      </c>
      <c r="H738" s="16">
        <f t="shared" si="61"/>
        <v>412.27204452607441</v>
      </c>
      <c r="I738">
        <f t="shared" si="62"/>
        <v>12</v>
      </c>
      <c r="J738" s="16" cm="1">
        <f t="array" ref="J738">INDEX(Sm,I738)</f>
        <v>-0.88675924001340456</v>
      </c>
      <c r="K738" s="16">
        <f t="shared" si="63"/>
        <v>411.38528528606099</v>
      </c>
      <c r="L738" s="16">
        <f t="shared" si="64"/>
        <v>0.4647147139390313</v>
      </c>
      <c r="M738" s="16">
        <f t="shared" si="65"/>
        <v>0.21595976535143568</v>
      </c>
    </row>
    <row r="739" spans="6:13" x14ac:dyDescent="0.4">
      <c r="F739" s="1">
        <v>43831</v>
      </c>
      <c r="G739" s="16">
        <v>413.37</v>
      </c>
      <c r="H739" s="16">
        <f t="shared" si="61"/>
        <v>412.4886038745027</v>
      </c>
      <c r="I739">
        <f t="shared" si="62"/>
        <v>1</v>
      </c>
      <c r="J739" s="16" cm="1">
        <f t="array" ref="J739">INDEX(Sm,I739)</f>
        <v>-3.5406241068958691E-2</v>
      </c>
      <c r="K739" s="16">
        <f t="shared" si="63"/>
        <v>412.45319763343372</v>
      </c>
      <c r="L739" s="16">
        <f t="shared" si="64"/>
        <v>0.91680236656628722</v>
      </c>
      <c r="M739" s="16">
        <f t="shared" si="65"/>
        <v>0.84052657934154484</v>
      </c>
    </row>
    <row r="740" spans="6:13" x14ac:dyDescent="0.4">
      <c r="F740" s="1">
        <v>43862</v>
      </c>
      <c r="G740" s="16">
        <v>414.09</v>
      </c>
      <c r="H740" s="16">
        <f t="shared" si="61"/>
        <v>412.70546809055327</v>
      </c>
      <c r="I740">
        <f t="shared" si="62"/>
        <v>2</v>
      </c>
      <c r="J740" s="16" cm="1">
        <f t="array" ref="J740">INDEX(Sm,I740)</f>
        <v>0.68063113884422577</v>
      </c>
      <c r="K740" s="16">
        <f t="shared" si="63"/>
        <v>413.38609922939747</v>
      </c>
      <c r="L740" s="16">
        <f t="shared" si="64"/>
        <v>0.70390077060250178</v>
      </c>
      <c r="M740" s="16">
        <f t="shared" si="65"/>
        <v>0.49547629485479583</v>
      </c>
    </row>
    <row r="741" spans="6:13" x14ac:dyDescent="0.4">
      <c r="F741" s="1">
        <v>43891</v>
      </c>
      <c r="G741" s="16">
        <v>414.51</v>
      </c>
      <c r="H741" s="16">
        <f t="shared" si="61"/>
        <v>412.90861744582344</v>
      </c>
      <c r="I741">
        <f t="shared" si="62"/>
        <v>3</v>
      </c>
      <c r="J741" s="16" cm="1">
        <f t="array" ref="J741">INDEX(Sm,I741)</f>
        <v>1.3939471632320417</v>
      </c>
      <c r="K741" s="16">
        <f t="shared" si="63"/>
        <v>414.30256460905548</v>
      </c>
      <c r="L741" s="16">
        <f t="shared" si="64"/>
        <v>0.2074353909445108</v>
      </c>
      <c r="M741" s="16">
        <f t="shared" si="65"/>
        <v>4.3029441416302036E-2</v>
      </c>
    </row>
    <row r="742" spans="6:13" x14ac:dyDescent="0.4">
      <c r="F742" s="1">
        <v>43922</v>
      </c>
      <c r="G742" s="16">
        <v>416.18</v>
      </c>
      <c r="H742" s="16">
        <f t="shared" si="61"/>
        <v>413.12607294800296</v>
      </c>
      <c r="I742">
        <f t="shared" si="62"/>
        <v>4</v>
      </c>
      <c r="J742" s="16" cm="1">
        <f t="array" ref="J742">INDEX(Sm,I742)</f>
        <v>2.6315659351379859</v>
      </c>
      <c r="K742" s="16">
        <f t="shared" si="63"/>
        <v>415.75763888314094</v>
      </c>
      <c r="L742" s="16">
        <f t="shared" si="64"/>
        <v>0.42236111685906508</v>
      </c>
      <c r="M742" s="16">
        <f t="shared" si="65"/>
        <v>0.17838891303443682</v>
      </c>
    </row>
    <row r="743" spans="6:13" x14ac:dyDescent="0.4">
      <c r="F743" s="1">
        <v>43952</v>
      </c>
      <c r="H743" s="16">
        <f t="shared" ref="H743:H806" si="66">EXP(_A*F743+_B)+_C</f>
        <v>413.33680522793452</v>
      </c>
      <c r="I743">
        <f t="shared" ref="I743:I806" si="67">MONTH(F743)</f>
        <v>5</v>
      </c>
      <c r="J743" s="16" cm="1">
        <f t="array" ref="J743">INDEX(Sm,I743)</f>
        <v>3.0968597809913625</v>
      </c>
      <c r="K743" s="16">
        <f t="shared" ref="K743:K806" si="68">H743+J743</f>
        <v>416.43366500892586</v>
      </c>
    </row>
    <row r="744" spans="6:13" x14ac:dyDescent="0.4">
      <c r="F744" s="1">
        <v>43983</v>
      </c>
      <c r="H744" s="16">
        <f t="shared" si="66"/>
        <v>413.55486352372225</v>
      </c>
      <c r="I744">
        <f t="shared" si="67"/>
        <v>6</v>
      </c>
      <c r="J744" s="16" cm="1">
        <f t="array" ref="J744">INDEX(Sm,I744)</f>
        <v>2.3186578027685911</v>
      </c>
      <c r="K744" s="16">
        <f t="shared" si="68"/>
        <v>415.87352132649085</v>
      </c>
    </row>
    <row r="745" spans="6:13" x14ac:dyDescent="0.4">
      <c r="F745" s="1">
        <v>44013</v>
      </c>
      <c r="H745" s="16">
        <f t="shared" si="66"/>
        <v>413.76617996027466</v>
      </c>
      <c r="I745">
        <f t="shared" si="67"/>
        <v>7</v>
      </c>
      <c r="J745" s="16" cm="1">
        <f t="array" ref="J745">INDEX(Sm,I745)</f>
        <v>0.74380149245581328</v>
      </c>
      <c r="K745" s="16">
        <f t="shared" si="68"/>
        <v>414.50998145273047</v>
      </c>
    </row>
    <row r="746" spans="6:13" x14ac:dyDescent="0.4">
      <c r="F746" s="1">
        <v>44044</v>
      </c>
      <c r="H746" s="16">
        <f t="shared" si="66"/>
        <v>413.98484272063376</v>
      </c>
      <c r="I746">
        <f t="shared" si="67"/>
        <v>8</v>
      </c>
      <c r="J746" s="16" cm="1">
        <f t="array" ref="J746">INDEX(Sm,I746)</f>
        <v>-1.3852874640433905</v>
      </c>
      <c r="K746" s="16">
        <f t="shared" si="68"/>
        <v>412.59955525659035</v>
      </c>
    </row>
    <row r="747" spans="6:13" x14ac:dyDescent="0.4">
      <c r="F747" s="1">
        <v>44075</v>
      </c>
      <c r="H747" s="16">
        <f t="shared" si="66"/>
        <v>414.20381330975351</v>
      </c>
      <c r="I747">
        <f t="shared" si="67"/>
        <v>9</v>
      </c>
      <c r="J747" s="16" cm="1">
        <f t="array" ref="J747">INDEX(Sm,I747)</f>
        <v>-3.188494698714738</v>
      </c>
      <c r="K747" s="16">
        <f t="shared" si="68"/>
        <v>411.01531861103877</v>
      </c>
    </row>
    <row r="748" spans="6:13" x14ac:dyDescent="0.4">
      <c r="F748" s="1">
        <v>44105</v>
      </c>
      <c r="H748" s="16">
        <f t="shared" si="66"/>
        <v>414.41601383363377</v>
      </c>
      <c r="I748">
        <f t="shared" si="67"/>
        <v>10</v>
      </c>
      <c r="J748" s="16" cm="1">
        <f t="array" ref="J748">INDEX(Sm,I748)</f>
        <v>-3.3139186770794531</v>
      </c>
      <c r="K748" s="16">
        <f t="shared" si="68"/>
        <v>411.1020951565543</v>
      </c>
    </row>
    <row r="749" spans="6:13" x14ac:dyDescent="0.4">
      <c r="F749" s="1">
        <v>44136</v>
      </c>
      <c r="H749" s="16">
        <f t="shared" si="66"/>
        <v>414.63559141623119</v>
      </c>
      <c r="I749">
        <f t="shared" si="67"/>
        <v>11</v>
      </c>
      <c r="J749" s="16" cm="1">
        <f t="array" ref="J749">INDEX(Sm,I749)</f>
        <v>-2.0555969925100759</v>
      </c>
      <c r="K749" s="16">
        <f t="shared" si="68"/>
        <v>412.57999442372113</v>
      </c>
    </row>
    <row r="750" spans="6:13" x14ac:dyDescent="0.4">
      <c r="F750" s="1">
        <v>44166</v>
      </c>
      <c r="H750" s="16">
        <f t="shared" si="66"/>
        <v>414.84838016675178</v>
      </c>
      <c r="I750">
        <f t="shared" si="67"/>
        <v>12</v>
      </c>
      <c r="J750" s="16" cm="1">
        <f t="array" ref="J750">INDEX(Sm,I750)</f>
        <v>-0.88675924001340456</v>
      </c>
      <c r="K750" s="16">
        <f t="shared" si="68"/>
        <v>413.96162092673836</v>
      </c>
    </row>
    <row r="751" spans="6:13" x14ac:dyDescent="0.4">
      <c r="F751" s="1">
        <v>44197</v>
      </c>
      <c r="H751" s="16">
        <f t="shared" si="66"/>
        <v>415.06856642543215</v>
      </c>
      <c r="I751">
        <f t="shared" si="67"/>
        <v>1</v>
      </c>
      <c r="J751" s="16" cm="1">
        <f t="array" ref="J751">INDEX(Sm,I751)</f>
        <v>-3.5406241068958691E-2</v>
      </c>
      <c r="K751" s="16">
        <f t="shared" si="68"/>
        <v>415.03316018436317</v>
      </c>
    </row>
    <row r="752" spans="6:13" x14ac:dyDescent="0.4">
      <c r="F752" s="1">
        <v>44228</v>
      </c>
      <c r="H752" s="16">
        <f t="shared" si="66"/>
        <v>415.28906265762157</v>
      </c>
      <c r="I752">
        <f t="shared" si="67"/>
        <v>2</v>
      </c>
      <c r="J752" s="16" cm="1">
        <f t="array" ref="J752">INDEX(Sm,I752)</f>
        <v>0.68063113884422577</v>
      </c>
      <c r="K752" s="16">
        <f t="shared" si="68"/>
        <v>415.96969379646578</v>
      </c>
    </row>
    <row r="753" spans="6:11" x14ac:dyDescent="0.4">
      <c r="F753" s="1">
        <v>44256</v>
      </c>
      <c r="H753" s="16">
        <f t="shared" si="66"/>
        <v>415.48848733656507</v>
      </c>
      <c r="I753">
        <f t="shared" si="67"/>
        <v>3</v>
      </c>
      <c r="J753" s="16" cm="1">
        <f t="array" ref="J753">INDEX(Sm,I753)</f>
        <v>1.3939471632320417</v>
      </c>
      <c r="K753" s="16">
        <f t="shared" si="68"/>
        <v>416.88243449979711</v>
      </c>
    </row>
    <row r="754" spans="6:11" x14ac:dyDescent="0.4">
      <c r="F754" s="1">
        <v>44287</v>
      </c>
      <c r="H754" s="16">
        <f t="shared" si="66"/>
        <v>415.70957472443843</v>
      </c>
      <c r="I754">
        <f t="shared" si="67"/>
        <v>4</v>
      </c>
      <c r="J754" s="16" cm="1">
        <f t="array" ref="J754">INDEX(Sm,I754)</f>
        <v>2.6315659351379859</v>
      </c>
      <c r="K754" s="16">
        <f t="shared" si="68"/>
        <v>418.34114065957641</v>
      </c>
    </row>
    <row r="755" spans="6:11" x14ac:dyDescent="0.4">
      <c r="F755" s="1">
        <v>44317</v>
      </c>
      <c r="H755" s="16">
        <f t="shared" si="66"/>
        <v>415.92382660054039</v>
      </c>
      <c r="I755">
        <f t="shared" si="67"/>
        <v>5</v>
      </c>
      <c r="J755" s="16" cm="1">
        <f t="array" ref="J755">INDEX(Sm,I755)</f>
        <v>3.0968597809913625</v>
      </c>
      <c r="K755" s="16">
        <f t="shared" si="68"/>
        <v>419.02068638153173</v>
      </c>
    </row>
    <row r="756" spans="6:11" x14ac:dyDescent="0.4">
      <c r="F756" s="1">
        <v>44348</v>
      </c>
      <c r="H756" s="16">
        <f t="shared" si="66"/>
        <v>416.14552684972546</v>
      </c>
      <c r="I756">
        <f t="shared" si="67"/>
        <v>6</v>
      </c>
      <c r="J756" s="16" cm="1">
        <f t="array" ref="J756">INDEX(Sm,I756)</f>
        <v>2.3186578027685911</v>
      </c>
      <c r="K756" s="16">
        <f t="shared" si="68"/>
        <v>418.46418465249405</v>
      </c>
    </row>
    <row r="757" spans="6:11" x14ac:dyDescent="0.4">
      <c r="F757" s="1">
        <v>44378</v>
      </c>
      <c r="H757" s="16">
        <f t="shared" si="66"/>
        <v>416.36037263888147</v>
      </c>
      <c r="I757">
        <f t="shared" si="67"/>
        <v>7</v>
      </c>
      <c r="J757" s="16" cm="1">
        <f t="array" ref="J757">INDEX(Sm,I757)</f>
        <v>0.74380149245581328</v>
      </c>
      <c r="K757" s="16">
        <f t="shared" si="68"/>
        <v>417.10417413133729</v>
      </c>
    </row>
    <row r="758" spans="6:11" x14ac:dyDescent="0.4">
      <c r="F758" s="1">
        <v>44409</v>
      </c>
      <c r="H758" s="16">
        <f t="shared" si="66"/>
        <v>416.58268744824903</v>
      </c>
      <c r="I758">
        <f t="shared" si="67"/>
        <v>8</v>
      </c>
      <c r="J758" s="16" cm="1">
        <f t="array" ref="J758">INDEX(Sm,I758)</f>
        <v>-1.3852874640433905</v>
      </c>
      <c r="K758" s="16">
        <f t="shared" si="68"/>
        <v>415.19739998420562</v>
      </c>
    </row>
    <row r="759" spans="6:11" x14ac:dyDescent="0.4">
      <c r="F759" s="1">
        <v>44440</v>
      </c>
      <c r="H759" s="16">
        <f t="shared" si="66"/>
        <v>416.80531522765375</v>
      </c>
      <c r="I759">
        <f t="shared" si="67"/>
        <v>9</v>
      </c>
      <c r="J759" s="16" cm="1">
        <f t="array" ref="J759">INDEX(Sm,I759)</f>
        <v>-3.188494698714738</v>
      </c>
      <c r="K759" s="16">
        <f t="shared" si="68"/>
        <v>413.616820528939</v>
      </c>
    </row>
    <row r="760" spans="6:11" x14ac:dyDescent="0.4">
      <c r="F760" s="1">
        <v>44470</v>
      </c>
      <c r="H760" s="16">
        <f t="shared" si="66"/>
        <v>417.02105986993604</v>
      </c>
      <c r="I760">
        <f t="shared" si="67"/>
        <v>10</v>
      </c>
      <c r="J760" s="16" cm="1">
        <f t="array" ref="J760">INDEX(Sm,I760)</f>
        <v>-3.3139186770794531</v>
      </c>
      <c r="K760" s="16">
        <f t="shared" si="68"/>
        <v>413.70714119285657</v>
      </c>
    </row>
    <row r="761" spans="6:11" x14ac:dyDescent="0.4">
      <c r="F761" s="1">
        <v>44501</v>
      </c>
      <c r="H761" s="16">
        <f t="shared" si="66"/>
        <v>417.24430478066688</v>
      </c>
      <c r="I761">
        <f t="shared" si="67"/>
        <v>11</v>
      </c>
      <c r="J761" s="16" cm="1">
        <f t="array" ref="J761">INDEX(Sm,I761)</f>
        <v>-2.0555969925100759</v>
      </c>
      <c r="K761" s="16">
        <f t="shared" si="68"/>
        <v>415.18870778815682</v>
      </c>
    </row>
    <row r="762" spans="6:11" x14ac:dyDescent="0.4">
      <c r="F762" s="1">
        <v>44531</v>
      </c>
      <c r="H762" s="16">
        <f t="shared" si="66"/>
        <v>417.46064747399907</v>
      </c>
      <c r="I762">
        <f t="shared" si="67"/>
        <v>12</v>
      </c>
      <c r="J762" s="16" cm="1">
        <f t="array" ref="J762">INDEX(Sm,I762)</f>
        <v>-0.88675924001340456</v>
      </c>
      <c r="K762" s="16">
        <f t="shared" si="68"/>
        <v>416.57388823398566</v>
      </c>
    </row>
    <row r="763" spans="6:11" x14ac:dyDescent="0.4">
      <c r="F763" s="1">
        <v>44562</v>
      </c>
      <c r="H763" s="16">
        <f t="shared" si="66"/>
        <v>417.68451122676402</v>
      </c>
      <c r="I763">
        <f t="shared" si="67"/>
        <v>1</v>
      </c>
      <c r="J763" s="16" cm="1">
        <f t="array" ref="J763">INDEX(Sm,I763)</f>
        <v>-3.5406241068958691E-2</v>
      </c>
      <c r="K763" s="16">
        <f t="shared" si="68"/>
        <v>417.64910498569503</v>
      </c>
    </row>
    <row r="764" spans="6:11" x14ac:dyDescent="0.4">
      <c r="F764" s="1">
        <v>44593</v>
      </c>
      <c r="H764" s="16">
        <f t="shared" si="66"/>
        <v>417.90869013013537</v>
      </c>
      <c r="I764">
        <f t="shared" si="67"/>
        <v>2</v>
      </c>
      <c r="J764" s="16" cm="1">
        <f t="array" ref="J764">INDEX(Sm,I764)</f>
        <v>0.68063113884422577</v>
      </c>
      <c r="K764" s="16">
        <f t="shared" si="68"/>
        <v>418.58932126897957</v>
      </c>
    </row>
    <row r="765" spans="6:11" x14ac:dyDescent="0.4">
      <c r="F765" s="1">
        <v>44621</v>
      </c>
      <c r="H765" s="16">
        <f t="shared" si="66"/>
        <v>418.111445548615</v>
      </c>
      <c r="I765">
        <f t="shared" si="67"/>
        <v>3</v>
      </c>
      <c r="J765" s="16" cm="1">
        <f t="array" ref="J765">INDEX(Sm,I765)</f>
        <v>1.3939471632320417</v>
      </c>
      <c r="K765" s="16">
        <f t="shared" si="68"/>
        <v>419.50539271184704</v>
      </c>
    </row>
    <row r="766" spans="6:11" x14ac:dyDescent="0.4">
      <c r="F766" s="1">
        <v>44652</v>
      </c>
      <c r="H766" s="16">
        <f t="shared" si="66"/>
        <v>418.33622548100004</v>
      </c>
      <c r="I766">
        <f t="shared" si="67"/>
        <v>4</v>
      </c>
      <c r="J766" s="16" cm="1">
        <f t="array" ref="J766">INDEX(Sm,I766)</f>
        <v>2.6315659351379859</v>
      </c>
      <c r="K766" s="16">
        <f t="shared" si="68"/>
        <v>420.96779141613803</v>
      </c>
    </row>
    <row r="767" spans="6:11" x14ac:dyDescent="0.4">
      <c r="F767" s="1">
        <v>44682</v>
      </c>
      <c r="H767" s="16">
        <f t="shared" si="66"/>
        <v>418.55405573665939</v>
      </c>
      <c r="I767">
        <f t="shared" si="67"/>
        <v>5</v>
      </c>
      <c r="J767" s="16" cm="1">
        <f t="array" ref="J767">INDEX(Sm,I767)</f>
        <v>3.0968597809913625</v>
      </c>
      <c r="K767" s="16">
        <f t="shared" si="68"/>
        <v>421.65091551765073</v>
      </c>
    </row>
    <row r="768" spans="6:11" x14ac:dyDescent="0.4">
      <c r="F768" s="1">
        <v>44713</v>
      </c>
      <c r="H768" s="16">
        <f t="shared" si="66"/>
        <v>418.77945876620765</v>
      </c>
      <c r="I768">
        <f t="shared" si="67"/>
        <v>6</v>
      </c>
      <c r="J768" s="16" cm="1">
        <f t="array" ref="J768">INDEX(Sm,I768)</f>
        <v>2.3186578027685911</v>
      </c>
      <c r="K768" s="16">
        <f t="shared" si="68"/>
        <v>421.09811656897625</v>
      </c>
    </row>
    <row r="769" spans="6:11" x14ac:dyDescent="0.4">
      <c r="F769" s="1">
        <v>44743</v>
      </c>
      <c r="H769" s="16">
        <f t="shared" si="66"/>
        <v>418.99789285430387</v>
      </c>
      <c r="I769">
        <f t="shared" si="67"/>
        <v>7</v>
      </c>
      <c r="J769" s="16" cm="1">
        <f t="array" ref="J769">INDEX(Sm,I769)</f>
        <v>0.74380149245581328</v>
      </c>
      <c r="K769" s="16">
        <f t="shared" si="68"/>
        <v>419.74169434675969</v>
      </c>
    </row>
    <row r="770" spans="6:11" x14ac:dyDescent="0.4">
      <c r="F770" s="1">
        <v>44774</v>
      </c>
      <c r="H770" s="16">
        <f t="shared" si="66"/>
        <v>419.22392070826038</v>
      </c>
      <c r="I770">
        <f t="shared" si="67"/>
        <v>8</v>
      </c>
      <c r="J770" s="16" cm="1">
        <f t="array" ref="J770">INDEX(Sm,I770)</f>
        <v>-1.3852874640433905</v>
      </c>
      <c r="K770" s="16">
        <f t="shared" si="68"/>
        <v>417.83863324421696</v>
      </c>
    </row>
    <row r="771" spans="6:11" x14ac:dyDescent="0.4">
      <c r="F771" s="1">
        <v>44805</v>
      </c>
      <c r="H771" s="16">
        <f t="shared" si="66"/>
        <v>419.45026675939869</v>
      </c>
      <c r="I771">
        <f t="shared" si="67"/>
        <v>9</v>
      </c>
      <c r="J771" s="16" cm="1">
        <f t="array" ref="J771">INDEX(Sm,I771)</f>
        <v>-3.188494698714738</v>
      </c>
      <c r="K771" s="16">
        <f t="shared" si="68"/>
        <v>416.26177206068394</v>
      </c>
    </row>
    <row r="772" spans="6:11" x14ac:dyDescent="0.4">
      <c r="F772" s="1">
        <v>44835</v>
      </c>
      <c r="H772" s="16">
        <f t="shared" si="66"/>
        <v>419.66961471303421</v>
      </c>
      <c r="I772">
        <f t="shared" si="67"/>
        <v>10</v>
      </c>
      <c r="J772" s="16" cm="1">
        <f t="array" ref="J772">INDEX(Sm,I772)</f>
        <v>-3.3139186770794531</v>
      </c>
      <c r="K772" s="16">
        <f t="shared" si="68"/>
        <v>416.35569603595474</v>
      </c>
    </row>
    <row r="773" spans="6:11" x14ac:dyDescent="0.4">
      <c r="F773" s="1">
        <v>44866</v>
      </c>
      <c r="H773" s="16">
        <f t="shared" si="66"/>
        <v>419.89658820266686</v>
      </c>
      <c r="I773">
        <f t="shared" si="67"/>
        <v>11</v>
      </c>
      <c r="J773" s="16" cm="1">
        <f t="array" ref="J773">INDEX(Sm,I773)</f>
        <v>-2.0555969925100759</v>
      </c>
      <c r="K773" s="16">
        <f t="shared" si="68"/>
        <v>417.8409912101568</v>
      </c>
    </row>
    <row r="774" spans="6:11" x14ac:dyDescent="0.4">
      <c r="F774" s="1">
        <v>44896</v>
      </c>
      <c r="H774" s="16">
        <f t="shared" si="66"/>
        <v>420.11654419584647</v>
      </c>
      <c r="I774">
        <f t="shared" si="67"/>
        <v>12</v>
      </c>
      <c r="J774" s="16" cm="1">
        <f t="array" ref="J774">INDEX(Sm,I774)</f>
        <v>-0.88675924001340456</v>
      </c>
      <c r="K774" s="16">
        <f t="shared" si="68"/>
        <v>419.22978495583305</v>
      </c>
    </row>
    <row r="775" spans="6:11" x14ac:dyDescent="0.4">
      <c r="F775" s="1">
        <v>44927</v>
      </c>
      <c r="H775" s="16">
        <f t="shared" si="66"/>
        <v>420.34414686325317</v>
      </c>
      <c r="I775">
        <f t="shared" si="67"/>
        <v>1</v>
      </c>
      <c r="J775" s="16" cm="1">
        <f t="array" ref="J775">INDEX(Sm,I775)</f>
        <v>-3.5406241068958691E-2</v>
      </c>
      <c r="K775" s="16">
        <f t="shared" si="68"/>
        <v>420.30874062218419</v>
      </c>
    </row>
    <row r="776" spans="6:11" x14ac:dyDescent="0.4">
      <c r="F776" s="1">
        <v>44958</v>
      </c>
      <c r="H776" s="16">
        <f t="shared" si="66"/>
        <v>420.57206994483045</v>
      </c>
      <c r="I776">
        <f t="shared" si="67"/>
        <v>2</v>
      </c>
      <c r="J776" s="16" cm="1">
        <f t="array" ref="J776">INDEX(Sm,I776)</f>
        <v>0.68063113884422577</v>
      </c>
      <c r="K776" s="16">
        <f t="shared" si="68"/>
        <v>421.25270108367465</v>
      </c>
    </row>
    <row r="777" spans="6:11" x14ac:dyDescent="0.4">
      <c r="F777" s="1">
        <v>44986</v>
      </c>
      <c r="H777" s="16">
        <f t="shared" si="66"/>
        <v>420.77821173199868</v>
      </c>
      <c r="I777">
        <f t="shared" si="67"/>
        <v>3</v>
      </c>
      <c r="J777" s="16" cm="1">
        <f t="array" ref="J777">INDEX(Sm,I777)</f>
        <v>1.3939471632320417</v>
      </c>
      <c r="K777" s="16">
        <f t="shared" si="68"/>
        <v>422.17215889523072</v>
      </c>
    </row>
    <row r="778" spans="6:11" x14ac:dyDescent="0.4">
      <c r="F778" s="1">
        <v>45017</v>
      </c>
      <c r="H778" s="16">
        <f t="shared" si="66"/>
        <v>421.00674588082109</v>
      </c>
      <c r="I778">
        <f t="shared" si="67"/>
        <v>4</v>
      </c>
      <c r="J778" s="16" cm="1">
        <f t="array" ref="J778">INDEX(Sm,I778)</f>
        <v>2.6315659351379859</v>
      </c>
      <c r="K778" s="16">
        <f t="shared" si="68"/>
        <v>423.63831181595907</v>
      </c>
    </row>
    <row r="779" spans="6:11" x14ac:dyDescent="0.4">
      <c r="F779" s="1">
        <v>45047</v>
      </c>
      <c r="H779" s="16">
        <f t="shared" si="66"/>
        <v>421.22821428121028</v>
      </c>
      <c r="I779">
        <f t="shared" si="67"/>
        <v>5</v>
      </c>
      <c r="J779" s="16" cm="1">
        <f t="array" ref="J779">INDEX(Sm,I779)</f>
        <v>3.0968597809913625</v>
      </c>
      <c r="K779" s="16">
        <f t="shared" si="68"/>
        <v>424.32507406220162</v>
      </c>
    </row>
    <row r="780" spans="6:11" x14ac:dyDescent="0.4">
      <c r="F780" s="1">
        <v>45078</v>
      </c>
      <c r="H780" s="16">
        <f t="shared" si="66"/>
        <v>421.45738193400382</v>
      </c>
      <c r="I780">
        <f t="shared" si="67"/>
        <v>6</v>
      </c>
      <c r="J780" s="16" cm="1">
        <f t="array" ref="J780">INDEX(Sm,I780)</f>
        <v>2.3186578027685911</v>
      </c>
      <c r="K780" s="16">
        <f t="shared" si="68"/>
        <v>423.77603973677242</v>
      </c>
    </row>
    <row r="781" spans="6:11" x14ac:dyDescent="0.4">
      <c r="F781" s="1">
        <v>45108</v>
      </c>
      <c r="H781" s="16">
        <f t="shared" si="66"/>
        <v>421.67946425188342</v>
      </c>
      <c r="I781">
        <f t="shared" si="67"/>
        <v>7</v>
      </c>
      <c r="J781" s="16" cm="1">
        <f t="array" ref="J781">INDEX(Sm,I781)</f>
        <v>0.74380149245581328</v>
      </c>
      <c r="K781" s="16">
        <f t="shared" si="68"/>
        <v>422.42326574433923</v>
      </c>
    </row>
    <row r="782" spans="6:11" x14ac:dyDescent="0.4">
      <c r="F782" s="1">
        <v>45139</v>
      </c>
      <c r="H782" s="16">
        <f t="shared" si="66"/>
        <v>421.90926716474144</v>
      </c>
      <c r="I782">
        <f t="shared" si="67"/>
        <v>8</v>
      </c>
      <c r="J782" s="16" cm="1">
        <f t="array" ref="J782">INDEX(Sm,I782)</f>
        <v>-1.3852874640433905</v>
      </c>
      <c r="K782" s="16">
        <f t="shared" si="68"/>
        <v>420.52397970069802</v>
      </c>
    </row>
    <row r="783" spans="6:11" x14ac:dyDescent="0.4">
      <c r="F783" s="1">
        <v>45170</v>
      </c>
      <c r="H783" s="16">
        <f t="shared" si="66"/>
        <v>422.13939358922858</v>
      </c>
      <c r="I783">
        <f t="shared" si="67"/>
        <v>9</v>
      </c>
      <c r="J783" s="16" cm="1">
        <f t="array" ref="J783">INDEX(Sm,I783)</f>
        <v>-3.188494698714738</v>
      </c>
      <c r="K783" s="16">
        <f t="shared" si="68"/>
        <v>418.95089889051383</v>
      </c>
    </row>
    <row r="784" spans="6:11" x14ac:dyDescent="0.4">
      <c r="F784" s="1">
        <v>45200</v>
      </c>
      <c r="H784" s="16">
        <f t="shared" si="66"/>
        <v>422.36240503579398</v>
      </c>
      <c r="I784">
        <f t="shared" si="67"/>
        <v>10</v>
      </c>
      <c r="J784" s="16" cm="1">
        <f t="array" ref="J784">INDEX(Sm,I784)</f>
        <v>-3.3139186770794531</v>
      </c>
      <c r="K784" s="16">
        <f t="shared" si="68"/>
        <v>419.04848635871451</v>
      </c>
    </row>
    <row r="785" spans="6:11" x14ac:dyDescent="0.4">
      <c r="F785" s="1">
        <v>45231</v>
      </c>
      <c r="H785" s="16">
        <f t="shared" si="66"/>
        <v>422.59316937809126</v>
      </c>
      <c r="I785">
        <f t="shared" si="67"/>
        <v>11</v>
      </c>
      <c r="J785" s="16" cm="1">
        <f t="array" ref="J785">INDEX(Sm,I785)</f>
        <v>-2.0555969925100759</v>
      </c>
      <c r="K785" s="16">
        <f t="shared" si="68"/>
        <v>420.5375723855812</v>
      </c>
    </row>
    <row r="786" spans="6:11" x14ac:dyDescent="0.4">
      <c r="F786" s="1">
        <v>45261</v>
      </c>
      <c r="H786" s="16">
        <f t="shared" si="66"/>
        <v>422.81679901952032</v>
      </c>
      <c r="I786">
        <f t="shared" si="67"/>
        <v>12</v>
      </c>
      <c r="J786" s="16" cm="1">
        <f t="array" ref="J786">INDEX(Sm,I786)</f>
        <v>-0.88675924001340456</v>
      </c>
      <c r="K786" s="16">
        <f t="shared" si="68"/>
        <v>421.9300397795069</v>
      </c>
    </row>
    <row r="787" spans="6:11" x14ac:dyDescent="0.4">
      <c r="F787" s="1">
        <v>45292</v>
      </c>
      <c r="H787" s="16">
        <f t="shared" si="66"/>
        <v>423.04820304795635</v>
      </c>
      <c r="I787">
        <f t="shared" si="67"/>
        <v>1</v>
      </c>
      <c r="J787" s="16" cm="1">
        <f t="array" ref="J787">INDEX(Sm,I787)</f>
        <v>-3.5406241068958691E-2</v>
      </c>
      <c r="K787" s="16">
        <f t="shared" si="68"/>
        <v>423.01279680688737</v>
      </c>
    </row>
    <row r="788" spans="6:11" x14ac:dyDescent="0.4">
      <c r="F788" s="1">
        <v>45323</v>
      </c>
      <c r="H788" s="16">
        <f t="shared" si="66"/>
        <v>423.27993284203785</v>
      </c>
      <c r="I788">
        <f t="shared" si="67"/>
        <v>2</v>
      </c>
      <c r="J788" s="16" cm="1">
        <f t="array" ref="J788">INDEX(Sm,I788)</f>
        <v>0.68063113884422577</v>
      </c>
      <c r="K788" s="16">
        <f t="shared" si="68"/>
        <v>423.96056398088206</v>
      </c>
    </row>
    <row r="789" spans="6:11" x14ac:dyDescent="0.4">
      <c r="F789" s="1">
        <v>45352</v>
      </c>
      <c r="H789" s="16">
        <f t="shared" si="66"/>
        <v>423.49700765097543</v>
      </c>
      <c r="I789">
        <f t="shared" si="67"/>
        <v>3</v>
      </c>
      <c r="J789" s="16" cm="1">
        <f t="array" ref="J789">INDEX(Sm,I789)</f>
        <v>1.3939471632320417</v>
      </c>
      <c r="K789" s="16">
        <f t="shared" si="68"/>
        <v>424.89095481420748</v>
      </c>
    </row>
    <row r="790" spans="6:11" x14ac:dyDescent="0.4">
      <c r="F790" s="1">
        <v>45383</v>
      </c>
      <c r="H790" s="16">
        <f t="shared" si="66"/>
        <v>423.72936926258518</v>
      </c>
      <c r="I790">
        <f t="shared" si="67"/>
        <v>4</v>
      </c>
      <c r="J790" s="16" cm="1">
        <f t="array" ref="J790">INDEX(Sm,I790)</f>
        <v>2.6315659351379859</v>
      </c>
      <c r="K790" s="16">
        <f t="shared" si="68"/>
        <v>426.36093519772317</v>
      </c>
    </row>
    <row r="791" spans="6:11" x14ac:dyDescent="0.4">
      <c r="F791" s="1">
        <v>45413</v>
      </c>
      <c r="H791" s="16">
        <f t="shared" si="66"/>
        <v>423.95454678944583</v>
      </c>
      <c r="I791">
        <f t="shared" si="67"/>
        <v>5</v>
      </c>
      <c r="J791" s="16" cm="1">
        <f t="array" ref="J791">INDEX(Sm,I791)</f>
        <v>3.0968597809913625</v>
      </c>
      <c r="K791" s="16">
        <f t="shared" si="68"/>
        <v>427.05140657043717</v>
      </c>
    </row>
    <row r="792" spans="6:11" x14ac:dyDescent="0.4">
      <c r="F792" s="1">
        <v>45444</v>
      </c>
      <c r="H792" s="16">
        <f t="shared" si="66"/>
        <v>424.18755251487585</v>
      </c>
      <c r="I792">
        <f t="shared" si="67"/>
        <v>6</v>
      </c>
      <c r="J792" s="16" cm="1">
        <f t="array" ref="J792">INDEX(Sm,I792)</f>
        <v>2.3186578027685911</v>
      </c>
      <c r="K792" s="16">
        <f t="shared" si="68"/>
        <v>426.50621031764445</v>
      </c>
    </row>
    <row r="793" spans="6:11" x14ac:dyDescent="0.4">
      <c r="F793" s="1">
        <v>45474</v>
      </c>
      <c r="H793" s="16">
        <f t="shared" si="66"/>
        <v>424.41335424104409</v>
      </c>
      <c r="I793">
        <f t="shared" si="67"/>
        <v>7</v>
      </c>
      <c r="J793" s="16" cm="1">
        <f t="array" ref="J793">INDEX(Sm,I793)</f>
        <v>0.74380149245581328</v>
      </c>
      <c r="K793" s="16">
        <f t="shared" si="68"/>
        <v>425.15715573349991</v>
      </c>
    </row>
    <row r="794" spans="6:11" x14ac:dyDescent="0.4">
      <c r="F794" s="1">
        <v>45505</v>
      </c>
      <c r="H794" s="16">
        <f t="shared" si="66"/>
        <v>424.64700586579852</v>
      </c>
      <c r="I794">
        <f t="shared" si="67"/>
        <v>8</v>
      </c>
      <c r="J794" s="16" cm="1">
        <f t="array" ref="J794">INDEX(Sm,I794)</f>
        <v>-1.3852874640433905</v>
      </c>
      <c r="K794" s="16">
        <f t="shared" si="68"/>
        <v>423.2617184017551</v>
      </c>
    </row>
    <row r="795" spans="6:11" x14ac:dyDescent="0.4">
      <c r="F795" s="1">
        <v>45536</v>
      </c>
      <c r="H795" s="16">
        <f t="shared" si="66"/>
        <v>424.88098642031662</v>
      </c>
      <c r="I795">
        <f t="shared" si="67"/>
        <v>9</v>
      </c>
      <c r="J795" s="16" cm="1">
        <f t="array" ref="J795">INDEX(Sm,I795)</f>
        <v>-3.188494698714738</v>
      </c>
      <c r="K795" s="16">
        <f t="shared" si="68"/>
        <v>421.69249172160187</v>
      </c>
    </row>
    <row r="796" spans="6:11" x14ac:dyDescent="0.4">
      <c r="F796" s="1">
        <v>45566</v>
      </c>
      <c r="H796" s="16">
        <f t="shared" si="66"/>
        <v>425.10773283610757</v>
      </c>
      <c r="I796">
        <f t="shared" si="67"/>
        <v>10</v>
      </c>
      <c r="J796" s="16" cm="1">
        <f t="array" ref="J796">INDEX(Sm,I796)</f>
        <v>-3.3139186770794531</v>
      </c>
      <c r="K796" s="16">
        <f t="shared" si="68"/>
        <v>421.7938141590281</v>
      </c>
    </row>
    <row r="797" spans="6:11" x14ac:dyDescent="0.4">
      <c r="F797" s="1">
        <v>45597</v>
      </c>
      <c r="H797" s="16">
        <f t="shared" si="66"/>
        <v>425.34236199220766</v>
      </c>
      <c r="I797">
        <f t="shared" si="67"/>
        <v>11</v>
      </c>
      <c r="J797" s="16" cm="1">
        <f t="array" ref="J797">INDEX(Sm,I797)</f>
        <v>-2.0555969925100759</v>
      </c>
      <c r="K797" s="16">
        <f t="shared" si="68"/>
        <v>423.2867649996976</v>
      </c>
    </row>
    <row r="798" spans="6:11" x14ac:dyDescent="0.4">
      <c r="F798" s="1">
        <v>45627</v>
      </c>
      <c r="H798" s="16">
        <f t="shared" si="66"/>
        <v>425.56973695631643</v>
      </c>
      <c r="I798">
        <f t="shared" si="67"/>
        <v>12</v>
      </c>
      <c r="J798" s="16" cm="1">
        <f t="array" ref="J798">INDEX(Sm,I798)</f>
        <v>-0.88675924001340456</v>
      </c>
      <c r="K798" s="16">
        <f t="shared" si="68"/>
        <v>424.68297771630301</v>
      </c>
    </row>
    <row r="799" spans="6:11" x14ac:dyDescent="0.4">
      <c r="F799" s="1">
        <v>45658</v>
      </c>
      <c r="H799" s="16">
        <f t="shared" si="66"/>
        <v>425.80501651194265</v>
      </c>
      <c r="I799">
        <f t="shared" si="67"/>
        <v>1</v>
      </c>
      <c r="J799" s="16" cm="1">
        <f t="array" ref="J799">INDEX(Sm,I799)</f>
        <v>-3.5406241068958691E-2</v>
      </c>
      <c r="K799" s="16">
        <f t="shared" si="68"/>
        <v>425.76961027087367</v>
      </c>
    </row>
    <row r="800" spans="6:11" x14ac:dyDescent="0.4">
      <c r="F800" s="1">
        <v>45689</v>
      </c>
      <c r="H800" s="16">
        <f t="shared" si="66"/>
        <v>426.04062728909867</v>
      </c>
      <c r="I800">
        <f t="shared" si="67"/>
        <v>2</v>
      </c>
      <c r="J800" s="16" cm="1">
        <f t="array" ref="J800">INDEX(Sm,I800)</f>
        <v>0.68063113884422577</v>
      </c>
      <c r="K800" s="16">
        <f t="shared" si="68"/>
        <v>426.72125842794287</v>
      </c>
    </row>
    <row r="801" spans="6:11" x14ac:dyDescent="0.4">
      <c r="F801" s="1">
        <v>45717</v>
      </c>
      <c r="H801" s="16">
        <f t="shared" si="66"/>
        <v>426.25372210311627</v>
      </c>
      <c r="I801">
        <f t="shared" si="67"/>
        <v>3</v>
      </c>
      <c r="J801" s="16" cm="1">
        <f t="array" ref="J801">INDEX(Sm,I801)</f>
        <v>1.3939471632320417</v>
      </c>
      <c r="K801" s="16">
        <f t="shared" si="68"/>
        <v>427.64766926634832</v>
      </c>
    </row>
    <row r="802" spans="6:11" x14ac:dyDescent="0.4">
      <c r="F802" s="1">
        <v>45748</v>
      </c>
      <c r="H802" s="16">
        <f t="shared" si="66"/>
        <v>426.48996455841382</v>
      </c>
      <c r="I802">
        <f t="shared" si="67"/>
        <v>4</v>
      </c>
      <c r="J802" s="16" cm="1">
        <f t="array" ref="J802">INDEX(Sm,I802)</f>
        <v>2.6315659351379859</v>
      </c>
      <c r="K802" s="16">
        <f t="shared" si="68"/>
        <v>429.1215304935518</v>
      </c>
    </row>
    <row r="803" spans="6:11" x14ac:dyDescent="0.4">
      <c r="F803" s="1">
        <v>45778</v>
      </c>
      <c r="H803" s="16">
        <f t="shared" si="66"/>
        <v>426.71890294223221</v>
      </c>
      <c r="I803">
        <f t="shared" si="67"/>
        <v>5</v>
      </c>
      <c r="J803" s="16" cm="1">
        <f t="array" ref="J803">INDEX(Sm,I803)</f>
        <v>3.0968597809913625</v>
      </c>
      <c r="K803" s="16">
        <f t="shared" si="68"/>
        <v>429.81576272322354</v>
      </c>
    </row>
    <row r="804" spans="6:11" x14ac:dyDescent="0.4">
      <c r="F804" s="1">
        <v>45809</v>
      </c>
      <c r="H804" s="16">
        <f t="shared" si="66"/>
        <v>426.95580026917293</v>
      </c>
      <c r="I804">
        <f t="shared" si="67"/>
        <v>6</v>
      </c>
      <c r="J804" s="16" cm="1">
        <f t="array" ref="J804">INDEX(Sm,I804)</f>
        <v>2.3186578027685911</v>
      </c>
      <c r="K804" s="16">
        <f t="shared" si="68"/>
        <v>429.27445807194152</v>
      </c>
    </row>
    <row r="805" spans="6:11" x14ac:dyDescent="0.4">
      <c r="F805" s="1">
        <v>45839</v>
      </c>
      <c r="H805" s="16">
        <f t="shared" si="66"/>
        <v>427.18537327751477</v>
      </c>
      <c r="I805">
        <f t="shared" si="67"/>
        <v>7</v>
      </c>
      <c r="J805" s="16" cm="1">
        <f t="array" ref="J805">INDEX(Sm,I805)</f>
        <v>0.74380149245581328</v>
      </c>
      <c r="K805" s="16">
        <f t="shared" si="68"/>
        <v>427.92917476997059</v>
      </c>
    </row>
    <row r="806" spans="6:11" x14ac:dyDescent="0.4">
      <c r="F806" s="1">
        <v>45870</v>
      </c>
      <c r="H806" s="16">
        <f t="shared" si="66"/>
        <v>427.42292729142366</v>
      </c>
      <c r="I806">
        <f t="shared" si="67"/>
        <v>8</v>
      </c>
      <c r="J806" s="16" cm="1">
        <f t="array" ref="J806">INDEX(Sm,I806)</f>
        <v>-1.3852874640433905</v>
      </c>
      <c r="K806" s="16">
        <f t="shared" si="68"/>
        <v>426.03763982738025</v>
      </c>
    </row>
    <row r="807" spans="6:11" x14ac:dyDescent="0.4">
      <c r="F807" s="1">
        <v>45901</v>
      </c>
      <c r="H807" s="16">
        <f t="shared" ref="H807:H870" si="69">EXP(_A*F807+_B)+_C</f>
        <v>427.66081572879625</v>
      </c>
      <c r="I807">
        <f t="shared" ref="I807:I870" si="70">MONTH(F807)</f>
        <v>9</v>
      </c>
      <c r="J807" s="16" cm="1">
        <f t="array" ref="J807">INDEX(Sm,I807)</f>
        <v>-3.188494698714738</v>
      </c>
      <c r="K807" s="16">
        <f t="shared" ref="K807:K870" si="71">H807+J807</f>
        <v>424.4723210300815</v>
      </c>
    </row>
    <row r="808" spans="6:11" x14ac:dyDescent="0.4">
      <c r="F808" s="1">
        <v>45931</v>
      </c>
      <c r="H808" s="16">
        <f t="shared" si="69"/>
        <v>427.89134920472304</v>
      </c>
      <c r="I808">
        <f t="shared" si="70"/>
        <v>10</v>
      </c>
      <c r="J808" s="16" cm="1">
        <f t="array" ref="J808">INDEX(Sm,I808)</f>
        <v>-3.3139186770794531</v>
      </c>
      <c r="K808" s="16">
        <f t="shared" si="71"/>
        <v>424.57743052764357</v>
      </c>
    </row>
    <row r="809" spans="6:11" x14ac:dyDescent="0.4">
      <c r="F809" s="1">
        <v>45962</v>
      </c>
      <c r="H809" s="16">
        <f t="shared" si="69"/>
        <v>428.12989707645391</v>
      </c>
      <c r="I809">
        <f t="shared" si="70"/>
        <v>11</v>
      </c>
      <c r="J809" s="16" cm="1">
        <f t="array" ref="J809">INDEX(Sm,I809)</f>
        <v>-2.0555969925100759</v>
      </c>
      <c r="K809" s="16">
        <f t="shared" si="71"/>
        <v>426.07430008394385</v>
      </c>
    </row>
    <row r="810" spans="6:11" x14ac:dyDescent="0.4">
      <c r="F810" s="1">
        <v>45992</v>
      </c>
      <c r="H810" s="16">
        <f t="shared" si="69"/>
        <v>428.36106959855044</v>
      </c>
      <c r="I810">
        <f t="shared" si="70"/>
        <v>12</v>
      </c>
      <c r="J810" s="16" cm="1">
        <f t="array" ref="J810">INDEX(Sm,I810)</f>
        <v>-0.88675924001340456</v>
      </c>
      <c r="K810" s="16">
        <f t="shared" si="71"/>
        <v>427.47431035853702</v>
      </c>
    </row>
    <row r="811" spans="6:11" x14ac:dyDescent="0.4">
      <c r="F811" s="1">
        <v>46023</v>
      </c>
      <c r="H811" s="16">
        <f t="shared" si="69"/>
        <v>428.60027873261265</v>
      </c>
      <c r="I811">
        <f t="shared" si="70"/>
        <v>1</v>
      </c>
      <c r="J811" s="16" cm="1">
        <f t="array" ref="J811">INDEX(Sm,I811)</f>
        <v>-3.5406241068958691E-2</v>
      </c>
      <c r="K811" s="16">
        <f t="shared" si="71"/>
        <v>428.56487249154367</v>
      </c>
    </row>
    <row r="812" spans="6:11" x14ac:dyDescent="0.4">
      <c r="F812" s="1">
        <v>46054</v>
      </c>
      <c r="H812" s="16">
        <f t="shared" si="69"/>
        <v>428.83982462018116</v>
      </c>
      <c r="I812">
        <f t="shared" si="70"/>
        <v>2</v>
      </c>
      <c r="J812" s="16" cm="1">
        <f t="array" ref="J812">INDEX(Sm,I812)</f>
        <v>0.68063113884422577</v>
      </c>
      <c r="K812" s="16">
        <f t="shared" si="71"/>
        <v>429.52045575902537</v>
      </c>
    </row>
    <row r="813" spans="6:11" x14ac:dyDescent="0.4">
      <c r="F813" s="1">
        <v>46082</v>
      </c>
      <c r="H813" s="16">
        <f t="shared" si="69"/>
        <v>429.05647848880392</v>
      </c>
      <c r="I813">
        <f t="shared" si="70"/>
        <v>3</v>
      </c>
      <c r="J813" s="16" cm="1">
        <f t="array" ref="J813">INDEX(Sm,I813)</f>
        <v>1.3939471632320417</v>
      </c>
      <c r="K813" s="16">
        <f t="shared" si="71"/>
        <v>430.45042565203596</v>
      </c>
    </row>
    <row r="814" spans="6:11" x14ac:dyDescent="0.4">
      <c r="F814" s="1">
        <v>46113</v>
      </c>
      <c r="H814" s="16">
        <f t="shared" si="69"/>
        <v>429.29666660463909</v>
      </c>
      <c r="I814">
        <f t="shared" si="70"/>
        <v>4</v>
      </c>
      <c r="J814" s="16" cm="1">
        <f t="array" ref="J814">INDEX(Sm,I814)</f>
        <v>2.6315659351379859</v>
      </c>
      <c r="K814" s="16">
        <f t="shared" si="71"/>
        <v>431.92823253977707</v>
      </c>
    </row>
    <row r="815" spans="6:11" x14ac:dyDescent="0.4">
      <c r="F815" s="1">
        <v>46143</v>
      </c>
      <c r="H815" s="16">
        <f t="shared" si="69"/>
        <v>429.52942865827788</v>
      </c>
      <c r="I815">
        <f t="shared" si="70"/>
        <v>5</v>
      </c>
      <c r="J815" s="16" cm="1">
        <f t="array" ref="J815">INDEX(Sm,I815)</f>
        <v>3.0968597809913625</v>
      </c>
      <c r="K815" s="16">
        <f t="shared" si="71"/>
        <v>432.62628843926922</v>
      </c>
    </row>
    <row r="816" spans="6:11" x14ac:dyDescent="0.4">
      <c r="F816" s="1">
        <v>46174</v>
      </c>
      <c r="H816" s="16">
        <f t="shared" si="69"/>
        <v>429.77028258325356</v>
      </c>
      <c r="I816">
        <f t="shared" si="70"/>
        <v>6</v>
      </c>
      <c r="J816" s="16" cm="1">
        <f t="array" ref="J816">INDEX(Sm,I816)</f>
        <v>2.3186578027685911</v>
      </c>
      <c r="K816" s="16">
        <f t="shared" si="71"/>
        <v>432.08894038602216</v>
      </c>
    </row>
    <row r="817" spans="6:11" x14ac:dyDescent="0.4">
      <c r="F817" s="1">
        <v>46204</v>
      </c>
      <c r="H817" s="16">
        <f t="shared" si="69"/>
        <v>430.00368986075085</v>
      </c>
      <c r="I817">
        <f t="shared" si="70"/>
        <v>7</v>
      </c>
      <c r="J817" s="16" cm="1">
        <f t="array" ref="J817">INDEX(Sm,I817)</f>
        <v>0.74380149245581328</v>
      </c>
      <c r="K817" s="16">
        <f t="shared" si="71"/>
        <v>430.74749135320667</v>
      </c>
    </row>
    <row r="818" spans="6:11" x14ac:dyDescent="0.4">
      <c r="F818" s="1">
        <v>46235</v>
      </c>
      <c r="H818" s="16">
        <f t="shared" si="69"/>
        <v>430.24521144051124</v>
      </c>
      <c r="I818">
        <f t="shared" si="70"/>
        <v>8</v>
      </c>
      <c r="J818" s="16" cm="1">
        <f t="array" ref="J818">INDEX(Sm,I818)</f>
        <v>-1.3852874640433905</v>
      </c>
      <c r="K818" s="16">
        <f t="shared" si="71"/>
        <v>428.85992397646783</v>
      </c>
    </row>
    <row r="819" spans="6:11" x14ac:dyDescent="0.4">
      <c r="F819" s="1">
        <v>46266</v>
      </c>
      <c r="H819" s="16">
        <f t="shared" si="69"/>
        <v>430.48707302918956</v>
      </c>
      <c r="I819">
        <f t="shared" si="70"/>
        <v>9</v>
      </c>
      <c r="J819" s="16" cm="1">
        <f t="array" ref="J819">INDEX(Sm,I819)</f>
        <v>-3.188494698714738</v>
      </c>
      <c r="K819" s="16">
        <f t="shared" si="71"/>
        <v>427.29857833047481</v>
      </c>
    </row>
    <row r="820" spans="6:11" x14ac:dyDescent="0.4">
      <c r="F820" s="1">
        <v>46296</v>
      </c>
      <c r="H820" s="16">
        <f t="shared" si="69"/>
        <v>430.72145681575353</v>
      </c>
      <c r="I820">
        <f t="shared" si="70"/>
        <v>10</v>
      </c>
      <c r="J820" s="16" cm="1">
        <f t="array" ref="J820">INDEX(Sm,I820)</f>
        <v>-3.3139186770794531</v>
      </c>
      <c r="K820" s="16">
        <f t="shared" si="71"/>
        <v>427.40753813867406</v>
      </c>
    </row>
    <row r="821" spans="6:11" x14ac:dyDescent="0.4">
      <c r="F821" s="1">
        <v>46327</v>
      </c>
      <c r="H821" s="16">
        <f t="shared" si="69"/>
        <v>430.96398885249255</v>
      </c>
      <c r="I821">
        <f t="shared" si="70"/>
        <v>11</v>
      </c>
      <c r="J821" s="16" cm="1">
        <f t="array" ref="J821">INDEX(Sm,I821)</f>
        <v>-2.0555969925100759</v>
      </c>
      <c r="K821" s="16">
        <f t="shared" si="71"/>
        <v>428.90839185998249</v>
      </c>
    </row>
    <row r="822" spans="6:11" x14ac:dyDescent="0.4">
      <c r="F822" s="1">
        <v>46357</v>
      </c>
      <c r="H822" s="16">
        <f t="shared" si="69"/>
        <v>431.1990223584105</v>
      </c>
      <c r="I822">
        <f t="shared" si="70"/>
        <v>12</v>
      </c>
      <c r="J822" s="16" cm="1">
        <f t="array" ref="J822">INDEX(Sm,I822)</f>
        <v>-0.88675924001340456</v>
      </c>
      <c r="K822" s="16">
        <f t="shared" si="71"/>
        <v>430.31226311839708</v>
      </c>
    </row>
    <row r="823" spans="6:11" x14ac:dyDescent="0.4">
      <c r="F823" s="1">
        <v>46388</v>
      </c>
      <c r="H823" s="16">
        <f t="shared" si="69"/>
        <v>431.44222670171382</v>
      </c>
      <c r="I823">
        <f t="shared" si="70"/>
        <v>1</v>
      </c>
      <c r="J823" s="16" cm="1">
        <f t="array" ref="J823">INDEX(Sm,I823)</f>
        <v>-3.5406241068958691E-2</v>
      </c>
      <c r="K823" s="16">
        <f t="shared" si="71"/>
        <v>431.40682046064484</v>
      </c>
    </row>
    <row r="824" spans="6:11" x14ac:dyDescent="0.4">
      <c r="F824" s="1">
        <v>46419</v>
      </c>
      <c r="H824" s="16">
        <f t="shared" si="69"/>
        <v>431.68577342289359</v>
      </c>
      <c r="I824">
        <f t="shared" si="70"/>
        <v>2</v>
      </c>
      <c r="J824" s="16" cm="1">
        <f t="array" ref="J824">INDEX(Sm,I824)</f>
        <v>0.68063113884422577</v>
      </c>
      <c r="K824" s="16">
        <f t="shared" si="71"/>
        <v>432.3664045617378</v>
      </c>
    </row>
    <row r="825" spans="6:11" x14ac:dyDescent="0.4">
      <c r="F825" s="1">
        <v>46447</v>
      </c>
      <c r="H825" s="16">
        <f t="shared" si="69"/>
        <v>431.90604578853356</v>
      </c>
      <c r="I825">
        <f t="shared" si="70"/>
        <v>3</v>
      </c>
      <c r="J825" s="16" cm="1">
        <f t="array" ref="J825">INDEX(Sm,I825)</f>
        <v>1.3939471632320417</v>
      </c>
      <c r="K825" s="16">
        <f t="shared" si="71"/>
        <v>433.2999929517656</v>
      </c>
    </row>
    <row r="826" spans="6:11" x14ac:dyDescent="0.4">
      <c r="F826" s="1">
        <v>46478</v>
      </c>
      <c r="H826" s="16">
        <f t="shared" si="69"/>
        <v>432.15024546431073</v>
      </c>
      <c r="I826">
        <f t="shared" si="70"/>
        <v>4</v>
      </c>
      <c r="J826" s="16" cm="1">
        <f t="array" ref="J826">INDEX(Sm,I826)</f>
        <v>2.6315659351379859</v>
      </c>
      <c r="K826" s="16">
        <f t="shared" si="71"/>
        <v>434.78181139944871</v>
      </c>
    </row>
    <row r="827" spans="6:11" x14ac:dyDescent="0.4">
      <c r="F827" s="1">
        <v>46508</v>
      </c>
      <c r="H827" s="16">
        <f t="shared" si="69"/>
        <v>432.38689504971671</v>
      </c>
      <c r="I827">
        <f t="shared" si="70"/>
        <v>5</v>
      </c>
      <c r="J827" s="16" cm="1">
        <f t="array" ref="J827">INDEX(Sm,I827)</f>
        <v>3.0968597809913625</v>
      </c>
      <c r="K827" s="16">
        <f t="shared" si="71"/>
        <v>435.48375483070805</v>
      </c>
    </row>
    <row r="828" spans="6:11" x14ac:dyDescent="0.4">
      <c r="F828" s="1">
        <v>46539</v>
      </c>
      <c r="H828" s="16">
        <f t="shared" si="69"/>
        <v>432.63177165480693</v>
      </c>
      <c r="I828">
        <f t="shared" si="70"/>
        <v>6</v>
      </c>
      <c r="J828" s="16" cm="1">
        <f t="array" ref="J828">INDEX(Sm,I828)</f>
        <v>2.3186578027685911</v>
      </c>
      <c r="K828" s="16">
        <f t="shared" si="71"/>
        <v>434.95042945757552</v>
      </c>
    </row>
    <row r="829" spans="6:11" x14ac:dyDescent="0.4">
      <c r="F829" s="1">
        <v>46569</v>
      </c>
      <c r="H829" s="16">
        <f t="shared" si="69"/>
        <v>432.8690772404338</v>
      </c>
      <c r="I829">
        <f t="shared" si="70"/>
        <v>7</v>
      </c>
      <c r="J829" s="16" cm="1">
        <f t="array" ref="J829">INDEX(Sm,I829)</f>
        <v>0.74380149245581328</v>
      </c>
      <c r="K829" s="16">
        <f t="shared" si="71"/>
        <v>433.61287873288961</v>
      </c>
    </row>
    <row r="830" spans="6:11" x14ac:dyDescent="0.4">
      <c r="F830" s="1">
        <v>46600</v>
      </c>
      <c r="H830" s="16">
        <f t="shared" si="69"/>
        <v>433.11463265130669</v>
      </c>
      <c r="I830">
        <f t="shared" si="70"/>
        <v>8</v>
      </c>
      <c r="J830" s="16" cm="1">
        <f t="array" ref="J830">INDEX(Sm,I830)</f>
        <v>-1.3852874640433905</v>
      </c>
      <c r="K830" s="16">
        <f t="shared" si="71"/>
        <v>431.72934518726328</v>
      </c>
    </row>
    <row r="831" spans="6:11" x14ac:dyDescent="0.4">
      <c r="F831" s="1">
        <v>46631</v>
      </c>
      <c r="H831" s="16">
        <f t="shared" si="69"/>
        <v>433.36053374983896</v>
      </c>
      <c r="I831">
        <f t="shared" si="70"/>
        <v>9</v>
      </c>
      <c r="J831" s="16" cm="1">
        <f t="array" ref="J831">INDEX(Sm,I831)</f>
        <v>-3.188494698714738</v>
      </c>
      <c r="K831" s="16">
        <f t="shared" si="71"/>
        <v>430.17203905112422</v>
      </c>
    </row>
    <row r="832" spans="6:11" x14ac:dyDescent="0.4">
      <c r="F832" s="1">
        <v>46661</v>
      </c>
      <c r="H832" s="16">
        <f t="shared" si="69"/>
        <v>433.59883215393501</v>
      </c>
      <c r="I832">
        <f t="shared" si="70"/>
        <v>10</v>
      </c>
      <c r="J832" s="16" cm="1">
        <f t="array" ref="J832">INDEX(Sm,I832)</f>
        <v>-3.3139186770794531</v>
      </c>
      <c r="K832" s="16">
        <f t="shared" si="71"/>
        <v>430.28491347685554</v>
      </c>
    </row>
    <row r="833" spans="6:11" x14ac:dyDescent="0.4">
      <c r="F833" s="1">
        <v>46692</v>
      </c>
      <c r="H833" s="16">
        <f t="shared" si="69"/>
        <v>433.84541489817832</v>
      </c>
      <c r="I833">
        <f t="shared" si="70"/>
        <v>11</v>
      </c>
      <c r="J833" s="16" cm="1">
        <f t="array" ref="J833">INDEX(Sm,I833)</f>
        <v>-2.0555969925100759</v>
      </c>
      <c r="K833" s="16">
        <f t="shared" si="71"/>
        <v>431.78981790566826</v>
      </c>
    </row>
    <row r="834" spans="6:11" x14ac:dyDescent="0.4">
      <c r="F834" s="1">
        <v>46722</v>
      </c>
      <c r="H834" s="16">
        <f t="shared" si="69"/>
        <v>434.08437387307345</v>
      </c>
      <c r="I834">
        <f t="shared" si="70"/>
        <v>12</v>
      </c>
      <c r="J834" s="16" cm="1">
        <f t="array" ref="J834">INDEX(Sm,I834)</f>
        <v>-0.88675924001340456</v>
      </c>
      <c r="K834" s="16">
        <f t="shared" si="71"/>
        <v>433.19761463306003</v>
      </c>
    </row>
    <row r="835" spans="6:11" x14ac:dyDescent="0.4">
      <c r="F835" s="1">
        <v>46753</v>
      </c>
      <c r="H835" s="16">
        <f t="shared" si="69"/>
        <v>434.33164015257171</v>
      </c>
      <c r="I835">
        <f t="shared" si="70"/>
        <v>1</v>
      </c>
      <c r="J835" s="16" cm="1">
        <f t="array" ref="J835">INDEX(Sm,I835)</f>
        <v>-3.5406241068958691E-2</v>
      </c>
      <c r="K835" s="16">
        <f t="shared" si="71"/>
        <v>434.29623391150272</v>
      </c>
    </row>
    <row r="836" spans="6:11" x14ac:dyDescent="0.4">
      <c r="F836" s="1">
        <v>46784</v>
      </c>
      <c r="H836" s="16">
        <f t="shared" si="69"/>
        <v>434.5792545282535</v>
      </c>
      <c r="I836">
        <f t="shared" si="70"/>
        <v>2</v>
      </c>
      <c r="J836" s="16" cm="1">
        <f t="array" ref="J836">INDEX(Sm,I836)</f>
        <v>0.68063113884422577</v>
      </c>
      <c r="K836" s="16">
        <f t="shared" si="71"/>
        <v>435.25988566709771</v>
      </c>
    </row>
    <row r="837" spans="6:11" x14ac:dyDescent="0.4">
      <c r="F837" s="1">
        <v>46813</v>
      </c>
      <c r="H837" s="16">
        <f t="shared" si="69"/>
        <v>434.81120935091388</v>
      </c>
      <c r="I837">
        <f t="shared" si="70"/>
        <v>3</v>
      </c>
      <c r="J837" s="16" cm="1">
        <f t="array" ref="J837">INDEX(Sm,I837)</f>
        <v>1.3939471632320417</v>
      </c>
      <c r="K837" s="16">
        <f t="shared" si="71"/>
        <v>436.20515651414593</v>
      </c>
    </row>
    <row r="838" spans="6:11" x14ac:dyDescent="0.4">
      <c r="F838" s="1">
        <v>46844</v>
      </c>
      <c r="H838" s="16">
        <f t="shared" si="69"/>
        <v>435.05949885386372</v>
      </c>
      <c r="I838">
        <f t="shared" si="70"/>
        <v>4</v>
      </c>
      <c r="J838" s="16" cm="1">
        <f t="array" ref="J838">INDEX(Sm,I838)</f>
        <v>2.6315659351379859</v>
      </c>
      <c r="K838" s="16">
        <f t="shared" si="71"/>
        <v>437.6910647890017</v>
      </c>
    </row>
    <row r="839" spans="6:11" x14ac:dyDescent="0.4">
      <c r="F839" s="1">
        <v>46874</v>
      </c>
      <c r="H839" s="16">
        <f t="shared" si="69"/>
        <v>435.30011181842508</v>
      </c>
      <c r="I839">
        <f t="shared" si="70"/>
        <v>5</v>
      </c>
      <c r="J839" s="16" cm="1">
        <f t="array" ref="J839">INDEX(Sm,I839)</f>
        <v>3.0968597809913625</v>
      </c>
      <c r="K839" s="16">
        <f t="shared" si="71"/>
        <v>438.39697159941642</v>
      </c>
    </row>
    <row r="840" spans="6:11" x14ac:dyDescent="0.4">
      <c r="F840" s="1">
        <v>46905</v>
      </c>
      <c r="H840" s="16">
        <f t="shared" si="69"/>
        <v>435.54908958781937</v>
      </c>
      <c r="I840">
        <f t="shared" si="70"/>
        <v>6</v>
      </c>
      <c r="J840" s="16" cm="1">
        <f t="array" ref="J840">INDEX(Sm,I840)</f>
        <v>2.3186578027685911</v>
      </c>
      <c r="K840" s="16">
        <f t="shared" si="71"/>
        <v>437.86774739058797</v>
      </c>
    </row>
    <row r="841" spans="6:11" x14ac:dyDescent="0.4">
      <c r="F841" s="1">
        <v>46935</v>
      </c>
      <c r="H841" s="16">
        <f t="shared" si="69"/>
        <v>435.79036953921548</v>
      </c>
      <c r="I841">
        <f t="shared" si="70"/>
        <v>7</v>
      </c>
      <c r="J841" s="16" cm="1">
        <f t="array" ref="J841">INDEX(Sm,I841)</f>
        <v>0.74380149245581328</v>
      </c>
      <c r="K841" s="16">
        <f t="shared" si="71"/>
        <v>436.53417103167129</v>
      </c>
    </row>
    <row r="842" spans="6:11" x14ac:dyDescent="0.4">
      <c r="F842" s="1">
        <v>46966</v>
      </c>
      <c r="H842" s="16">
        <f t="shared" si="69"/>
        <v>436.04003748295111</v>
      </c>
      <c r="I842">
        <f t="shared" si="70"/>
        <v>8</v>
      </c>
      <c r="J842" s="16" cm="1">
        <f t="array" ref="J842">INDEX(Sm,I842)</f>
        <v>-1.3852874640433905</v>
      </c>
      <c r="K842" s="16">
        <f t="shared" si="71"/>
        <v>434.65475001890769</v>
      </c>
    </row>
    <row r="843" spans="6:11" x14ac:dyDescent="0.4">
      <c r="F843" s="1">
        <v>46997</v>
      </c>
      <c r="H843" s="16">
        <f t="shared" si="69"/>
        <v>436.2900569038818</v>
      </c>
      <c r="I843">
        <f t="shared" si="70"/>
        <v>9</v>
      </c>
      <c r="J843" s="16" cm="1">
        <f t="array" ref="J843">INDEX(Sm,I843)</f>
        <v>-3.188494698714738</v>
      </c>
      <c r="K843" s="16">
        <f t="shared" si="71"/>
        <v>433.10156220516706</v>
      </c>
    </row>
    <row r="844" spans="6:11" x14ac:dyDescent="0.4">
      <c r="F844" s="1">
        <v>47027</v>
      </c>
      <c r="H844" s="16">
        <f t="shared" si="69"/>
        <v>436.53234630135307</v>
      </c>
      <c r="I844">
        <f t="shared" si="70"/>
        <v>10</v>
      </c>
      <c r="J844" s="16" cm="1">
        <f t="array" ref="J844">INDEX(Sm,I844)</f>
        <v>-3.3139186770794531</v>
      </c>
      <c r="K844" s="16">
        <f t="shared" si="71"/>
        <v>433.2184276242736</v>
      </c>
    </row>
    <row r="845" spans="6:11" x14ac:dyDescent="0.4">
      <c r="F845" s="1">
        <v>47058</v>
      </c>
      <c r="H845" s="16">
        <f t="shared" si="69"/>
        <v>436.78305878411663</v>
      </c>
      <c r="I845">
        <f t="shared" si="70"/>
        <v>11</v>
      </c>
      <c r="J845" s="16" cm="1">
        <f t="array" ref="J845">INDEX(Sm,I845)</f>
        <v>-2.0555969925100759</v>
      </c>
      <c r="K845" s="16">
        <f t="shared" si="71"/>
        <v>434.72746179160657</v>
      </c>
    </row>
    <row r="846" spans="6:11" x14ac:dyDescent="0.4">
      <c r="F846" s="1">
        <v>47088</v>
      </c>
      <c r="H846" s="16">
        <f t="shared" si="69"/>
        <v>437.02601981554812</v>
      </c>
      <c r="I846">
        <f t="shared" si="70"/>
        <v>12</v>
      </c>
      <c r="J846" s="16" cm="1">
        <f t="array" ref="J846">INDEX(Sm,I846)</f>
        <v>-0.88675924001340456</v>
      </c>
      <c r="K846" s="16">
        <f t="shared" si="71"/>
        <v>436.13926057553471</v>
      </c>
    </row>
    <row r="847" spans="6:11" x14ac:dyDescent="0.4">
      <c r="F847" s="1">
        <v>47119</v>
      </c>
      <c r="H847" s="16">
        <f t="shared" si="69"/>
        <v>437.27742728133376</v>
      </c>
      <c r="I847">
        <f t="shared" si="70"/>
        <v>1</v>
      </c>
      <c r="J847" s="16" cm="1">
        <f t="array" ref="J847">INDEX(Sm,I847)</f>
        <v>-3.5406241068958691E-2</v>
      </c>
      <c r="K847" s="16">
        <f t="shared" si="71"/>
        <v>437.24202104026477</v>
      </c>
    </row>
    <row r="848" spans="6:11" x14ac:dyDescent="0.4">
      <c r="F848" s="1">
        <v>47150</v>
      </c>
      <c r="H848" s="16">
        <f t="shared" si="69"/>
        <v>437.52918867317652</v>
      </c>
      <c r="I848">
        <f t="shared" si="70"/>
        <v>2</v>
      </c>
      <c r="J848" s="16" cm="1">
        <f t="array" ref="J848">INDEX(Sm,I848)</f>
        <v>0.68063113884422577</v>
      </c>
      <c r="K848" s="16">
        <f t="shared" si="71"/>
        <v>438.20981981202073</v>
      </c>
    </row>
    <row r="849" spans="6:11" x14ac:dyDescent="0.4">
      <c r="F849" s="1">
        <v>47178</v>
      </c>
      <c r="H849" s="16">
        <f t="shared" si="69"/>
        <v>437.75689068078032</v>
      </c>
      <c r="I849">
        <f t="shared" si="70"/>
        <v>3</v>
      </c>
      <c r="J849" s="16" cm="1">
        <f t="array" ref="J849">INDEX(Sm,I849)</f>
        <v>1.3939471632320417</v>
      </c>
      <c r="K849" s="16">
        <f t="shared" si="71"/>
        <v>439.15083784401236</v>
      </c>
    </row>
    <row r="850" spans="6:11" x14ac:dyDescent="0.4">
      <c r="F850" s="1">
        <v>47209</v>
      </c>
      <c r="H850" s="16">
        <f t="shared" si="69"/>
        <v>438.00932705094965</v>
      </c>
      <c r="I850">
        <f t="shared" si="70"/>
        <v>4</v>
      </c>
      <c r="J850" s="16" cm="1">
        <f t="array" ref="J850">INDEX(Sm,I850)</f>
        <v>2.6315659351379859</v>
      </c>
      <c r="K850" s="16">
        <f t="shared" si="71"/>
        <v>440.64089298608764</v>
      </c>
    </row>
    <row r="851" spans="6:11" x14ac:dyDescent="0.4">
      <c r="F851" s="1">
        <v>47239</v>
      </c>
      <c r="H851" s="16">
        <f t="shared" si="69"/>
        <v>438.25395867116697</v>
      </c>
      <c r="I851">
        <f t="shared" si="70"/>
        <v>5</v>
      </c>
      <c r="J851" s="16" cm="1">
        <f t="array" ref="J851">INDEX(Sm,I851)</f>
        <v>3.0968597809913625</v>
      </c>
      <c r="K851" s="16">
        <f t="shared" si="71"/>
        <v>441.35081845215831</v>
      </c>
    </row>
    <row r="852" spans="6:11" x14ac:dyDescent="0.4">
      <c r="F852" s="1">
        <v>47270</v>
      </c>
      <c r="H852" s="16">
        <f t="shared" si="69"/>
        <v>438.50709480302953</v>
      </c>
      <c r="I852">
        <f t="shared" si="70"/>
        <v>6</v>
      </c>
      <c r="J852" s="16" cm="1">
        <f t="array" ref="J852">INDEX(Sm,I852)</f>
        <v>2.3186578027685911</v>
      </c>
      <c r="K852" s="16">
        <f t="shared" si="71"/>
        <v>440.82575260579813</v>
      </c>
    </row>
    <row r="853" spans="6:11" x14ac:dyDescent="0.4">
      <c r="F853" s="1">
        <v>47300</v>
      </c>
      <c r="H853" s="16">
        <f t="shared" si="69"/>
        <v>438.75240454992354</v>
      </c>
      <c r="I853">
        <f t="shared" si="70"/>
        <v>7</v>
      </c>
      <c r="J853" s="16" cm="1">
        <f t="array" ref="J853">INDEX(Sm,I853)</f>
        <v>0.74380149245581328</v>
      </c>
      <c r="K853" s="16">
        <f t="shared" si="71"/>
        <v>439.49620604237936</v>
      </c>
    </row>
    <row r="854" spans="6:11" x14ac:dyDescent="0.4">
      <c r="F854" s="1">
        <v>47331</v>
      </c>
      <c r="H854" s="16">
        <f t="shared" si="69"/>
        <v>439.00624238324099</v>
      </c>
      <c r="I854">
        <f t="shared" si="70"/>
        <v>8</v>
      </c>
      <c r="J854" s="16" cm="1">
        <f t="array" ref="J854">INDEX(Sm,I854)</f>
        <v>-1.3852874640433905</v>
      </c>
      <c r="K854" s="16">
        <f t="shared" si="71"/>
        <v>437.62095491919757</v>
      </c>
    </row>
    <row r="855" spans="6:11" x14ac:dyDescent="0.4">
      <c r="F855" s="1">
        <v>47362</v>
      </c>
      <c r="H855" s="16">
        <f t="shared" si="69"/>
        <v>439.2604375640351</v>
      </c>
      <c r="I855">
        <f t="shared" si="70"/>
        <v>9</v>
      </c>
      <c r="J855" s="16" cm="1">
        <f t="array" ref="J855">INDEX(Sm,I855)</f>
        <v>-3.188494698714738</v>
      </c>
      <c r="K855" s="16">
        <f t="shared" si="71"/>
        <v>436.07194286532035</v>
      </c>
    </row>
    <row r="856" spans="6:11" x14ac:dyDescent="0.4">
      <c r="F856" s="1">
        <v>47392</v>
      </c>
      <c r="H856" s="16">
        <f t="shared" si="69"/>
        <v>439.50677361651208</v>
      </c>
      <c r="I856">
        <f t="shared" si="70"/>
        <v>10</v>
      </c>
      <c r="J856" s="16" cm="1">
        <f t="array" ref="J856">INDEX(Sm,I856)</f>
        <v>-3.3139186770794531</v>
      </c>
      <c r="K856" s="16">
        <f t="shared" si="71"/>
        <v>436.19285493943261</v>
      </c>
    </row>
    <row r="857" spans="6:11" x14ac:dyDescent="0.4">
      <c r="F857" s="1">
        <v>47423</v>
      </c>
      <c r="H857" s="16">
        <f t="shared" si="69"/>
        <v>439.76167343447884</v>
      </c>
      <c r="I857">
        <f t="shared" si="70"/>
        <v>11</v>
      </c>
      <c r="J857" s="16" cm="1">
        <f t="array" ref="J857">INDEX(Sm,I857)</f>
        <v>-2.0555969925100759</v>
      </c>
      <c r="K857" s="16">
        <f t="shared" si="71"/>
        <v>437.70607644196878</v>
      </c>
    </row>
    <row r="858" spans="6:11" x14ac:dyDescent="0.4">
      <c r="F858" s="1">
        <v>47453</v>
      </c>
      <c r="H858" s="16">
        <f t="shared" si="69"/>
        <v>440.00869233837329</v>
      </c>
      <c r="I858">
        <f t="shared" si="70"/>
        <v>12</v>
      </c>
      <c r="J858" s="16" cm="1">
        <f t="array" ref="J858">INDEX(Sm,I858)</f>
        <v>-0.88675924001340456</v>
      </c>
      <c r="K858" s="16">
        <f t="shared" si="71"/>
        <v>439.12193309835988</v>
      </c>
    </row>
    <row r="859" spans="6:11" x14ac:dyDescent="0.4">
      <c r="F859" s="1">
        <v>47484</v>
      </c>
      <c r="H859" s="16">
        <f t="shared" si="69"/>
        <v>440.26429874678945</v>
      </c>
      <c r="I859">
        <f t="shared" si="70"/>
        <v>1</v>
      </c>
      <c r="J859" s="16" cm="1">
        <f t="array" ref="J859">INDEX(Sm,I859)</f>
        <v>-3.5406241068958691E-2</v>
      </c>
      <c r="K859" s="16">
        <f t="shared" si="71"/>
        <v>440.22889250572047</v>
      </c>
    </row>
    <row r="860" spans="6:11" x14ac:dyDescent="0.4">
      <c r="F860" s="1">
        <v>47515</v>
      </c>
      <c r="H860" s="16">
        <f t="shared" si="69"/>
        <v>440.52026499244425</v>
      </c>
      <c r="I860">
        <f t="shared" si="70"/>
        <v>2</v>
      </c>
      <c r="J860" s="16" cm="1">
        <f t="array" ref="J860">INDEX(Sm,I860)</f>
        <v>0.68063113884422577</v>
      </c>
      <c r="K860" s="16">
        <f t="shared" si="71"/>
        <v>441.20089613128846</v>
      </c>
    </row>
    <row r="861" spans="6:11" x14ac:dyDescent="0.4">
      <c r="F861" s="1">
        <v>47543</v>
      </c>
      <c r="H861" s="16">
        <f t="shared" si="69"/>
        <v>440.7517700202319</v>
      </c>
      <c r="I861">
        <f t="shared" si="70"/>
        <v>3</v>
      </c>
      <c r="J861" s="16" cm="1">
        <f t="array" ref="J861">INDEX(Sm,I861)</f>
        <v>1.3939471632320417</v>
      </c>
      <c r="K861" s="16">
        <f t="shared" si="71"/>
        <v>442.14571718346394</v>
      </c>
    </row>
    <row r="862" spans="6:11" x14ac:dyDescent="0.4">
      <c r="F862" s="1">
        <v>47574</v>
      </c>
      <c r="H862" s="16">
        <f t="shared" si="69"/>
        <v>441.00842251752692</v>
      </c>
      <c r="I862">
        <f t="shared" si="70"/>
        <v>4</v>
      </c>
      <c r="J862" s="16" cm="1">
        <f t="array" ref="J862">INDEX(Sm,I862)</f>
        <v>2.6315659351379859</v>
      </c>
      <c r="K862" s="16">
        <f t="shared" si="71"/>
        <v>443.63998845266491</v>
      </c>
    </row>
    <row r="863" spans="6:11" x14ac:dyDescent="0.4">
      <c r="F863" s="1">
        <v>47604</v>
      </c>
      <c r="H863" s="16">
        <f t="shared" si="69"/>
        <v>441.25713991195011</v>
      </c>
      <c r="I863">
        <f t="shared" si="70"/>
        <v>5</v>
      </c>
      <c r="J863" s="16" cm="1">
        <f t="array" ref="J863">INDEX(Sm,I863)</f>
        <v>3.0968597809913625</v>
      </c>
      <c r="K863" s="16">
        <f t="shared" si="71"/>
        <v>444.35399969294144</v>
      </c>
    </row>
    <row r="864" spans="6:11" x14ac:dyDescent="0.4">
      <c r="F864" s="1">
        <v>47635</v>
      </c>
      <c r="H864" s="16">
        <f t="shared" si="69"/>
        <v>441.51450385817782</v>
      </c>
      <c r="I864">
        <f t="shared" si="70"/>
        <v>6</v>
      </c>
      <c r="J864" s="16" cm="1">
        <f t="array" ref="J864">INDEX(Sm,I864)</f>
        <v>2.3186578027685911</v>
      </c>
      <c r="K864" s="16">
        <f t="shared" si="71"/>
        <v>443.83316166094642</v>
      </c>
    </row>
    <row r="865" spans="6:11" x14ac:dyDescent="0.4">
      <c r="F865" s="1">
        <v>47665</v>
      </c>
      <c r="H865" s="16">
        <f t="shared" si="69"/>
        <v>441.76391070517468</v>
      </c>
      <c r="I865">
        <f t="shared" si="70"/>
        <v>7</v>
      </c>
      <c r="J865" s="16" cm="1">
        <f t="array" ref="J865">INDEX(Sm,I865)</f>
        <v>0.74380149245581328</v>
      </c>
      <c r="K865" s="16">
        <f t="shared" si="71"/>
        <v>442.5077121976305</v>
      </c>
    </row>
    <row r="866" spans="6:11" x14ac:dyDescent="0.4">
      <c r="F866" s="1">
        <v>47696</v>
      </c>
      <c r="H866" s="16">
        <f t="shared" si="69"/>
        <v>442.02198807249403</v>
      </c>
      <c r="I866">
        <f t="shared" si="70"/>
        <v>8</v>
      </c>
      <c r="J866" s="16" cm="1">
        <f t="array" ref="J866">INDEX(Sm,I866)</f>
        <v>-1.3852874640433905</v>
      </c>
      <c r="K866" s="16">
        <f t="shared" si="71"/>
        <v>440.63670060845061</v>
      </c>
    </row>
    <row r="867" spans="6:11" x14ac:dyDescent="0.4">
      <c r="F867" s="1">
        <v>47727</v>
      </c>
      <c r="H867" s="16">
        <f t="shared" si="69"/>
        <v>442.28042875561528</v>
      </c>
      <c r="I867">
        <f t="shared" si="70"/>
        <v>9</v>
      </c>
      <c r="J867" s="16" cm="1">
        <f t="array" ref="J867">INDEX(Sm,I867)</f>
        <v>-3.188494698714738</v>
      </c>
      <c r="K867" s="16">
        <f t="shared" si="71"/>
        <v>439.09193405690053</v>
      </c>
    </row>
    <row r="868" spans="6:11" x14ac:dyDescent="0.4">
      <c r="F868" s="1">
        <v>47757</v>
      </c>
      <c r="H868" s="16">
        <f t="shared" si="69"/>
        <v>442.53087904928594</v>
      </c>
      <c r="I868">
        <f t="shared" si="70"/>
        <v>10</v>
      </c>
      <c r="J868" s="16" cm="1">
        <f t="array" ref="J868">INDEX(Sm,I868)</f>
        <v>-3.3139186770794531</v>
      </c>
      <c r="K868" s="16">
        <f t="shared" si="71"/>
        <v>439.21696037220647</v>
      </c>
    </row>
    <row r="869" spans="6:11" x14ac:dyDescent="0.4">
      <c r="F869" s="1">
        <v>47788</v>
      </c>
      <c r="H869" s="16">
        <f t="shared" si="69"/>
        <v>442.79003613824807</v>
      </c>
      <c r="I869">
        <f t="shared" si="70"/>
        <v>11</v>
      </c>
      <c r="J869" s="16" cm="1">
        <f t="array" ref="J869">INDEX(Sm,I869)</f>
        <v>-2.0555969925100759</v>
      </c>
      <c r="K869" s="16">
        <f t="shared" si="71"/>
        <v>440.73443914573801</v>
      </c>
    </row>
    <row r="870" spans="6:11" x14ac:dyDescent="0.4">
      <c r="F870" s="1">
        <v>47818</v>
      </c>
      <c r="H870" s="16">
        <f t="shared" si="69"/>
        <v>443.04118068814444</v>
      </c>
      <c r="I870">
        <f t="shared" si="70"/>
        <v>12</v>
      </c>
      <c r="J870" s="16" cm="1">
        <f t="array" ref="J870">INDEX(Sm,I870)</f>
        <v>-0.88675924001340456</v>
      </c>
      <c r="K870" s="16">
        <f t="shared" si="71"/>
        <v>442.15442144813102</v>
      </c>
    </row>
    <row r="871" spans="6:11" x14ac:dyDescent="0.4">
      <c r="F871" s="1">
        <v>47849</v>
      </c>
      <c r="H871" s="16">
        <f t="shared" ref="H871:H934" si="72">EXP(_A*F871+_B)+_C</f>
        <v>443.30105616884742</v>
      </c>
      <c r="I871">
        <f t="shared" ref="I871:I934" si="73">MONTH(F871)</f>
        <v>1</v>
      </c>
      <c r="J871" s="16" cm="1">
        <f t="array" ref="J871">INDEX(Sm,I871)</f>
        <v>-3.5406241068958691E-2</v>
      </c>
      <c r="K871" s="16">
        <f t="shared" ref="K871:K934" si="74">H871+J871</f>
        <v>443.26564992777844</v>
      </c>
    </row>
    <row r="872" spans="6:11" x14ac:dyDescent="0.4">
      <c r="F872" s="1">
        <v>47880</v>
      </c>
      <c r="H872" s="16">
        <f t="shared" si="72"/>
        <v>443.56129749669776</v>
      </c>
      <c r="I872">
        <f t="shared" si="73"/>
        <v>2</v>
      </c>
      <c r="J872" s="16" cm="1">
        <f t="array" ref="J872">INDEX(Sm,I872)</f>
        <v>0.68063113884422577</v>
      </c>
      <c r="K872" s="16">
        <f t="shared" si="74"/>
        <v>444.24192863554197</v>
      </c>
    </row>
    <row r="873" spans="6:11" x14ac:dyDescent="0.4">
      <c r="F873" s="1">
        <v>47908</v>
      </c>
      <c r="H873" s="16">
        <f t="shared" si="72"/>
        <v>443.79666906173134</v>
      </c>
      <c r="I873">
        <f t="shared" si="73"/>
        <v>3</v>
      </c>
      <c r="J873" s="16" cm="1">
        <f t="array" ref="J873">INDEX(Sm,I873)</f>
        <v>1.3939471632320417</v>
      </c>
      <c r="K873" s="16">
        <f t="shared" si="74"/>
        <v>445.19061622496338</v>
      </c>
    </row>
    <row r="874" spans="6:11" x14ac:dyDescent="0.4">
      <c r="F874" s="1">
        <v>47939</v>
      </c>
      <c r="H874" s="16">
        <f t="shared" si="72"/>
        <v>444.05760810281981</v>
      </c>
      <c r="I874">
        <f t="shared" si="73"/>
        <v>4</v>
      </c>
      <c r="J874" s="16" cm="1">
        <f t="array" ref="J874">INDEX(Sm,I874)</f>
        <v>2.6315659351379859</v>
      </c>
      <c r="K874" s="16">
        <f t="shared" si="74"/>
        <v>446.6891740379578</v>
      </c>
    </row>
    <row r="875" spans="6:11" x14ac:dyDescent="0.4">
      <c r="F875" s="1">
        <v>47969</v>
      </c>
      <c r="H875" s="16">
        <f t="shared" si="72"/>
        <v>444.31047951099549</v>
      </c>
      <c r="I875">
        <f t="shared" si="73"/>
        <v>5</v>
      </c>
      <c r="J875" s="16" cm="1">
        <f t="array" ref="J875">INDEX(Sm,I875)</f>
        <v>3.0968597809913625</v>
      </c>
      <c r="K875" s="16">
        <f t="shared" si="74"/>
        <v>447.40733929198683</v>
      </c>
    </row>
    <row r="876" spans="6:11" x14ac:dyDescent="0.4">
      <c r="F876" s="1">
        <v>48000</v>
      </c>
      <c r="H876" s="16">
        <f t="shared" si="72"/>
        <v>444.57214188345301</v>
      </c>
      <c r="I876">
        <f t="shared" si="73"/>
        <v>6</v>
      </c>
      <c r="J876" s="16" cm="1">
        <f t="array" ref="J876">INDEX(Sm,I876)</f>
        <v>2.3186578027685911</v>
      </c>
      <c r="K876" s="16">
        <f t="shared" si="74"/>
        <v>446.89079968622161</v>
      </c>
    </row>
    <row r="877" spans="6:11" x14ac:dyDescent="0.4">
      <c r="F877" s="1">
        <v>48030</v>
      </c>
      <c r="H877" s="16">
        <f t="shared" si="72"/>
        <v>444.82571425926142</v>
      </c>
      <c r="I877">
        <f t="shared" si="73"/>
        <v>7</v>
      </c>
      <c r="J877" s="16" cm="1">
        <f t="array" ref="J877">INDEX(Sm,I877)</f>
        <v>0.74380149245581328</v>
      </c>
      <c r="K877" s="16">
        <f t="shared" si="74"/>
        <v>445.56951575171723</v>
      </c>
    </row>
    <row r="878" spans="6:11" x14ac:dyDescent="0.4">
      <c r="F878" s="1">
        <v>48061</v>
      </c>
      <c r="H878" s="16">
        <f t="shared" si="72"/>
        <v>445.08810196818564</v>
      </c>
      <c r="I878">
        <f t="shared" si="73"/>
        <v>8</v>
      </c>
      <c r="J878" s="16" cm="1">
        <f t="array" ref="J878">INDEX(Sm,I878)</f>
        <v>-1.3852874640433905</v>
      </c>
      <c r="K878" s="16">
        <f t="shared" si="74"/>
        <v>443.70281450414222</v>
      </c>
    </row>
    <row r="879" spans="6:11" x14ac:dyDescent="0.4">
      <c r="F879" s="1">
        <v>48092</v>
      </c>
      <c r="H879" s="16">
        <f t="shared" si="72"/>
        <v>445.35085906091876</v>
      </c>
      <c r="I879">
        <f t="shared" si="73"/>
        <v>9</v>
      </c>
      <c r="J879" s="16" cm="1">
        <f t="array" ref="J879">INDEX(Sm,I879)</f>
        <v>-3.188494698714738</v>
      </c>
      <c r="K879" s="16">
        <f t="shared" si="74"/>
        <v>442.16236436220402</v>
      </c>
    </row>
    <row r="880" spans="6:11" x14ac:dyDescent="0.4">
      <c r="F880" s="1">
        <v>48122</v>
      </c>
      <c r="H880" s="16">
        <f t="shared" si="72"/>
        <v>445.60549231077812</v>
      </c>
      <c r="I880">
        <f t="shared" si="73"/>
        <v>10</v>
      </c>
      <c r="J880" s="16" cm="1">
        <f t="array" ref="J880">INDEX(Sm,I880)</f>
        <v>-3.3139186770794531</v>
      </c>
      <c r="K880" s="16">
        <f t="shared" si="74"/>
        <v>442.29157363369865</v>
      </c>
    </row>
    <row r="881" spans="6:11" x14ac:dyDescent="0.4">
      <c r="F881" s="1">
        <v>48153</v>
      </c>
      <c r="H881" s="16">
        <f t="shared" si="72"/>
        <v>445.8689777745775</v>
      </c>
      <c r="I881">
        <f t="shared" si="73"/>
        <v>11</v>
      </c>
      <c r="J881" s="16" cm="1">
        <f t="array" ref="J881">INDEX(Sm,I881)</f>
        <v>-2.0555969925100759</v>
      </c>
      <c r="K881" s="16">
        <f t="shared" si="74"/>
        <v>443.81338078206744</v>
      </c>
    </row>
    <row r="882" spans="6:11" x14ac:dyDescent="0.4">
      <c r="F882" s="1">
        <v>48183</v>
      </c>
      <c r="H882" s="16">
        <f t="shared" si="72"/>
        <v>446.12431687595085</v>
      </c>
      <c r="I882">
        <f t="shared" si="73"/>
        <v>12</v>
      </c>
      <c r="J882" s="16" cm="1">
        <f t="array" ref="J882">INDEX(Sm,I882)</f>
        <v>-0.88675924001340456</v>
      </c>
      <c r="K882" s="16">
        <f t="shared" si="74"/>
        <v>445.23755763593743</v>
      </c>
    </row>
    <row r="883" spans="6:11" x14ac:dyDescent="0.4">
      <c r="F883" s="1">
        <v>48214</v>
      </c>
      <c r="H883" s="16">
        <f t="shared" si="72"/>
        <v>446.38853272988445</v>
      </c>
      <c r="I883">
        <f t="shared" si="73"/>
        <v>1</v>
      </c>
      <c r="J883" s="16" cm="1">
        <f t="array" ref="J883">INDEX(Sm,I883)</f>
        <v>-3.5406241068958691E-2</v>
      </c>
      <c r="K883" s="16">
        <f t="shared" si="74"/>
        <v>446.35312648881546</v>
      </c>
    </row>
    <row r="884" spans="6:11" x14ac:dyDescent="0.4">
      <c r="F884" s="1">
        <v>48245</v>
      </c>
      <c r="H884" s="16">
        <f t="shared" si="72"/>
        <v>446.65312054125025</v>
      </c>
      <c r="I884">
        <f t="shared" si="73"/>
        <v>2</v>
      </c>
      <c r="J884" s="16" cm="1">
        <f t="array" ref="J884">INDEX(Sm,I884)</f>
        <v>0.68063113884422577</v>
      </c>
      <c r="K884" s="16">
        <f t="shared" si="74"/>
        <v>447.33375168009445</v>
      </c>
    </row>
    <row r="885" spans="6:11" x14ac:dyDescent="0.4">
      <c r="F885" s="1">
        <v>48274</v>
      </c>
      <c r="H885" s="16">
        <f t="shared" si="72"/>
        <v>446.90097537073854</v>
      </c>
      <c r="I885">
        <f t="shared" si="73"/>
        <v>3</v>
      </c>
      <c r="J885" s="16" cm="1">
        <f t="array" ref="J885">INDEX(Sm,I885)</f>
        <v>1.3939471632320417</v>
      </c>
      <c r="K885" s="16">
        <f t="shared" si="74"/>
        <v>448.29492253397058</v>
      </c>
    </row>
    <row r="886" spans="6:11" x14ac:dyDescent="0.4">
      <c r="F886" s="1">
        <v>48305</v>
      </c>
      <c r="H886" s="16">
        <f t="shared" si="72"/>
        <v>447.16628458790211</v>
      </c>
      <c r="I886">
        <f t="shared" si="73"/>
        <v>4</v>
      </c>
      <c r="J886" s="16" cm="1">
        <f t="array" ref="J886">INDEX(Sm,I886)</f>
        <v>2.6315659351379859</v>
      </c>
      <c r="K886" s="16">
        <f t="shared" si="74"/>
        <v>449.7978505230401</v>
      </c>
    </row>
    <row r="887" spans="6:11" x14ac:dyDescent="0.4">
      <c r="F887" s="1">
        <v>48335</v>
      </c>
      <c r="H887" s="16">
        <f t="shared" si="72"/>
        <v>447.42339105639468</v>
      </c>
      <c r="I887">
        <f t="shared" si="73"/>
        <v>5</v>
      </c>
      <c r="J887" s="16" cm="1">
        <f t="array" ref="J887">INDEX(Sm,I887)</f>
        <v>3.0968597809913625</v>
      </c>
      <c r="K887" s="16">
        <f t="shared" si="74"/>
        <v>450.52025083738602</v>
      </c>
    </row>
    <row r="888" spans="6:11" x14ac:dyDescent="0.4">
      <c r="F888" s="1">
        <v>48366</v>
      </c>
      <c r="H888" s="16">
        <f t="shared" si="72"/>
        <v>447.68943571919499</v>
      </c>
      <c r="I888">
        <f t="shared" si="73"/>
        <v>6</v>
      </c>
      <c r="J888" s="16" cm="1">
        <f t="array" ref="J888">INDEX(Sm,I888)</f>
        <v>2.3186578027685911</v>
      </c>
      <c r="K888" s="16">
        <f t="shared" si="74"/>
        <v>450.00809352196359</v>
      </c>
    </row>
    <row r="889" spans="6:11" x14ac:dyDescent="0.4">
      <c r="F889" s="1">
        <v>48396</v>
      </c>
      <c r="H889" s="16">
        <f t="shared" si="72"/>
        <v>447.94725489504276</v>
      </c>
      <c r="I889">
        <f t="shared" si="73"/>
        <v>7</v>
      </c>
      <c r="J889" s="16" cm="1">
        <f t="array" ref="J889">INDEX(Sm,I889)</f>
        <v>0.74380149245581328</v>
      </c>
      <c r="K889" s="16">
        <f t="shared" si="74"/>
        <v>448.69105638749858</v>
      </c>
    </row>
    <row r="890" spans="6:11" x14ac:dyDescent="0.4">
      <c r="F890" s="1">
        <v>48427</v>
      </c>
      <c r="H890" s="16">
        <f t="shared" si="72"/>
        <v>448.21403704215885</v>
      </c>
      <c r="I890">
        <f t="shared" si="73"/>
        <v>8</v>
      </c>
      <c r="J890" s="16" cm="1">
        <f t="array" ref="J890">INDEX(Sm,I890)</f>
        <v>-1.3852874640433905</v>
      </c>
      <c r="K890" s="16">
        <f t="shared" si="74"/>
        <v>446.82874957811543</v>
      </c>
    </row>
    <row r="891" spans="6:11" x14ac:dyDescent="0.4">
      <c r="F891" s="1">
        <v>48458</v>
      </c>
      <c r="H891" s="16">
        <f t="shared" si="72"/>
        <v>448.48119475947999</v>
      </c>
      <c r="I891">
        <f t="shared" si="73"/>
        <v>9</v>
      </c>
      <c r="J891" s="16" cm="1">
        <f t="array" ref="J891">INDEX(Sm,I891)</f>
        <v>-3.188494698714738</v>
      </c>
      <c r="K891" s="16">
        <f t="shared" si="74"/>
        <v>445.29270006076524</v>
      </c>
    </row>
    <row r="892" spans="6:11" x14ac:dyDescent="0.4">
      <c r="F892" s="1">
        <v>48488</v>
      </c>
      <c r="H892" s="16">
        <f t="shared" si="72"/>
        <v>448.74009257677153</v>
      </c>
      <c r="I892">
        <f t="shared" si="73"/>
        <v>10</v>
      </c>
      <c r="J892" s="16" cm="1">
        <f t="array" ref="J892">INDEX(Sm,I892)</f>
        <v>-3.3139186770794531</v>
      </c>
      <c r="K892" s="16">
        <f t="shared" si="74"/>
        <v>445.42617389969206</v>
      </c>
    </row>
    <row r="893" spans="6:11" x14ac:dyDescent="0.4">
      <c r="F893" s="1">
        <v>48519</v>
      </c>
      <c r="H893" s="16">
        <f t="shared" si="72"/>
        <v>449.0079908638312</v>
      </c>
      <c r="I893">
        <f t="shared" si="73"/>
        <v>11</v>
      </c>
      <c r="J893" s="16" cm="1">
        <f t="array" ref="J893">INDEX(Sm,I893)</f>
        <v>-2.0555969925100759</v>
      </c>
      <c r="K893" s="16">
        <f t="shared" si="74"/>
        <v>446.95239387132114</v>
      </c>
    </row>
    <row r="894" spans="6:11" x14ac:dyDescent="0.4">
      <c r="F894" s="1">
        <v>48549</v>
      </c>
      <c r="H894" s="16">
        <f t="shared" si="72"/>
        <v>449.26760635415405</v>
      </c>
      <c r="I894">
        <f t="shared" si="73"/>
        <v>12</v>
      </c>
      <c r="J894" s="16" cm="1">
        <f t="array" ref="J894">INDEX(Sm,I894)</f>
        <v>-0.88675924001340456</v>
      </c>
      <c r="K894" s="16">
        <f t="shared" si="74"/>
        <v>448.38084711414064</v>
      </c>
    </row>
    <row r="895" spans="6:11" x14ac:dyDescent="0.4">
      <c r="F895" s="1">
        <v>48580</v>
      </c>
      <c r="H895" s="16">
        <f t="shared" si="72"/>
        <v>449.53624726383504</v>
      </c>
      <c r="I895">
        <f t="shared" si="73"/>
        <v>1</v>
      </c>
      <c r="J895" s="16" cm="1">
        <f t="array" ref="J895">INDEX(Sm,I895)</f>
        <v>-3.5406241068958691E-2</v>
      </c>
      <c r="K895" s="16">
        <f t="shared" si="74"/>
        <v>449.50084102276605</v>
      </c>
    </row>
    <row r="896" spans="6:11" x14ac:dyDescent="0.4">
      <c r="F896" s="1">
        <v>48611</v>
      </c>
      <c r="H896" s="16">
        <f t="shared" si="72"/>
        <v>449.80526636044715</v>
      </c>
      <c r="I896">
        <f t="shared" si="73"/>
        <v>2</v>
      </c>
      <c r="J896" s="16" cm="1">
        <f t="array" ref="J896">INDEX(Sm,I896)</f>
        <v>0.68063113884422577</v>
      </c>
      <c r="K896" s="16">
        <f t="shared" si="74"/>
        <v>450.48589749929135</v>
      </c>
    </row>
    <row r="897" spans="6:11" x14ac:dyDescent="0.4">
      <c r="F897" s="1">
        <v>48639</v>
      </c>
      <c r="H897" s="16">
        <f t="shared" si="72"/>
        <v>450.04857685350555</v>
      </c>
      <c r="I897">
        <f t="shared" si="73"/>
        <v>3</v>
      </c>
      <c r="J897" s="16" cm="1">
        <f t="array" ref="J897">INDEX(Sm,I897)</f>
        <v>1.3939471632320417</v>
      </c>
      <c r="K897" s="16">
        <f t="shared" si="74"/>
        <v>451.44252401673759</v>
      </c>
    </row>
    <row r="898" spans="6:11" x14ac:dyDescent="0.4">
      <c r="F898" s="1">
        <v>48670</v>
      </c>
      <c r="H898" s="16">
        <f t="shared" si="72"/>
        <v>450.31831719676433</v>
      </c>
      <c r="I898">
        <f t="shared" si="73"/>
        <v>4</v>
      </c>
      <c r="J898" s="16" cm="1">
        <f t="array" ref="J898">INDEX(Sm,I898)</f>
        <v>2.6315659351379859</v>
      </c>
      <c r="K898" s="16">
        <f t="shared" si="74"/>
        <v>452.94988313190231</v>
      </c>
    </row>
    <row r="899" spans="6:11" x14ac:dyDescent="0.4">
      <c r="F899" s="1">
        <v>48700</v>
      </c>
      <c r="H899" s="16">
        <f t="shared" si="72"/>
        <v>450.57971779116014</v>
      </c>
      <c r="I899">
        <f t="shared" si="73"/>
        <v>5</v>
      </c>
      <c r="J899" s="16" cm="1">
        <f t="array" ref="J899">INDEX(Sm,I899)</f>
        <v>3.0968597809913625</v>
      </c>
      <c r="K899" s="16">
        <f t="shared" si="74"/>
        <v>453.67657757215147</v>
      </c>
    </row>
    <row r="900" spans="6:11" x14ac:dyDescent="0.4">
      <c r="F900" s="1">
        <v>48731</v>
      </c>
      <c r="H900" s="16">
        <f t="shared" si="72"/>
        <v>450.85020586327914</v>
      </c>
      <c r="I900">
        <f t="shared" si="73"/>
        <v>6</v>
      </c>
      <c r="J900" s="16" cm="1">
        <f t="array" ref="J900">INDEX(Sm,I900)</f>
        <v>2.3186578027685911</v>
      </c>
      <c r="K900" s="16">
        <f t="shared" si="74"/>
        <v>453.16886366604774</v>
      </c>
    </row>
    <row r="901" spans="6:11" x14ac:dyDescent="0.4">
      <c r="F901" s="1">
        <v>48761</v>
      </c>
      <c r="H901" s="16">
        <f t="shared" si="72"/>
        <v>451.11233106848454</v>
      </c>
      <c r="I901">
        <f t="shared" si="73"/>
        <v>7</v>
      </c>
      <c r="J901" s="16" cm="1">
        <f t="array" ref="J901">INDEX(Sm,I901)</f>
        <v>0.74380149245581328</v>
      </c>
      <c r="K901" s="16">
        <f t="shared" si="74"/>
        <v>451.85613256094035</v>
      </c>
    </row>
    <row r="902" spans="6:11" x14ac:dyDescent="0.4">
      <c r="F902" s="1">
        <v>48792</v>
      </c>
      <c r="H902" s="16">
        <f t="shared" si="72"/>
        <v>451.38356894219186</v>
      </c>
      <c r="I902">
        <f t="shared" si="73"/>
        <v>8</v>
      </c>
      <c r="J902" s="16" cm="1">
        <f t="array" ref="J902">INDEX(Sm,I902)</f>
        <v>-1.3852874640433905</v>
      </c>
      <c r="K902" s="16">
        <f t="shared" si="74"/>
        <v>449.99828147814844</v>
      </c>
    </row>
    <row r="903" spans="6:11" x14ac:dyDescent="0.4">
      <c r="F903" s="1">
        <v>48823</v>
      </c>
      <c r="H903" s="16">
        <f t="shared" si="72"/>
        <v>451.65518865878079</v>
      </c>
      <c r="I903">
        <f t="shared" si="73"/>
        <v>9</v>
      </c>
      <c r="J903" s="16" cm="1">
        <f t="array" ref="J903">INDEX(Sm,I903)</f>
        <v>-3.188494698714738</v>
      </c>
      <c r="K903" s="16">
        <f t="shared" si="74"/>
        <v>448.46669396006604</v>
      </c>
    </row>
    <row r="904" spans="6:11" x14ac:dyDescent="0.4">
      <c r="F904" s="1">
        <v>48853</v>
      </c>
      <c r="H904" s="16">
        <f t="shared" si="72"/>
        <v>451.91841052062102</v>
      </c>
      <c r="I904">
        <f t="shared" si="73"/>
        <v>10</v>
      </c>
      <c r="J904" s="16" cm="1">
        <f t="array" ref="J904">INDEX(Sm,I904)</f>
        <v>-3.3139186770794531</v>
      </c>
      <c r="K904" s="16">
        <f t="shared" si="74"/>
        <v>448.60449184354155</v>
      </c>
    </row>
    <row r="905" spans="6:11" x14ac:dyDescent="0.4">
      <c r="F905" s="1">
        <v>48884</v>
      </c>
      <c r="H905" s="16">
        <f t="shared" si="72"/>
        <v>452.19078317575327</v>
      </c>
      <c r="I905">
        <f t="shared" si="73"/>
        <v>11</v>
      </c>
      <c r="J905" s="16" cm="1">
        <f t="array" ref="J905">INDEX(Sm,I905)</f>
        <v>-2.0555969925100759</v>
      </c>
      <c r="K905" s="16">
        <f t="shared" si="74"/>
        <v>450.13518618324321</v>
      </c>
    </row>
    <row r="906" spans="6:11" x14ac:dyDescent="0.4">
      <c r="F906" s="1">
        <v>48914</v>
      </c>
      <c r="H906" s="16">
        <f t="shared" si="72"/>
        <v>452.45473469701471</v>
      </c>
      <c r="I906">
        <f t="shared" si="73"/>
        <v>12</v>
      </c>
      <c r="J906" s="16" cm="1">
        <f t="array" ref="J906">INDEX(Sm,I906)</f>
        <v>-0.88675924001340456</v>
      </c>
      <c r="K906" s="16">
        <f t="shared" si="74"/>
        <v>451.5679754570013</v>
      </c>
    </row>
    <row r="907" spans="6:11" x14ac:dyDescent="0.4">
      <c r="F907" s="1">
        <v>48945</v>
      </c>
      <c r="H907" s="16">
        <f t="shared" si="72"/>
        <v>452.72786237785994</v>
      </c>
      <c r="I907">
        <f t="shared" si="73"/>
        <v>1</v>
      </c>
      <c r="J907" s="16" cm="1">
        <f t="array" ref="J907">INDEX(Sm,I907)</f>
        <v>-3.5406241068958691E-2</v>
      </c>
      <c r="K907" s="16">
        <f t="shared" si="74"/>
        <v>452.69245613679095</v>
      </c>
    </row>
    <row r="908" spans="6:11" x14ac:dyDescent="0.4">
      <c r="F908" s="1">
        <v>48976</v>
      </c>
      <c r="H908" s="16">
        <f t="shared" si="72"/>
        <v>453.00137456201662</v>
      </c>
      <c r="I908">
        <f t="shared" si="73"/>
        <v>2</v>
      </c>
      <c r="J908" s="16" cm="1">
        <f t="array" ref="J908">INDEX(Sm,I908)</f>
        <v>0.68063113884422577</v>
      </c>
      <c r="K908" s="16">
        <f t="shared" si="74"/>
        <v>453.68200570086083</v>
      </c>
    </row>
    <row r="909" spans="6:11" x14ac:dyDescent="0.4">
      <c r="F909" s="1">
        <v>49004</v>
      </c>
      <c r="H909" s="16">
        <f t="shared" si="72"/>
        <v>453.24874876415595</v>
      </c>
      <c r="I909">
        <f t="shared" si="73"/>
        <v>3</v>
      </c>
      <c r="J909" s="16" cm="1">
        <f t="array" ref="J909">INDEX(Sm,I909)</f>
        <v>1.3939471632320417</v>
      </c>
      <c r="K909" s="16">
        <f t="shared" si="74"/>
        <v>454.64269592738799</v>
      </c>
    </row>
    <row r="910" spans="6:11" x14ac:dyDescent="0.4">
      <c r="F910" s="1">
        <v>49035</v>
      </c>
      <c r="H910" s="16">
        <f t="shared" si="72"/>
        <v>453.52299424103461</v>
      </c>
      <c r="I910">
        <f t="shared" si="73"/>
        <v>4</v>
      </c>
      <c r="J910" s="16" cm="1">
        <f t="array" ref="J910">INDEX(Sm,I910)</f>
        <v>2.6315659351379859</v>
      </c>
      <c r="K910" s="16">
        <f t="shared" si="74"/>
        <v>456.15456017617259</v>
      </c>
    </row>
    <row r="911" spans="6:11" x14ac:dyDescent="0.4">
      <c r="F911" s="1">
        <v>49065</v>
      </c>
      <c r="H911" s="16">
        <f t="shared" si="72"/>
        <v>453.78876068071679</v>
      </c>
      <c r="I911">
        <f t="shared" si="73"/>
        <v>5</v>
      </c>
      <c r="J911" s="16" cm="1">
        <f t="array" ref="J911">INDEX(Sm,I911)</f>
        <v>3.0968597809913625</v>
      </c>
      <c r="K911" s="16">
        <f t="shared" si="74"/>
        <v>456.88562046170813</v>
      </c>
    </row>
    <row r="912" spans="6:11" x14ac:dyDescent="0.4">
      <c r="F912" s="1">
        <v>49096</v>
      </c>
      <c r="H912" s="16">
        <f t="shared" si="72"/>
        <v>454.06376637483015</v>
      </c>
      <c r="I912">
        <f t="shared" si="73"/>
        <v>6</v>
      </c>
      <c r="J912" s="16" cm="1">
        <f t="array" ref="J912">INDEX(Sm,I912)</f>
        <v>2.3186578027685911</v>
      </c>
      <c r="K912" s="16">
        <f t="shared" si="74"/>
        <v>456.38242417759875</v>
      </c>
    </row>
    <row r="913" spans="6:11" x14ac:dyDescent="0.4">
      <c r="F913" s="1">
        <v>49126</v>
      </c>
      <c r="H913" s="16">
        <f t="shared" si="72"/>
        <v>454.33026952758462</v>
      </c>
      <c r="I913">
        <f t="shared" si="73"/>
        <v>7</v>
      </c>
      <c r="J913" s="16" cm="1">
        <f t="array" ref="J913">INDEX(Sm,I913)</f>
        <v>0.74380149245581328</v>
      </c>
      <c r="K913" s="16">
        <f t="shared" si="74"/>
        <v>455.07407102004044</v>
      </c>
    </row>
    <row r="914" spans="6:11" x14ac:dyDescent="0.4">
      <c r="F914" s="1">
        <v>49157</v>
      </c>
      <c r="H914" s="16">
        <f t="shared" si="72"/>
        <v>454.60603754627925</v>
      </c>
      <c r="I914">
        <f t="shared" si="73"/>
        <v>8</v>
      </c>
      <c r="J914" s="16" cm="1">
        <f t="array" ref="J914">INDEX(Sm,I914)</f>
        <v>-1.3852874640433905</v>
      </c>
      <c r="K914" s="16">
        <f t="shared" si="74"/>
        <v>453.22075008223584</v>
      </c>
    </row>
    <row r="915" spans="6:11" x14ac:dyDescent="0.4">
      <c r="F915" s="1">
        <v>49188</v>
      </c>
      <c r="H915" s="16">
        <f t="shared" si="72"/>
        <v>454.88219378529664</v>
      </c>
      <c r="I915">
        <f t="shared" si="73"/>
        <v>9</v>
      </c>
      <c r="J915" s="16" cm="1">
        <f t="array" ref="J915">INDEX(Sm,I915)</f>
        <v>-3.188494698714738</v>
      </c>
      <c r="K915" s="16">
        <f t="shared" si="74"/>
        <v>451.69369908658189</v>
      </c>
    </row>
    <row r="916" spans="6:11" x14ac:dyDescent="0.4">
      <c r="F916" s="1">
        <v>49218</v>
      </c>
      <c r="H916" s="16">
        <f t="shared" si="72"/>
        <v>455.14981191076208</v>
      </c>
      <c r="I916">
        <f t="shared" si="73"/>
        <v>10</v>
      </c>
      <c r="J916" s="16" cm="1">
        <f t="array" ref="J916">INDEX(Sm,I916)</f>
        <v>-3.3139186770794531</v>
      </c>
      <c r="K916" s="16">
        <f t="shared" si="74"/>
        <v>451.83589323368261</v>
      </c>
    </row>
    <row r="917" spans="6:11" x14ac:dyDescent="0.4">
      <c r="F917" s="1">
        <v>49249</v>
      </c>
      <c r="H917" s="16">
        <f t="shared" si="72"/>
        <v>455.42673366370798</v>
      </c>
      <c r="I917">
        <f t="shared" si="73"/>
        <v>11</v>
      </c>
      <c r="J917" s="16" cm="1">
        <f t="array" ref="J917">INDEX(Sm,I917)</f>
        <v>-2.0555969925100759</v>
      </c>
      <c r="K917" s="16">
        <f t="shared" si="74"/>
        <v>453.37113667119792</v>
      </c>
    </row>
    <row r="918" spans="6:11" x14ac:dyDescent="0.4">
      <c r="F918" s="1">
        <v>49279</v>
      </c>
      <c r="H918" s="16">
        <f t="shared" si="72"/>
        <v>455.69509363517813</v>
      </c>
      <c r="I918">
        <f t="shared" si="73"/>
        <v>12</v>
      </c>
      <c r="J918" s="16" cm="1">
        <f t="array" ref="J918">INDEX(Sm,I918)</f>
        <v>-0.88675924001340456</v>
      </c>
      <c r="K918" s="16">
        <f t="shared" si="74"/>
        <v>454.80833439516471</v>
      </c>
    </row>
    <row r="919" spans="6:11" x14ac:dyDescent="0.4">
      <c r="F919" s="1">
        <v>49310</v>
      </c>
      <c r="H919" s="16">
        <f t="shared" si="72"/>
        <v>455.97278302408165</v>
      </c>
      <c r="I919">
        <f t="shared" si="73"/>
        <v>1</v>
      </c>
      <c r="J919" s="16" cm="1">
        <f t="array" ref="J919">INDEX(Sm,I919)</f>
        <v>-3.5406241068958691E-2</v>
      </c>
      <c r="K919" s="16">
        <f t="shared" si="74"/>
        <v>455.93737678301267</v>
      </c>
    </row>
    <row r="920" spans="6:11" x14ac:dyDescent="0.4">
      <c r="F920" s="1">
        <v>49341</v>
      </c>
      <c r="H920" s="16">
        <f t="shared" si="72"/>
        <v>456.25086333817205</v>
      </c>
      <c r="I920">
        <f t="shared" si="73"/>
        <v>2</v>
      </c>
      <c r="J920" s="16" cm="1">
        <f t="array" ref="J920">INDEX(Sm,I920)</f>
        <v>0.68063113884422577</v>
      </c>
      <c r="K920" s="16">
        <f t="shared" si="74"/>
        <v>456.93149447701626</v>
      </c>
    </row>
    <row r="921" spans="6:11" x14ac:dyDescent="0.4">
      <c r="F921" s="1">
        <v>49369</v>
      </c>
      <c r="H921" s="16">
        <f t="shared" si="72"/>
        <v>456.50236912041294</v>
      </c>
      <c r="I921">
        <f t="shared" si="73"/>
        <v>3</v>
      </c>
      <c r="J921" s="16" cm="1">
        <f t="array" ref="J921">INDEX(Sm,I921)</f>
        <v>1.3939471632320417</v>
      </c>
      <c r="K921" s="16">
        <f t="shared" si="74"/>
        <v>457.89631628364498</v>
      </c>
    </row>
    <row r="922" spans="6:11" x14ac:dyDescent="0.4">
      <c r="F922" s="1">
        <v>49400</v>
      </c>
      <c r="H922" s="16">
        <f t="shared" si="72"/>
        <v>456.78119497449097</v>
      </c>
      <c r="I922">
        <f t="shared" si="73"/>
        <v>4</v>
      </c>
      <c r="J922" s="16" cm="1">
        <f t="array" ref="J922">INDEX(Sm,I922)</f>
        <v>2.6315659351379859</v>
      </c>
      <c r="K922" s="16">
        <f t="shared" si="74"/>
        <v>459.41276090962896</v>
      </c>
    </row>
    <row r="923" spans="6:11" x14ac:dyDescent="0.4">
      <c r="F923" s="1">
        <v>49430</v>
      </c>
      <c r="H923" s="16">
        <f t="shared" si="72"/>
        <v>457.05140017668077</v>
      </c>
      <c r="I923">
        <f t="shared" si="73"/>
        <v>5</v>
      </c>
      <c r="J923" s="16" cm="1">
        <f t="array" ref="J923">INDEX(Sm,I923)</f>
        <v>3.0968597809913625</v>
      </c>
      <c r="K923" s="16">
        <f t="shared" si="74"/>
        <v>460.14825995767211</v>
      </c>
    </row>
    <row r="924" spans="6:11" x14ac:dyDescent="0.4">
      <c r="F924" s="1">
        <v>49461</v>
      </c>
      <c r="H924" s="16">
        <f t="shared" si="72"/>
        <v>457.33099894494569</v>
      </c>
      <c r="I924">
        <f t="shared" si="73"/>
        <v>6</v>
      </c>
      <c r="J924" s="16" cm="1">
        <f t="array" ref="J924">INDEX(Sm,I924)</f>
        <v>2.3186578027685911</v>
      </c>
      <c r="K924" s="16">
        <f t="shared" si="74"/>
        <v>459.64965674771429</v>
      </c>
    </row>
    <row r="925" spans="6:11" x14ac:dyDescent="0.4">
      <c r="F925" s="1">
        <v>49491</v>
      </c>
      <c r="H925" s="16">
        <f t="shared" si="72"/>
        <v>457.60195316459965</v>
      </c>
      <c r="I925">
        <f t="shared" si="73"/>
        <v>7</v>
      </c>
      <c r="J925" s="16" cm="1">
        <f t="array" ref="J925">INDEX(Sm,I925)</f>
        <v>0.74380149245581328</v>
      </c>
      <c r="K925" s="16">
        <f t="shared" si="74"/>
        <v>458.34575465705547</v>
      </c>
    </row>
    <row r="926" spans="6:11" x14ac:dyDescent="0.4">
      <c r="F926" s="1">
        <v>49522</v>
      </c>
      <c r="H926" s="16">
        <f t="shared" si="72"/>
        <v>457.88232698959422</v>
      </c>
      <c r="I926">
        <f t="shared" si="73"/>
        <v>8</v>
      </c>
      <c r="J926" s="16" cm="1">
        <f t="array" ref="J926">INDEX(Sm,I926)</f>
        <v>-1.3852874640433905</v>
      </c>
      <c r="K926" s="16">
        <f t="shared" si="74"/>
        <v>456.4970395255508</v>
      </c>
    </row>
    <row r="927" spans="6:11" x14ac:dyDescent="0.4">
      <c r="F927" s="1">
        <v>49553</v>
      </c>
      <c r="H927" s="16">
        <f t="shared" si="72"/>
        <v>458.16309551886752</v>
      </c>
      <c r="I927">
        <f t="shared" si="73"/>
        <v>9</v>
      </c>
      <c r="J927" s="16" cm="1">
        <f t="array" ref="J927">INDEX(Sm,I927)</f>
        <v>-3.188494698714738</v>
      </c>
      <c r="K927" s="16">
        <f t="shared" si="74"/>
        <v>454.97460082015277</v>
      </c>
    </row>
    <row r="928" spans="6:11" x14ac:dyDescent="0.4">
      <c r="F928" s="1">
        <v>49583</v>
      </c>
      <c r="H928" s="16">
        <f t="shared" si="72"/>
        <v>458.4351833332189</v>
      </c>
      <c r="I928">
        <f t="shared" si="73"/>
        <v>10</v>
      </c>
      <c r="J928" s="16" cm="1">
        <f t="array" ref="J928">INDEX(Sm,I928)</f>
        <v>-3.3139186770794531</v>
      </c>
      <c r="K928" s="16">
        <f t="shared" si="74"/>
        <v>455.12126465613943</v>
      </c>
    </row>
    <row r="929" spans="6:11" x14ac:dyDescent="0.4">
      <c r="F929" s="1">
        <v>49614</v>
      </c>
      <c r="H929" s="16">
        <f t="shared" si="72"/>
        <v>458.71673016183661</v>
      </c>
      <c r="I929">
        <f t="shared" si="73"/>
        <v>11</v>
      </c>
      <c r="J929" s="16" cm="1">
        <f t="array" ref="J929">INDEX(Sm,I929)</f>
        <v>-2.0555969925100759</v>
      </c>
      <c r="K929" s="16">
        <f t="shared" si="74"/>
        <v>456.66113316932655</v>
      </c>
    </row>
    <row r="930" spans="6:11" x14ac:dyDescent="0.4">
      <c r="F930" s="1">
        <v>49644</v>
      </c>
      <c r="H930" s="16">
        <f t="shared" si="72"/>
        <v>458.98957221231319</v>
      </c>
      <c r="I930">
        <f t="shared" si="73"/>
        <v>12</v>
      </c>
      <c r="J930" s="16" cm="1">
        <f t="array" ref="J930">INDEX(Sm,I930)</f>
        <v>-0.88675924001340456</v>
      </c>
      <c r="K930" s="16">
        <f t="shared" si="74"/>
        <v>458.10281297229977</v>
      </c>
    </row>
    <row r="931" spans="6:11" x14ac:dyDescent="0.4">
      <c r="F931" s="1">
        <v>49675</v>
      </c>
      <c r="H931" s="16">
        <f t="shared" si="72"/>
        <v>459.27189949774618</v>
      </c>
      <c r="I931">
        <f t="shared" si="73"/>
        <v>1</v>
      </c>
      <c r="J931" s="16" cm="1">
        <f t="array" ref="J931">INDEX(Sm,I931)</f>
        <v>-3.5406241068958691E-2</v>
      </c>
      <c r="K931" s="16">
        <f t="shared" si="74"/>
        <v>459.23649325667719</v>
      </c>
    </row>
    <row r="932" spans="6:11" x14ac:dyDescent="0.4">
      <c r="F932" s="1">
        <v>49706</v>
      </c>
      <c r="H932" s="16">
        <f t="shared" si="72"/>
        <v>459.55462423749782</v>
      </c>
      <c r="I932">
        <f t="shared" si="73"/>
        <v>2</v>
      </c>
      <c r="J932" s="16" cm="1">
        <f t="array" ref="J932">INDEX(Sm,I932)</f>
        <v>0.68063113884422577</v>
      </c>
      <c r="K932" s="16">
        <f t="shared" si="74"/>
        <v>460.23525537634202</v>
      </c>
    </row>
    <row r="933" spans="6:11" x14ac:dyDescent="0.4">
      <c r="F933" s="1">
        <v>49735</v>
      </c>
      <c r="H933" s="16">
        <f t="shared" si="72"/>
        <v>459.81946898526382</v>
      </c>
      <c r="I933">
        <f t="shared" si="73"/>
        <v>3</v>
      </c>
      <c r="J933" s="16" cm="1">
        <f t="array" ref="J933">INDEX(Sm,I933)</f>
        <v>1.3939471632320417</v>
      </c>
      <c r="K933" s="16">
        <f t="shared" si="74"/>
        <v>461.21341614849587</v>
      </c>
    </row>
    <row r="934" spans="6:11" x14ac:dyDescent="0.4">
      <c r="F934" s="1">
        <v>49766</v>
      </c>
      <c r="H934" s="16">
        <f t="shared" si="72"/>
        <v>460.10296458163702</v>
      </c>
      <c r="I934">
        <f t="shared" si="73"/>
        <v>4</v>
      </c>
      <c r="J934" s="16" cm="1">
        <f t="array" ref="J934">INDEX(Sm,I934)</f>
        <v>2.6315659351379859</v>
      </c>
      <c r="K934" s="16">
        <f t="shared" si="74"/>
        <v>462.73453051677501</v>
      </c>
    </row>
    <row r="935" spans="6:11" x14ac:dyDescent="0.4">
      <c r="F935" s="1">
        <v>49796</v>
      </c>
      <c r="H935" s="16">
        <f t="shared" ref="H935:H942" si="75">EXP(_A*F935+_B)+_C</f>
        <v>460.37769514846752</v>
      </c>
      <c r="I935">
        <f t="shared" ref="I935:I942" si="76">MONTH(F935)</f>
        <v>5</v>
      </c>
      <c r="J935" s="16" cm="1">
        <f t="array" ref="J935">INDEX(Sm,I935)</f>
        <v>3.0968597809913625</v>
      </c>
      <c r="K935" s="16">
        <f t="shared" ref="K935:K942" si="77">H935+J935</f>
        <v>463.47455492945886</v>
      </c>
    </row>
    <row r="936" spans="6:11" x14ac:dyDescent="0.4">
      <c r="F936" s="1">
        <v>49827</v>
      </c>
      <c r="H936" s="16">
        <f t="shared" si="75"/>
        <v>460.66197660370239</v>
      </c>
      <c r="I936">
        <f t="shared" si="76"/>
        <v>6</v>
      </c>
      <c r="J936" s="16" cm="1">
        <f t="array" ref="J936">INDEX(Sm,I936)</f>
        <v>2.3186578027685911</v>
      </c>
      <c r="K936" s="16">
        <f t="shared" si="77"/>
        <v>462.98063440647098</v>
      </c>
    </row>
    <row r="937" spans="6:11" x14ac:dyDescent="0.4">
      <c r="F937" s="1">
        <v>49857</v>
      </c>
      <c r="H937" s="16">
        <f t="shared" si="75"/>
        <v>460.93746873245243</v>
      </c>
      <c r="I937">
        <f t="shared" si="76"/>
        <v>7</v>
      </c>
      <c r="J937" s="16" cm="1">
        <f t="array" ref="J937">INDEX(Sm,I937)</f>
        <v>0.74380149245581328</v>
      </c>
      <c r="K937" s="16">
        <f t="shared" si="77"/>
        <v>461.68127022490825</v>
      </c>
    </row>
    <row r="938" spans="6:11" x14ac:dyDescent="0.4">
      <c r="F938" s="1">
        <v>49888</v>
      </c>
      <c r="H938" s="16">
        <f t="shared" si="75"/>
        <v>461.22253822497504</v>
      </c>
      <c r="I938">
        <f t="shared" si="76"/>
        <v>8</v>
      </c>
      <c r="J938" s="16" cm="1">
        <f t="array" ref="J938">INDEX(Sm,I938)</f>
        <v>-1.3852874640433905</v>
      </c>
      <c r="K938" s="16">
        <f t="shared" si="77"/>
        <v>459.83725076093162</v>
      </c>
    </row>
    <row r="939" spans="6:11" x14ac:dyDescent="0.4">
      <c r="F939" s="1">
        <v>49919</v>
      </c>
      <c r="H939" s="16">
        <f t="shared" si="75"/>
        <v>461.50800903223671</v>
      </c>
      <c r="I939">
        <f t="shared" si="76"/>
        <v>9</v>
      </c>
      <c r="J939" s="16" cm="1">
        <f t="array" ref="J939">INDEX(Sm,I939)</f>
        <v>-3.188494698714738</v>
      </c>
      <c r="K939" s="16">
        <f t="shared" si="77"/>
        <v>458.31951433352197</v>
      </c>
    </row>
    <row r="940" spans="6:11" x14ac:dyDescent="0.4">
      <c r="F940" s="1">
        <v>49949</v>
      </c>
      <c r="H940" s="16">
        <f t="shared" si="75"/>
        <v>461.7846537409938</v>
      </c>
      <c r="I940">
        <f t="shared" si="76"/>
        <v>10</v>
      </c>
      <c r="J940" s="16" cm="1">
        <f t="array" ref="J940">INDEX(Sm,I940)</f>
        <v>-3.3139186770794531</v>
      </c>
      <c r="K940" s="16">
        <f t="shared" si="77"/>
        <v>458.47073506391433</v>
      </c>
    </row>
    <row r="941" spans="6:11" x14ac:dyDescent="0.4">
      <c r="F941" s="1">
        <v>49980</v>
      </c>
      <c r="H941" s="16">
        <f t="shared" si="75"/>
        <v>462.0709158824651</v>
      </c>
      <c r="I941">
        <f t="shared" si="76"/>
        <v>11</v>
      </c>
      <c r="J941" s="16" cm="1">
        <f t="array" ref="J941">INDEX(Sm,I941)</f>
        <v>-2.0555969925100759</v>
      </c>
      <c r="K941" s="16">
        <f t="shared" si="77"/>
        <v>460.01531888995504</v>
      </c>
    </row>
    <row r="942" spans="6:11" x14ac:dyDescent="0.4">
      <c r="F942" s="1">
        <v>50010</v>
      </c>
      <c r="H942" s="16">
        <f t="shared" si="75"/>
        <v>462.34832745920437</v>
      </c>
      <c r="I942">
        <f t="shared" si="76"/>
        <v>12</v>
      </c>
      <c r="J942" s="16" cm="1">
        <f t="array" ref="J942">INDEX(Sm,I942)</f>
        <v>-0.88675924001340456</v>
      </c>
      <c r="K942" s="16">
        <f t="shared" si="77"/>
        <v>461.46156821919095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5" baseType="lpstr">
      <vt:lpstr>Sheet1</vt:lpstr>
      <vt:lpstr>co2</vt:lpstr>
      <vt:lpstr>2次多項式モデル</vt:lpstr>
      <vt:lpstr>指数+定数モデル</vt:lpstr>
      <vt:lpstr>グラフ9</vt:lpstr>
      <vt:lpstr>グラフ1</vt:lpstr>
      <vt:lpstr>グラフ2</vt:lpstr>
      <vt:lpstr>グラフ3</vt:lpstr>
      <vt:lpstr>グラフ4</vt:lpstr>
      <vt:lpstr>グラフ5</vt:lpstr>
      <vt:lpstr>グラフ6</vt:lpstr>
      <vt:lpstr>グラフ7</vt:lpstr>
      <vt:lpstr>グラフ8</vt:lpstr>
      <vt:lpstr>'2次多項式モデル'!_A</vt:lpstr>
      <vt:lpstr>_A</vt:lpstr>
      <vt:lpstr>'2次多項式モデル'!_B</vt:lpstr>
      <vt:lpstr>_B</vt:lpstr>
      <vt:lpstr>'2次多項式モデル'!_C</vt:lpstr>
      <vt:lpstr>_C</vt:lpstr>
      <vt:lpstr>'2次多項式モデル'!Err</vt:lpstr>
      <vt:lpstr>Err</vt:lpstr>
      <vt:lpstr>'2次多項式モデル'!Sm</vt:lpstr>
      <vt:lpstr>Sm</vt:lpstr>
      <vt:lpstr>'2次多項式モデル'!Sm_ave</vt:lpstr>
      <vt:lpstr>Sm_ave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2022-11-14T02:52:08Z</dcterms:modified>
</cp:coreProperties>
</file>