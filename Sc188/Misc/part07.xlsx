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0B228DC3-7886-439A-B491-514AFAFA9D91}" xr6:coauthVersionLast="47" xr6:coauthVersionMax="47" xr10:uidLastSave="{00000000-0000-0000-0000-000000000000}"/>
  <bookViews>
    <workbookView xWindow="780" yWindow="0" windowWidth="24135" windowHeight="16200" activeTab="1" xr2:uid="{024D5B3C-FCA5-4E61-AF03-CE792B539281}"/>
  </bookViews>
  <sheets>
    <sheet name="誕生日グラフ" sheetId="3" r:id="rId1"/>
    <sheet name="誕生日" sheetId="1" r:id="rId2"/>
    <sheet name="スターリング数" sheetId="5" r:id="rId3"/>
    <sheet name="グラフ4" sheetId="7" r:id="rId4"/>
    <sheet name="クーポン収集問題-確率分布" sheetId="4" r:id="rId5"/>
    <sheet name="クーポン収集問題" sheetId="8" r:id="rId6"/>
    <sheet name="Φ(x)" sheetId="9" r:id="rId7"/>
  </sheets>
  <definedNames>
    <definedName name="k" localSheetId="5">クーポン収集問題!$B$7</definedName>
    <definedName name="k">'クーポン収集問題-確率分布'!#REF!</definedName>
    <definedName name="S">スターリング数!$A$8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D9" i="8"/>
  <c r="B9" i="8"/>
  <c r="A12" i="8"/>
  <c r="A13" i="8" s="1"/>
  <c r="A14" i="8" s="1"/>
  <c r="B11" i="8"/>
  <c r="D11" i="8" s="1"/>
  <c r="B10" i="8"/>
  <c r="D10" i="8" s="1"/>
  <c r="B11" i="4"/>
  <c r="D9" i="5"/>
  <c r="B10" i="4"/>
  <c r="B9" i="4"/>
  <c r="C7" i="5"/>
  <c r="D7" i="5" s="1"/>
  <c r="A12" i="4"/>
  <c r="C8" i="4"/>
  <c r="D8" i="4" s="1"/>
  <c r="D10" i="4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F9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10" i="1"/>
  <c r="B9" i="1"/>
  <c r="C9" i="1" s="1"/>
  <c r="F10" i="1" s="1"/>
  <c r="C10" i="8" l="1"/>
  <c r="C11" i="8" s="1"/>
  <c r="B12" i="8"/>
  <c r="B14" i="8"/>
  <c r="A15" i="8"/>
  <c r="B13" i="8"/>
  <c r="D11" i="4"/>
  <c r="C10" i="4"/>
  <c r="C9" i="5"/>
  <c r="B12" i="4"/>
  <c r="E7" i="5"/>
  <c r="E9" i="5" s="1"/>
  <c r="C9" i="4"/>
  <c r="D9" i="4"/>
  <c r="E8" i="4"/>
  <c r="E10" i="4" s="1"/>
  <c r="A13" i="4"/>
  <c r="D9" i="1"/>
  <c r="C10" i="1"/>
  <c r="D12" i="8" l="1"/>
  <c r="C12" i="8"/>
  <c r="C13" i="8" s="1"/>
  <c r="C14" i="8" s="1"/>
  <c r="D13" i="8"/>
  <c r="D14" i="8"/>
  <c r="A16" i="8"/>
  <c r="B15" i="8"/>
  <c r="B13" i="4"/>
  <c r="C11" i="4"/>
  <c r="D10" i="5"/>
  <c r="C10" i="5"/>
  <c r="E11" i="4"/>
  <c r="E10" i="5"/>
  <c r="F7" i="5"/>
  <c r="F9" i="5" s="1"/>
  <c r="E9" i="4"/>
  <c r="A14" i="4"/>
  <c r="F8" i="4"/>
  <c r="F10" i="4" s="1"/>
  <c r="C11" i="1"/>
  <c r="F12" i="1" s="1"/>
  <c r="F11" i="1"/>
  <c r="D10" i="1"/>
  <c r="D15" i="8" l="1"/>
  <c r="C15" i="8"/>
  <c r="B16" i="8"/>
  <c r="A17" i="8"/>
  <c r="F11" i="4"/>
  <c r="E11" i="5"/>
  <c r="D12" i="4"/>
  <c r="F10" i="5"/>
  <c r="F11" i="5" s="1"/>
  <c r="D11" i="5"/>
  <c r="C11" i="5"/>
  <c r="C12" i="4"/>
  <c r="E12" i="4"/>
  <c r="B14" i="4"/>
  <c r="G7" i="5"/>
  <c r="G9" i="5" s="1"/>
  <c r="F9" i="4"/>
  <c r="G8" i="4"/>
  <c r="G10" i="4" s="1"/>
  <c r="A15" i="4"/>
  <c r="C12" i="1"/>
  <c r="D11" i="1"/>
  <c r="D16" i="8" l="1"/>
  <c r="C16" i="8"/>
  <c r="A18" i="8"/>
  <c r="B17" i="8"/>
  <c r="F13" i="4"/>
  <c r="B15" i="4"/>
  <c r="D12" i="5"/>
  <c r="C12" i="5"/>
  <c r="C13" i="4"/>
  <c r="F12" i="5"/>
  <c r="E13" i="4"/>
  <c r="E12" i="5"/>
  <c r="D13" i="4"/>
  <c r="G10" i="5"/>
  <c r="G11" i="4"/>
  <c r="F12" i="4"/>
  <c r="H7" i="5"/>
  <c r="H9" i="5" s="1"/>
  <c r="G9" i="4"/>
  <c r="A16" i="4"/>
  <c r="H8" i="4"/>
  <c r="H10" i="4" s="1"/>
  <c r="C13" i="1"/>
  <c r="F13" i="1"/>
  <c r="D12" i="1"/>
  <c r="D17" i="8" l="1"/>
  <c r="C17" i="8"/>
  <c r="B18" i="8"/>
  <c r="A19" i="8"/>
  <c r="E13" i="5"/>
  <c r="D14" i="4"/>
  <c r="H11" i="4"/>
  <c r="I10" i="5"/>
  <c r="G12" i="4"/>
  <c r="F14" i="4"/>
  <c r="G11" i="5"/>
  <c r="B16" i="4"/>
  <c r="H10" i="5"/>
  <c r="F13" i="5"/>
  <c r="E14" i="4"/>
  <c r="D13" i="5"/>
  <c r="C13" i="5"/>
  <c r="C14" i="4"/>
  <c r="I7" i="5"/>
  <c r="I9" i="5" s="1"/>
  <c r="H9" i="4"/>
  <c r="I8" i="4"/>
  <c r="I10" i="4" s="1"/>
  <c r="A17" i="4"/>
  <c r="F14" i="1"/>
  <c r="D13" i="1"/>
  <c r="C14" i="1"/>
  <c r="D18" i="8" l="1"/>
  <c r="C18" i="8"/>
  <c r="A20" i="8"/>
  <c r="B19" i="8"/>
  <c r="F15" i="4"/>
  <c r="I12" i="4"/>
  <c r="I11" i="4"/>
  <c r="C14" i="5"/>
  <c r="D14" i="5"/>
  <c r="C15" i="4"/>
  <c r="I11" i="5"/>
  <c r="H12" i="4"/>
  <c r="B17" i="4"/>
  <c r="E14" i="5"/>
  <c r="D15" i="4"/>
  <c r="H12" i="5"/>
  <c r="G13" i="4"/>
  <c r="G12" i="5"/>
  <c r="H11" i="5"/>
  <c r="F14" i="5"/>
  <c r="E15" i="4"/>
  <c r="J7" i="5"/>
  <c r="J9" i="5" s="1"/>
  <c r="I9" i="4"/>
  <c r="A18" i="4"/>
  <c r="J8" i="4"/>
  <c r="J10" i="4" s="1"/>
  <c r="F15" i="1"/>
  <c r="C15" i="1"/>
  <c r="D14" i="1"/>
  <c r="D19" i="8" l="1"/>
  <c r="C19" i="8"/>
  <c r="B20" i="8"/>
  <c r="A21" i="8"/>
  <c r="F16" i="4"/>
  <c r="H14" i="4"/>
  <c r="C15" i="5"/>
  <c r="D15" i="5"/>
  <c r="C16" i="4"/>
  <c r="I12" i="5"/>
  <c r="I13" i="5" s="1"/>
  <c r="H13" i="4"/>
  <c r="I13" i="4"/>
  <c r="J10" i="5"/>
  <c r="J11" i="5" s="1"/>
  <c r="E15" i="5"/>
  <c r="D16" i="4"/>
  <c r="J11" i="4"/>
  <c r="B18" i="4"/>
  <c r="H13" i="5"/>
  <c r="G14" i="4"/>
  <c r="G13" i="5"/>
  <c r="F15" i="5"/>
  <c r="E16" i="4"/>
  <c r="K7" i="5"/>
  <c r="K9" i="5" s="1"/>
  <c r="K10" i="5" s="1"/>
  <c r="J9" i="4"/>
  <c r="A19" i="4"/>
  <c r="F16" i="1"/>
  <c r="C16" i="1"/>
  <c r="D15" i="1"/>
  <c r="D20" i="8" l="1"/>
  <c r="C20" i="8"/>
  <c r="A22" i="8"/>
  <c r="B21" i="8"/>
  <c r="I15" i="4"/>
  <c r="F17" i="4"/>
  <c r="F16" i="5"/>
  <c r="E17" i="4"/>
  <c r="E16" i="5"/>
  <c r="D17" i="4"/>
  <c r="B19" i="4"/>
  <c r="J13" i="4"/>
  <c r="I14" i="5"/>
  <c r="H15" i="4"/>
  <c r="J12" i="5"/>
  <c r="H14" i="5"/>
  <c r="G15" i="4"/>
  <c r="G14" i="5"/>
  <c r="K11" i="5"/>
  <c r="K12" i="5" s="1"/>
  <c r="J12" i="4"/>
  <c r="I14" i="4"/>
  <c r="C16" i="5"/>
  <c r="D16" i="5"/>
  <c r="C17" i="4"/>
  <c r="A20" i="4"/>
  <c r="F17" i="1"/>
  <c r="D16" i="1"/>
  <c r="C17" i="1"/>
  <c r="D21" i="8" l="1"/>
  <c r="C21" i="8"/>
  <c r="B22" i="8"/>
  <c r="A23" i="8"/>
  <c r="I16" i="4"/>
  <c r="B20" i="4"/>
  <c r="E17" i="5"/>
  <c r="D18" i="4"/>
  <c r="I15" i="5"/>
  <c r="H16" i="4"/>
  <c r="F17" i="5"/>
  <c r="E18" i="4"/>
  <c r="C17" i="5"/>
  <c r="D17" i="5"/>
  <c r="C18" i="4"/>
  <c r="K13" i="5"/>
  <c r="J14" i="4"/>
  <c r="J13" i="5"/>
  <c r="H15" i="5"/>
  <c r="G16" i="4"/>
  <c r="G15" i="5"/>
  <c r="F18" i="4"/>
  <c r="A21" i="4"/>
  <c r="F18" i="1"/>
  <c r="D17" i="1"/>
  <c r="C18" i="1"/>
  <c r="D22" i="8" l="1"/>
  <c r="C22" i="8"/>
  <c r="A24" i="8"/>
  <c r="B23" i="8"/>
  <c r="I16" i="5"/>
  <c r="H17" i="4"/>
  <c r="F19" i="4"/>
  <c r="F18" i="5"/>
  <c r="E19" i="4"/>
  <c r="B21" i="4"/>
  <c r="J15" i="4"/>
  <c r="K14" i="5"/>
  <c r="J14" i="5"/>
  <c r="E18" i="5"/>
  <c r="D19" i="4"/>
  <c r="H16" i="5"/>
  <c r="G17" i="4"/>
  <c r="G16" i="5"/>
  <c r="C18" i="5"/>
  <c r="D18" i="5"/>
  <c r="C19" i="4"/>
  <c r="I17" i="4"/>
  <c r="A22" i="4"/>
  <c r="F19" i="1"/>
  <c r="D18" i="1"/>
  <c r="C19" i="1"/>
  <c r="D23" i="8" l="1"/>
  <c r="C23" i="8"/>
  <c r="B24" i="8"/>
  <c r="A25" i="8"/>
  <c r="C19" i="5"/>
  <c r="D19" i="5"/>
  <c r="C20" i="4"/>
  <c r="B22" i="4"/>
  <c r="H17" i="5"/>
  <c r="G18" i="4"/>
  <c r="G17" i="5"/>
  <c r="F19" i="5"/>
  <c r="E20" i="4"/>
  <c r="K15" i="5"/>
  <c r="J16" i="4"/>
  <c r="J15" i="5"/>
  <c r="E19" i="5"/>
  <c r="D20" i="4"/>
  <c r="I17" i="5"/>
  <c r="H18" i="4"/>
  <c r="F20" i="4"/>
  <c r="I18" i="4"/>
  <c r="A23" i="4"/>
  <c r="F20" i="1"/>
  <c r="C20" i="1"/>
  <c r="D19" i="1"/>
  <c r="D24" i="8" l="1"/>
  <c r="C24" i="8"/>
  <c r="A26" i="8"/>
  <c r="B25" i="8"/>
  <c r="B23" i="4"/>
  <c r="I19" i="4"/>
  <c r="H18" i="5"/>
  <c r="G19" i="4"/>
  <c r="G18" i="5"/>
  <c r="K16" i="5"/>
  <c r="J17" i="4"/>
  <c r="J16" i="5"/>
  <c r="E20" i="5"/>
  <c r="D21" i="4"/>
  <c r="F21" i="4"/>
  <c r="F20" i="5"/>
  <c r="E21" i="4"/>
  <c r="I18" i="5"/>
  <c r="H19" i="4"/>
  <c r="D20" i="5"/>
  <c r="C20" i="5"/>
  <c r="C21" i="4"/>
  <c r="A24" i="4"/>
  <c r="F21" i="1"/>
  <c r="C21" i="1"/>
  <c r="D20" i="1"/>
  <c r="D25" i="8" l="1"/>
  <c r="C25" i="8"/>
  <c r="A27" i="8"/>
  <c r="B26" i="8"/>
  <c r="I20" i="4"/>
  <c r="I19" i="5"/>
  <c r="H20" i="4"/>
  <c r="B24" i="4"/>
  <c r="D21" i="5"/>
  <c r="C21" i="5"/>
  <c r="C22" i="4"/>
  <c r="E21" i="5"/>
  <c r="D22" i="4"/>
  <c r="F22" i="4"/>
  <c r="F21" i="5"/>
  <c r="E22" i="4"/>
  <c r="H19" i="5"/>
  <c r="G20" i="4"/>
  <c r="G19" i="5"/>
  <c r="K17" i="5"/>
  <c r="J18" i="4"/>
  <c r="J17" i="5"/>
  <c r="A25" i="4"/>
  <c r="F22" i="1"/>
  <c r="C22" i="1"/>
  <c r="D21" i="1"/>
  <c r="D26" i="8" l="1"/>
  <c r="C26" i="8"/>
  <c r="B27" i="8"/>
  <c r="A28" i="8"/>
  <c r="E22" i="5"/>
  <c r="D23" i="4"/>
  <c r="K18" i="5"/>
  <c r="J19" i="4"/>
  <c r="J18" i="5"/>
  <c r="B25" i="4"/>
  <c r="I20" i="5"/>
  <c r="H21" i="4"/>
  <c r="D22" i="5"/>
  <c r="C22" i="5"/>
  <c r="C23" i="4"/>
  <c r="I21" i="4"/>
  <c r="H20" i="5"/>
  <c r="G21" i="4"/>
  <c r="G20" i="5"/>
  <c r="F23" i="4"/>
  <c r="F22" i="5"/>
  <c r="E23" i="4"/>
  <c r="A26" i="4"/>
  <c r="F23" i="1"/>
  <c r="D22" i="1"/>
  <c r="C23" i="1"/>
  <c r="D27" i="8" l="1"/>
  <c r="C27" i="8"/>
  <c r="A29" i="8"/>
  <c r="B28" i="8"/>
  <c r="B26" i="4"/>
  <c r="F24" i="4"/>
  <c r="I22" i="4"/>
  <c r="H21" i="5"/>
  <c r="G22" i="4"/>
  <c r="G21" i="5"/>
  <c r="I21" i="5"/>
  <c r="H22" i="4"/>
  <c r="C23" i="5"/>
  <c r="D23" i="5"/>
  <c r="C24" i="4"/>
  <c r="E23" i="5"/>
  <c r="D24" i="4"/>
  <c r="J20" i="4"/>
  <c r="K19" i="5"/>
  <c r="J19" i="5"/>
  <c r="F23" i="5"/>
  <c r="E24" i="4"/>
  <c r="A27" i="4"/>
  <c r="F24" i="1"/>
  <c r="C24" i="1"/>
  <c r="D23" i="1"/>
  <c r="D28" i="8" l="1"/>
  <c r="C28" i="8"/>
  <c r="B29" i="8"/>
  <c r="A30" i="8"/>
  <c r="I23" i="4"/>
  <c r="E24" i="5"/>
  <c r="D25" i="4"/>
  <c r="B27" i="4"/>
  <c r="F25" i="4"/>
  <c r="C24" i="5"/>
  <c r="D24" i="5"/>
  <c r="C25" i="4"/>
  <c r="H22" i="5"/>
  <c r="G23" i="4"/>
  <c r="G22" i="5"/>
  <c r="J21" i="4"/>
  <c r="K20" i="5"/>
  <c r="J20" i="5"/>
  <c r="F24" i="5"/>
  <c r="E25" i="4"/>
  <c r="I22" i="5"/>
  <c r="H23" i="4"/>
  <c r="A28" i="4"/>
  <c r="F25" i="1"/>
  <c r="D24" i="1"/>
  <c r="C25" i="1"/>
  <c r="D29" i="8" l="1"/>
  <c r="C29" i="8"/>
  <c r="A31" i="8"/>
  <c r="B30" i="8"/>
  <c r="D25" i="5"/>
  <c r="C25" i="5"/>
  <c r="C26" i="4"/>
  <c r="B28" i="4"/>
  <c r="I23" i="5"/>
  <c r="H24" i="4"/>
  <c r="K21" i="5"/>
  <c r="J22" i="4"/>
  <c r="J21" i="5"/>
  <c r="I24" i="4"/>
  <c r="F25" i="5"/>
  <c r="E26" i="4"/>
  <c r="F26" i="4"/>
  <c r="H23" i="5"/>
  <c r="G24" i="4"/>
  <c r="G23" i="5"/>
  <c r="E25" i="5"/>
  <c r="D26" i="4"/>
  <c r="A29" i="4"/>
  <c r="F26" i="1"/>
  <c r="C26" i="1"/>
  <c r="D25" i="1"/>
  <c r="D30" i="8" l="1"/>
  <c r="C30" i="8"/>
  <c r="B31" i="8"/>
  <c r="A32" i="8"/>
  <c r="B29" i="4"/>
  <c r="F26" i="5"/>
  <c r="E27" i="4"/>
  <c r="H24" i="5"/>
  <c r="G25" i="4"/>
  <c r="G24" i="5"/>
  <c r="C26" i="5"/>
  <c r="D26" i="5"/>
  <c r="C27" i="4"/>
  <c r="I24" i="5"/>
  <c r="H25" i="4"/>
  <c r="F27" i="4"/>
  <c r="K22" i="5"/>
  <c r="J23" i="4"/>
  <c r="J22" i="5"/>
  <c r="I25" i="4"/>
  <c r="E26" i="5"/>
  <c r="D27" i="4"/>
  <c r="A30" i="4"/>
  <c r="F27" i="1"/>
  <c r="C27" i="1"/>
  <c r="D26" i="1"/>
  <c r="D31" i="8" l="1"/>
  <c r="C31" i="8"/>
  <c r="A33" i="8"/>
  <c r="B32" i="8"/>
  <c r="E27" i="5"/>
  <c r="D28" i="4"/>
  <c r="I25" i="5"/>
  <c r="H26" i="4"/>
  <c r="B30" i="4"/>
  <c r="F27" i="5"/>
  <c r="E28" i="4"/>
  <c r="C27" i="5"/>
  <c r="D27" i="5"/>
  <c r="C28" i="4"/>
  <c r="I26" i="4"/>
  <c r="H25" i="5"/>
  <c r="G26" i="4"/>
  <c r="G25" i="5"/>
  <c r="F28" i="4"/>
  <c r="J24" i="4"/>
  <c r="K23" i="5"/>
  <c r="J23" i="5"/>
  <c r="A31" i="4"/>
  <c r="F28" i="1"/>
  <c r="C28" i="1"/>
  <c r="D27" i="1"/>
  <c r="D32" i="8" l="1"/>
  <c r="C32" i="8"/>
  <c r="B33" i="8"/>
  <c r="A34" i="8"/>
  <c r="C28" i="5"/>
  <c r="D28" i="5"/>
  <c r="C29" i="4"/>
  <c r="H26" i="5"/>
  <c r="G27" i="4"/>
  <c r="G26" i="5"/>
  <c r="F29" i="4"/>
  <c r="K24" i="5"/>
  <c r="J25" i="4"/>
  <c r="J24" i="5"/>
  <c r="B31" i="4"/>
  <c r="I27" i="4"/>
  <c r="I26" i="5"/>
  <c r="H27" i="4"/>
  <c r="E28" i="5"/>
  <c r="D29" i="4"/>
  <c r="F28" i="5"/>
  <c r="E29" i="4"/>
  <c r="A32" i="4"/>
  <c r="F29" i="1"/>
  <c r="D28" i="1"/>
  <c r="C29" i="1"/>
  <c r="D33" i="8" l="1"/>
  <c r="C33" i="8"/>
  <c r="A35" i="8"/>
  <c r="B34" i="8"/>
  <c r="B32" i="4"/>
  <c r="F30" i="4"/>
  <c r="I28" i="4"/>
  <c r="H27" i="5"/>
  <c r="G28" i="4"/>
  <c r="G27" i="5"/>
  <c r="E29" i="5"/>
  <c r="D30" i="4"/>
  <c r="I27" i="5"/>
  <c r="H28" i="4"/>
  <c r="J26" i="4"/>
  <c r="K25" i="5"/>
  <c r="J25" i="5"/>
  <c r="F29" i="5"/>
  <c r="E30" i="4"/>
  <c r="D29" i="5"/>
  <c r="C29" i="5"/>
  <c r="C30" i="4"/>
  <c r="A33" i="4"/>
  <c r="F30" i="1"/>
  <c r="D29" i="1"/>
  <c r="C30" i="1"/>
  <c r="D34" i="8" l="1"/>
  <c r="C34" i="8"/>
  <c r="B35" i="8"/>
  <c r="A36" i="8"/>
  <c r="F31" i="4"/>
  <c r="B33" i="4"/>
  <c r="C30" i="5"/>
  <c r="D30" i="5"/>
  <c r="C31" i="4"/>
  <c r="J27" i="4"/>
  <c r="K26" i="5"/>
  <c r="J26" i="5"/>
  <c r="I29" i="4"/>
  <c r="E30" i="5"/>
  <c r="D31" i="4"/>
  <c r="I28" i="5"/>
  <c r="H29" i="4"/>
  <c r="H28" i="5"/>
  <c r="G29" i="4"/>
  <c r="G28" i="5"/>
  <c r="F30" i="5"/>
  <c r="E31" i="4"/>
  <c r="A34" i="4"/>
  <c r="F31" i="1"/>
  <c r="C31" i="1"/>
  <c r="D30" i="1"/>
  <c r="D35" i="8" l="1"/>
  <c r="C35" i="8"/>
  <c r="A37" i="8"/>
  <c r="B36" i="8"/>
  <c r="I29" i="5"/>
  <c r="H30" i="4"/>
  <c r="H29" i="5"/>
  <c r="G30" i="4"/>
  <c r="G29" i="5"/>
  <c r="I30" i="4"/>
  <c r="F31" i="5"/>
  <c r="E32" i="4"/>
  <c r="C31" i="5"/>
  <c r="D31" i="5"/>
  <c r="C32" i="4"/>
  <c r="B34" i="4"/>
  <c r="F32" i="4"/>
  <c r="J28" i="4"/>
  <c r="K27" i="5"/>
  <c r="J27" i="5"/>
  <c r="E31" i="5"/>
  <c r="D32" i="4"/>
  <c r="A35" i="4"/>
  <c r="F32" i="1"/>
  <c r="D31" i="1"/>
  <c r="C32" i="1"/>
  <c r="D36" i="8" l="1"/>
  <c r="C36" i="8"/>
  <c r="B37" i="8"/>
  <c r="A38" i="8"/>
  <c r="F33" i="4"/>
  <c r="B35" i="4"/>
  <c r="F32" i="5"/>
  <c r="E33" i="4"/>
  <c r="E32" i="5"/>
  <c r="D33" i="4"/>
  <c r="I30" i="5"/>
  <c r="H31" i="4"/>
  <c r="K28" i="5"/>
  <c r="J29" i="4"/>
  <c r="J28" i="5"/>
  <c r="C32" i="5"/>
  <c r="D32" i="5"/>
  <c r="C33" i="4"/>
  <c r="H30" i="5"/>
  <c r="G31" i="4"/>
  <c r="G30" i="5"/>
  <c r="I31" i="4"/>
  <c r="A36" i="4"/>
  <c r="F33" i="1"/>
  <c r="C33" i="1"/>
  <c r="D32" i="1"/>
  <c r="D37" i="8" l="1"/>
  <c r="C37" i="8"/>
  <c r="A39" i="8"/>
  <c r="B38" i="8"/>
  <c r="I31" i="5"/>
  <c r="H32" i="4"/>
  <c r="I32" i="4"/>
  <c r="B36" i="4"/>
  <c r="H31" i="5"/>
  <c r="G32" i="4"/>
  <c r="G31" i="5"/>
  <c r="E33" i="5"/>
  <c r="D34" i="4"/>
  <c r="F33" i="5"/>
  <c r="E34" i="4"/>
  <c r="K29" i="5"/>
  <c r="J30" i="4"/>
  <c r="J29" i="5"/>
  <c r="F34" i="4"/>
  <c r="D33" i="5"/>
  <c r="C33" i="5"/>
  <c r="C34" i="4"/>
  <c r="A37" i="4"/>
  <c r="F34" i="1"/>
  <c r="D33" i="1"/>
  <c r="C34" i="1"/>
  <c r="D38" i="8" l="1"/>
  <c r="C38" i="8"/>
  <c r="B39" i="8"/>
  <c r="A40" i="8"/>
  <c r="B37" i="4"/>
  <c r="I32" i="5"/>
  <c r="H33" i="4"/>
  <c r="H32" i="5"/>
  <c r="G33" i="4"/>
  <c r="G32" i="5"/>
  <c r="C34" i="5"/>
  <c r="D34" i="5"/>
  <c r="C35" i="4"/>
  <c r="K30" i="5"/>
  <c r="J31" i="4"/>
  <c r="J30" i="5"/>
  <c r="F35" i="4"/>
  <c r="E34" i="5"/>
  <c r="D35" i="4"/>
  <c r="F34" i="5"/>
  <c r="E35" i="4"/>
  <c r="I33" i="4"/>
  <c r="A38" i="4"/>
  <c r="F35" i="1"/>
  <c r="D34" i="1"/>
  <c r="C35" i="1"/>
  <c r="D39" i="8" l="1"/>
  <c r="C39" i="8"/>
  <c r="A41" i="8"/>
  <c r="B40" i="8"/>
  <c r="E35" i="5"/>
  <c r="D36" i="4"/>
  <c r="H33" i="5"/>
  <c r="G34" i="4"/>
  <c r="G33" i="5"/>
  <c r="I34" i="4"/>
  <c r="J32" i="4"/>
  <c r="K31" i="5"/>
  <c r="J31" i="5"/>
  <c r="I33" i="5"/>
  <c r="H34" i="4"/>
  <c r="B38" i="4"/>
  <c r="F35" i="5"/>
  <c r="E36" i="4"/>
  <c r="C35" i="5"/>
  <c r="D35" i="5"/>
  <c r="C36" i="4"/>
  <c r="F36" i="4"/>
  <c r="A39" i="4"/>
  <c r="F36" i="1"/>
  <c r="C36" i="1"/>
  <c r="D35" i="1"/>
  <c r="D40" i="8" l="1"/>
  <c r="C40" i="8"/>
  <c r="B41" i="8"/>
  <c r="A42" i="8"/>
  <c r="B39" i="4"/>
  <c r="F37" i="4"/>
  <c r="J33" i="4"/>
  <c r="K32" i="5"/>
  <c r="J32" i="5"/>
  <c r="C36" i="5"/>
  <c r="D36" i="5"/>
  <c r="C37" i="4"/>
  <c r="I35" i="4"/>
  <c r="I34" i="5"/>
  <c r="H35" i="4"/>
  <c r="E36" i="5"/>
  <c r="D37" i="4"/>
  <c r="H34" i="5"/>
  <c r="G35" i="4"/>
  <c r="G34" i="5"/>
  <c r="F36" i="5"/>
  <c r="E37" i="4"/>
  <c r="A40" i="4"/>
  <c r="F37" i="1"/>
  <c r="C37" i="1"/>
  <c r="D36" i="1"/>
  <c r="D41" i="8" l="1"/>
  <c r="C41" i="8"/>
  <c r="A43" i="8"/>
  <c r="B42" i="8"/>
  <c r="I35" i="5"/>
  <c r="H36" i="4"/>
  <c r="I36" i="4"/>
  <c r="E37" i="5"/>
  <c r="D38" i="4"/>
  <c r="B40" i="4"/>
  <c r="F38" i="4"/>
  <c r="D37" i="5"/>
  <c r="C37" i="5"/>
  <c r="C38" i="4"/>
  <c r="H35" i="5"/>
  <c r="G36" i="4"/>
  <c r="G35" i="5"/>
  <c r="F37" i="5"/>
  <c r="E38" i="4"/>
  <c r="J34" i="4"/>
  <c r="K33" i="5"/>
  <c r="J33" i="5"/>
  <c r="A41" i="4"/>
  <c r="F38" i="1"/>
  <c r="D37" i="1"/>
  <c r="C38" i="1"/>
  <c r="D42" i="8" l="1"/>
  <c r="C42" i="8"/>
  <c r="B43" i="8"/>
  <c r="A44" i="8"/>
  <c r="J35" i="4"/>
  <c r="K34" i="5"/>
  <c r="J34" i="5"/>
  <c r="B41" i="4"/>
  <c r="H36" i="5"/>
  <c r="G37" i="4"/>
  <c r="G36" i="5"/>
  <c r="C38" i="5"/>
  <c r="D38" i="5"/>
  <c r="C39" i="4"/>
  <c r="F39" i="4"/>
  <c r="E38" i="5"/>
  <c r="D39" i="4"/>
  <c r="I36" i="5"/>
  <c r="H37" i="4"/>
  <c r="F38" i="5"/>
  <c r="E39" i="4"/>
  <c r="I37" i="4"/>
  <c r="A42" i="4"/>
  <c r="F39" i="1"/>
  <c r="D38" i="1"/>
  <c r="C39" i="1"/>
  <c r="D43" i="8" l="1"/>
  <c r="C43" i="8"/>
  <c r="A45" i="8"/>
  <c r="B44" i="8"/>
  <c r="C39" i="5"/>
  <c r="D39" i="5"/>
  <c r="C40" i="4"/>
  <c r="B42" i="4"/>
  <c r="I38" i="4"/>
  <c r="H37" i="5"/>
  <c r="G38" i="4"/>
  <c r="G37" i="5"/>
  <c r="J36" i="4"/>
  <c r="K35" i="5"/>
  <c r="J35" i="5"/>
  <c r="F40" i="4"/>
  <c r="F39" i="5"/>
  <c r="E40" i="4"/>
  <c r="E39" i="5"/>
  <c r="D40" i="4"/>
  <c r="I37" i="5"/>
  <c r="H38" i="4"/>
  <c r="A43" i="4"/>
  <c r="F40" i="1"/>
  <c r="C40" i="1"/>
  <c r="D39" i="1"/>
  <c r="D44" i="8" l="1"/>
  <c r="C44" i="8"/>
  <c r="B45" i="8"/>
  <c r="A46" i="8"/>
  <c r="F40" i="5"/>
  <c r="E41" i="4"/>
  <c r="H38" i="5"/>
  <c r="G39" i="4"/>
  <c r="G38" i="5"/>
  <c r="C40" i="5"/>
  <c r="D40" i="5"/>
  <c r="C41" i="4"/>
  <c r="K36" i="5"/>
  <c r="J37" i="4"/>
  <c r="J36" i="5"/>
  <c r="B43" i="4"/>
  <c r="I39" i="4"/>
  <c r="F41" i="4"/>
  <c r="I38" i="5"/>
  <c r="H39" i="4"/>
  <c r="E40" i="5"/>
  <c r="D41" i="4"/>
  <c r="A44" i="4"/>
  <c r="F41" i="1"/>
  <c r="D40" i="1"/>
  <c r="C41" i="1"/>
  <c r="D45" i="8" l="1"/>
  <c r="C45" i="8"/>
  <c r="A47" i="8"/>
  <c r="B46" i="8"/>
  <c r="D41" i="5"/>
  <c r="C41" i="5"/>
  <c r="C42" i="4"/>
  <c r="I40" i="4"/>
  <c r="H39" i="5"/>
  <c r="G40" i="4"/>
  <c r="G39" i="5"/>
  <c r="F42" i="4"/>
  <c r="B44" i="4"/>
  <c r="F41" i="5"/>
  <c r="E42" i="4"/>
  <c r="K37" i="5"/>
  <c r="J38" i="4"/>
  <c r="J37" i="5"/>
  <c r="E41" i="5"/>
  <c r="D42" i="4"/>
  <c r="I39" i="5"/>
  <c r="H40" i="4"/>
  <c r="A45" i="4"/>
  <c r="F42" i="1"/>
  <c r="D41" i="1"/>
  <c r="C42" i="1"/>
  <c r="D46" i="8" l="1"/>
  <c r="C46" i="8"/>
  <c r="B47" i="8"/>
  <c r="A48" i="8"/>
  <c r="F42" i="5"/>
  <c r="E43" i="4"/>
  <c r="E42" i="5"/>
  <c r="D43" i="4"/>
  <c r="J39" i="4"/>
  <c r="K38" i="5"/>
  <c r="J38" i="5"/>
  <c r="F43" i="4"/>
  <c r="H40" i="5"/>
  <c r="G41" i="4"/>
  <c r="G40" i="5"/>
  <c r="B45" i="4"/>
  <c r="I41" i="4"/>
  <c r="I40" i="5"/>
  <c r="H41" i="4"/>
  <c r="D42" i="5"/>
  <c r="C42" i="5"/>
  <c r="C43" i="4"/>
  <c r="A46" i="4"/>
  <c r="F43" i="1"/>
  <c r="D42" i="1"/>
  <c r="C43" i="1"/>
  <c r="D47" i="8" l="1"/>
  <c r="C47" i="8"/>
  <c r="A49" i="8"/>
  <c r="B48" i="8"/>
  <c r="F44" i="4"/>
  <c r="I42" i="4"/>
  <c r="H41" i="5"/>
  <c r="G42" i="4"/>
  <c r="G41" i="5"/>
  <c r="B46" i="4"/>
  <c r="D43" i="5"/>
  <c r="C43" i="5"/>
  <c r="C44" i="4"/>
  <c r="J40" i="4"/>
  <c r="K39" i="5"/>
  <c r="J39" i="5"/>
  <c r="F43" i="5"/>
  <c r="E44" i="4"/>
  <c r="E43" i="5"/>
  <c r="D44" i="4"/>
  <c r="I41" i="5"/>
  <c r="H42" i="4"/>
  <c r="A47" i="4"/>
  <c r="F44" i="1"/>
  <c r="D43" i="1"/>
  <c r="C44" i="1"/>
  <c r="D48" i="8" l="1"/>
  <c r="C48" i="8"/>
  <c r="B49" i="8"/>
  <c r="A50" i="8"/>
  <c r="B47" i="4"/>
  <c r="I43" i="4"/>
  <c r="F45" i="4"/>
  <c r="H42" i="5"/>
  <c r="G43" i="4"/>
  <c r="G42" i="5"/>
  <c r="K40" i="5"/>
  <c r="J41" i="4"/>
  <c r="J40" i="5"/>
  <c r="C44" i="5"/>
  <c r="D44" i="5"/>
  <c r="C45" i="4"/>
  <c r="F44" i="5"/>
  <c r="E45" i="4"/>
  <c r="E44" i="5"/>
  <c r="D45" i="4"/>
  <c r="I42" i="5"/>
  <c r="H43" i="4"/>
  <c r="A48" i="4"/>
  <c r="F45" i="1"/>
  <c r="D44" i="1"/>
  <c r="C45" i="1"/>
  <c r="D49" i="8" l="1"/>
  <c r="C49" i="8"/>
  <c r="A51" i="8"/>
  <c r="B50" i="8"/>
  <c r="D45" i="5"/>
  <c r="C45" i="5"/>
  <c r="C46" i="4"/>
  <c r="H43" i="5"/>
  <c r="G44" i="4"/>
  <c r="G43" i="5"/>
  <c r="B48" i="4"/>
  <c r="I44" i="4"/>
  <c r="F46" i="4"/>
  <c r="J42" i="4"/>
  <c r="K41" i="5"/>
  <c r="J41" i="5"/>
  <c r="I43" i="5"/>
  <c r="H44" i="4"/>
  <c r="F45" i="5"/>
  <c r="E46" i="4"/>
  <c r="E45" i="5"/>
  <c r="D46" i="4"/>
  <c r="A49" i="4"/>
  <c r="F46" i="1"/>
  <c r="D45" i="1"/>
  <c r="C46" i="1"/>
  <c r="D50" i="8" l="1"/>
  <c r="C50" i="8"/>
  <c r="B51" i="8"/>
  <c r="A52" i="8"/>
  <c r="F47" i="4"/>
  <c r="I44" i="5"/>
  <c r="H45" i="4"/>
  <c r="B49" i="4"/>
  <c r="F46" i="5"/>
  <c r="E47" i="4"/>
  <c r="I45" i="4"/>
  <c r="K42" i="5"/>
  <c r="J43" i="4"/>
  <c r="J42" i="5"/>
  <c r="H44" i="5"/>
  <c r="G45" i="4"/>
  <c r="G44" i="5"/>
  <c r="D46" i="5"/>
  <c r="C46" i="5"/>
  <c r="C47" i="4"/>
  <c r="E46" i="5"/>
  <c r="D47" i="4"/>
  <c r="A50" i="4"/>
  <c r="F47" i="1"/>
  <c r="D46" i="1"/>
  <c r="C47" i="1"/>
  <c r="D51" i="8" l="1"/>
  <c r="C51" i="8"/>
  <c r="A53" i="8"/>
  <c r="B52" i="8"/>
  <c r="F48" i="4"/>
  <c r="E47" i="5"/>
  <c r="D48" i="4"/>
  <c r="J44" i="4"/>
  <c r="K43" i="5"/>
  <c r="J43" i="5"/>
  <c r="B50" i="4"/>
  <c r="F47" i="5"/>
  <c r="E48" i="4"/>
  <c r="H45" i="5"/>
  <c r="G46" i="4"/>
  <c r="G45" i="5"/>
  <c r="I46" i="4"/>
  <c r="D47" i="5"/>
  <c r="C47" i="5"/>
  <c r="C48" i="4"/>
  <c r="I45" i="5"/>
  <c r="H46" i="4"/>
  <c r="A51" i="4"/>
  <c r="F48" i="1"/>
  <c r="D47" i="1"/>
  <c r="C48" i="1"/>
  <c r="D52" i="8" l="1"/>
  <c r="C52" i="8"/>
  <c r="A54" i="8"/>
  <c r="B53" i="8"/>
  <c r="C48" i="5"/>
  <c r="D48" i="5"/>
  <c r="C49" i="4"/>
  <c r="E48" i="5"/>
  <c r="D49" i="4"/>
  <c r="B51" i="4"/>
  <c r="I47" i="4"/>
  <c r="I46" i="5"/>
  <c r="H47" i="4"/>
  <c r="K44" i="5"/>
  <c r="J45" i="4"/>
  <c r="J44" i="5"/>
  <c r="F48" i="5"/>
  <c r="E49" i="4"/>
  <c r="H46" i="5"/>
  <c r="G47" i="4"/>
  <c r="G46" i="5"/>
  <c r="F49" i="4"/>
  <c r="A52" i="4"/>
  <c r="F49" i="1"/>
  <c r="D48" i="1"/>
  <c r="C49" i="1"/>
  <c r="D53" i="8" l="1"/>
  <c r="C53" i="8"/>
  <c r="A55" i="8"/>
  <c r="B54" i="8"/>
  <c r="F49" i="5"/>
  <c r="E50" i="4"/>
  <c r="B52" i="4"/>
  <c r="H47" i="5"/>
  <c r="G48" i="4"/>
  <c r="G47" i="5"/>
  <c r="F50" i="4"/>
  <c r="E49" i="5"/>
  <c r="D50" i="4"/>
  <c r="I47" i="5"/>
  <c r="H48" i="4"/>
  <c r="K45" i="5"/>
  <c r="J46" i="4"/>
  <c r="J45" i="5"/>
  <c r="I48" i="4"/>
  <c r="C49" i="5"/>
  <c r="D49" i="5"/>
  <c r="C50" i="4"/>
  <c r="A53" i="4"/>
  <c r="F50" i="1"/>
  <c r="C50" i="1"/>
  <c r="D49" i="1"/>
  <c r="D54" i="8" l="1"/>
  <c r="C54" i="8"/>
  <c r="A56" i="8"/>
  <c r="B55" i="8"/>
  <c r="I48" i="5"/>
  <c r="H49" i="4"/>
  <c r="B53" i="4"/>
  <c r="E50" i="5"/>
  <c r="D51" i="4"/>
  <c r="K46" i="5"/>
  <c r="J47" i="4"/>
  <c r="J46" i="5"/>
  <c r="D50" i="5"/>
  <c r="C50" i="5"/>
  <c r="C51" i="4"/>
  <c r="H48" i="5"/>
  <c r="G49" i="4"/>
  <c r="G48" i="5"/>
  <c r="I49" i="4"/>
  <c r="F50" i="5"/>
  <c r="E51" i="4"/>
  <c r="F51" i="4"/>
  <c r="A54" i="4"/>
  <c r="F51" i="1"/>
  <c r="C51" i="1"/>
  <c r="D50" i="1"/>
  <c r="D55" i="8" l="1"/>
  <c r="C55" i="8"/>
  <c r="A57" i="8"/>
  <c r="B56" i="8"/>
  <c r="D51" i="5"/>
  <c r="C51" i="5"/>
  <c r="C52" i="4"/>
  <c r="F52" i="4"/>
  <c r="I49" i="5"/>
  <c r="H50" i="4"/>
  <c r="J48" i="4"/>
  <c r="K47" i="5"/>
  <c r="J47" i="5"/>
  <c r="F51" i="5"/>
  <c r="E52" i="4"/>
  <c r="B54" i="4"/>
  <c r="H49" i="5"/>
  <c r="G50" i="4"/>
  <c r="G49" i="5"/>
  <c r="E51" i="5"/>
  <c r="D52" i="4"/>
  <c r="I50" i="4"/>
  <c r="A55" i="4"/>
  <c r="F52" i="1"/>
  <c r="D51" i="1"/>
  <c r="C52" i="1"/>
  <c r="D56" i="8" l="1"/>
  <c r="C56" i="8"/>
  <c r="A58" i="8"/>
  <c r="B57" i="8"/>
  <c r="I50" i="5"/>
  <c r="H51" i="4"/>
  <c r="H50" i="5"/>
  <c r="G51" i="4"/>
  <c r="G50" i="5"/>
  <c r="B55" i="4"/>
  <c r="F53" i="4"/>
  <c r="K48" i="5"/>
  <c r="J49" i="4"/>
  <c r="J48" i="5"/>
  <c r="I51" i="4"/>
  <c r="D52" i="5"/>
  <c r="C52" i="5"/>
  <c r="C53" i="4"/>
  <c r="F52" i="5"/>
  <c r="E53" i="4"/>
  <c r="E52" i="5"/>
  <c r="D53" i="4"/>
  <c r="A56" i="4"/>
  <c r="F53" i="1"/>
  <c r="C53" i="1"/>
  <c r="D52" i="1"/>
  <c r="D57" i="8" l="1"/>
  <c r="C57" i="8"/>
  <c r="A59" i="8"/>
  <c r="B58" i="8"/>
  <c r="B56" i="4"/>
  <c r="F53" i="5"/>
  <c r="E54" i="4"/>
  <c r="K49" i="5"/>
  <c r="J50" i="4"/>
  <c r="J49" i="5"/>
  <c r="I51" i="5"/>
  <c r="H52" i="4"/>
  <c r="E53" i="5"/>
  <c r="D54" i="4"/>
  <c r="C53" i="5"/>
  <c r="D53" i="5"/>
  <c r="C54" i="4"/>
  <c r="F54" i="4"/>
  <c r="H51" i="5"/>
  <c r="G52" i="4"/>
  <c r="G51" i="5"/>
  <c r="I52" i="4"/>
  <c r="A57" i="4"/>
  <c r="F54" i="1"/>
  <c r="C54" i="1"/>
  <c r="D53" i="1"/>
  <c r="D58" i="8" l="1"/>
  <c r="C58" i="8"/>
  <c r="A60" i="8"/>
  <c r="B59" i="8"/>
  <c r="D54" i="5"/>
  <c r="C54" i="5"/>
  <c r="C55" i="4"/>
  <c r="I52" i="5"/>
  <c r="H53" i="4"/>
  <c r="B57" i="4"/>
  <c r="I53" i="4"/>
  <c r="H52" i="5"/>
  <c r="G53" i="4"/>
  <c r="G52" i="5"/>
  <c r="K50" i="5"/>
  <c r="J51" i="4"/>
  <c r="J50" i="5"/>
  <c r="E54" i="5"/>
  <c r="D55" i="4"/>
  <c r="F55" i="4"/>
  <c r="F54" i="5"/>
  <c r="E55" i="4"/>
  <c r="A58" i="4"/>
  <c r="F55" i="1"/>
  <c r="D54" i="1"/>
  <c r="C55" i="1"/>
  <c r="D59" i="8" l="1"/>
  <c r="C59" i="8"/>
  <c r="A61" i="8"/>
  <c r="B60" i="8"/>
  <c r="I54" i="4"/>
  <c r="B58" i="4"/>
  <c r="F56" i="4"/>
  <c r="F55" i="5"/>
  <c r="E56" i="4"/>
  <c r="H53" i="5"/>
  <c r="G54" i="4"/>
  <c r="G53" i="5"/>
  <c r="C55" i="5"/>
  <c r="D55" i="5"/>
  <c r="C56" i="4"/>
  <c r="J52" i="4"/>
  <c r="K51" i="5"/>
  <c r="J51" i="5"/>
  <c r="I53" i="5"/>
  <c r="H54" i="4"/>
  <c r="E55" i="5"/>
  <c r="D56" i="4"/>
  <c r="A59" i="4"/>
  <c r="F56" i="1"/>
  <c r="C56" i="1"/>
  <c r="D55" i="1"/>
  <c r="D60" i="8" l="1"/>
  <c r="C60" i="8"/>
  <c r="A62" i="8"/>
  <c r="B61" i="8"/>
  <c r="J53" i="4"/>
  <c r="K52" i="5"/>
  <c r="J52" i="5"/>
  <c r="I54" i="5"/>
  <c r="H55" i="4"/>
  <c r="B59" i="4"/>
  <c r="F56" i="5"/>
  <c r="E57" i="4"/>
  <c r="H54" i="5"/>
  <c r="G55" i="4"/>
  <c r="G54" i="5"/>
  <c r="F57" i="4"/>
  <c r="E56" i="5"/>
  <c r="D57" i="4"/>
  <c r="D56" i="5"/>
  <c r="C56" i="5"/>
  <c r="C57" i="4"/>
  <c r="I55" i="4"/>
  <c r="A60" i="4"/>
  <c r="F57" i="1"/>
  <c r="C57" i="1"/>
  <c r="D56" i="1"/>
  <c r="D61" i="8" l="1"/>
  <c r="C61" i="8"/>
  <c r="A63" i="8"/>
  <c r="B62" i="8"/>
  <c r="I56" i="4"/>
  <c r="B60" i="4"/>
  <c r="H55" i="5"/>
  <c r="G56" i="4"/>
  <c r="G55" i="5"/>
  <c r="F58" i="4"/>
  <c r="J54" i="4"/>
  <c r="K53" i="5"/>
  <c r="J53" i="5"/>
  <c r="E57" i="5"/>
  <c r="D58" i="4"/>
  <c r="F57" i="5"/>
  <c r="E58" i="4"/>
  <c r="C57" i="5"/>
  <c r="D57" i="5"/>
  <c r="C58" i="4"/>
  <c r="I55" i="5"/>
  <c r="H56" i="4"/>
  <c r="A61" i="4"/>
  <c r="F58" i="1"/>
  <c r="D57" i="1"/>
  <c r="C58" i="1"/>
  <c r="D62" i="8" l="1"/>
  <c r="C62" i="8"/>
  <c r="A64" i="8"/>
  <c r="B63" i="8"/>
  <c r="F58" i="5"/>
  <c r="E59" i="4"/>
  <c r="I56" i="5"/>
  <c r="H57" i="4"/>
  <c r="B61" i="4"/>
  <c r="I57" i="4"/>
  <c r="K54" i="5"/>
  <c r="J55" i="4"/>
  <c r="J54" i="5"/>
  <c r="D58" i="5"/>
  <c r="C58" i="5"/>
  <c r="C59" i="4"/>
  <c r="F59" i="4"/>
  <c r="H56" i="5"/>
  <c r="G57" i="4"/>
  <c r="G56" i="5"/>
  <c r="E58" i="5"/>
  <c r="D59" i="4"/>
  <c r="A62" i="4"/>
  <c r="F59" i="1"/>
  <c r="D58" i="1"/>
  <c r="C59" i="1"/>
  <c r="D63" i="8" l="1"/>
  <c r="C63" i="8"/>
  <c r="A65" i="8"/>
  <c r="B64" i="8"/>
  <c r="B62" i="4"/>
  <c r="F59" i="5"/>
  <c r="E60" i="4"/>
  <c r="E59" i="5"/>
  <c r="D60" i="4"/>
  <c r="I58" i="4"/>
  <c r="H57" i="5"/>
  <c r="G58" i="4"/>
  <c r="G57" i="5"/>
  <c r="K55" i="5"/>
  <c r="J56" i="4"/>
  <c r="J55" i="5"/>
  <c r="I57" i="5"/>
  <c r="H58" i="4"/>
  <c r="C59" i="5"/>
  <c r="D59" i="5"/>
  <c r="C60" i="4"/>
  <c r="F60" i="4"/>
  <c r="A63" i="4"/>
  <c r="F60" i="1"/>
  <c r="C60" i="1"/>
  <c r="D59" i="1"/>
  <c r="D64" i="8" l="1"/>
  <c r="C64" i="8"/>
  <c r="A66" i="8"/>
  <c r="B65" i="8"/>
  <c r="D60" i="5"/>
  <c r="C60" i="5"/>
  <c r="C61" i="4"/>
  <c r="I58" i="5"/>
  <c r="H59" i="4"/>
  <c r="F60" i="5"/>
  <c r="E61" i="4"/>
  <c r="I59" i="4"/>
  <c r="H58" i="5"/>
  <c r="G59" i="4"/>
  <c r="G58" i="5"/>
  <c r="F61" i="4"/>
  <c r="B63" i="4"/>
  <c r="E60" i="5"/>
  <c r="D61" i="4"/>
  <c r="K56" i="5"/>
  <c r="J57" i="4"/>
  <c r="J56" i="5"/>
  <c r="A64" i="4"/>
  <c r="F61" i="1"/>
  <c r="C61" i="1"/>
  <c r="D60" i="1"/>
  <c r="D65" i="8" l="1"/>
  <c r="C65" i="8"/>
  <c r="A67" i="8"/>
  <c r="B66" i="8"/>
  <c r="F61" i="5"/>
  <c r="E62" i="4"/>
  <c r="K57" i="5"/>
  <c r="J58" i="4"/>
  <c r="J57" i="5"/>
  <c r="I60" i="4"/>
  <c r="I59" i="5"/>
  <c r="H60" i="4"/>
  <c r="F62" i="4"/>
  <c r="C61" i="5"/>
  <c r="D61" i="5"/>
  <c r="C62" i="4"/>
  <c r="H59" i="5"/>
  <c r="G60" i="4"/>
  <c r="G59" i="5"/>
  <c r="B64" i="4"/>
  <c r="E61" i="5"/>
  <c r="D62" i="4"/>
  <c r="A65" i="4"/>
  <c r="F62" i="1"/>
  <c r="D61" i="1"/>
  <c r="C62" i="1"/>
  <c r="D66" i="8" l="1"/>
  <c r="C66" i="8"/>
  <c r="A68" i="8"/>
  <c r="B67" i="8"/>
  <c r="H60" i="5"/>
  <c r="G61" i="4"/>
  <c r="G60" i="5"/>
  <c r="K58" i="5"/>
  <c r="J59" i="4"/>
  <c r="J58" i="5"/>
  <c r="F63" i="4"/>
  <c r="C62" i="5"/>
  <c r="D62" i="5"/>
  <c r="C63" i="4"/>
  <c r="I61" i="4"/>
  <c r="B65" i="4"/>
  <c r="F62" i="5"/>
  <c r="E63" i="4"/>
  <c r="I60" i="5"/>
  <c r="H61" i="4"/>
  <c r="E62" i="5"/>
  <c r="D63" i="4"/>
  <c r="A66" i="4"/>
  <c r="F63" i="1"/>
  <c r="D62" i="1"/>
  <c r="C63" i="1"/>
  <c r="D67" i="8" l="1"/>
  <c r="C67" i="8"/>
  <c r="A69" i="8"/>
  <c r="B68" i="8"/>
  <c r="B66" i="4"/>
  <c r="F63" i="5"/>
  <c r="E64" i="4"/>
  <c r="F64" i="4"/>
  <c r="H61" i="5"/>
  <c r="G62" i="4"/>
  <c r="G61" i="5"/>
  <c r="E63" i="5"/>
  <c r="D64" i="4"/>
  <c r="J60" i="4"/>
  <c r="K59" i="5"/>
  <c r="J59" i="5"/>
  <c r="I62" i="4"/>
  <c r="D63" i="5"/>
  <c r="C63" i="5"/>
  <c r="C64" i="4"/>
  <c r="I61" i="5"/>
  <c r="H62" i="4"/>
  <c r="A67" i="4"/>
  <c r="F64" i="1"/>
  <c r="D63" i="1"/>
  <c r="C64" i="1"/>
  <c r="D68" i="8" l="1"/>
  <c r="C68" i="8"/>
  <c r="A70" i="8"/>
  <c r="B69" i="8"/>
  <c r="E64" i="5"/>
  <c r="D65" i="4"/>
  <c r="H62" i="5"/>
  <c r="G63" i="4"/>
  <c r="G62" i="5"/>
  <c r="B67" i="4"/>
  <c r="I63" i="4"/>
  <c r="I62" i="5"/>
  <c r="H63" i="4"/>
  <c r="F65" i="4"/>
  <c r="D64" i="5"/>
  <c r="C64" i="5"/>
  <c r="C65" i="4"/>
  <c r="K60" i="5"/>
  <c r="J61" i="4"/>
  <c r="J60" i="5"/>
  <c r="F64" i="5"/>
  <c r="E65" i="4"/>
  <c r="A68" i="4"/>
  <c r="F65" i="1"/>
  <c r="D64" i="1"/>
  <c r="C65" i="1"/>
  <c r="D69" i="8" l="1"/>
  <c r="C69" i="8"/>
  <c r="A71" i="8"/>
  <c r="B70" i="8"/>
  <c r="B68" i="4"/>
  <c r="F66" i="4"/>
  <c r="I63" i="5"/>
  <c r="H64" i="4"/>
  <c r="J62" i="4"/>
  <c r="K61" i="5"/>
  <c r="J61" i="5"/>
  <c r="C65" i="5"/>
  <c r="D65" i="5"/>
  <c r="C66" i="4"/>
  <c r="E65" i="5"/>
  <c r="D66" i="4"/>
  <c r="I64" i="4"/>
  <c r="H63" i="5"/>
  <c r="G64" i="4"/>
  <c r="G63" i="5"/>
  <c r="F65" i="5"/>
  <c r="E66" i="4"/>
  <c r="A69" i="4"/>
  <c r="F66" i="1"/>
  <c r="D65" i="1"/>
  <c r="C66" i="1"/>
  <c r="D70" i="8" l="1"/>
  <c r="C70" i="8"/>
  <c r="A72" i="8"/>
  <c r="B71" i="8"/>
  <c r="D66" i="5"/>
  <c r="C66" i="5"/>
  <c r="C67" i="4"/>
  <c r="F66" i="5"/>
  <c r="E67" i="4"/>
  <c r="J63" i="4"/>
  <c r="K62" i="5"/>
  <c r="J62" i="5"/>
  <c r="I65" i="4"/>
  <c r="B69" i="4"/>
  <c r="F67" i="4"/>
  <c r="I64" i="5"/>
  <c r="H65" i="4"/>
  <c r="H64" i="5"/>
  <c r="G65" i="4"/>
  <c r="G64" i="5"/>
  <c r="E66" i="5"/>
  <c r="D67" i="4"/>
  <c r="A70" i="4"/>
  <c r="F67" i="1"/>
  <c r="C67" i="1"/>
  <c r="D66" i="1"/>
  <c r="D71" i="8" l="1"/>
  <c r="C71" i="8"/>
  <c r="A73" i="8"/>
  <c r="B72" i="8"/>
  <c r="H65" i="5"/>
  <c r="G66" i="4"/>
  <c r="G65" i="5"/>
  <c r="I66" i="4"/>
  <c r="I65" i="5"/>
  <c r="H66" i="4"/>
  <c r="J64" i="4"/>
  <c r="K63" i="5"/>
  <c r="J63" i="5"/>
  <c r="F68" i="4"/>
  <c r="B70" i="4"/>
  <c r="F67" i="5"/>
  <c r="E68" i="4"/>
  <c r="D67" i="5"/>
  <c r="C67" i="5"/>
  <c r="C68" i="4"/>
  <c r="E67" i="5"/>
  <c r="D68" i="4"/>
  <c r="A71" i="4"/>
  <c r="F68" i="1"/>
  <c r="C68" i="1"/>
  <c r="D67" i="1"/>
  <c r="D72" i="8" l="1"/>
  <c r="C72" i="8"/>
  <c r="A74" i="8"/>
  <c r="B73" i="8"/>
  <c r="F69" i="4"/>
  <c r="K64" i="5"/>
  <c r="J65" i="4"/>
  <c r="J64" i="5"/>
  <c r="I67" i="4"/>
  <c r="E68" i="5"/>
  <c r="D69" i="4"/>
  <c r="B71" i="4"/>
  <c r="F68" i="5"/>
  <c r="E69" i="4"/>
  <c r="H66" i="5"/>
  <c r="G67" i="4"/>
  <c r="G66" i="5"/>
  <c r="C68" i="5"/>
  <c r="D68" i="5"/>
  <c r="C69" i="4"/>
  <c r="I66" i="5"/>
  <c r="H67" i="4"/>
  <c r="A72" i="4"/>
  <c r="F69" i="1"/>
  <c r="D68" i="1"/>
  <c r="C69" i="1"/>
  <c r="D73" i="8" l="1"/>
  <c r="C73" i="8"/>
  <c r="A75" i="8"/>
  <c r="B74" i="8"/>
  <c r="C69" i="5"/>
  <c r="D69" i="5"/>
  <c r="C70" i="4"/>
  <c r="F69" i="5"/>
  <c r="E70" i="4"/>
  <c r="B72" i="4"/>
  <c r="I68" i="4"/>
  <c r="H67" i="5"/>
  <c r="G68" i="4"/>
  <c r="G67" i="5"/>
  <c r="F70" i="4"/>
  <c r="E69" i="5"/>
  <c r="D70" i="4"/>
  <c r="I67" i="5"/>
  <c r="H68" i="4"/>
  <c r="J66" i="4"/>
  <c r="K65" i="5"/>
  <c r="J65" i="5"/>
  <c r="A73" i="4"/>
  <c r="F70" i="1"/>
  <c r="D69" i="1"/>
  <c r="C70" i="1"/>
  <c r="D74" i="8" l="1"/>
  <c r="C74" i="8"/>
  <c r="A76" i="8"/>
  <c r="B75" i="8"/>
  <c r="K66" i="5"/>
  <c r="J67" i="4"/>
  <c r="J66" i="5"/>
  <c r="H68" i="5"/>
  <c r="G69" i="4"/>
  <c r="G68" i="5"/>
  <c r="B73" i="4"/>
  <c r="E70" i="5"/>
  <c r="D71" i="4"/>
  <c r="I69" i="4"/>
  <c r="F71" i="4"/>
  <c r="F70" i="5"/>
  <c r="E71" i="4"/>
  <c r="I68" i="5"/>
  <c r="H69" i="4"/>
  <c r="C70" i="5"/>
  <c r="D70" i="5"/>
  <c r="C71" i="4"/>
  <c r="A74" i="4"/>
  <c r="F71" i="1"/>
  <c r="D70" i="1"/>
  <c r="C71" i="1"/>
  <c r="D75" i="8" l="1"/>
  <c r="C75" i="8"/>
  <c r="A77" i="8"/>
  <c r="B76" i="8"/>
  <c r="F71" i="5"/>
  <c r="E72" i="4"/>
  <c r="J68" i="4"/>
  <c r="K67" i="5"/>
  <c r="J67" i="5"/>
  <c r="D71" i="5"/>
  <c r="C71" i="5"/>
  <c r="C72" i="4"/>
  <c r="F72" i="4"/>
  <c r="H69" i="5"/>
  <c r="G70" i="4"/>
  <c r="G69" i="5"/>
  <c r="I70" i="4"/>
  <c r="I69" i="5"/>
  <c r="H70" i="4"/>
  <c r="B74" i="4"/>
  <c r="E71" i="5"/>
  <c r="D72" i="4"/>
  <c r="A75" i="4"/>
  <c r="F72" i="1"/>
  <c r="C72" i="1"/>
  <c r="D71" i="1"/>
  <c r="D76" i="8" l="1"/>
  <c r="C76" i="8"/>
  <c r="B77" i="8"/>
  <c r="A78" i="8"/>
  <c r="I71" i="4"/>
  <c r="B75" i="4"/>
  <c r="I70" i="5"/>
  <c r="H71" i="4"/>
  <c r="C72" i="5"/>
  <c r="D72" i="5"/>
  <c r="C73" i="4"/>
  <c r="E72" i="5"/>
  <c r="D73" i="4"/>
  <c r="F72" i="5"/>
  <c r="E73" i="4"/>
  <c r="H70" i="5"/>
  <c r="G71" i="4"/>
  <c r="G70" i="5"/>
  <c r="J69" i="4"/>
  <c r="K68" i="5"/>
  <c r="J68" i="5"/>
  <c r="F73" i="4"/>
  <c r="A76" i="4"/>
  <c r="F73" i="1"/>
  <c r="D72" i="1"/>
  <c r="C73" i="1"/>
  <c r="D77" i="8" l="1"/>
  <c r="C77" i="8"/>
  <c r="A79" i="8"/>
  <c r="B78" i="8"/>
  <c r="B76" i="4"/>
  <c r="H71" i="5"/>
  <c r="G72" i="4"/>
  <c r="G71" i="5"/>
  <c r="F74" i="4"/>
  <c r="E73" i="5"/>
  <c r="D74" i="4"/>
  <c r="C73" i="5"/>
  <c r="D73" i="5"/>
  <c r="C74" i="4"/>
  <c r="I72" i="4"/>
  <c r="K69" i="5"/>
  <c r="J70" i="4"/>
  <c r="J69" i="5"/>
  <c r="I71" i="5"/>
  <c r="H72" i="4"/>
  <c r="F73" i="5"/>
  <c r="E74" i="4"/>
  <c r="A77" i="4"/>
  <c r="F74" i="1"/>
  <c r="D73" i="1"/>
  <c r="C74" i="1"/>
  <c r="D78" i="8" l="1"/>
  <c r="C78" i="8"/>
  <c r="B79" i="8"/>
  <c r="A80" i="8"/>
  <c r="C74" i="5"/>
  <c r="D74" i="5"/>
  <c r="C75" i="4"/>
  <c r="H72" i="5"/>
  <c r="G73" i="4"/>
  <c r="G72" i="5"/>
  <c r="B77" i="4"/>
  <c r="F75" i="4"/>
  <c r="F74" i="5"/>
  <c r="E75" i="4"/>
  <c r="I73" i="4"/>
  <c r="J71" i="4"/>
  <c r="K70" i="5"/>
  <c r="J70" i="5"/>
  <c r="E74" i="5"/>
  <c r="D75" i="4"/>
  <c r="I72" i="5"/>
  <c r="H73" i="4"/>
  <c r="A78" i="4"/>
  <c r="F75" i="1"/>
  <c r="D74" i="1"/>
  <c r="C75" i="1"/>
  <c r="D79" i="8" l="1"/>
  <c r="C79" i="8"/>
  <c r="A81" i="8"/>
  <c r="B80" i="8"/>
  <c r="K71" i="5"/>
  <c r="J72" i="4"/>
  <c r="J71" i="5"/>
  <c r="F76" i="4"/>
  <c r="H73" i="5"/>
  <c r="G74" i="4"/>
  <c r="G73" i="5"/>
  <c r="E75" i="5"/>
  <c r="D76" i="4"/>
  <c r="I73" i="5"/>
  <c r="H74" i="4"/>
  <c r="B78" i="4"/>
  <c r="I74" i="4"/>
  <c r="F75" i="5"/>
  <c r="E76" i="4"/>
  <c r="D75" i="5"/>
  <c r="C75" i="5"/>
  <c r="C76" i="4"/>
  <c r="A79" i="4"/>
  <c r="F76" i="1"/>
  <c r="C76" i="1"/>
  <c r="D75" i="1"/>
  <c r="D80" i="8" l="1"/>
  <c r="C80" i="8"/>
  <c r="B81" i="8"/>
  <c r="A82" i="8"/>
  <c r="I75" i="4"/>
  <c r="K72" i="5"/>
  <c r="J73" i="4"/>
  <c r="J72" i="5"/>
  <c r="F77" i="4"/>
  <c r="H74" i="5"/>
  <c r="G75" i="4"/>
  <c r="G74" i="5"/>
  <c r="B79" i="4"/>
  <c r="C76" i="5"/>
  <c r="D76" i="5"/>
  <c r="C77" i="4"/>
  <c r="E76" i="5"/>
  <c r="D77" i="4"/>
  <c r="I74" i="5"/>
  <c r="H75" i="4"/>
  <c r="F76" i="5"/>
  <c r="E77" i="4"/>
  <c r="A80" i="4"/>
  <c r="F77" i="1"/>
  <c r="C77" i="1"/>
  <c r="D76" i="1"/>
  <c r="D81" i="8" l="1"/>
  <c r="C81" i="8"/>
  <c r="A83" i="8"/>
  <c r="B82" i="8"/>
  <c r="I75" i="5"/>
  <c r="H76" i="4"/>
  <c r="F77" i="5"/>
  <c r="E78" i="4"/>
  <c r="C77" i="5"/>
  <c r="D77" i="5"/>
  <c r="C78" i="4"/>
  <c r="H75" i="5"/>
  <c r="G76" i="4"/>
  <c r="G75" i="5"/>
  <c r="B80" i="4"/>
  <c r="F78" i="4"/>
  <c r="I76" i="4"/>
  <c r="E77" i="5"/>
  <c r="D78" i="4"/>
  <c r="K73" i="5"/>
  <c r="J74" i="4"/>
  <c r="J73" i="5"/>
  <c r="A81" i="4"/>
  <c r="F78" i="1"/>
  <c r="D77" i="1"/>
  <c r="C78" i="1"/>
  <c r="D82" i="8" l="1"/>
  <c r="C82" i="8"/>
  <c r="B83" i="8"/>
  <c r="A84" i="8"/>
  <c r="K74" i="5"/>
  <c r="J75" i="4"/>
  <c r="J74" i="5"/>
  <c r="I76" i="5"/>
  <c r="H77" i="4"/>
  <c r="F79" i="4"/>
  <c r="H76" i="5"/>
  <c r="G77" i="4"/>
  <c r="G76" i="5"/>
  <c r="E78" i="5"/>
  <c r="D79" i="4"/>
  <c r="F78" i="5"/>
  <c r="E79" i="4"/>
  <c r="B81" i="4"/>
  <c r="D78" i="5"/>
  <c r="C78" i="5"/>
  <c r="C79" i="4"/>
  <c r="I77" i="4"/>
  <c r="A82" i="4"/>
  <c r="F79" i="1"/>
  <c r="D78" i="1"/>
  <c r="C79" i="1"/>
  <c r="D83" i="8" l="1"/>
  <c r="C83" i="8"/>
  <c r="A85" i="8"/>
  <c r="B84" i="8"/>
  <c r="D79" i="5"/>
  <c r="C79" i="5"/>
  <c r="C80" i="4"/>
  <c r="F80" i="4"/>
  <c r="E79" i="5"/>
  <c r="D80" i="4"/>
  <c r="I77" i="5"/>
  <c r="H78" i="4"/>
  <c r="I78" i="4"/>
  <c r="B82" i="4"/>
  <c r="F79" i="5"/>
  <c r="E80" i="4"/>
  <c r="J76" i="4"/>
  <c r="K75" i="5"/>
  <c r="J75" i="5"/>
  <c r="H77" i="5"/>
  <c r="G78" i="4"/>
  <c r="G77" i="5"/>
  <c r="A83" i="4"/>
  <c r="F80" i="1"/>
  <c r="C80" i="1"/>
  <c r="D79" i="1"/>
  <c r="D84" i="8" l="1"/>
  <c r="C84" i="8"/>
  <c r="B85" i="8"/>
  <c r="A86" i="8"/>
  <c r="I79" i="4"/>
  <c r="H78" i="5"/>
  <c r="G79" i="4"/>
  <c r="G78" i="5"/>
  <c r="I78" i="5"/>
  <c r="H79" i="4"/>
  <c r="F80" i="5"/>
  <c r="E81" i="4"/>
  <c r="C80" i="5"/>
  <c r="D80" i="5"/>
  <c r="C81" i="4"/>
  <c r="B83" i="4"/>
  <c r="K76" i="5"/>
  <c r="J77" i="4"/>
  <c r="J76" i="5"/>
  <c r="F81" i="4"/>
  <c r="E80" i="5"/>
  <c r="D81" i="4"/>
  <c r="A84" i="4"/>
  <c r="F81" i="1"/>
  <c r="C81" i="1"/>
  <c r="D80" i="1"/>
  <c r="D85" i="8" l="1"/>
  <c r="C85" i="8"/>
  <c r="A87" i="8"/>
  <c r="B86" i="8"/>
  <c r="J78" i="4"/>
  <c r="K77" i="5"/>
  <c r="J77" i="5"/>
  <c r="B84" i="4"/>
  <c r="F81" i="5"/>
  <c r="E82" i="4"/>
  <c r="E81" i="5"/>
  <c r="D82" i="4"/>
  <c r="I79" i="5"/>
  <c r="H80" i="4"/>
  <c r="D81" i="5"/>
  <c r="C81" i="5"/>
  <c r="C82" i="4"/>
  <c r="I80" i="4"/>
  <c r="F82" i="4"/>
  <c r="H79" i="5"/>
  <c r="G80" i="4"/>
  <c r="G79" i="5"/>
  <c r="A85" i="4"/>
  <c r="F82" i="1"/>
  <c r="C82" i="1"/>
  <c r="D81" i="1"/>
  <c r="D86" i="8" l="1"/>
  <c r="C86" i="8"/>
  <c r="B87" i="8"/>
  <c r="A88" i="8"/>
  <c r="H80" i="5"/>
  <c r="G81" i="4"/>
  <c r="G80" i="5"/>
  <c r="C82" i="5"/>
  <c r="D82" i="5"/>
  <c r="C83" i="4"/>
  <c r="B85" i="4"/>
  <c r="F82" i="5"/>
  <c r="E83" i="4"/>
  <c r="I80" i="5"/>
  <c r="H81" i="4"/>
  <c r="E82" i="5"/>
  <c r="D83" i="4"/>
  <c r="K78" i="5"/>
  <c r="J79" i="4"/>
  <c r="J78" i="5"/>
  <c r="I81" i="4"/>
  <c r="F83" i="4"/>
  <c r="A86" i="4"/>
  <c r="F83" i="1"/>
  <c r="D82" i="1"/>
  <c r="C83" i="1"/>
  <c r="D87" i="8" l="1"/>
  <c r="C87" i="8"/>
  <c r="A89" i="8"/>
  <c r="B88" i="8"/>
  <c r="H81" i="5"/>
  <c r="G82" i="4"/>
  <c r="G81" i="5"/>
  <c r="B86" i="4"/>
  <c r="I82" i="4"/>
  <c r="J80" i="4"/>
  <c r="K79" i="5"/>
  <c r="J79" i="5"/>
  <c r="F83" i="5"/>
  <c r="E84" i="4"/>
  <c r="F84" i="4"/>
  <c r="C83" i="5"/>
  <c r="D83" i="5"/>
  <c r="C84" i="4"/>
  <c r="E83" i="5"/>
  <c r="D84" i="4"/>
  <c r="I81" i="5"/>
  <c r="H82" i="4"/>
  <c r="A87" i="4"/>
  <c r="F84" i="1"/>
  <c r="C84" i="1"/>
  <c r="D83" i="1"/>
  <c r="D88" i="8" l="1"/>
  <c r="C88" i="8"/>
  <c r="B89" i="8"/>
  <c r="A90" i="8"/>
  <c r="I83" i="4"/>
  <c r="E84" i="5"/>
  <c r="D85" i="4"/>
  <c r="H82" i="5"/>
  <c r="G83" i="4"/>
  <c r="G82" i="5"/>
  <c r="B87" i="4"/>
  <c r="C84" i="5"/>
  <c r="D84" i="5"/>
  <c r="C85" i="4"/>
  <c r="F85" i="4"/>
  <c r="F84" i="5"/>
  <c r="E85" i="4"/>
  <c r="J81" i="4"/>
  <c r="K80" i="5"/>
  <c r="J80" i="5"/>
  <c r="I82" i="5"/>
  <c r="H83" i="4"/>
  <c r="A88" i="4"/>
  <c r="F85" i="1"/>
  <c r="D84" i="1"/>
  <c r="C85" i="1"/>
  <c r="D89" i="8" l="1"/>
  <c r="C89" i="8"/>
  <c r="A91" i="8"/>
  <c r="B90" i="8"/>
  <c r="H83" i="5"/>
  <c r="G84" i="4"/>
  <c r="G83" i="5"/>
  <c r="F85" i="5"/>
  <c r="E86" i="4"/>
  <c r="K81" i="5"/>
  <c r="J82" i="4"/>
  <c r="J81" i="5"/>
  <c r="F86" i="4"/>
  <c r="E85" i="5"/>
  <c r="D86" i="4"/>
  <c r="B88" i="4"/>
  <c r="I84" i="4"/>
  <c r="C85" i="5"/>
  <c r="D85" i="5"/>
  <c r="C86" i="4"/>
  <c r="I83" i="5"/>
  <c r="H84" i="4"/>
  <c r="A89" i="4"/>
  <c r="F86" i="1"/>
  <c r="C86" i="1"/>
  <c r="D85" i="1"/>
  <c r="D90" i="8" l="1"/>
  <c r="C90" i="8"/>
  <c r="B91" i="8"/>
  <c r="A92" i="8"/>
  <c r="C86" i="5"/>
  <c r="D86" i="5"/>
  <c r="C87" i="4"/>
  <c r="F87" i="4"/>
  <c r="B89" i="4"/>
  <c r="I85" i="4"/>
  <c r="K82" i="5"/>
  <c r="J83" i="4"/>
  <c r="J82" i="5"/>
  <c r="F86" i="5"/>
  <c r="E87" i="4"/>
  <c r="H84" i="5"/>
  <c r="G85" i="4"/>
  <c r="G84" i="5"/>
  <c r="E86" i="5"/>
  <c r="D87" i="4"/>
  <c r="I84" i="5"/>
  <c r="H85" i="4"/>
  <c r="A90" i="4"/>
  <c r="F87" i="1"/>
  <c r="C87" i="1"/>
  <c r="D86" i="1"/>
  <c r="D91" i="8" l="1"/>
  <c r="C91" i="8"/>
  <c r="A93" i="8"/>
  <c r="B92" i="8"/>
  <c r="B90" i="4"/>
  <c r="I86" i="4"/>
  <c r="I85" i="5"/>
  <c r="H86" i="4"/>
  <c r="E87" i="5"/>
  <c r="D88" i="4"/>
  <c r="H85" i="5"/>
  <c r="G86" i="4"/>
  <c r="G85" i="5"/>
  <c r="F88" i="4"/>
  <c r="J84" i="4"/>
  <c r="K83" i="5"/>
  <c r="J83" i="5"/>
  <c r="F87" i="5"/>
  <c r="E88" i="4"/>
  <c r="D87" i="5"/>
  <c r="C87" i="5"/>
  <c r="C88" i="4"/>
  <c r="A91" i="4"/>
  <c r="F88" i="1"/>
  <c r="C88" i="1"/>
  <c r="D87" i="1"/>
  <c r="D92" i="8" l="1"/>
  <c r="C92" i="8"/>
  <c r="B93" i="8"/>
  <c r="A94" i="8"/>
  <c r="I87" i="4"/>
  <c r="E88" i="5"/>
  <c r="D89" i="4"/>
  <c r="H86" i="5"/>
  <c r="G87" i="4"/>
  <c r="G86" i="5"/>
  <c r="F88" i="5"/>
  <c r="E89" i="4"/>
  <c r="F89" i="4"/>
  <c r="I86" i="5"/>
  <c r="H87" i="4"/>
  <c r="B91" i="4"/>
  <c r="D88" i="5"/>
  <c r="C88" i="5"/>
  <c r="C89" i="4"/>
  <c r="K84" i="5"/>
  <c r="J85" i="4"/>
  <c r="J84" i="5"/>
  <c r="A92" i="4"/>
  <c r="F89" i="1"/>
  <c r="C89" i="1"/>
  <c r="D88" i="1"/>
  <c r="D93" i="8" l="1"/>
  <c r="C93" i="8"/>
  <c r="A95" i="8"/>
  <c r="B94" i="8"/>
  <c r="B92" i="4"/>
  <c r="H87" i="5"/>
  <c r="G88" i="4"/>
  <c r="G87" i="5"/>
  <c r="F89" i="5"/>
  <c r="E90" i="4"/>
  <c r="K85" i="5"/>
  <c r="J86" i="4"/>
  <c r="J85" i="5"/>
  <c r="D89" i="5"/>
  <c r="C89" i="5"/>
  <c r="C90" i="4"/>
  <c r="I88" i="4"/>
  <c r="F90" i="4"/>
  <c r="E89" i="5"/>
  <c r="D90" i="4"/>
  <c r="I87" i="5"/>
  <c r="H88" i="4"/>
  <c r="A93" i="4"/>
  <c r="F90" i="1"/>
  <c r="D89" i="1"/>
  <c r="C90" i="1"/>
  <c r="D94" i="8" l="1"/>
  <c r="C94" i="8"/>
  <c r="B95" i="8"/>
  <c r="A96" i="8"/>
  <c r="H88" i="5"/>
  <c r="G89" i="4"/>
  <c r="G88" i="5"/>
  <c r="B93" i="4"/>
  <c r="I89" i="4"/>
  <c r="C90" i="5"/>
  <c r="D90" i="5"/>
  <c r="C91" i="4"/>
  <c r="E90" i="5"/>
  <c r="D91" i="4"/>
  <c r="I88" i="5"/>
  <c r="H89" i="4"/>
  <c r="F90" i="5"/>
  <c r="E91" i="4"/>
  <c r="K86" i="5"/>
  <c r="J87" i="4"/>
  <c r="J86" i="5"/>
  <c r="F91" i="4"/>
  <c r="A94" i="4"/>
  <c r="F91" i="1"/>
  <c r="C91" i="1"/>
  <c r="D90" i="1"/>
  <c r="D95" i="8" l="1"/>
  <c r="C95" i="8"/>
  <c r="A97" i="8"/>
  <c r="B96" i="8"/>
  <c r="D91" i="5"/>
  <c r="C91" i="5"/>
  <c r="C92" i="4"/>
  <c r="H89" i="5"/>
  <c r="G90" i="4"/>
  <c r="G89" i="5"/>
  <c r="K87" i="5"/>
  <c r="J88" i="4"/>
  <c r="J87" i="5"/>
  <c r="F92" i="4"/>
  <c r="F91" i="5"/>
  <c r="E92" i="4"/>
  <c r="I90" i="4"/>
  <c r="E91" i="5"/>
  <c r="D92" i="4"/>
  <c r="B94" i="4"/>
  <c r="I89" i="5"/>
  <c r="H90" i="4"/>
  <c r="A95" i="4"/>
  <c r="F92" i="1"/>
  <c r="D91" i="1"/>
  <c r="C92" i="1"/>
  <c r="D96" i="8" l="1"/>
  <c r="C96" i="8"/>
  <c r="B97" i="8"/>
  <c r="A98" i="8"/>
  <c r="B95" i="4"/>
  <c r="I91" i="4"/>
  <c r="H90" i="5"/>
  <c r="G91" i="4"/>
  <c r="G90" i="5"/>
  <c r="C92" i="5"/>
  <c r="D92" i="5"/>
  <c r="C93" i="4"/>
  <c r="F92" i="5"/>
  <c r="E93" i="4"/>
  <c r="F93" i="4"/>
  <c r="I90" i="5"/>
  <c r="H91" i="4"/>
  <c r="J89" i="4"/>
  <c r="K88" i="5"/>
  <c r="J88" i="5"/>
  <c r="E92" i="5"/>
  <c r="D93" i="4"/>
  <c r="A96" i="4"/>
  <c r="F93" i="1"/>
  <c r="D92" i="1"/>
  <c r="C93" i="1"/>
  <c r="D97" i="8" l="1"/>
  <c r="C97" i="8"/>
  <c r="A99" i="8"/>
  <c r="B98" i="8"/>
  <c r="I91" i="5"/>
  <c r="H92" i="4"/>
  <c r="B96" i="4"/>
  <c r="D93" i="5"/>
  <c r="C93" i="5"/>
  <c r="C94" i="4"/>
  <c r="J90" i="4"/>
  <c r="K89" i="5"/>
  <c r="J89" i="5"/>
  <c r="I92" i="4"/>
  <c r="F94" i="4"/>
  <c r="H91" i="5"/>
  <c r="G92" i="4"/>
  <c r="G91" i="5"/>
  <c r="E93" i="5"/>
  <c r="D94" i="4"/>
  <c r="F93" i="5"/>
  <c r="E94" i="4"/>
  <c r="A97" i="4"/>
  <c r="F94" i="1"/>
  <c r="D93" i="1"/>
  <c r="C94" i="1"/>
  <c r="D98" i="8" l="1"/>
  <c r="C98" i="8"/>
  <c r="B99" i="8"/>
  <c r="A100" i="8"/>
  <c r="H92" i="5"/>
  <c r="G93" i="4"/>
  <c r="G92" i="5"/>
  <c r="I92" i="5"/>
  <c r="H93" i="4"/>
  <c r="E94" i="5"/>
  <c r="D95" i="4"/>
  <c r="B97" i="4"/>
  <c r="F95" i="4"/>
  <c r="F94" i="5"/>
  <c r="E95" i="4"/>
  <c r="K90" i="5"/>
  <c r="J91" i="4"/>
  <c r="J90" i="5"/>
  <c r="C94" i="5"/>
  <c r="D94" i="5"/>
  <c r="C95" i="4"/>
  <c r="I93" i="4"/>
  <c r="A98" i="4"/>
  <c r="F95" i="1"/>
  <c r="C95" i="1"/>
  <c r="D94" i="1"/>
  <c r="D99" i="8" l="1"/>
  <c r="C99" i="8"/>
  <c r="A101" i="8"/>
  <c r="B100" i="8"/>
  <c r="K91" i="5"/>
  <c r="J92" i="4"/>
  <c r="J91" i="5"/>
  <c r="F96" i="4"/>
  <c r="H93" i="5"/>
  <c r="G94" i="4"/>
  <c r="G93" i="5"/>
  <c r="F95" i="5"/>
  <c r="E96" i="4"/>
  <c r="D95" i="5"/>
  <c r="C95" i="5"/>
  <c r="C96" i="4"/>
  <c r="I94" i="4"/>
  <c r="B98" i="4"/>
  <c r="E95" i="5"/>
  <c r="D96" i="4"/>
  <c r="I93" i="5"/>
  <c r="H94" i="4"/>
  <c r="A99" i="4"/>
  <c r="F96" i="1"/>
  <c r="D95" i="1"/>
  <c r="C96" i="1"/>
  <c r="D100" i="8" l="1"/>
  <c r="C100" i="8"/>
  <c r="B101" i="8"/>
  <c r="A102" i="8"/>
  <c r="I94" i="5"/>
  <c r="H95" i="4"/>
  <c r="C96" i="5"/>
  <c r="D96" i="5"/>
  <c r="C97" i="4"/>
  <c r="H94" i="5"/>
  <c r="G95" i="4"/>
  <c r="G94" i="5"/>
  <c r="B99" i="4"/>
  <c r="I95" i="4"/>
  <c r="E96" i="5"/>
  <c r="D97" i="4"/>
  <c r="J93" i="4"/>
  <c r="K92" i="5"/>
  <c r="J92" i="5"/>
  <c r="F96" i="5"/>
  <c r="E97" i="4"/>
  <c r="F97" i="4"/>
  <c r="A100" i="4"/>
  <c r="F97" i="1"/>
  <c r="C97" i="1"/>
  <c r="D96" i="1"/>
  <c r="D101" i="8" l="1"/>
  <c r="C101" i="8"/>
  <c r="A103" i="8"/>
  <c r="B102" i="8"/>
  <c r="K93" i="5"/>
  <c r="J94" i="4"/>
  <c r="J93" i="5"/>
  <c r="F97" i="5"/>
  <c r="E98" i="4"/>
  <c r="E97" i="5"/>
  <c r="D98" i="4"/>
  <c r="B100" i="4"/>
  <c r="I95" i="5"/>
  <c r="H96" i="4"/>
  <c r="H95" i="5"/>
  <c r="G96" i="4"/>
  <c r="G95" i="5"/>
  <c r="D97" i="5"/>
  <c r="C97" i="5"/>
  <c r="C98" i="4"/>
  <c r="F98" i="4"/>
  <c r="I96" i="4"/>
  <c r="A101" i="4"/>
  <c r="F98" i="1"/>
  <c r="D97" i="1"/>
  <c r="C98" i="1"/>
  <c r="D102" i="8" l="1"/>
  <c r="C102" i="8"/>
  <c r="B103" i="8"/>
  <c r="A104" i="8"/>
  <c r="F99" i="4"/>
  <c r="C98" i="5"/>
  <c r="D98" i="5"/>
  <c r="C99" i="4"/>
  <c r="I96" i="5"/>
  <c r="H97" i="4"/>
  <c r="E98" i="5"/>
  <c r="D99" i="4"/>
  <c r="F98" i="5"/>
  <c r="E99" i="4"/>
  <c r="B101" i="4"/>
  <c r="K94" i="5"/>
  <c r="J95" i="4"/>
  <c r="J94" i="5"/>
  <c r="H96" i="5"/>
  <c r="G97" i="4"/>
  <c r="G96" i="5"/>
  <c r="I97" i="4"/>
  <c r="A102" i="4"/>
  <c r="F99" i="1"/>
  <c r="C99" i="1"/>
  <c r="D98" i="1"/>
  <c r="D103" i="8" l="1"/>
  <c r="C103" i="8"/>
  <c r="A105" i="8"/>
  <c r="B104" i="8"/>
  <c r="I97" i="5"/>
  <c r="H98" i="4"/>
  <c r="F99" i="5"/>
  <c r="E100" i="4"/>
  <c r="E99" i="5"/>
  <c r="D100" i="4"/>
  <c r="B102" i="4"/>
  <c r="K95" i="5"/>
  <c r="J96" i="4"/>
  <c r="J95" i="5"/>
  <c r="D99" i="5"/>
  <c r="C99" i="5"/>
  <c r="C100" i="4"/>
  <c r="H97" i="5"/>
  <c r="G98" i="4"/>
  <c r="G97" i="5"/>
  <c r="F100" i="4"/>
  <c r="I98" i="4"/>
  <c r="A103" i="4"/>
  <c r="F100" i="1"/>
  <c r="C100" i="1"/>
  <c r="D99" i="1"/>
  <c r="D104" i="8" l="1"/>
  <c r="C104" i="8"/>
  <c r="B105" i="8"/>
  <c r="A106" i="8"/>
  <c r="C100" i="5"/>
  <c r="D100" i="5"/>
  <c r="C101" i="4"/>
  <c r="I98" i="5"/>
  <c r="H99" i="4"/>
  <c r="K96" i="5"/>
  <c r="J97" i="4"/>
  <c r="J96" i="5"/>
  <c r="H98" i="5"/>
  <c r="G99" i="4"/>
  <c r="G98" i="5"/>
  <c r="B103" i="4"/>
  <c r="E100" i="5"/>
  <c r="D101" i="4"/>
  <c r="F101" i="4"/>
  <c r="F100" i="5"/>
  <c r="E101" i="4"/>
  <c r="I99" i="4"/>
  <c r="A104" i="4"/>
  <c r="F101" i="1"/>
  <c r="D100" i="1"/>
  <c r="C101" i="1"/>
  <c r="D105" i="8" l="1"/>
  <c r="C105" i="8"/>
  <c r="A107" i="8"/>
  <c r="B106" i="8"/>
  <c r="I100" i="4"/>
  <c r="B104" i="4"/>
  <c r="E101" i="5"/>
  <c r="D102" i="4"/>
  <c r="K97" i="5"/>
  <c r="J98" i="4"/>
  <c r="J97" i="5"/>
  <c r="H99" i="5"/>
  <c r="G100" i="4"/>
  <c r="G99" i="5"/>
  <c r="F102" i="4"/>
  <c r="F101" i="5"/>
  <c r="E102" i="4"/>
  <c r="I99" i="5"/>
  <c r="H100" i="4"/>
  <c r="D101" i="5"/>
  <c r="C101" i="5"/>
  <c r="C102" i="4"/>
  <c r="A105" i="4"/>
  <c r="F102" i="1"/>
  <c r="C102" i="1"/>
  <c r="D101" i="1"/>
  <c r="D106" i="8" l="1"/>
  <c r="C106" i="8"/>
  <c r="B107" i="8"/>
  <c r="A108" i="8"/>
  <c r="F102" i="5"/>
  <c r="E103" i="4"/>
  <c r="H100" i="5"/>
  <c r="G101" i="4"/>
  <c r="G100" i="5"/>
  <c r="E102" i="5"/>
  <c r="D103" i="4"/>
  <c r="F103" i="4"/>
  <c r="I101" i="4"/>
  <c r="K98" i="5"/>
  <c r="J99" i="4"/>
  <c r="J98" i="5"/>
  <c r="B105" i="4"/>
  <c r="C102" i="5"/>
  <c r="D102" i="5"/>
  <c r="C103" i="4"/>
  <c r="I100" i="5"/>
  <c r="H101" i="4"/>
  <c r="A106" i="4"/>
  <c r="F103" i="1"/>
  <c r="D102" i="1"/>
  <c r="C103" i="1"/>
  <c r="D107" i="8" l="1"/>
  <c r="C107" i="8"/>
  <c r="A109" i="8"/>
  <c r="B108" i="8"/>
  <c r="E103" i="5"/>
  <c r="D104" i="4"/>
  <c r="D103" i="5"/>
  <c r="C103" i="5"/>
  <c r="C104" i="4"/>
  <c r="B106" i="4"/>
  <c r="I102" i="4"/>
  <c r="I101" i="5"/>
  <c r="H102" i="4"/>
  <c r="J100" i="4"/>
  <c r="K99" i="5"/>
  <c r="J99" i="5"/>
  <c r="F103" i="5"/>
  <c r="E104" i="4"/>
  <c r="H101" i="5"/>
  <c r="G102" i="4"/>
  <c r="G101" i="5"/>
  <c r="F104" i="4"/>
  <c r="A107" i="4"/>
  <c r="F104" i="1"/>
  <c r="D103" i="1"/>
  <c r="C104" i="1"/>
  <c r="D108" i="8" l="1"/>
  <c r="C108" i="8"/>
  <c r="B109" i="8"/>
  <c r="I102" i="5"/>
  <c r="H103" i="4"/>
  <c r="C104" i="5"/>
  <c r="D104" i="5"/>
  <c r="C105" i="4"/>
  <c r="B107" i="4"/>
  <c r="E104" i="5"/>
  <c r="D105" i="4"/>
  <c r="H102" i="5"/>
  <c r="G103" i="4"/>
  <c r="G102" i="5"/>
  <c r="F105" i="4"/>
  <c r="J101" i="4"/>
  <c r="K100" i="5"/>
  <c r="J100" i="5"/>
  <c r="I103" i="4"/>
  <c r="F104" i="5"/>
  <c r="E105" i="4"/>
  <c r="A108" i="4"/>
  <c r="F105" i="1"/>
  <c r="D104" i="1"/>
  <c r="C105" i="1"/>
  <c r="D109" i="8" l="1"/>
  <c r="G10" i="8" s="1"/>
  <c r="C109" i="8"/>
  <c r="K101" i="5"/>
  <c r="J102" i="4"/>
  <c r="J101" i="5"/>
  <c r="E105" i="5"/>
  <c r="D106" i="4"/>
  <c r="F106" i="4"/>
  <c r="H103" i="5"/>
  <c r="G104" i="4"/>
  <c r="G103" i="5"/>
  <c r="F105" i="5"/>
  <c r="E106" i="4"/>
  <c r="D105" i="5"/>
  <c r="C105" i="5"/>
  <c r="C106" i="4"/>
  <c r="B108" i="4"/>
  <c r="I103" i="5"/>
  <c r="H104" i="4"/>
  <c r="I104" i="4"/>
  <c r="A109" i="4"/>
  <c r="F106" i="1"/>
  <c r="D105" i="1"/>
  <c r="C106" i="1"/>
  <c r="F107" i="4" l="1"/>
  <c r="I104" i="5"/>
  <c r="H105" i="4"/>
  <c r="F106" i="5"/>
  <c r="E107" i="4"/>
  <c r="J103" i="4"/>
  <c r="K102" i="5"/>
  <c r="J102" i="5"/>
  <c r="C106" i="5"/>
  <c r="D106" i="5"/>
  <c r="C107" i="4"/>
  <c r="H104" i="5"/>
  <c r="G105" i="4"/>
  <c r="G104" i="5"/>
  <c r="B109" i="4"/>
  <c r="I105" i="4"/>
  <c r="E106" i="5"/>
  <c r="D107" i="4"/>
  <c r="F107" i="1"/>
  <c r="C107" i="1"/>
  <c r="D106" i="1"/>
  <c r="F107" i="5" l="1"/>
  <c r="E108" i="4"/>
  <c r="H105" i="5"/>
  <c r="G106" i="4"/>
  <c r="G105" i="5"/>
  <c r="E107" i="5"/>
  <c r="D108" i="4"/>
  <c r="I106" i="4"/>
  <c r="C107" i="5"/>
  <c r="D107" i="5"/>
  <c r="C108" i="4"/>
  <c r="I105" i="5"/>
  <c r="H106" i="4"/>
  <c r="K103" i="5"/>
  <c r="J104" i="4"/>
  <c r="J103" i="5"/>
  <c r="F108" i="4"/>
  <c r="F108" i="1"/>
  <c r="C108" i="1"/>
  <c r="D107" i="1"/>
  <c r="E108" i="5" l="1"/>
  <c r="D109" i="4"/>
  <c r="I106" i="5"/>
  <c r="H107" i="4"/>
  <c r="C108" i="5"/>
  <c r="D108" i="5"/>
  <c r="C109" i="4"/>
  <c r="F108" i="5"/>
  <c r="E109" i="4"/>
  <c r="K104" i="5"/>
  <c r="J105" i="4"/>
  <c r="J104" i="5"/>
  <c r="I107" i="4"/>
  <c r="H106" i="5"/>
  <c r="G107" i="4"/>
  <c r="G106" i="5"/>
  <c r="F109" i="4"/>
  <c r="F109" i="1"/>
  <c r="C109" i="1"/>
  <c r="D108" i="1"/>
  <c r="K105" i="5" l="1"/>
  <c r="J106" i="4"/>
  <c r="J105" i="5"/>
  <c r="I108" i="4"/>
  <c r="I107" i="5"/>
  <c r="H108" i="4"/>
  <c r="H107" i="5"/>
  <c r="G108" i="4"/>
  <c r="G107" i="5"/>
  <c r="F110" i="1"/>
  <c r="D109" i="1"/>
  <c r="C110" i="1"/>
  <c r="I108" i="5" l="1"/>
  <c r="H109" i="4"/>
  <c r="K106" i="5"/>
  <c r="J107" i="4"/>
  <c r="J106" i="5"/>
  <c r="H108" i="5"/>
  <c r="G109" i="4"/>
  <c r="G108" i="5"/>
  <c r="I109" i="4"/>
  <c r="F111" i="1"/>
  <c r="D110" i="1"/>
  <c r="C111" i="1"/>
  <c r="J108" i="4" l="1"/>
  <c r="K107" i="5"/>
  <c r="J107" i="5"/>
  <c r="F112" i="1"/>
  <c r="D111" i="1"/>
  <c r="C112" i="1"/>
  <c r="K108" i="5" l="1"/>
  <c r="J109" i="4"/>
  <c r="J108" i="5"/>
  <c r="F113" i="1"/>
  <c r="C113" i="1"/>
  <c r="D112" i="1"/>
  <c r="F114" i="1" l="1"/>
  <c r="C114" i="1"/>
  <c r="D113" i="1"/>
  <c r="F115" i="1" l="1"/>
  <c r="D114" i="1"/>
  <c r="C115" i="1"/>
  <c r="F116" i="1" l="1"/>
  <c r="D115" i="1"/>
  <c r="C116" i="1"/>
  <c r="F117" i="1" l="1"/>
  <c r="C117" i="1"/>
  <c r="D116" i="1"/>
  <c r="F118" i="1" l="1"/>
  <c r="C118" i="1"/>
  <c r="D117" i="1"/>
  <c r="F119" i="1" l="1"/>
  <c r="C119" i="1"/>
  <c r="D118" i="1"/>
  <c r="F120" i="1" l="1"/>
  <c r="C120" i="1"/>
  <c r="D119" i="1"/>
  <c r="F121" i="1" l="1"/>
  <c r="C121" i="1"/>
  <c r="D120" i="1"/>
  <c r="F122" i="1" l="1"/>
  <c r="D121" i="1"/>
  <c r="C122" i="1"/>
  <c r="F123" i="1" l="1"/>
  <c r="C123" i="1"/>
  <c r="D122" i="1"/>
  <c r="F124" i="1" l="1"/>
  <c r="D123" i="1"/>
  <c r="C124" i="1"/>
  <c r="F125" i="1" l="1"/>
  <c r="D124" i="1"/>
  <c r="C125" i="1"/>
  <c r="F126" i="1" l="1"/>
  <c r="D125" i="1"/>
  <c r="C126" i="1"/>
  <c r="F127" i="1" l="1"/>
  <c r="D126" i="1"/>
  <c r="C127" i="1"/>
  <c r="F128" i="1" l="1"/>
  <c r="D127" i="1"/>
  <c r="C128" i="1"/>
  <c r="F129" i="1" l="1"/>
  <c r="C129" i="1"/>
  <c r="D128" i="1"/>
  <c r="F130" i="1" l="1"/>
  <c r="D129" i="1"/>
  <c r="C130" i="1"/>
  <c r="F131" i="1" l="1"/>
  <c r="C131" i="1"/>
  <c r="D130" i="1"/>
  <c r="F132" i="1" l="1"/>
  <c r="D131" i="1"/>
  <c r="C132" i="1"/>
  <c r="F133" i="1" l="1"/>
  <c r="D132" i="1"/>
  <c r="C133" i="1"/>
  <c r="F134" i="1" l="1"/>
  <c r="D133" i="1"/>
  <c r="C134" i="1"/>
  <c r="F135" i="1" l="1"/>
  <c r="C135" i="1"/>
  <c r="D134" i="1"/>
  <c r="F136" i="1" l="1"/>
  <c r="D135" i="1"/>
  <c r="C136" i="1"/>
  <c r="F137" i="1" l="1"/>
  <c r="D136" i="1"/>
  <c r="C137" i="1"/>
  <c r="F138" i="1" l="1"/>
  <c r="C138" i="1"/>
  <c r="D137" i="1"/>
  <c r="F139" i="1" l="1"/>
  <c r="D138" i="1"/>
  <c r="C139" i="1"/>
  <c r="F140" i="1" l="1"/>
  <c r="C140" i="1"/>
  <c r="D139" i="1"/>
  <c r="F141" i="1" l="1"/>
  <c r="C141" i="1"/>
  <c r="D140" i="1"/>
  <c r="F142" i="1" l="1"/>
  <c r="C142" i="1"/>
  <c r="D141" i="1"/>
  <c r="F143" i="1" l="1"/>
  <c r="C143" i="1"/>
  <c r="D142" i="1"/>
  <c r="F144" i="1" l="1"/>
  <c r="D143" i="1"/>
  <c r="C144" i="1"/>
  <c r="F145" i="1" l="1"/>
  <c r="D144" i="1"/>
  <c r="C145" i="1"/>
  <c r="F146" i="1" l="1"/>
  <c r="C146" i="1"/>
  <c r="D145" i="1"/>
  <c r="F147" i="1" l="1"/>
  <c r="C147" i="1"/>
  <c r="D146" i="1"/>
  <c r="F148" i="1" l="1"/>
  <c r="D147" i="1"/>
  <c r="C148" i="1"/>
  <c r="F149" i="1" l="1"/>
  <c r="D148" i="1"/>
  <c r="C149" i="1"/>
  <c r="F150" i="1" l="1"/>
  <c r="C150" i="1"/>
  <c r="D149" i="1"/>
  <c r="F151" i="1" l="1"/>
  <c r="C151" i="1"/>
  <c r="D150" i="1"/>
  <c r="F152" i="1" l="1"/>
  <c r="D151" i="1"/>
  <c r="C152" i="1"/>
  <c r="F153" i="1" l="1"/>
  <c r="D152" i="1"/>
  <c r="C153" i="1"/>
  <c r="F154" i="1" l="1"/>
  <c r="C154" i="1"/>
  <c r="D153" i="1"/>
  <c r="F155" i="1" l="1"/>
  <c r="D154" i="1"/>
  <c r="C155" i="1"/>
  <c r="F156" i="1" l="1"/>
  <c r="C156" i="1"/>
  <c r="D155" i="1"/>
  <c r="F157" i="1" l="1"/>
  <c r="D156" i="1"/>
  <c r="C157" i="1"/>
  <c r="F158" i="1" l="1"/>
  <c r="C158" i="1"/>
  <c r="D157" i="1"/>
  <c r="F159" i="1" l="1"/>
  <c r="D158" i="1"/>
  <c r="C159" i="1"/>
  <c r="F160" i="1" l="1"/>
  <c r="D159" i="1"/>
  <c r="C160" i="1"/>
  <c r="F161" i="1" l="1"/>
  <c r="D160" i="1"/>
  <c r="C161" i="1"/>
  <c r="F162" i="1" l="1"/>
  <c r="D161" i="1"/>
  <c r="C162" i="1"/>
  <c r="F163" i="1" l="1"/>
  <c r="D162" i="1"/>
  <c r="C163" i="1"/>
  <c r="F164" i="1" l="1"/>
  <c r="C164" i="1"/>
  <c r="D163" i="1"/>
  <c r="F165" i="1" l="1"/>
  <c r="C165" i="1"/>
  <c r="D164" i="1"/>
  <c r="F166" i="1" l="1"/>
  <c r="D165" i="1"/>
  <c r="C166" i="1"/>
  <c r="F167" i="1" l="1"/>
  <c r="D166" i="1"/>
  <c r="C167" i="1"/>
  <c r="F168" i="1" l="1"/>
  <c r="D167" i="1"/>
  <c r="C168" i="1"/>
  <c r="F169" i="1" l="1"/>
  <c r="C169" i="1"/>
  <c r="D168" i="1"/>
  <c r="F170" i="1" l="1"/>
  <c r="D169" i="1"/>
  <c r="C170" i="1"/>
  <c r="F171" i="1" l="1"/>
  <c r="C171" i="1"/>
  <c r="D170" i="1"/>
  <c r="F172" i="1" l="1"/>
  <c r="D171" i="1"/>
  <c r="C172" i="1"/>
  <c r="F173" i="1" l="1"/>
  <c r="C173" i="1"/>
  <c r="D172" i="1"/>
  <c r="F174" i="1" l="1"/>
  <c r="C174" i="1"/>
  <c r="D173" i="1"/>
  <c r="F175" i="1" l="1"/>
  <c r="C175" i="1"/>
  <c r="D174" i="1"/>
  <c r="F176" i="1" l="1"/>
  <c r="C176" i="1"/>
  <c r="D175" i="1"/>
  <c r="F177" i="1" l="1"/>
  <c r="D176" i="1"/>
  <c r="C177" i="1"/>
  <c r="F178" i="1" l="1"/>
  <c r="D177" i="1"/>
  <c r="C178" i="1"/>
  <c r="F179" i="1" l="1"/>
  <c r="D178" i="1"/>
  <c r="C179" i="1"/>
  <c r="F180" i="1" l="1"/>
  <c r="D179" i="1"/>
  <c r="C180" i="1"/>
  <c r="F181" i="1" l="1"/>
  <c r="D180" i="1"/>
  <c r="C181" i="1"/>
  <c r="F182" i="1" l="1"/>
  <c r="C182" i="1"/>
  <c r="D181" i="1"/>
  <c r="F183" i="1" l="1"/>
  <c r="D182" i="1"/>
  <c r="C183" i="1"/>
  <c r="F184" i="1" l="1"/>
  <c r="C184" i="1"/>
  <c r="D183" i="1"/>
  <c r="F185" i="1" l="1"/>
  <c r="D184" i="1"/>
  <c r="C185" i="1"/>
  <c r="F186" i="1" l="1"/>
  <c r="D185" i="1"/>
  <c r="C186" i="1"/>
  <c r="F187" i="1" l="1"/>
  <c r="C187" i="1"/>
  <c r="D186" i="1"/>
  <c r="F188" i="1" l="1"/>
  <c r="D187" i="1"/>
  <c r="C188" i="1"/>
  <c r="F189" i="1" l="1"/>
  <c r="C189" i="1"/>
  <c r="D188" i="1"/>
  <c r="F190" i="1" l="1"/>
  <c r="C190" i="1"/>
  <c r="D189" i="1"/>
  <c r="F191" i="1" l="1"/>
  <c r="D190" i="1"/>
  <c r="C191" i="1"/>
  <c r="F192" i="1" l="1"/>
  <c r="C192" i="1"/>
  <c r="D191" i="1"/>
  <c r="F193" i="1" l="1"/>
  <c r="D192" i="1"/>
  <c r="C193" i="1"/>
  <c r="F194" i="1" l="1"/>
  <c r="D193" i="1"/>
  <c r="C194" i="1"/>
  <c r="F195" i="1" l="1"/>
  <c r="D194" i="1"/>
  <c r="C195" i="1"/>
  <c r="F196" i="1" l="1"/>
  <c r="C196" i="1"/>
  <c r="D195" i="1"/>
  <c r="F197" i="1" l="1"/>
  <c r="C197" i="1"/>
  <c r="D196" i="1"/>
  <c r="F198" i="1" l="1"/>
  <c r="C198" i="1"/>
  <c r="D197" i="1"/>
  <c r="F199" i="1" l="1"/>
  <c r="D198" i="1"/>
  <c r="C199" i="1"/>
  <c r="F200" i="1" l="1"/>
  <c r="C200" i="1"/>
  <c r="D199" i="1"/>
  <c r="F201" i="1" l="1"/>
  <c r="D200" i="1"/>
  <c r="C201" i="1"/>
  <c r="F202" i="1" l="1"/>
  <c r="C202" i="1"/>
  <c r="D201" i="1"/>
  <c r="F203" i="1" l="1"/>
  <c r="C203" i="1"/>
  <c r="D202" i="1"/>
  <c r="F204" i="1" l="1"/>
  <c r="C204" i="1"/>
  <c r="D203" i="1"/>
  <c r="F205" i="1" l="1"/>
  <c r="C205" i="1"/>
  <c r="D204" i="1"/>
  <c r="F206" i="1" l="1"/>
  <c r="C206" i="1"/>
  <c r="D205" i="1"/>
  <c r="F207" i="1" l="1"/>
  <c r="D206" i="1"/>
  <c r="C207" i="1"/>
  <c r="F208" i="1" l="1"/>
  <c r="C208" i="1"/>
  <c r="D207" i="1"/>
  <c r="F209" i="1" l="1"/>
  <c r="D208" i="1"/>
  <c r="C209" i="1"/>
  <c r="F210" i="1" l="1"/>
  <c r="D209" i="1"/>
  <c r="C210" i="1"/>
  <c r="F211" i="1" l="1"/>
  <c r="C211" i="1"/>
  <c r="D210" i="1"/>
  <c r="F212" i="1" l="1"/>
  <c r="C212" i="1"/>
  <c r="D211" i="1"/>
  <c r="F213" i="1" l="1"/>
  <c r="D212" i="1"/>
  <c r="C213" i="1"/>
  <c r="F214" i="1" l="1"/>
  <c r="D213" i="1"/>
  <c r="C214" i="1"/>
  <c r="F215" i="1" l="1"/>
  <c r="C215" i="1"/>
  <c r="D214" i="1"/>
  <c r="F216" i="1" l="1"/>
  <c r="C216" i="1"/>
  <c r="D215" i="1"/>
  <c r="F217" i="1" l="1"/>
  <c r="D216" i="1"/>
  <c r="C217" i="1"/>
  <c r="F218" i="1" l="1"/>
  <c r="D217" i="1"/>
  <c r="C218" i="1"/>
  <c r="F219" i="1" l="1"/>
  <c r="C219" i="1"/>
  <c r="D218" i="1"/>
  <c r="F220" i="1" l="1"/>
  <c r="D219" i="1"/>
  <c r="C220" i="1"/>
  <c r="F221" i="1" l="1"/>
  <c r="D220" i="1"/>
  <c r="C221" i="1"/>
  <c r="F222" i="1" l="1"/>
  <c r="D221" i="1"/>
  <c r="C222" i="1"/>
  <c r="F223" i="1" l="1"/>
  <c r="C223" i="1"/>
  <c r="D222" i="1"/>
  <c r="F224" i="1" l="1"/>
  <c r="D223" i="1"/>
  <c r="C224" i="1"/>
  <c r="F225" i="1" l="1"/>
  <c r="D224" i="1"/>
  <c r="C225" i="1"/>
  <c r="F226" i="1" l="1"/>
  <c r="C226" i="1"/>
  <c r="D225" i="1"/>
  <c r="F227" i="1" l="1"/>
  <c r="C227" i="1"/>
  <c r="D226" i="1"/>
  <c r="F228" i="1" l="1"/>
  <c r="C228" i="1"/>
  <c r="D227" i="1"/>
  <c r="F229" i="1" l="1"/>
  <c r="D228" i="1"/>
  <c r="C229" i="1"/>
  <c r="F230" i="1" l="1"/>
  <c r="D229" i="1"/>
  <c r="C230" i="1"/>
  <c r="F231" i="1" l="1"/>
  <c r="C231" i="1"/>
  <c r="D230" i="1"/>
  <c r="F232" i="1" l="1"/>
  <c r="C232" i="1"/>
  <c r="D231" i="1"/>
  <c r="F233" i="1" l="1"/>
  <c r="D232" i="1"/>
  <c r="C233" i="1"/>
  <c r="F234" i="1" l="1"/>
  <c r="D233" i="1"/>
  <c r="C234" i="1"/>
  <c r="F235" i="1" l="1"/>
  <c r="C235" i="1"/>
  <c r="D234" i="1"/>
  <c r="F236" i="1" l="1"/>
  <c r="C236" i="1"/>
  <c r="D235" i="1"/>
  <c r="F237" i="1" l="1"/>
  <c r="D236" i="1"/>
  <c r="C237" i="1"/>
  <c r="F238" i="1" l="1"/>
  <c r="D237" i="1"/>
  <c r="C238" i="1"/>
  <c r="F239" i="1" l="1"/>
  <c r="C239" i="1"/>
  <c r="D238" i="1"/>
  <c r="F240" i="1" l="1"/>
  <c r="C240" i="1"/>
  <c r="D239" i="1"/>
  <c r="F241" i="1" l="1"/>
  <c r="D240" i="1"/>
  <c r="C241" i="1"/>
  <c r="F242" i="1" l="1"/>
  <c r="C242" i="1"/>
  <c r="D241" i="1"/>
  <c r="F243" i="1" l="1"/>
  <c r="C243" i="1"/>
  <c r="D242" i="1"/>
  <c r="F244" i="1" l="1"/>
  <c r="D243" i="1"/>
  <c r="C244" i="1"/>
  <c r="F245" i="1" l="1"/>
  <c r="D244" i="1"/>
  <c r="C245" i="1"/>
  <c r="F246" i="1" l="1"/>
  <c r="D245" i="1"/>
  <c r="C246" i="1"/>
  <c r="F247" i="1" l="1"/>
  <c r="D246" i="1"/>
  <c r="C247" i="1"/>
  <c r="F248" i="1" l="1"/>
  <c r="C248" i="1"/>
  <c r="D247" i="1"/>
  <c r="F249" i="1" l="1"/>
  <c r="D248" i="1"/>
  <c r="C249" i="1"/>
  <c r="F250" i="1" l="1"/>
  <c r="C250" i="1"/>
  <c r="D249" i="1"/>
  <c r="F251" i="1" l="1"/>
  <c r="C251" i="1"/>
  <c r="D250" i="1"/>
  <c r="F252" i="1" l="1"/>
  <c r="D251" i="1"/>
  <c r="C252" i="1"/>
  <c r="F253" i="1" l="1"/>
  <c r="D252" i="1"/>
  <c r="C253" i="1"/>
  <c r="F254" i="1" l="1"/>
  <c r="C254" i="1"/>
  <c r="D253" i="1"/>
  <c r="F255" i="1" l="1"/>
  <c r="D254" i="1"/>
  <c r="C255" i="1"/>
  <c r="F256" i="1" l="1"/>
  <c r="D255" i="1"/>
  <c r="C256" i="1"/>
  <c r="F257" i="1" l="1"/>
  <c r="C257" i="1"/>
  <c r="D256" i="1"/>
  <c r="F258" i="1" l="1"/>
  <c r="C258" i="1"/>
  <c r="D257" i="1"/>
  <c r="F259" i="1" l="1"/>
  <c r="D258" i="1"/>
  <c r="C259" i="1"/>
  <c r="F260" i="1" l="1"/>
  <c r="D259" i="1"/>
  <c r="C260" i="1"/>
  <c r="F261" i="1" l="1"/>
  <c r="D260" i="1"/>
  <c r="C261" i="1"/>
  <c r="F262" i="1" l="1"/>
  <c r="D261" i="1"/>
  <c r="C262" i="1"/>
  <c r="F263" i="1" l="1"/>
  <c r="C263" i="1"/>
  <c r="D262" i="1"/>
  <c r="F264" i="1" l="1"/>
  <c r="D263" i="1"/>
  <c r="C264" i="1"/>
  <c r="F265" i="1" l="1"/>
  <c r="D264" i="1"/>
  <c r="C265" i="1"/>
  <c r="F266" i="1" l="1"/>
  <c r="D265" i="1"/>
  <c r="C266" i="1"/>
  <c r="F267" i="1" l="1"/>
  <c r="D266" i="1"/>
  <c r="C267" i="1"/>
  <c r="F268" i="1" l="1"/>
  <c r="D267" i="1"/>
  <c r="C268" i="1"/>
  <c r="F269" i="1" l="1"/>
  <c r="D268" i="1"/>
  <c r="C269" i="1"/>
  <c r="F270" i="1" l="1"/>
  <c r="D269" i="1"/>
  <c r="C270" i="1"/>
  <c r="F271" i="1" l="1"/>
  <c r="C271" i="1"/>
  <c r="D270" i="1"/>
  <c r="F272" i="1" l="1"/>
  <c r="D271" i="1"/>
  <c r="C272" i="1"/>
  <c r="F273" i="1" l="1"/>
  <c r="D272" i="1"/>
  <c r="C273" i="1"/>
  <c r="F274" i="1" l="1"/>
  <c r="D273" i="1"/>
  <c r="C274" i="1"/>
  <c r="F275" i="1" l="1"/>
  <c r="D274" i="1"/>
  <c r="C275" i="1"/>
  <c r="F276" i="1" l="1"/>
  <c r="C276" i="1"/>
  <c r="D275" i="1"/>
  <c r="F277" i="1" l="1"/>
  <c r="D276" i="1"/>
  <c r="C277" i="1"/>
  <c r="F278" i="1" l="1"/>
  <c r="D277" i="1"/>
  <c r="C278" i="1"/>
  <c r="F279" i="1" l="1"/>
  <c r="C279" i="1"/>
  <c r="D278" i="1"/>
  <c r="F280" i="1" l="1"/>
  <c r="C280" i="1"/>
  <c r="D279" i="1"/>
  <c r="F281" i="1" l="1"/>
  <c r="C281" i="1"/>
  <c r="D280" i="1"/>
  <c r="F282" i="1" l="1"/>
  <c r="D281" i="1"/>
  <c r="C282" i="1"/>
  <c r="F283" i="1" l="1"/>
  <c r="C283" i="1"/>
  <c r="D282" i="1"/>
  <c r="F284" i="1" l="1"/>
  <c r="D283" i="1"/>
  <c r="C284" i="1"/>
  <c r="F285" i="1" l="1"/>
  <c r="D284" i="1"/>
  <c r="C285" i="1"/>
  <c r="F286" i="1" l="1"/>
  <c r="D285" i="1"/>
  <c r="C286" i="1"/>
  <c r="F287" i="1" l="1"/>
  <c r="D286" i="1"/>
  <c r="C287" i="1"/>
  <c r="F288" i="1" l="1"/>
  <c r="C288" i="1"/>
  <c r="D287" i="1"/>
  <c r="F289" i="1" l="1"/>
  <c r="D288" i="1"/>
  <c r="C289" i="1"/>
  <c r="F290" i="1" l="1"/>
  <c r="D289" i="1"/>
  <c r="C290" i="1"/>
  <c r="F291" i="1" l="1"/>
  <c r="C291" i="1"/>
  <c r="D290" i="1"/>
  <c r="F292" i="1" l="1"/>
  <c r="C292" i="1"/>
  <c r="D291" i="1"/>
  <c r="F293" i="1" l="1"/>
  <c r="C293" i="1"/>
  <c r="D292" i="1"/>
  <c r="F294" i="1" l="1"/>
  <c r="D293" i="1"/>
  <c r="C294" i="1"/>
  <c r="F295" i="1" l="1"/>
  <c r="C295" i="1"/>
  <c r="D294" i="1"/>
  <c r="F296" i="1" l="1"/>
  <c r="C296" i="1"/>
  <c r="D295" i="1"/>
  <c r="F297" i="1" l="1"/>
  <c r="D296" i="1"/>
  <c r="C297" i="1"/>
  <c r="F298" i="1" l="1"/>
  <c r="D297" i="1"/>
  <c r="C298" i="1"/>
  <c r="F299" i="1" l="1"/>
  <c r="C299" i="1"/>
  <c r="D298" i="1"/>
  <c r="F300" i="1" l="1"/>
  <c r="C300" i="1"/>
  <c r="D299" i="1"/>
  <c r="F301" i="1" l="1"/>
  <c r="D300" i="1"/>
  <c r="C301" i="1"/>
  <c r="F302" i="1" l="1"/>
  <c r="C302" i="1"/>
  <c r="D301" i="1"/>
  <c r="F303" i="1" l="1"/>
  <c r="C303" i="1"/>
  <c r="D302" i="1"/>
  <c r="F304" i="1" l="1"/>
  <c r="C304" i="1"/>
  <c r="D303" i="1"/>
  <c r="F305" i="1" l="1"/>
  <c r="D304" i="1"/>
  <c r="C305" i="1"/>
  <c r="F306" i="1" l="1"/>
  <c r="D305" i="1"/>
  <c r="C306" i="1"/>
  <c r="F307" i="1" l="1"/>
  <c r="C307" i="1"/>
  <c r="D306" i="1"/>
  <c r="F308" i="1" l="1"/>
  <c r="D307" i="1"/>
  <c r="C308" i="1"/>
  <c r="F309" i="1" l="1"/>
  <c r="C309" i="1"/>
  <c r="D308" i="1"/>
  <c r="F310" i="1" l="1"/>
  <c r="D309" i="1"/>
  <c r="C310" i="1"/>
  <c r="F311" i="1" l="1"/>
  <c r="C311" i="1"/>
  <c r="D310" i="1"/>
  <c r="F312" i="1" l="1"/>
  <c r="C312" i="1"/>
  <c r="D311" i="1"/>
  <c r="F313" i="1" l="1"/>
  <c r="C313" i="1"/>
  <c r="D312" i="1"/>
  <c r="F314" i="1" l="1"/>
  <c r="D313" i="1"/>
  <c r="C314" i="1"/>
  <c r="F315" i="1" l="1"/>
  <c r="C315" i="1"/>
  <c r="D314" i="1"/>
  <c r="F316" i="1" l="1"/>
  <c r="D315" i="1"/>
  <c r="C316" i="1"/>
  <c r="F317" i="1" l="1"/>
  <c r="D316" i="1"/>
  <c r="C317" i="1"/>
  <c r="F318" i="1" l="1"/>
  <c r="D317" i="1"/>
  <c r="C318" i="1"/>
  <c r="F319" i="1" l="1"/>
  <c r="C319" i="1"/>
  <c r="D318" i="1"/>
  <c r="F320" i="1" l="1"/>
  <c r="D319" i="1"/>
  <c r="C320" i="1"/>
  <c r="F321" i="1" l="1"/>
  <c r="C321" i="1"/>
  <c r="D320" i="1"/>
  <c r="F322" i="1" l="1"/>
  <c r="D321" i="1"/>
  <c r="C322" i="1"/>
  <c r="F323" i="1" l="1"/>
  <c r="C323" i="1"/>
  <c r="D322" i="1"/>
  <c r="F324" i="1" l="1"/>
  <c r="C324" i="1"/>
  <c r="D323" i="1"/>
  <c r="F325" i="1" l="1"/>
  <c r="D324" i="1"/>
  <c r="C325" i="1"/>
  <c r="F326" i="1" l="1"/>
  <c r="D325" i="1"/>
  <c r="C326" i="1"/>
  <c r="F327" i="1" l="1"/>
  <c r="C327" i="1"/>
  <c r="D326" i="1"/>
  <c r="F328" i="1" l="1"/>
  <c r="D327" i="1"/>
  <c r="C328" i="1"/>
  <c r="F329" i="1" l="1"/>
  <c r="C329" i="1"/>
  <c r="D328" i="1"/>
  <c r="F330" i="1" l="1"/>
  <c r="C330" i="1"/>
  <c r="D329" i="1"/>
  <c r="F331" i="1" l="1"/>
  <c r="D330" i="1"/>
  <c r="C331" i="1"/>
  <c r="F332" i="1" l="1"/>
  <c r="D331" i="1"/>
  <c r="C332" i="1"/>
  <c r="F333" i="1" l="1"/>
  <c r="C333" i="1"/>
  <c r="D332" i="1"/>
  <c r="F334" i="1" l="1"/>
  <c r="C334" i="1"/>
  <c r="D333" i="1"/>
  <c r="F335" i="1" l="1"/>
  <c r="D334" i="1"/>
  <c r="C335" i="1"/>
  <c r="F336" i="1" l="1"/>
  <c r="D335" i="1"/>
  <c r="C336" i="1"/>
  <c r="F337" i="1" l="1"/>
  <c r="C337" i="1"/>
  <c r="D336" i="1"/>
  <c r="F338" i="1" l="1"/>
  <c r="C338" i="1"/>
  <c r="D337" i="1"/>
  <c r="F339" i="1" l="1"/>
  <c r="C339" i="1"/>
  <c r="D338" i="1"/>
  <c r="F340" i="1" l="1"/>
  <c r="C340" i="1"/>
  <c r="D339" i="1"/>
  <c r="F341" i="1" l="1"/>
  <c r="D340" i="1"/>
  <c r="C341" i="1"/>
  <c r="F342" i="1" l="1"/>
  <c r="D341" i="1"/>
  <c r="C342" i="1"/>
  <c r="F343" i="1" l="1"/>
  <c r="C343" i="1"/>
  <c r="D342" i="1"/>
  <c r="F344" i="1" l="1"/>
  <c r="C344" i="1"/>
  <c r="D343" i="1"/>
  <c r="F345" i="1" l="1"/>
  <c r="D344" i="1"/>
  <c r="C345" i="1"/>
  <c r="F346" i="1" l="1"/>
  <c r="D345" i="1"/>
  <c r="C346" i="1"/>
  <c r="F347" i="1" l="1"/>
  <c r="C347" i="1"/>
  <c r="D346" i="1"/>
  <c r="F348" i="1" l="1"/>
  <c r="D347" i="1"/>
  <c r="C348" i="1"/>
  <c r="F349" i="1" l="1"/>
  <c r="D348" i="1"/>
  <c r="C349" i="1"/>
  <c r="F350" i="1" l="1"/>
  <c r="D349" i="1"/>
  <c r="C350" i="1"/>
  <c r="F351" i="1" l="1"/>
  <c r="C351" i="1"/>
  <c r="D350" i="1"/>
  <c r="F352" i="1" l="1"/>
  <c r="C352" i="1"/>
  <c r="D351" i="1"/>
  <c r="F353" i="1" l="1"/>
  <c r="D352" i="1"/>
  <c r="C353" i="1"/>
  <c r="F354" i="1" l="1"/>
  <c r="D353" i="1"/>
  <c r="C354" i="1"/>
  <c r="F355" i="1" l="1"/>
  <c r="C355" i="1"/>
  <c r="D354" i="1"/>
  <c r="F356" i="1" l="1"/>
  <c r="C356" i="1"/>
  <c r="D355" i="1"/>
  <c r="F357" i="1" l="1"/>
  <c r="D356" i="1"/>
  <c r="C357" i="1"/>
  <c r="F358" i="1" l="1"/>
  <c r="D357" i="1"/>
  <c r="C358" i="1"/>
  <c r="F359" i="1" l="1"/>
  <c r="C359" i="1"/>
  <c r="D358" i="1"/>
  <c r="F360" i="1" l="1"/>
  <c r="C360" i="1"/>
  <c r="D359" i="1"/>
  <c r="F361" i="1" l="1"/>
  <c r="C361" i="1"/>
  <c r="D360" i="1"/>
  <c r="F362" i="1" l="1"/>
  <c r="C362" i="1"/>
  <c r="D361" i="1"/>
  <c r="F363" i="1" l="1"/>
  <c r="C363" i="1"/>
  <c r="D362" i="1"/>
  <c r="F364" i="1" l="1"/>
  <c r="C364" i="1"/>
  <c r="D363" i="1"/>
  <c r="F365" i="1" l="1"/>
  <c r="D364" i="1"/>
  <c r="C365" i="1"/>
  <c r="F366" i="1" l="1"/>
  <c r="D365" i="1"/>
  <c r="C366" i="1"/>
  <c r="F367" i="1" l="1"/>
  <c r="C367" i="1"/>
  <c r="D366" i="1"/>
  <c r="F368" i="1" l="1"/>
  <c r="C368" i="1"/>
  <c r="D367" i="1"/>
  <c r="F369" i="1" l="1"/>
  <c r="C369" i="1"/>
  <c r="D368" i="1"/>
  <c r="F370" i="1" l="1"/>
  <c r="D369" i="1"/>
  <c r="C370" i="1"/>
  <c r="F371" i="1" l="1"/>
  <c r="C371" i="1"/>
  <c r="D370" i="1"/>
  <c r="F372" i="1" l="1"/>
  <c r="D371" i="1"/>
  <c r="C372" i="1"/>
  <c r="F373" i="1" l="1"/>
  <c r="C373" i="1"/>
  <c r="D372" i="1"/>
  <c r="F374" i="1" l="1"/>
  <c r="I10" i="1" s="1"/>
  <c r="C374" i="1"/>
  <c r="D374" i="1" s="1"/>
  <c r="D373" i="1"/>
</calcChain>
</file>

<file path=xl/sharedStrings.xml><?xml version="1.0" encoding="utf-8"?>
<sst xmlns="http://schemas.openxmlformats.org/spreadsheetml/2006/main" count="41" uniqueCount="34">
  <si>
    <t>ｎ</t>
    <phoneticPr fontId="1"/>
  </si>
  <si>
    <t>E：人が1人ずつやってきて，初めて誕生日が重複する人数の期待値</t>
    <rPh sb="25" eb="27">
      <t>ニンズウ</t>
    </rPh>
    <rPh sb="28" eb="31">
      <t>キタイチ</t>
    </rPh>
    <phoneticPr fontId="1"/>
  </si>
  <si>
    <t>k=</t>
    <phoneticPr fontId="1"/>
  </si>
  <si>
    <t>n＼k</t>
    <phoneticPr fontId="1"/>
  </si>
  <si>
    <t>　P(n,k) = k!*S(n-1,k-1)/k^n</t>
    <phoneticPr fontId="1"/>
  </si>
  <si>
    <t>　　　　= FACT(k)*OFFSET(Stirling, n-1, k-1)/k^n</t>
    <phoneticPr fontId="1"/>
  </si>
  <si>
    <t>k種のクーポンをそろえるクーポン収集問題における確率分布</t>
    <rPh sb="1" eb="2">
      <t>シュ</t>
    </rPh>
    <rPh sb="16" eb="20">
      <t>シュウシュウモンダイ</t>
    </rPh>
    <rPh sb="24" eb="28">
      <t>カクリツブンプ</t>
    </rPh>
    <phoneticPr fontId="1"/>
  </si>
  <si>
    <t>n回目に初めてすべてのクーポンがそろう確率を P(n,k) とすると，</t>
    <rPh sb="0" eb="3">
      <t>ンカイメ</t>
    </rPh>
    <rPh sb="4" eb="5">
      <t>ハジ</t>
    </rPh>
    <rPh sb="19" eb="21">
      <t>カクリツ</t>
    </rPh>
    <phoneticPr fontId="1"/>
  </si>
  <si>
    <t>(第2)スターリング数 S(n, k)</t>
    <rPh sb="1" eb="2">
      <t>ダイ</t>
    </rPh>
    <rPh sb="10" eb="11">
      <t>スウ</t>
    </rPh>
    <phoneticPr fontId="1"/>
  </si>
  <si>
    <t>S(n, k)=</t>
    <phoneticPr fontId="1"/>
  </si>
  <si>
    <t>（n=0）</t>
    <phoneticPr fontId="1"/>
  </si>
  <si>
    <t>（n&gt;0, k=1）</t>
    <phoneticPr fontId="1"/>
  </si>
  <si>
    <t>S(n-1, k-1)+k*S(n-1, k)</t>
    <phoneticPr fontId="1"/>
  </si>
  <si>
    <t>（それ以外）</t>
    <rPh sb="3" eb="5">
      <t>イガイ</t>
    </rPh>
    <phoneticPr fontId="1"/>
  </si>
  <si>
    <t>https://manabitimes.jp/math/841</t>
  </si>
  <si>
    <t>cf.</t>
    <phoneticPr fontId="1"/>
  </si>
  <si>
    <t>https://peng225.hatenablog.com/entry/2019/03/15/085054</t>
  </si>
  <si>
    <t>E≒</t>
    <phoneticPr fontId="1"/>
  </si>
  <si>
    <t>P(n)：n人の誕生日がすべて異なる確率</t>
    <rPh sb="6" eb="7">
      <t>ヒト</t>
    </rPh>
    <rPh sb="8" eb="11">
      <t>タンジョウビ</t>
    </rPh>
    <rPh sb="15" eb="16">
      <t>コト</t>
    </rPh>
    <rPh sb="18" eb="20">
      <t>カクリツ</t>
    </rPh>
    <phoneticPr fontId="1"/>
  </si>
  <si>
    <t>1-P(n):：n人の中に同じ誕生日のペアが存在する確率</t>
    <rPh sb="9" eb="10">
      <t>ニン</t>
    </rPh>
    <rPh sb="11" eb="12">
      <t>ナカ</t>
    </rPh>
    <rPh sb="13" eb="14">
      <t>オナ</t>
    </rPh>
    <rPh sb="15" eb="18">
      <t>タンジョウビ</t>
    </rPh>
    <rPh sb="22" eb="24">
      <t>ソンザイ</t>
    </rPh>
    <rPh sb="26" eb="28">
      <t>カクリツ</t>
    </rPh>
    <phoneticPr fontId="1"/>
  </si>
  <si>
    <t>P(n)</t>
  </si>
  <si>
    <t>1-P(n)</t>
  </si>
  <si>
    <t>Q(n)：人が1人ずつやってきて，n人目で初めて誕生日が重複する確率</t>
    <rPh sb="5" eb="6">
      <t>ヒト</t>
    </rPh>
    <rPh sb="7" eb="9">
      <t>ヒトリ</t>
    </rPh>
    <rPh sb="18" eb="20">
      <t>ニンメ</t>
    </rPh>
    <rPh sb="21" eb="22">
      <t>ハジ</t>
    </rPh>
    <rPh sb="24" eb="27">
      <t>タンジョウビ</t>
    </rPh>
    <rPh sb="28" eb="30">
      <t>チョウフク</t>
    </rPh>
    <rPh sb="32" eb="34">
      <t>カクリツ</t>
    </rPh>
    <phoneticPr fontId="1"/>
  </si>
  <si>
    <t>Q(n)</t>
  </si>
  <si>
    <t>P(n)=365!/((365-n)!・365^n)=Π_i=1^n{(366-i)/365}=Π_i=1^n p(i) と置く</t>
    <rPh sb="62" eb="63">
      <t>オ</t>
    </rPh>
    <phoneticPr fontId="1"/>
  </si>
  <si>
    <t>p(n)</t>
    <phoneticPr fontId="1"/>
  </si>
  <si>
    <t>←の累積</t>
    <rPh sb="2" eb="4">
      <t>ルイセキ</t>
    </rPh>
    <phoneticPr fontId="1"/>
  </si>
  <si>
    <t>n枚目に初めてすべてのクーポンがそろう確率を P(n,k) とすると，</t>
    <rPh sb="1" eb="2">
      <t>マイ</t>
    </rPh>
    <rPh sb="2" eb="3">
      <t>メ</t>
    </rPh>
    <rPh sb="4" eb="5">
      <t>ハジ</t>
    </rPh>
    <rPh sb="19" eb="21">
      <t>カクリツ</t>
    </rPh>
    <phoneticPr fontId="1"/>
  </si>
  <si>
    <t>n枚で，すべてのクーポンがそろっている確率は ∑_i=1^n{P(i, k)} … P(n, k) の累積</t>
    <rPh sb="1" eb="2">
      <t>マイ</t>
    </rPh>
    <rPh sb="19" eb="21">
      <t>カクリツ</t>
    </rPh>
    <rPh sb="51" eb="53">
      <t>ルイセキ</t>
    </rPh>
    <phoneticPr fontId="1"/>
  </si>
  <si>
    <t>n*Q(n)</t>
  </si>
  <si>
    <t>E = ∑_n=1^366{n*Q(n)}</t>
    <phoneticPr fontId="1"/>
  </si>
  <si>
    <t>x</t>
    <phoneticPr fontId="1"/>
  </si>
  <si>
    <t>Φ(x)</t>
    <phoneticPr fontId="1"/>
  </si>
  <si>
    <t>Q(n)＝P(n-1)*(n-1)/365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</si>
</sst>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Continuous" vertical="center"/>
    </xf>
    <xf numFmtId="0" fontId="0" fillId="0" borderId="0" xfId="0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誕生日!$D$8</c:f>
              <c:strCache>
                <c:ptCount val="1"/>
                <c:pt idx="0">
                  <c:v>1-P(n)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誕生日!$A$9:$A$374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誕生日!$D$9:$D$374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2.739726027397249E-3</c:v>
                </c:pt>
                <c:pt idx="2">
                  <c:v>8.2041658847813448E-3</c:v>
                </c:pt>
                <c:pt idx="3">
                  <c:v>1.6355912466550215E-2</c:v>
                </c:pt>
                <c:pt idx="4">
                  <c:v>2.7135573699793469E-2</c:v>
                </c:pt>
                <c:pt idx="5">
                  <c:v>4.0462483649111425E-2</c:v>
                </c:pt>
                <c:pt idx="6">
                  <c:v>5.6235703095975365E-2</c:v>
                </c:pt>
                <c:pt idx="7">
                  <c:v>7.4335292351669024E-2</c:v>
                </c:pt>
                <c:pt idx="8">
                  <c:v>9.4623833889166731E-2</c:v>
                </c:pt>
                <c:pt idx="9">
                  <c:v>0.11694817771107768</c:v>
                </c:pt>
                <c:pt idx="10">
                  <c:v>0.14114137832173312</c:v>
                </c:pt>
                <c:pt idx="11">
                  <c:v>0.16702478883806449</c:v>
                </c:pt>
                <c:pt idx="12">
                  <c:v>0.19441027523242949</c:v>
                </c:pt>
                <c:pt idx="13">
                  <c:v>0.22310251200497311</c:v>
                </c:pt>
                <c:pt idx="14">
                  <c:v>0.25290131976368646</c:v>
                </c:pt>
                <c:pt idx="15">
                  <c:v>0.28360400525285012</c:v>
                </c:pt>
                <c:pt idx="16">
                  <c:v>0.31500766529656088</c:v>
                </c:pt>
                <c:pt idx="17">
                  <c:v>0.34691141787178958</c:v>
                </c:pt>
                <c:pt idx="18">
                  <c:v>0.37911852603153695</c:v>
                </c:pt>
                <c:pt idx="19">
                  <c:v>0.41143838358058027</c:v>
                </c:pt>
                <c:pt idx="20">
                  <c:v>0.443688335165206</c:v>
                </c:pt>
                <c:pt idx="21">
                  <c:v>0.4756953076625503</c:v>
                </c:pt>
                <c:pt idx="22">
                  <c:v>0.50729723432398566</c:v>
                </c:pt>
                <c:pt idx="23">
                  <c:v>0.538344257914529</c:v>
                </c:pt>
                <c:pt idx="24">
                  <c:v>0.56869970396946401</c:v>
                </c:pt>
                <c:pt idx="25">
                  <c:v>0.59824082013593904</c:v>
                </c:pt>
                <c:pt idx="26">
                  <c:v>0.62685928226324206</c:v>
                </c:pt>
                <c:pt idx="27">
                  <c:v>0.65446147234239949</c:v>
                </c:pt>
                <c:pt idx="28">
                  <c:v>0.68096853747777708</c:v>
                </c:pt>
                <c:pt idx="29">
                  <c:v>0.70631624271926885</c:v>
                </c:pt>
                <c:pt idx="30">
                  <c:v>0.73045463372864394</c:v>
                </c:pt>
                <c:pt idx="31">
                  <c:v>0.75334752785032078</c:v>
                </c:pt>
                <c:pt idx="32">
                  <c:v>0.77497185417577208</c:v>
                </c:pt>
                <c:pt idx="33">
                  <c:v>0.79531686462015427</c:v>
                </c:pt>
                <c:pt idx="34">
                  <c:v>0.81438323887471531</c:v>
                </c:pt>
                <c:pt idx="35">
                  <c:v>0.83218210637987955</c:v>
                </c:pt>
                <c:pt idx="36">
                  <c:v>0.84873400821638456</c:v>
                </c:pt>
                <c:pt idx="37">
                  <c:v>0.86406782108212099</c:v>
                </c:pt>
                <c:pt idx="38">
                  <c:v>0.87821966436672205</c:v>
                </c:pt>
                <c:pt idx="39">
                  <c:v>0.89123180981794903</c:v>
                </c:pt>
                <c:pt idx="40">
                  <c:v>0.90315161148173539</c:v>
                </c:pt>
                <c:pt idx="41">
                  <c:v>0.91403047156186923</c:v>
                </c:pt>
                <c:pt idx="42">
                  <c:v>0.92392285565611987</c:v>
                </c:pt>
                <c:pt idx="43">
                  <c:v>0.93288536855142634</c:v>
                </c:pt>
                <c:pt idx="44">
                  <c:v>0.94097589946577498</c:v>
                </c:pt>
                <c:pt idx="45">
                  <c:v>0.94825284336725479</c:v>
                </c:pt>
                <c:pt idx="46">
                  <c:v>0.9547744028332994</c:v>
                </c:pt>
                <c:pt idx="47">
                  <c:v>0.9605979728794225</c:v>
                </c:pt>
                <c:pt idx="48">
                  <c:v>0.96577960932267648</c:v>
                </c:pt>
                <c:pt idx="49">
                  <c:v>0.97037357957798842</c:v>
                </c:pt>
                <c:pt idx="50">
                  <c:v>0.97443199333442831</c:v>
                </c:pt>
                <c:pt idx="51">
                  <c:v>0.9780045093342753</c:v>
                </c:pt>
                <c:pt idx="52">
                  <c:v>0.98113811348391278</c:v>
                </c:pt>
                <c:pt idx="53">
                  <c:v>0.9838769627588515</c:v>
                </c:pt>
                <c:pt idx="54">
                  <c:v>0.98626228881644606</c:v>
                </c:pt>
                <c:pt idx="55">
                  <c:v>0.98833235488520077</c:v>
                </c:pt>
                <c:pt idx="56">
                  <c:v>0.99012245934116994</c:v>
                </c:pt>
                <c:pt idx="57">
                  <c:v>0.99166497938926124</c:v>
                </c:pt>
                <c:pt idx="58">
                  <c:v>0.992989448417817</c:v>
                </c:pt>
                <c:pt idx="59">
                  <c:v>0.99412266086534795</c:v>
                </c:pt>
                <c:pt idx="60">
                  <c:v>0.99508879880529078</c:v>
                </c:pt>
                <c:pt idx="61">
                  <c:v>0.99590957489536547</c:v>
                </c:pt>
                <c:pt idx="62">
                  <c:v>0.99660438683094721</c:v>
                </c:pt>
                <c:pt idx="63">
                  <c:v>0.99719047896697555</c:v>
                </c:pt>
                <c:pt idx="64">
                  <c:v>0.9976831073124921</c:v>
                </c:pt>
                <c:pt idx="65">
                  <c:v>0.99809570464040454</c:v>
                </c:pt>
                <c:pt idx="66">
                  <c:v>0.99844004297939981</c:v>
                </c:pt>
                <c:pt idx="67">
                  <c:v>0.99872639125441409</c:v>
                </c:pt>
                <c:pt idx="68">
                  <c:v>0.99896366630838629</c:v>
                </c:pt>
                <c:pt idx="69">
                  <c:v>0.99915957596515714</c:v>
                </c:pt>
                <c:pt idx="70">
                  <c:v>0.99932075317731872</c:v>
                </c:pt>
                <c:pt idx="71">
                  <c:v>0.99945288064145676</c:v>
                </c:pt>
                <c:pt idx="72">
                  <c:v>0.99956080555601867</c:v>
                </c:pt>
                <c:pt idx="73">
                  <c:v>0.99964864444481494</c:v>
                </c:pt>
                <c:pt idx="74">
                  <c:v>0.99971987817381136</c:v>
                </c:pt>
                <c:pt idx="75">
                  <c:v>0.99977743745316516</c:v>
                </c:pt>
                <c:pt idx="76">
                  <c:v>0.999823779243739</c:v>
                </c:pt>
                <c:pt idx="77">
                  <c:v>0.99986095458136115</c:v>
                </c:pt>
                <c:pt idx="78">
                  <c:v>0.99989066839685115</c:v>
                </c:pt>
                <c:pt idx="79">
                  <c:v>0.99991433194931345</c:v>
                </c:pt>
                <c:pt idx="80">
                  <c:v>0.99993310850836803</c:v>
                </c:pt>
                <c:pt idx="81">
                  <c:v>0.99994795292157956</c:v>
                </c:pt>
                <c:pt idx="82">
                  <c:v>0.99995964568988227</c:v>
                </c:pt>
                <c:pt idx="83">
                  <c:v>0.99996882214944327</c:v>
                </c:pt>
                <c:pt idx="84">
                  <c:v>0.99997599732600972</c:v>
                </c:pt>
                <c:pt idx="85">
                  <c:v>0.99998158698981565</c:v>
                </c:pt>
                <c:pt idx="86">
                  <c:v>0.99998592539769471</c:v>
                </c:pt>
                <c:pt idx="87">
                  <c:v>0.99998928016591548</c:v>
                </c:pt>
                <c:pt idx="88">
                  <c:v>0.99999186467385914</c:v>
                </c:pt>
                <c:pt idx="89">
                  <c:v>0.99999384835612359</c:v>
                </c:pt>
                <c:pt idx="90">
                  <c:v>0.99999536519981913</c:v>
                </c:pt>
                <c:pt idx="91">
                  <c:v>0.99999652072534373</c:v>
                </c:pt>
                <c:pt idx="92">
                  <c:v>0.99999739769320228</c:v>
                </c:pt>
                <c:pt idx="93">
                  <c:v>0.99999806074671516</c:v>
                </c:pt>
                <c:pt idx="94">
                  <c:v>0.99999856017084876</c:v>
                </c:pt>
                <c:pt idx="95">
                  <c:v>0.99999893492090186</c:v>
                </c:pt>
                <c:pt idx="96">
                  <c:v>0.99999921505129474</c:v>
                </c:pt>
                <c:pt idx="97">
                  <c:v>0.99999942365410133</c:v>
                </c:pt>
                <c:pt idx="98">
                  <c:v>0.99999957839902753</c:v>
                </c:pt>
                <c:pt idx="99">
                  <c:v>0.99999969275107214</c:v>
                </c:pt>
                <c:pt idx="100">
                  <c:v>0.99999977692886055</c:v>
                </c:pt>
                <c:pt idx="101">
                  <c:v>0.9999998386553951</c:v>
                </c:pt>
                <c:pt idx="102">
                  <c:v>0.99999988374347648</c:v>
                </c:pt>
                <c:pt idx="103">
                  <c:v>0.99999991655011189</c:v>
                </c:pt>
                <c:pt idx="104">
                  <c:v>0.99999994032761419</c:v>
                </c:pt>
                <c:pt idx="105">
                  <c:v>0.99999995749364301</c:v>
                </c:pt>
                <c:pt idx="106">
                  <c:v>0.99999996983795492</c:v>
                </c:pt>
                <c:pt idx="107">
                  <c:v>0.99999997867997914</c:v>
                </c:pt>
                <c:pt idx="108">
                  <c:v>0.99999998498836884</c:v>
                </c:pt>
                <c:pt idx="109">
                  <c:v>0.99999998947129431</c:v>
                </c:pt>
                <c:pt idx="110">
                  <c:v>0.99999999264432893</c:v>
                </c:pt>
                <c:pt idx="111">
                  <c:v>0.99999999488125901</c:v>
                </c:pt>
                <c:pt idx="112">
                  <c:v>0.99999999645194115</c:v>
                </c:pt>
                <c:pt idx="113">
                  <c:v>0.99999999755038127</c:v>
                </c:pt>
                <c:pt idx="114">
                  <c:v>0.99999999831546771</c:v>
                </c:pt>
                <c:pt idx="115">
                  <c:v>0.99999999884621071</c:v>
                </c:pt>
                <c:pt idx="116">
                  <c:v>0.99999999921289451</c:v>
                </c:pt>
                <c:pt idx="117">
                  <c:v>0.99999999946519957</c:v>
                </c:pt>
                <c:pt idx="118">
                  <c:v>0.99999999963809394</c:v>
                </c:pt>
                <c:pt idx="119">
                  <c:v>0.99999999975608522</c:v>
                </c:pt>
                <c:pt idx="120">
                  <c:v>0.99999999983627641</c:v>
                </c:pt>
                <c:pt idx="121">
                  <c:v>0.99999999989055188</c:v>
                </c:pt>
                <c:pt idx="122">
                  <c:v>0.99999999992713451</c:v>
                </c:pt>
                <c:pt idx="123">
                  <c:v>0.9999999999516892</c:v>
                </c:pt>
                <c:pt idx="124">
                  <c:v>0.99999999996810163</c:v>
                </c:pt>
                <c:pt idx="125">
                  <c:v>0.99999999997902578</c:v>
                </c:pt>
                <c:pt idx="126">
                  <c:v>0.99999999998626621</c:v>
                </c:pt>
                <c:pt idx="127">
                  <c:v>0.99999999999104483</c:v>
                </c:pt>
                <c:pt idx="128">
                  <c:v>0.99999999999418521</c:v>
                </c:pt>
                <c:pt idx="129">
                  <c:v>0.99999999999624034</c:v>
                </c:pt>
                <c:pt idx="130">
                  <c:v>0.99999999999757938</c:v>
                </c:pt>
                <c:pt idx="131">
                  <c:v>0.99999999999844813</c:v>
                </c:pt>
                <c:pt idx="132">
                  <c:v>0.99999999999900935</c:v>
                </c:pt>
                <c:pt idx="133">
                  <c:v>0.99999999999937039</c:v>
                </c:pt>
                <c:pt idx="134">
                  <c:v>0.99999999999960154</c:v>
                </c:pt>
                <c:pt idx="135">
                  <c:v>0.99999999999974887</c:v>
                </c:pt>
                <c:pt idx="136">
                  <c:v>0.99999999999984246</c:v>
                </c:pt>
                <c:pt idx="137">
                  <c:v>0.99999999999990163</c:v>
                </c:pt>
                <c:pt idx="138">
                  <c:v>0.99999999999993883</c:v>
                </c:pt>
                <c:pt idx="139">
                  <c:v>0.99999999999996214</c:v>
                </c:pt>
                <c:pt idx="140">
                  <c:v>0.99999999999997669</c:v>
                </c:pt>
                <c:pt idx="141">
                  <c:v>0.99999999999998568</c:v>
                </c:pt>
                <c:pt idx="142">
                  <c:v>0.99999999999999123</c:v>
                </c:pt>
                <c:pt idx="143">
                  <c:v>0.99999999999999467</c:v>
                </c:pt>
                <c:pt idx="144">
                  <c:v>0.99999999999999678</c:v>
                </c:pt>
                <c:pt idx="145">
                  <c:v>0.999999999999998</c:v>
                </c:pt>
                <c:pt idx="146">
                  <c:v>0.99999999999999878</c:v>
                </c:pt>
                <c:pt idx="147">
                  <c:v>0.99999999999999933</c:v>
                </c:pt>
                <c:pt idx="148">
                  <c:v>0.99999999999999956</c:v>
                </c:pt>
                <c:pt idx="149">
                  <c:v>0.99999999999999978</c:v>
                </c:pt>
                <c:pt idx="150">
                  <c:v>0.99999999999999989</c:v>
                </c:pt>
                <c:pt idx="151">
                  <c:v>0.99999999999999989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C-4118-8392-AE7EF98D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404800"/>
        <c:axId val="624408408"/>
      </c:lineChart>
      <c:lineChart>
        <c:grouping val="standard"/>
        <c:varyColors val="0"/>
        <c:ser>
          <c:idx val="1"/>
          <c:order val="1"/>
          <c:tx>
            <c:strRef>
              <c:f>誕生日!$E$8</c:f>
              <c:strCache>
                <c:ptCount val="1"/>
                <c:pt idx="0">
                  <c:v>Q(n)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誕生日!$A$9:$A$374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誕生日!$E$9:$E$374</c:f>
              <c:numCache>
                <c:formatCode>General</c:formatCode>
                <c:ptCount val="366"/>
                <c:pt idx="0">
                  <c:v>0</c:v>
                </c:pt>
                <c:pt idx="1">
                  <c:v>2.7397260273972603E-3</c:v>
                </c:pt>
                <c:pt idx="2">
                  <c:v>5.4644398573841244E-3</c:v>
                </c:pt>
                <c:pt idx="3">
                  <c:v>8.1517465817689209E-3</c:v>
                </c:pt>
                <c:pt idx="4">
                  <c:v>1.0779661233243285E-2</c:v>
                </c:pt>
                <c:pt idx="5">
                  <c:v>1.3326909949317898E-2</c:v>
                </c:pt>
                <c:pt idx="6">
                  <c:v>1.5773219446863922E-2</c:v>
                </c:pt>
                <c:pt idx="7">
                  <c:v>1.8099589255693622E-2</c:v>
                </c:pt>
                <c:pt idx="8">
                  <c:v>2.0288541537497665E-2</c:v>
                </c:pt>
                <c:pt idx="9">
                  <c:v>2.2324343821910959E-2</c:v>
                </c:pt>
                <c:pt idx="10">
                  <c:v>2.4193200610655406E-2</c:v>
                </c:pt>
                <c:pt idx="11">
                  <c:v>2.5883410516331331E-2</c:v>
                </c:pt>
                <c:pt idx="12">
                  <c:v>2.7385486394365006E-2</c:v>
                </c:pt>
                <c:pt idx="13">
                  <c:v>2.8692236772543608E-2</c:v>
                </c:pt>
                <c:pt idx="14">
                  <c:v>2.9798807758713363E-2</c:v>
                </c:pt>
                <c:pt idx="15">
                  <c:v>3.0702685489163571E-2</c:v>
                </c:pt>
                <c:pt idx="16">
                  <c:v>3.1403660043710681E-2</c:v>
                </c:pt>
                <c:pt idx="17">
                  <c:v>3.1903752575228671E-2</c:v>
                </c:pt>
                <c:pt idx="18">
                  <c:v>3.2207108159747366E-2</c:v>
                </c:pt>
                <c:pt idx="19">
                  <c:v>3.2319857549043277E-2</c:v>
                </c:pt>
                <c:pt idx="20">
                  <c:v>3.2249951584625743E-2</c:v>
                </c:pt>
                <c:pt idx="21">
                  <c:v>3.2006972497344313E-2</c:v>
                </c:pt>
                <c:pt idx="22">
                  <c:v>3.1601926661435326E-2</c:v>
                </c:pt>
                <c:pt idx="23">
                  <c:v>3.1047023590543375E-2</c:v>
                </c:pt>
                <c:pt idx="24">
                  <c:v>3.0355446054935085E-2</c:v>
                </c:pt>
                <c:pt idx="25">
                  <c:v>2.9541116166475069E-2</c:v>
                </c:pt>
                <c:pt idx="26">
                  <c:v>2.8618462127302968E-2</c:v>
                </c:pt>
                <c:pt idx="27">
                  <c:v>2.7602190079157436E-2</c:v>
                </c:pt>
                <c:pt idx="28">
                  <c:v>2.6507065135377574E-2</c:v>
                </c:pt>
                <c:pt idx="29">
                  <c:v>2.5347705241491686E-2</c:v>
                </c:pt>
                <c:pt idx="30">
                  <c:v>2.4138391009375169E-2</c:v>
                </c:pt>
                <c:pt idx="31">
                  <c:v>2.2892894121676818E-2</c:v>
                </c:pt>
                <c:pt idx="32">
                  <c:v>2.1624326325451332E-2</c:v>
                </c:pt>
                <c:pt idx="33">
                  <c:v>2.034501044438225E-2</c:v>
                </c:pt>
                <c:pt idx="34">
                  <c:v>1.9066374254560967E-2</c:v>
                </c:pt>
                <c:pt idx="35">
                  <c:v>1.7798867505164288E-2</c:v>
                </c:pt>
                <c:pt idx="36">
                  <c:v>1.6551901836505029E-2</c:v>
                </c:pt>
                <c:pt idx="37">
                  <c:v>1.5333812865736353E-2</c:v>
                </c:pt>
                <c:pt idx="38">
                  <c:v>1.4151843284601104E-2</c:v>
                </c:pt>
                <c:pt idx="39">
                  <c:v>1.3012145451226956E-2</c:v>
                </c:pt>
                <c:pt idx="40">
                  <c:v>1.1919801663786408E-2</c:v>
                </c:pt>
                <c:pt idx="41">
                  <c:v>1.0878860080133827E-2</c:v>
                </c:pt>
                <c:pt idx="42">
                  <c:v>9.89238409425066E-3</c:v>
                </c:pt>
                <c:pt idx="43">
                  <c:v>8.9625128953064216E-3</c:v>
                </c:pt>
                <c:pt idx="44">
                  <c:v>8.0905309143486058E-3</c:v>
                </c:pt>
                <c:pt idx="45">
                  <c:v>7.2769439014798033E-3</c:v>
                </c:pt>
                <c:pt idx="46">
                  <c:v>6.5215594660446088E-3</c:v>
                </c:pt>
                <c:pt idx="47">
                  <c:v>5.8235700461230985E-3</c:v>
                </c:pt>
                <c:pt idx="48">
                  <c:v>5.1816364432540349E-3</c:v>
                </c:pt>
                <c:pt idx="49">
                  <c:v>4.5939702553119246E-3</c:v>
                </c:pt>
                <c:pt idx="50">
                  <c:v>4.0584137564399448E-3</c:v>
                </c:pt>
                <c:pt idx="51">
                  <c:v>3.5725159998469978E-3</c:v>
                </c:pt>
                <c:pt idx="52">
                  <c:v>3.1336041496374846E-3</c:v>
                </c:pt>
                <c:pt idx="53">
                  <c:v>2.7388492749386849E-3</c:v>
                </c:pt>
                <c:pt idx="54">
                  <c:v>2.3853260575945699E-3</c:v>
                </c:pt>
                <c:pt idx="55">
                  <c:v>2.0700660687546992E-3</c:v>
                </c:pt>
                <c:pt idx="56">
                  <c:v>1.7901044559691941E-3</c:v>
                </c:pt>
                <c:pt idx="57">
                  <c:v>1.5425200480912629E-3</c:v>
                </c:pt>
                <c:pt idx="58">
                  <c:v>1.3244690285557472E-3</c:v>
                </c:pt>
                <c:pt idx="59">
                  <c:v>1.1332124475309515E-3</c:v>
                </c:pt>
                <c:pt idx="60">
                  <c:v>9.6613793994280355E-4</c:v>
                </c:pt>
                <c:pt idx="61">
                  <c:v>8.2077609007469678E-4</c:v>
                </c:pt>
                <c:pt idx="62">
                  <c:v>6.9481193558175989E-4</c:v>
                </c:pt>
                <c:pt idx="63">
                  <c:v>5.860921360282906E-4</c:v>
                </c:pt>
                <c:pt idx="64">
                  <c:v>4.9262834551662546E-4</c:v>
                </c:pt>
                <c:pt idx="65">
                  <c:v>4.1259732791236198E-4</c:v>
                </c:pt>
                <c:pt idx="66">
                  <c:v>3.4433833899535373E-4</c:v>
                </c:pt>
                <c:pt idx="67">
                  <c:v>2.8634827501427651E-4</c:v>
                </c:pt>
                <c:pt idx="68">
                  <c:v>2.3727505397216518E-4</c:v>
                </c:pt>
                <c:pt idx="69">
                  <c:v>1.9590965677081308E-4</c:v>
                </c:pt>
                <c:pt idx="70">
                  <c:v>1.6117721216165365E-4</c:v>
                </c:pt>
                <c:pt idx="71">
                  <c:v>1.3212746413799749E-4</c:v>
                </c:pt>
                <c:pt idx="72">
                  <c:v>1.0792491456195757E-4</c:v>
                </c:pt>
                <c:pt idx="73">
                  <c:v>8.7838888796259906E-5</c:v>
                </c:pt>
                <c:pt idx="74">
                  <c:v>7.1233728996419004E-5</c:v>
                </c:pt>
                <c:pt idx="75">
                  <c:v>5.7559279353826159E-5</c:v>
                </c:pt>
                <c:pt idx="76">
                  <c:v>4.6341790573820224E-5</c:v>
                </c:pt>
                <c:pt idx="77">
                  <c:v>3.7175337622178128E-5</c:v>
                </c:pt>
                <c:pt idx="78">
                  <c:v>2.9713815489934513E-5</c:v>
                </c:pt>
                <c:pt idx="79">
                  <c:v>2.366355246235635E-5</c:v>
                </c:pt>
                <c:pt idx="80">
                  <c:v>1.8776559054576495E-5</c:v>
                </c:pt>
                <c:pt idx="81">
                  <c:v>1.4844413211469124E-5</c:v>
                </c:pt>
                <c:pt idx="82">
                  <c:v>1.1692768302678604E-5</c:v>
                </c:pt>
                <c:pt idx="83">
                  <c:v>9.1764595610296626E-6</c:v>
                </c:pt>
                <c:pt idx="84">
                  <c:v>7.1751765664852502E-6</c:v>
                </c:pt>
                <c:pt idx="85">
                  <c:v>5.5896638059523868E-6</c:v>
                </c:pt>
                <c:pt idx="86">
                  <c:v>4.3384078790437867E-6</c:v>
                </c:pt>
                <c:pt idx="87">
                  <c:v>3.3547682207081818E-6</c:v>
                </c:pt>
                <c:pt idx="88">
                  <c:v>2.584507943675168E-6</c:v>
                </c:pt>
                <c:pt idx="89">
                  <c:v>1.9836822644901591E-6</c:v>
                </c:pt>
                <c:pt idx="90">
                  <c:v>1.5168436955498093E-6</c:v>
                </c:pt>
                <c:pt idx="91">
                  <c:v>1.1555255245398472E-6</c:v>
                </c:pt>
                <c:pt idx="92">
                  <c:v>8.7696785857595848E-7</c:v>
                </c:pt>
                <c:pt idx="93">
                  <c:v>6.6305351284648638E-7</c:v>
                </c:pt>
                <c:pt idx="94">
                  <c:v>4.9942413364144843E-7</c:v>
                </c:pt>
                <c:pt idx="95">
                  <c:v>3.7475005306322029E-7</c:v>
                </c:pt>
                <c:pt idx="96">
                  <c:v>2.8013039294588805E-7</c:v>
                </c:pt>
                <c:pt idx="97">
                  <c:v>2.086028065963772E-7</c:v>
                </c:pt>
                <c:pt idx="98">
                  <c:v>1.5474492620949726E-7</c:v>
                </c:pt>
                <c:pt idx="99">
                  <c:v>1.1435204457633886E-7</c:v>
                </c:pt>
                <c:pt idx="100">
                  <c:v>8.4177788452486879E-8</c:v>
                </c:pt>
                <c:pt idx="101">
                  <c:v>6.1726534463857858E-8</c:v>
                </c:pt>
                <c:pt idx="102">
                  <c:v>4.5088081379160841E-8</c:v>
                </c:pt>
                <c:pt idx="103">
                  <c:v>3.2806635414453072E-8</c:v>
                </c:pt>
                <c:pt idx="104">
                  <c:v>2.377750237459815E-8</c:v>
                </c:pt>
                <c:pt idx="105">
                  <c:v>1.7166028782293526E-8</c:v>
                </c:pt>
                <c:pt idx="106">
                  <c:v>1.2344311891454911E-8</c:v>
                </c:pt>
                <c:pt idx="107">
                  <c:v>8.8420241780276545E-9</c:v>
                </c:pt>
                <c:pt idx="108">
                  <c:v>6.3083897502640521E-9</c:v>
                </c:pt>
                <c:pt idx="109">
                  <c:v>4.482925471185867E-9</c:v>
                </c:pt>
                <c:pt idx="110">
                  <c:v>3.173034592650346E-9</c:v>
                </c:pt>
                <c:pt idx="111">
                  <c:v>2.2369301156903623E-9</c:v>
                </c:pt>
                <c:pt idx="112">
                  <c:v>1.5706821653994679E-9</c:v>
                </c:pt>
                <c:pt idx="113">
                  <c:v>1.098440127852382E-9</c:v>
                </c:pt>
                <c:pt idx="114">
                  <c:v>7.6508638605753999E-10</c:v>
                </c:pt>
                <c:pt idx="115">
                  <c:v>5.3074305536051161E-10</c:v>
                </c:pt>
                <c:pt idx="116">
                  <c:v>3.6668370709838804E-10</c:v>
                </c:pt>
                <c:pt idx="117">
                  <c:v>2.5230506468817521E-10</c:v>
                </c:pt>
                <c:pt idx="118">
                  <c:v>1.7289440142921811E-10</c:v>
                </c:pt>
                <c:pt idx="119">
                  <c:v>1.1799129652215016E-10</c:v>
                </c:pt>
                <c:pt idx="120">
                  <c:v>8.0191160891766391E-11</c:v>
                </c:pt>
                <c:pt idx="121">
                  <c:v>5.4275501475717231E-11</c:v>
                </c:pt>
                <c:pt idx="122">
                  <c:v>3.6582658845899484E-11</c:v>
                </c:pt>
                <c:pt idx="123">
                  <c:v>2.4554661806536932E-11</c:v>
                </c:pt>
                <c:pt idx="124">
                  <c:v>1.6412435493720024E-11</c:v>
                </c:pt>
                <c:pt idx="125">
                  <c:v>1.092409675758541E-11</c:v>
                </c:pt>
                <c:pt idx="126">
                  <c:v>7.240431472863185E-12</c:v>
                </c:pt>
                <c:pt idx="127">
                  <c:v>4.7786217981260323E-12</c:v>
                </c:pt>
                <c:pt idx="128">
                  <c:v>3.1404580834453984E-12</c:v>
                </c:pt>
                <c:pt idx="129">
                  <c:v>2.0550775895799691E-12</c:v>
                </c:pt>
                <c:pt idx="130">
                  <c:v>1.3390629807436221E-12</c:v>
                </c:pt>
                <c:pt idx="131">
                  <c:v>8.6876825842344386E-13</c:v>
                </c:pt>
                <c:pt idx="132">
                  <c:v>5.6121539195196761E-13</c:v>
                </c:pt>
                <c:pt idx="133">
                  <c:v>3.6096936034038042E-13</c:v>
                </c:pt>
                <c:pt idx="134">
                  <c:v>2.3116315736454318E-13</c:v>
                </c:pt>
                <c:pt idx="135">
                  <c:v>1.4738955351489018E-13</c:v>
                </c:pt>
                <c:pt idx="136">
                  <c:v>9.3563576538726827E-14</c:v>
                </c:pt>
                <c:pt idx="137">
                  <c:v>5.9133160490521279E-14</c:v>
                </c:pt>
                <c:pt idx="138">
                  <c:v>3.7207594474027828E-14</c:v>
                </c:pt>
                <c:pt idx="139">
                  <c:v>2.3307747239209851E-14</c:v>
                </c:pt>
                <c:pt idx="140">
                  <c:v>1.4535471028847926E-14</c:v>
                </c:pt>
                <c:pt idx="141">
                  <c:v>9.0242234518630235E-15</c:v>
                </c:pt>
                <c:pt idx="142">
                  <c:v>5.5774312553552723E-15</c:v>
                </c:pt>
                <c:pt idx="143">
                  <c:v>3.4315783388389789E-15</c:v>
                </c:pt>
                <c:pt idx="144">
                  <c:v>2.1017472236038795E-15</c:v>
                </c:pt>
                <c:pt idx="145">
                  <c:v>1.2814020125644278E-15</c:v>
                </c:pt>
                <c:pt idx="146">
                  <c:v>7.7767846279772146E-16</c:v>
                </c:pt>
                <c:pt idx="147">
                  <c:v>4.6980301656684264E-16</c:v>
                </c:pt>
                <c:pt idx="148">
                  <c:v>2.8250348572383961E-16</c:v>
                </c:pt>
                <c:pt idx="149">
                  <c:v>1.6908895231227149E-16</c:v>
                </c:pt>
                <c:pt idx="150">
                  <c:v>1.0073516695628568E-16</c:v>
                </c:pt>
                <c:pt idx="151">
                  <c:v>5.9732734159558253E-17</c:v>
                </c:pt>
                <c:pt idx="152">
                  <c:v>3.5253313557871923E-17</c:v>
                </c:pt>
                <c:pt idx="153">
                  <c:v>2.070782688423735E-17</c:v>
                </c:pt>
                <c:pt idx="154">
                  <c:v>1.210617122601094E-17</c:v>
                </c:pt>
                <c:pt idx="155">
                  <c:v>7.0438059054738958E-18</c:v>
                </c:pt>
                <c:pt idx="156">
                  <c:v>4.0787464686402978E-18</c:v>
                </c:pt>
                <c:pt idx="157">
                  <c:v>2.3504725654284173E-18</c:v>
                </c:pt>
                <c:pt idx="158">
                  <c:v>1.3479788917239246E-18</c:v>
                </c:pt>
                <c:pt idx="159">
                  <c:v>7.6930863990479519E-19</c:v>
                </c:pt>
                <c:pt idx="160">
                  <c:v>4.3691587440789259E-19</c:v>
                </c:pt>
                <c:pt idx="161">
                  <c:v>2.4692480196630989E-19</c:v>
                </c:pt>
                <c:pt idx="162">
                  <c:v>1.3886447469382471E-19</c:v>
                </c:pt>
                <c:pt idx="163">
                  <c:v>7.7708212466496978E-20</c:v>
                </c:pt>
                <c:pt idx="164">
                  <c:v>4.3269479159427035E-20</c:v>
                </c:pt>
                <c:pt idx="165">
                  <c:v>2.3973141936558596E-20</c:v>
                </c:pt>
                <c:pt idx="166">
                  <c:v>1.3215580112806066E-20</c:v>
                </c:pt>
                <c:pt idx="167">
                  <c:v>7.2486115512276596E-21</c:v>
                </c:pt>
                <c:pt idx="168">
                  <c:v>3.9556691762781873E-21</c:v>
                </c:pt>
                <c:pt idx="169">
                  <c:v>2.1476858102711949E-21</c:v>
                </c:pt>
                <c:pt idx="170">
                  <c:v>1.160101989109771E-21</c:v>
                </c:pt>
                <c:pt idx="171">
                  <c:v>6.2342628246358289E-22</c:v>
                </c:pt>
                <c:pt idx="172">
                  <c:v>3.3329308969390111E-22</c:v>
                </c:pt>
                <c:pt idx="173">
                  <c:v>1.7725904701799401E-22</c:v>
                </c:pt>
                <c:pt idx="174">
                  <c:v>9.3782092687895204E-23</c:v>
                </c:pt>
                <c:pt idx="175">
                  <c:v>4.9357053189936975E-23</c:v>
                </c:pt>
                <c:pt idx="176">
                  <c:v>2.5839528120101641E-23</c:v>
                </c:pt>
                <c:pt idx="177">
                  <c:v>1.3455942313227898E-23</c:v>
                </c:pt>
                <c:pt idx="178">
                  <c:v>6.9698886087742187E-24</c:v>
                </c:pt>
                <c:pt idx="179">
                  <c:v>3.5909355302678074E-24</c:v>
                </c:pt>
                <c:pt idx="180">
                  <c:v>1.8401243063192191E-24</c:v>
                </c:pt>
                <c:pt idx="181">
                  <c:v>9.3784722065599774E-25</c:v>
                </c:pt>
                <c:pt idx="182">
                  <c:v>4.7538980890529103E-25</c:v>
                </c:pt>
                <c:pt idx="183">
                  <c:v>2.3965571745339897E-25</c:v>
                </c:pt>
                <c:pt idx="184">
                  <c:v>1.2015256630106184E-25</c:v>
                </c:pt>
                <c:pt idx="185">
                  <c:v>5.9906323445370102E-26</c:v>
                </c:pt>
                <c:pt idx="186">
                  <c:v>2.9702535489833268E-26</c:v>
                </c:pt>
                <c:pt idx="187">
                  <c:v>1.4644763152911901E-26</c:v>
                </c:pt>
                <c:pt idx="188">
                  <c:v>7.1800213046523169E-27</c:v>
                </c:pt>
                <c:pt idx="189">
                  <c:v>3.5003388619139312E-27</c:v>
                </c:pt>
                <c:pt idx="190">
                  <c:v>1.6967649712604457E-27</c:v>
                </c:pt>
                <c:pt idx="191">
                  <c:v>8.177991227740504E-28</c:v>
                </c:pt>
                <c:pt idx="192">
                  <c:v>3.9189604953934557E-28</c:v>
                </c:pt>
                <c:pt idx="193">
                  <c:v>1.8671542805464054E-28</c:v>
                </c:pt>
                <c:pt idx="194">
                  <c:v>8.8442336621864518E-29</c:v>
                </c:pt>
                <c:pt idx="195">
                  <c:v>4.1648209499450243E-29</c:v>
                </c:pt>
                <c:pt idx="196">
                  <c:v>1.9497272083198907E-29</c:v>
                </c:pt>
                <c:pt idx="197">
                  <c:v>9.0735627546259621E-30</c:v>
                </c:pt>
                <c:pt idx="198">
                  <c:v>4.1975243928777971E-30</c:v>
                </c:pt>
                <c:pt idx="199">
                  <c:v>1.9302107118930098E-30</c:v>
                </c:pt>
                <c:pt idx="200">
                  <c:v>8.8226055806220052E-31</c:v>
                </c:pt>
                <c:pt idx="201">
                  <c:v>4.0082426586483396E-31</c:v>
                </c:pt>
                <c:pt idx="202">
                  <c:v>1.8099238437361437E-31</c:v>
                </c:pt>
                <c:pt idx="203">
                  <c:v>8.1226868391950721E-32</c:v>
                </c:pt>
                <c:pt idx="204">
                  <c:v>3.6228970195251874E-32</c:v>
                </c:pt>
                <c:pt idx="205">
                  <c:v>1.6058785405510183E-32</c:v>
                </c:pt>
                <c:pt idx="206">
                  <c:v>7.0738064412377629E-33</c:v>
                </c:pt>
                <c:pt idx="207">
                  <c:v>3.09642494215266E-33</c:v>
                </c:pt>
                <c:pt idx="208">
                  <c:v>1.3468454675257099E-33</c:v>
                </c:pt>
                <c:pt idx="209">
                  <c:v>5.8211328142677973E-34</c:v>
                </c:pt>
                <c:pt idx="210">
                  <c:v>2.4998402175449043E-34</c:v>
                </c:pt>
                <c:pt idx="211">
                  <c:v>1.0666311065206274E-34</c:v>
                </c:pt>
                <c:pt idx="212">
                  <c:v>4.5216350536499949E-35</c:v>
                </c:pt>
                <c:pt idx="213">
                  <c:v>1.9043107361514562E-35</c:v>
                </c:pt>
                <c:pt idx="214">
                  <c:v>7.9675116889233475E-36</c:v>
                </c:pt>
                <c:pt idx="215">
                  <c:v>3.3115512351926323E-36</c:v>
                </c:pt>
                <c:pt idx="216">
                  <c:v>1.3672412872920202E-36</c:v>
                </c:pt>
                <c:pt idx="217">
                  <c:v>5.6071806877236031E-37</c:v>
                </c:pt>
                <c:pt idx="218">
                  <c:v>2.2840739562996566E-37</c:v>
                </c:pt>
                <c:pt idx="219">
                  <c:v>9.2410698598912713E-38</c:v>
                </c:pt>
                <c:pt idx="220">
                  <c:v>3.7133066103672698E-38</c:v>
                </c:pt>
                <c:pt idx="221">
                  <c:v>1.4818544250214089E-38</c:v>
                </c:pt>
                <c:pt idx="222">
                  <c:v>5.8726736824005943E-39</c:v>
                </c:pt>
                <c:pt idx="223">
                  <c:v>2.3111648902637613E-39</c:v>
                </c:pt>
                <c:pt idx="224">
                  <c:v>9.0317013120596752E-40</c:v>
                </c:pt>
                <c:pt idx="225">
                  <c:v>3.5045342970290261E-40</c:v>
                </c:pt>
                <c:pt idx="226">
                  <c:v>1.3501791800060687E-40</c:v>
                </c:pt>
                <c:pt idx="227">
                  <c:v>5.1645294783284609E-41</c:v>
                </c:pt>
                <c:pt idx="228">
                  <c:v>1.9612184600341166E-41</c:v>
                </c:pt>
                <c:pt idx="229">
                  <c:v>7.3935720676099904E-42</c:v>
                </c:pt>
                <c:pt idx="230">
                  <c:v>2.7668951878308372E-42</c:v>
                </c:pt>
                <c:pt idx="231">
                  <c:v>1.0278216370756954E-42</c:v>
                </c:pt>
                <c:pt idx="232">
                  <c:v>3.7897075316858471E-43</c:v>
                </c:pt>
                <c:pt idx="233">
                  <c:v>1.3868593138806415E-43</c:v>
                </c:pt>
                <c:pt idx="234">
                  <c:v>5.0370169307008364E-44</c:v>
                </c:pt>
                <c:pt idx="235">
                  <c:v>1.81553174349169E-44</c:v>
                </c:pt>
                <c:pt idx="236">
                  <c:v>6.4937935167968583E-45</c:v>
                </c:pt>
                <c:pt idx="237">
                  <c:v>2.3047916088812438E-45</c:v>
                </c:pt>
                <c:pt idx="238">
                  <c:v>8.1166604904870473E-46</c:v>
                </c:pt>
                <c:pt idx="239">
                  <c:v>2.8360192916743795E-46</c:v>
                </c:pt>
                <c:pt idx="240">
                  <c:v>9.8310567295504378E-47</c:v>
                </c:pt>
                <c:pt idx="241">
                  <c:v>3.3808285842203989E-47</c:v>
                </c:pt>
                <c:pt idx="242">
                  <c:v>1.1533212545363013E-47</c:v>
                </c:pt>
                <c:pt idx="243">
                  <c:v>3.9025946990643624E-48</c:v>
                </c:pt>
                <c:pt idx="244">
                  <c:v>1.3097969333304914E-48</c:v>
                </c:pt>
                <c:pt idx="245">
                  <c:v>4.3598619008064701E-49</c:v>
                </c:pt>
                <c:pt idx="246">
                  <c:v>1.4392297826313334E-49</c:v>
                </c:pt>
                <c:pt idx="247">
                  <c:v>4.7113577236755521E-50</c:v>
                </c:pt>
                <c:pt idx="248">
                  <c:v>1.5292903602200802E-50</c:v>
                </c:pt>
                <c:pt idx="249">
                  <c:v>4.9218753937573579E-51</c:v>
                </c:pt>
                <c:pt idx="250">
                  <c:v>1.5704944316329801E-51</c:v>
                </c:pt>
                <c:pt idx="251">
                  <c:v>4.9679256733244892E-52</c:v>
                </c:pt>
                <c:pt idx="252">
                  <c:v>1.5578078780032301E-52</c:v>
                </c:pt>
                <c:pt idx="253">
                  <c:v>4.8419405766725746E-53</c:v>
                </c:pt>
                <c:pt idx="254">
                  <c:v>1.4916186639794402E-53</c:v>
                </c:pt>
                <c:pt idx="255">
                  <c:v>4.55401426857276E-54</c:v>
                </c:pt>
                <c:pt idx="256">
                  <c:v>1.3778247843460536E-54</c:v>
                </c:pt>
                <c:pt idx="257">
                  <c:v>4.1306726973336901E-55</c:v>
                </c:pt>
                <c:pt idx="258">
                  <c:v>1.2269821868611049E-55</c:v>
                </c:pt>
                <c:pt idx="259">
                  <c:v>3.6108481835490918E-56</c:v>
                </c:pt>
                <c:pt idx="260">
                  <c:v>1.0526786474703865E-56</c:v>
                </c:pt>
                <c:pt idx="261">
                  <c:v>3.0399007728056835E-57</c:v>
                </c:pt>
                <c:pt idx="262">
                  <c:v>8.694821419976831E-58</c:v>
                </c:pt>
                <c:pt idx="263">
                  <c:v>2.4629720531815575E-58</c:v>
                </c:pt>
                <c:pt idx="264">
                  <c:v>6.9089964527395149E-59</c:v>
                </c:pt>
                <c:pt idx="265">
                  <c:v>1.9190461815854412E-59</c:v>
                </c:pt>
                <c:pt idx="266">
                  <c:v>5.277501000793252E-60</c:v>
                </c:pt>
                <c:pt idx="267">
                  <c:v>1.4368131007721498E-60</c:v>
                </c:pt>
                <c:pt idx="268">
                  <c:v>3.8721932459781178E-61</c:v>
                </c:pt>
                <c:pt idx="269">
                  <c:v>1.032888349696453E-61</c:v>
                </c:pt>
                <c:pt idx="270">
                  <c:v>2.726736876725779E-62</c:v>
                </c:pt>
                <c:pt idx="271">
                  <c:v>7.1232715262613066E-63</c:v>
                </c:pt>
                <c:pt idx="272">
                  <c:v>1.8412556880498313E-63</c:v>
                </c:pt>
                <c:pt idx="273">
                  <c:v>4.7086664649372657E-64</c:v>
                </c:pt>
                <c:pt idx="274">
                  <c:v>1.1911893647261636E-64</c:v>
                </c:pt>
                <c:pt idx="275">
                  <c:v>2.9806533198952353E-65</c:v>
                </c:pt>
                <c:pt idx="276">
                  <c:v>7.3762817899076098E-66</c:v>
                </c:pt>
                <c:pt idx="277">
                  <c:v>1.8051168847190027E-66</c:v>
                </c:pt>
                <c:pt idx="278">
                  <c:v>4.3677740435948455E-67</c:v>
                </c:pt>
                <c:pt idx="279">
                  <c:v>1.0448307811193226E-67</c:v>
                </c:pt>
                <c:pt idx="280">
                  <c:v>2.4706167044094164E-68</c:v>
                </c:pt>
                <c:pt idx="281">
                  <c:v>5.7740391374578183E-69</c:v>
                </c:pt>
                <c:pt idx="282">
                  <c:v>1.3335488625564355E-69</c:v>
                </c:pt>
                <c:pt idx="283">
                  <c:v>3.0432069593498603E-70</c:v>
                </c:pt>
                <c:pt idx="284">
                  <c:v>6.8609519985807201E-71</c:v>
                </c:pt>
                <c:pt idx="285">
                  <c:v>1.5279285827439317E-71</c:v>
                </c:pt>
                <c:pt idx="286">
                  <c:v>3.3606350370758142E-72</c:v>
                </c:pt>
                <c:pt idx="287">
                  <c:v>7.2991357597106933E-73</c:v>
                </c:pt>
                <c:pt idx="288">
                  <c:v>1.5652502095951604E-73</c:v>
                </c:pt>
                <c:pt idx="289">
                  <c:v>3.3135000869597698E-74</c:v>
                </c:pt>
                <c:pt idx="290">
                  <c:v>6.9232158047678175E-75</c:v>
                </c:pt>
                <c:pt idx="291">
                  <c:v>1.4274840334346493E-75</c:v>
                </c:pt>
                <c:pt idx="292">
                  <c:v>2.9040225010079461E-76</c:v>
                </c:pt>
                <c:pt idx="293">
                  <c:v>5.82793556709129E-77</c:v>
                </c:pt>
                <c:pt idx="294">
                  <c:v>1.1535437849753466E-77</c:v>
                </c:pt>
                <c:pt idx="295">
                  <c:v>2.2515119351699403E-78</c:v>
                </c:pt>
                <c:pt idx="296">
                  <c:v>4.3326052748289914E-79</c:v>
                </c:pt>
                <c:pt idx="297">
                  <c:v>8.2180747775889039E-80</c:v>
                </c:pt>
                <c:pt idx="298">
                  <c:v>1.5361936007846646E-80</c:v>
                </c:pt>
                <c:pt idx="299">
                  <c:v>2.8293248510176688E-81</c:v>
                </c:pt>
                <c:pt idx="300">
                  <c:v>5.1331499564896542E-82</c:v>
                </c:pt>
                <c:pt idx="301">
                  <c:v>9.171696703079461E-83</c:v>
                </c:pt>
                <c:pt idx="302">
                  <c:v>1.6135307320540645E-83</c:v>
                </c:pt>
                <c:pt idx="303">
                  <c:v>2.7942200983561679E-84</c:v>
                </c:pt>
                <c:pt idx="304">
                  <c:v>4.7620109782374479E-85</c:v>
                </c:pt>
                <c:pt idx="305">
                  <c:v>7.9846083498655112E-86</c:v>
                </c:pt>
                <c:pt idx="306">
                  <c:v>1.3168417633373525E-86</c:v>
                </c:pt>
                <c:pt idx="307">
                  <c:v>2.1355497232813565E-87</c:v>
                </c:pt>
                <c:pt idx="308">
                  <c:v>3.4045299412518987E-88</c:v>
                </c:pt>
                <c:pt idx="309">
                  <c:v>5.3339250894208949E-89</c:v>
                </c:pt>
                <c:pt idx="310">
                  <c:v>8.2100403025532418E-90</c:v>
                </c:pt>
                <c:pt idx="311">
                  <c:v>1.2411201005318001E-90</c:v>
                </c:pt>
                <c:pt idx="312">
                  <c:v>1.8420817912839509E-91</c:v>
                </c:pt>
                <c:pt idx="313">
                  <c:v>2.6833767857050806E-92</c:v>
                </c:pt>
                <c:pt idx="314">
                  <c:v>3.8351066704882096E-93</c:v>
                </c:pt>
                <c:pt idx="315">
                  <c:v>5.3757079366017872E-94</c:v>
                </c:pt>
                <c:pt idx="316">
                  <c:v>7.3873612001137856E-95</c:v>
                </c:pt>
                <c:pt idx="317">
                  <c:v>9.9486632149616275E-96</c:v>
                </c:pt>
                <c:pt idx="318">
                  <c:v>1.3124445383792771E-96</c:v>
                </c:pt>
                <c:pt idx="319">
                  <c:v>1.6953115330335577E-97</c:v>
                </c:pt>
                <c:pt idx="320">
                  <c:v>2.1432546713835162E-98</c:v>
                </c:pt>
                <c:pt idx="321">
                  <c:v>2.6506261753540143E-99</c:v>
                </c:pt>
                <c:pt idx="322">
                  <c:v>3.2052295184070049E-100</c:v>
                </c:pt>
                <c:pt idx="323">
                  <c:v>3.787750598243418E-101</c:v>
                </c:pt>
                <c:pt idx="324">
                  <c:v>4.372001369090838E-102</c:v>
                </c:pt>
                <c:pt idx="325">
                  <c:v>4.926172690946678E-103</c:v>
                </c:pt>
                <c:pt idx="326">
                  <c:v>5.4151563237045045E-104</c:v>
                </c:pt>
                <c:pt idx="327">
                  <c:v>5.8038060842258626E-105</c:v>
                </c:pt>
                <c:pt idx="328">
                  <c:v>6.060796701754527E-106</c:v>
                </c:pt>
                <c:pt idx="329">
                  <c:v>6.1625524766503382E-107</c:v>
                </c:pt>
                <c:pt idx="330">
                  <c:v>6.0966085208482342E-108</c:v>
                </c:pt>
                <c:pt idx="331">
                  <c:v>5.8637783075157156E-109</c:v>
                </c:pt>
                <c:pt idx="332">
                  <c:v>5.4786516190239124E-110</c:v>
                </c:pt>
                <c:pt idx="333">
                  <c:v>4.9682210464972588E-111</c:v>
                </c:pt>
                <c:pt idx="334">
                  <c:v>4.3687808256170716E-112</c:v>
                </c:pt>
                <c:pt idx="335">
                  <c:v>3.7215805819074145E-113</c:v>
                </c:pt>
                <c:pt idx="336">
                  <c:v>3.0679642008281937E-114</c:v>
                </c:pt>
                <c:pt idx="337">
                  <c:v>2.4448152425549526E-115</c:v>
                </c:pt>
                <c:pt idx="338">
                  <c:v>1.8810399134620602E-116</c:v>
                </c:pt>
                <c:pt idx="339">
                  <c:v>1.3955709109117484E-117</c:v>
                </c:pt>
                <c:pt idx="340">
                  <c:v>9.9703777043357614E-119</c:v>
                </c:pt>
                <c:pt idx="341">
                  <c:v>6.8491111949607057E-120</c:v>
                </c:pt>
                <c:pt idx="342">
                  <c:v>4.5167319879674982E-121</c:v>
                </c:pt>
                <c:pt idx="343">
                  <c:v>2.8544819877493872E-122</c:v>
                </c:pt>
                <c:pt idx="344">
                  <c:v>1.7255257544859906E-123</c:v>
                </c:pt>
                <c:pt idx="345">
                  <c:v>9.9565419649976126E-125</c:v>
                </c:pt>
                <c:pt idx="346">
                  <c:v>5.4714528805069268E-126</c:v>
                </c:pt>
                <c:pt idx="347">
                  <c:v>2.8563852119076862E-127</c:v>
                </c:pt>
                <c:pt idx="348">
                  <c:v>1.4126877712991786E-128</c:v>
                </c:pt>
                <c:pt idx="349">
                  <c:v>6.5985486908502808E-130</c:v>
                </c:pt>
                <c:pt idx="350">
                  <c:v>2.9008025017672078E-131</c:v>
                </c:pt>
                <c:pt idx="351">
                  <c:v>1.195516647499362E-132</c:v>
                </c:pt>
                <c:pt idx="352">
                  <c:v>4.5986075314185349E-134</c:v>
                </c:pt>
                <c:pt idx="353">
                  <c:v>1.6425132286487902E-135</c:v>
                </c:pt>
                <c:pt idx="354">
                  <c:v>5.4153410650782418E-137</c:v>
                </c:pt>
                <c:pt idx="355">
                  <c:v>1.6366308226244511E-138</c:v>
                </c:pt>
                <c:pt idx="356">
                  <c:v>4.496550822722782E-140</c:v>
                </c:pt>
                <c:pt idx="357">
                  <c:v>1.1118529931821069E-141</c:v>
                </c:pt>
                <c:pt idx="358">
                  <c:v>2.4437642242995698E-143</c:v>
                </c:pt>
                <c:pt idx="359">
                  <c:v>4.6997623751930963E-145</c:v>
                </c:pt>
                <c:pt idx="360">
                  <c:v>7.7471566607525382E-147</c:v>
                </c:pt>
                <c:pt idx="361">
                  <c:v>1.064202265803526E-148</c:v>
                </c:pt>
                <c:pt idx="362">
                  <c:v>1.1694796652248364E-150</c:v>
                </c:pt>
                <c:pt idx="363">
                  <c:v>9.6387145646699988E-153</c:v>
                </c:pt>
                <c:pt idx="364">
                  <c:v>5.2960369848520762E-155</c:v>
                </c:pt>
                <c:pt idx="365">
                  <c:v>1.4549552156187023E-157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C-4118-8392-AE7EF98D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877832"/>
        <c:axId val="665874552"/>
      </c:lineChart>
      <c:catAx>
        <c:axId val="62440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440840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44084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4404800"/>
        <c:crosses val="autoZero"/>
        <c:crossBetween val="midCat"/>
      </c:valAx>
      <c:valAx>
        <c:axId val="665874552"/>
        <c:scaling>
          <c:orientation val="minMax"/>
          <c:max val="5.000000000000001E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5877832"/>
        <c:crosses val="max"/>
        <c:crossBetween val="between"/>
      </c:valAx>
      <c:catAx>
        <c:axId val="665877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5874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'クーポン収集問題-確率分布'!$B$9</c:f>
              <c:strCache>
                <c:ptCount val="1"/>
                <c:pt idx="0">
                  <c:v>k=2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'クーポン収集問題-確率分布'!$B$10:$B$109</c:f>
              <c:numCache>
                <c:formatCode>General</c:formatCode>
                <c:ptCount val="100"/>
                <c:pt idx="0">
                  <c:v>0</c:v>
                </c:pt>
                <c:pt idx="1">
                  <c:v>0.5</c:v>
                </c:pt>
                <c:pt idx="2">
                  <c:v>0.25</c:v>
                </c:pt>
                <c:pt idx="3">
                  <c:v>0.125</c:v>
                </c:pt>
                <c:pt idx="4">
                  <c:v>6.25E-2</c:v>
                </c:pt>
                <c:pt idx="5">
                  <c:v>3.125E-2</c:v>
                </c:pt>
                <c:pt idx="6">
                  <c:v>1.5625E-2</c:v>
                </c:pt>
                <c:pt idx="7">
                  <c:v>7.8125E-3</c:v>
                </c:pt>
                <c:pt idx="8">
                  <c:v>3.90625E-3</c:v>
                </c:pt>
                <c:pt idx="9">
                  <c:v>1.953125E-3</c:v>
                </c:pt>
                <c:pt idx="10">
                  <c:v>9.765625E-4</c:v>
                </c:pt>
                <c:pt idx="11">
                  <c:v>4.8828125E-4</c:v>
                </c:pt>
                <c:pt idx="12">
                  <c:v>2.44140625E-4</c:v>
                </c:pt>
                <c:pt idx="13">
                  <c:v>1.220703125E-4</c:v>
                </c:pt>
                <c:pt idx="14">
                  <c:v>6.103515625E-5</c:v>
                </c:pt>
                <c:pt idx="15">
                  <c:v>3.0517578125E-5</c:v>
                </c:pt>
                <c:pt idx="16">
                  <c:v>1.52587890625E-5</c:v>
                </c:pt>
                <c:pt idx="17">
                  <c:v>7.62939453125E-6</c:v>
                </c:pt>
                <c:pt idx="18">
                  <c:v>3.814697265625E-6</c:v>
                </c:pt>
                <c:pt idx="19">
                  <c:v>1.9073486328125E-6</c:v>
                </c:pt>
                <c:pt idx="20">
                  <c:v>9.5367431640625E-7</c:v>
                </c:pt>
                <c:pt idx="21">
                  <c:v>4.76837158203125E-7</c:v>
                </c:pt>
                <c:pt idx="22">
                  <c:v>2.384185791015625E-7</c:v>
                </c:pt>
                <c:pt idx="23">
                  <c:v>1.1920928955078125E-7</c:v>
                </c:pt>
                <c:pt idx="24">
                  <c:v>5.9604644775390625E-8</c:v>
                </c:pt>
                <c:pt idx="25">
                  <c:v>2.9802322387695313E-8</c:v>
                </c:pt>
                <c:pt idx="26">
                  <c:v>1.4901161193847656E-8</c:v>
                </c:pt>
                <c:pt idx="27">
                  <c:v>7.4505805969238281E-9</c:v>
                </c:pt>
                <c:pt idx="28">
                  <c:v>3.7252902984619141E-9</c:v>
                </c:pt>
                <c:pt idx="29">
                  <c:v>1.862645149230957E-9</c:v>
                </c:pt>
                <c:pt idx="30">
                  <c:v>9.3132257461547852E-10</c:v>
                </c:pt>
                <c:pt idx="31">
                  <c:v>4.6566128730773926E-10</c:v>
                </c:pt>
                <c:pt idx="32">
                  <c:v>2.3283064365386963E-10</c:v>
                </c:pt>
                <c:pt idx="33">
                  <c:v>1.1641532182693481E-10</c:v>
                </c:pt>
                <c:pt idx="34">
                  <c:v>5.8207660913467407E-11</c:v>
                </c:pt>
                <c:pt idx="35">
                  <c:v>2.9103830456733704E-11</c:v>
                </c:pt>
                <c:pt idx="36">
                  <c:v>1.4551915228366852E-11</c:v>
                </c:pt>
                <c:pt idx="37">
                  <c:v>7.2759576141834259E-12</c:v>
                </c:pt>
                <c:pt idx="38">
                  <c:v>3.637978807091713E-12</c:v>
                </c:pt>
                <c:pt idx="39">
                  <c:v>1.8189894035458565E-12</c:v>
                </c:pt>
                <c:pt idx="40">
                  <c:v>9.0949470177292824E-13</c:v>
                </c:pt>
                <c:pt idx="41">
                  <c:v>4.5474735088646412E-13</c:v>
                </c:pt>
                <c:pt idx="42">
                  <c:v>2.2737367544323206E-13</c:v>
                </c:pt>
                <c:pt idx="43">
                  <c:v>1.1368683772161603E-13</c:v>
                </c:pt>
                <c:pt idx="44">
                  <c:v>5.6843418860808015E-14</c:v>
                </c:pt>
                <c:pt idx="45">
                  <c:v>2.8421709430404007E-14</c:v>
                </c:pt>
                <c:pt idx="46">
                  <c:v>1.4210854715202004E-14</c:v>
                </c:pt>
                <c:pt idx="47">
                  <c:v>7.1054273576010019E-15</c:v>
                </c:pt>
                <c:pt idx="48">
                  <c:v>3.5527136788005009E-15</c:v>
                </c:pt>
                <c:pt idx="49">
                  <c:v>1.7763568394002505E-15</c:v>
                </c:pt>
                <c:pt idx="50">
                  <c:v>8.8817841970012523E-16</c:v>
                </c:pt>
                <c:pt idx="51">
                  <c:v>4.4408920985006262E-16</c:v>
                </c:pt>
                <c:pt idx="52">
                  <c:v>2.2204460492503131E-16</c:v>
                </c:pt>
                <c:pt idx="53">
                  <c:v>1.1102230246251565E-16</c:v>
                </c:pt>
                <c:pt idx="54">
                  <c:v>5.5511151231257827E-17</c:v>
                </c:pt>
                <c:pt idx="55">
                  <c:v>2.7755575615628914E-17</c:v>
                </c:pt>
                <c:pt idx="56">
                  <c:v>1.3877787807814457E-17</c:v>
                </c:pt>
                <c:pt idx="57">
                  <c:v>6.9388939039072284E-18</c:v>
                </c:pt>
                <c:pt idx="58">
                  <c:v>3.4694469519536142E-18</c:v>
                </c:pt>
                <c:pt idx="59">
                  <c:v>1.7347234759768071E-18</c:v>
                </c:pt>
                <c:pt idx="60">
                  <c:v>8.6736173798840355E-19</c:v>
                </c:pt>
                <c:pt idx="61">
                  <c:v>4.3368086899420177E-19</c:v>
                </c:pt>
                <c:pt idx="62">
                  <c:v>2.1684043449710089E-19</c:v>
                </c:pt>
                <c:pt idx="63">
                  <c:v>1.0842021724855044E-19</c:v>
                </c:pt>
                <c:pt idx="64">
                  <c:v>5.4210108624275222E-20</c:v>
                </c:pt>
                <c:pt idx="65">
                  <c:v>2.7105054312137611E-20</c:v>
                </c:pt>
                <c:pt idx="66">
                  <c:v>1.3552527156068805E-20</c:v>
                </c:pt>
                <c:pt idx="67">
                  <c:v>6.7762635780344027E-21</c:v>
                </c:pt>
                <c:pt idx="68">
                  <c:v>3.3881317890172014E-21</c:v>
                </c:pt>
                <c:pt idx="69">
                  <c:v>1.6940658945086007E-21</c:v>
                </c:pt>
                <c:pt idx="70">
                  <c:v>8.4703294725430034E-22</c:v>
                </c:pt>
                <c:pt idx="71">
                  <c:v>4.2351647362715017E-22</c:v>
                </c:pt>
                <c:pt idx="72">
                  <c:v>2.1175823681357508E-22</c:v>
                </c:pt>
                <c:pt idx="73">
                  <c:v>1.0587911840678754E-22</c:v>
                </c:pt>
                <c:pt idx="74">
                  <c:v>5.2939559203393771E-23</c:v>
                </c:pt>
                <c:pt idx="75">
                  <c:v>2.6469779601696886E-23</c:v>
                </c:pt>
                <c:pt idx="76">
                  <c:v>1.3234889800848443E-23</c:v>
                </c:pt>
                <c:pt idx="77">
                  <c:v>6.6174449004242214E-24</c:v>
                </c:pt>
                <c:pt idx="78">
                  <c:v>3.3087224502121107E-24</c:v>
                </c:pt>
                <c:pt idx="79">
                  <c:v>1.6543612251060553E-24</c:v>
                </c:pt>
                <c:pt idx="80">
                  <c:v>8.2718061255302767E-25</c:v>
                </c:pt>
                <c:pt idx="81">
                  <c:v>4.1359030627651384E-25</c:v>
                </c:pt>
                <c:pt idx="82">
                  <c:v>2.0679515313825692E-25</c:v>
                </c:pt>
                <c:pt idx="83">
                  <c:v>1.0339757656912846E-25</c:v>
                </c:pt>
                <c:pt idx="84">
                  <c:v>5.169878828456423E-26</c:v>
                </c:pt>
                <c:pt idx="85">
                  <c:v>2.5849394142282115E-26</c:v>
                </c:pt>
                <c:pt idx="86">
                  <c:v>1.2924697071141057E-26</c:v>
                </c:pt>
                <c:pt idx="87">
                  <c:v>6.4623485355705287E-27</c:v>
                </c:pt>
                <c:pt idx="88">
                  <c:v>3.2311742677852644E-27</c:v>
                </c:pt>
                <c:pt idx="89">
                  <c:v>1.6155871338926322E-27</c:v>
                </c:pt>
                <c:pt idx="90">
                  <c:v>8.0779356694631609E-28</c:v>
                </c:pt>
                <c:pt idx="91">
                  <c:v>4.0389678347315804E-28</c:v>
                </c:pt>
                <c:pt idx="92">
                  <c:v>2.0194839173657902E-28</c:v>
                </c:pt>
                <c:pt idx="93">
                  <c:v>1.0097419586828951E-28</c:v>
                </c:pt>
                <c:pt idx="94">
                  <c:v>5.0487097934144756E-29</c:v>
                </c:pt>
                <c:pt idx="95">
                  <c:v>2.5243548967072378E-29</c:v>
                </c:pt>
                <c:pt idx="96">
                  <c:v>1.2621774483536189E-29</c:v>
                </c:pt>
                <c:pt idx="97">
                  <c:v>6.3108872417680944E-30</c:v>
                </c:pt>
                <c:pt idx="98">
                  <c:v>3.1554436208840472E-30</c:v>
                </c:pt>
                <c:pt idx="99">
                  <c:v>1.5777218104420236E-30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7-42C0-B15F-8430A9CBA698}"/>
            </c:ext>
          </c:extLst>
        </c:ser>
        <c:ser>
          <c:idx val="1"/>
          <c:order val="1"/>
          <c:tx>
            <c:strRef>
              <c:f>'クーポン収集問題-確率分布'!$C$9</c:f>
              <c:strCache>
                <c:ptCount val="1"/>
                <c:pt idx="0">
                  <c:v>k=3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'クーポン収集問題-確率分布'!$C$10:$C$109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0.22222222222222221</c:v>
                </c:pt>
                <c:pt idx="3">
                  <c:v>0.22222222222222221</c:v>
                </c:pt>
                <c:pt idx="4">
                  <c:v>0.1728395061728395</c:v>
                </c:pt>
                <c:pt idx="5">
                  <c:v>0.12345679012345678</c:v>
                </c:pt>
                <c:pt idx="6">
                  <c:v>8.5048010973936897E-2</c:v>
                </c:pt>
                <c:pt idx="7">
                  <c:v>5.7613168724279837E-2</c:v>
                </c:pt>
                <c:pt idx="8">
                  <c:v>3.8713610730071638E-2</c:v>
                </c:pt>
                <c:pt idx="9">
                  <c:v>2.591068434689834E-2</c:v>
                </c:pt>
                <c:pt idx="10">
                  <c:v>1.7307659740215753E-2</c:v>
                </c:pt>
                <c:pt idx="11">
                  <c:v>1.1549729885349455E-2</c:v>
                </c:pt>
                <c:pt idx="12">
                  <c:v>7.7035832764126219E-3</c:v>
                </c:pt>
                <c:pt idx="13">
                  <c:v>5.1369766352238532E-3</c:v>
                </c:pt>
                <c:pt idx="14">
                  <c:v>3.4250692404654932E-3</c:v>
                </c:pt>
                <c:pt idx="15">
                  <c:v>2.2835188770824145E-3</c:v>
                </c:pt>
                <c:pt idx="16">
                  <c:v>1.5223923792011939E-3</c:v>
                </c:pt>
                <c:pt idx="17">
                  <c:v>1.0149437398495463E-3</c:v>
                </c:pt>
                <c:pt idx="18">
                  <c:v>6.7663432224928093E-4</c:v>
                </c:pt>
                <c:pt idx="19">
                  <c:v>4.5109126894938179E-4</c:v>
                </c:pt>
                <c:pt idx="20">
                  <c:v>3.0072808622731934E-4</c:v>
                </c:pt>
                <c:pt idx="21">
                  <c:v>2.004855820163456E-4</c:v>
                </c:pt>
                <c:pt idx="22">
                  <c:v>1.3365711841027464E-4</c:v>
                </c:pt>
                <c:pt idx="23">
                  <c:v>8.9104766851086733E-5</c:v>
                </c:pt>
                <c:pt idx="24">
                  <c:v>5.9403184982136813E-5</c:v>
                </c:pt>
                <c:pt idx="25">
                  <c:v>3.9602125681895316E-5</c:v>
                </c:pt>
                <c:pt idx="26">
                  <c:v>2.6401417908087134E-5</c:v>
                </c:pt>
                <c:pt idx="27">
                  <c:v>1.7600945534332621E-5</c:v>
                </c:pt>
                <c:pt idx="28">
                  <c:v>1.1733963776979924E-5</c:v>
                </c:pt>
                <c:pt idx="29">
                  <c:v>7.8226425471282303E-6</c:v>
                </c:pt>
                <c:pt idx="30">
                  <c:v>5.2150950411326915E-6</c:v>
                </c:pt>
                <c:pt idx="31">
                  <c:v>3.4767300306597518E-6</c:v>
                </c:pt>
                <c:pt idx="32">
                  <c:v>2.3178200215191534E-6</c:v>
                </c:pt>
                <c:pt idx="33">
                  <c:v>1.5452133480392087E-6</c:v>
                </c:pt>
                <c:pt idx="34">
                  <c:v>1.0301422321460636E-6</c:v>
                </c:pt>
                <c:pt idx="35">
                  <c:v>6.867614881373504E-7</c:v>
                </c:pt>
                <c:pt idx="36">
                  <c:v>4.5784099210489188E-7</c:v>
                </c:pt>
                <c:pt idx="37">
                  <c:v>3.0522732807436958E-7</c:v>
                </c:pt>
                <c:pt idx="38">
                  <c:v>2.0348488538439359E-7</c:v>
                </c:pt>
                <c:pt idx="39">
                  <c:v>1.3565659025675591E-7</c:v>
                </c:pt>
                <c:pt idx="40">
                  <c:v>9.0437726838001767E-8</c:v>
                </c:pt>
                <c:pt idx="41">
                  <c:v>6.029181789205601E-8</c:v>
                </c:pt>
                <c:pt idx="42">
                  <c:v>4.0194545261388962E-8</c:v>
                </c:pt>
                <c:pt idx="43">
                  <c:v>2.6796363507598732E-8</c:v>
                </c:pt>
                <c:pt idx="44">
                  <c:v>1.7864242338401185E-8</c:v>
                </c:pt>
                <c:pt idx="45">
                  <c:v>1.1909494892268134E-8</c:v>
                </c:pt>
                <c:pt idx="46">
                  <c:v>7.9396632615123156E-9</c:v>
                </c:pt>
                <c:pt idx="47">
                  <c:v>5.2931088410082851E-9</c:v>
                </c:pt>
                <c:pt idx="48">
                  <c:v>3.5287392273388818E-9</c:v>
                </c:pt>
                <c:pt idx="49">
                  <c:v>2.3524928182259298E-9</c:v>
                </c:pt>
                <c:pt idx="50">
                  <c:v>1.5683285454839558E-9</c:v>
                </c:pt>
                <c:pt idx="51">
                  <c:v>1.0455523636559716E-9</c:v>
                </c:pt>
                <c:pt idx="52">
                  <c:v>6.9703490910398129E-10</c:v>
                </c:pt>
                <c:pt idx="53">
                  <c:v>4.6468993940265423E-10</c:v>
                </c:pt>
                <c:pt idx="54">
                  <c:v>3.097932929351029E-10</c:v>
                </c:pt>
                <c:pt idx="55">
                  <c:v>2.0652886195673529E-10</c:v>
                </c:pt>
                <c:pt idx="56">
                  <c:v>1.3768590797115687E-10</c:v>
                </c:pt>
                <c:pt idx="57">
                  <c:v>9.1790605314104577E-11</c:v>
                </c:pt>
                <c:pt idx="58">
                  <c:v>6.119373687606971E-11</c:v>
                </c:pt>
                <c:pt idx="59">
                  <c:v>4.0795824584046475E-11</c:v>
                </c:pt>
                <c:pt idx="60">
                  <c:v>2.7197216389364321E-11</c:v>
                </c:pt>
                <c:pt idx="61">
                  <c:v>1.8131477592909543E-11</c:v>
                </c:pt>
                <c:pt idx="62">
                  <c:v>1.2087651728606365E-11</c:v>
                </c:pt>
                <c:pt idx="63">
                  <c:v>8.058434485737576E-12</c:v>
                </c:pt>
                <c:pt idx="64">
                  <c:v>5.372289657158384E-12</c:v>
                </c:pt>
                <c:pt idx="65">
                  <c:v>3.5815264381055895E-12</c:v>
                </c:pt>
                <c:pt idx="66">
                  <c:v>2.3876842920703928E-12</c:v>
                </c:pt>
                <c:pt idx="67">
                  <c:v>1.5917895280469284E-12</c:v>
                </c:pt>
                <c:pt idx="68">
                  <c:v>1.0611930186979524E-12</c:v>
                </c:pt>
                <c:pt idx="69">
                  <c:v>7.0746201246530158E-13</c:v>
                </c:pt>
                <c:pt idx="70">
                  <c:v>4.7164134164353435E-13</c:v>
                </c:pt>
                <c:pt idx="71">
                  <c:v>3.1442756109568962E-13</c:v>
                </c:pt>
                <c:pt idx="72">
                  <c:v>2.0961837406379305E-13</c:v>
                </c:pt>
                <c:pt idx="73">
                  <c:v>1.3974558270919538E-13</c:v>
                </c:pt>
                <c:pt idx="74">
                  <c:v>9.3163721806130254E-14</c:v>
                </c:pt>
                <c:pt idx="75">
                  <c:v>6.2109147870753498E-14</c:v>
                </c:pt>
                <c:pt idx="76">
                  <c:v>4.140609858050233E-14</c:v>
                </c:pt>
                <c:pt idx="77">
                  <c:v>2.7604065720334891E-14</c:v>
                </c:pt>
                <c:pt idx="78">
                  <c:v>1.8402710480223261E-14</c:v>
                </c:pt>
                <c:pt idx="79">
                  <c:v>1.2268473653482172E-14</c:v>
                </c:pt>
                <c:pt idx="80">
                  <c:v>8.178982435654782E-15</c:v>
                </c:pt>
                <c:pt idx="81">
                  <c:v>5.4526549571031874E-15</c:v>
                </c:pt>
                <c:pt idx="82">
                  <c:v>3.6351033047354591E-15</c:v>
                </c:pt>
                <c:pt idx="83">
                  <c:v>2.4234022031569723E-15</c:v>
                </c:pt>
                <c:pt idx="84">
                  <c:v>1.6156014687713148E-15</c:v>
                </c:pt>
                <c:pt idx="85">
                  <c:v>1.0770676458475433E-15</c:v>
                </c:pt>
                <c:pt idx="86">
                  <c:v>7.1804509723169549E-16</c:v>
                </c:pt>
                <c:pt idx="87">
                  <c:v>4.7869673148779696E-16</c:v>
                </c:pt>
                <c:pt idx="88">
                  <c:v>3.1913115432519799E-16</c:v>
                </c:pt>
                <c:pt idx="89">
                  <c:v>2.1275410288346534E-16</c:v>
                </c:pt>
                <c:pt idx="90">
                  <c:v>1.4183606858897689E-16</c:v>
                </c:pt>
                <c:pt idx="91">
                  <c:v>9.4557379059317926E-17</c:v>
                </c:pt>
                <c:pt idx="92">
                  <c:v>6.3038252706211955E-17</c:v>
                </c:pt>
                <c:pt idx="93">
                  <c:v>4.2025501804141301E-17</c:v>
                </c:pt>
                <c:pt idx="94">
                  <c:v>2.8017001202760865E-17</c:v>
                </c:pt>
                <c:pt idx="95">
                  <c:v>1.8678000801840581E-17</c:v>
                </c:pt>
                <c:pt idx="96">
                  <c:v>1.2452000534560386E-17</c:v>
                </c:pt>
                <c:pt idx="97">
                  <c:v>8.3013336897069257E-18</c:v>
                </c:pt>
                <c:pt idx="98">
                  <c:v>5.5342224598046164E-18</c:v>
                </c:pt>
                <c:pt idx="99">
                  <c:v>3.6894816398697432E-18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27-42C0-B15F-8430A9CBA698}"/>
            </c:ext>
          </c:extLst>
        </c:ser>
        <c:ser>
          <c:idx val="2"/>
          <c:order val="2"/>
          <c:tx>
            <c:strRef>
              <c:f>'クーポン収集問題-確率分布'!$D$9</c:f>
              <c:strCache>
                <c:ptCount val="1"/>
                <c:pt idx="0">
                  <c:v>k=4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'クーポン収集問題-確率分布'!$D$10:$D$109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9.375E-2</c:v>
                </c:pt>
                <c:pt idx="4">
                  <c:v>0.140625</c:v>
                </c:pt>
                <c:pt idx="5">
                  <c:v>0.146484375</c:v>
                </c:pt>
                <c:pt idx="6">
                  <c:v>0.1318359375</c:v>
                </c:pt>
                <c:pt idx="7">
                  <c:v>0.1102294921875</c:v>
                </c:pt>
                <c:pt idx="8">
                  <c:v>8.843994140625E-2</c:v>
                </c:pt>
                <c:pt idx="9">
                  <c:v>6.923675537109375E-2</c:v>
                </c:pt>
                <c:pt idx="10">
                  <c:v>5.3386688232421875E-2</c:v>
                </c:pt>
                <c:pt idx="11">
                  <c:v>4.0771007537841797E-2</c:v>
                </c:pt>
                <c:pt idx="12">
                  <c:v>3.0944108963012695E-2</c:v>
                </c:pt>
                <c:pt idx="13">
                  <c:v>2.3391097784042358E-2</c:v>
                </c:pt>
                <c:pt idx="14">
                  <c:v>1.7634853720664978E-2</c:v>
                </c:pt>
                <c:pt idx="15">
                  <c:v>1.3271911069750786E-2</c:v>
                </c:pt>
                <c:pt idx="16">
                  <c:v>9.9768200889229774E-3</c:v>
                </c:pt>
                <c:pt idx="17">
                  <c:v>7.4940588092431426E-3</c:v>
                </c:pt>
                <c:pt idx="18">
                  <c:v>5.6262660655193031E-3</c:v>
                </c:pt>
                <c:pt idx="19">
                  <c:v>4.2225605502608232E-3</c:v>
                </c:pt>
                <c:pt idx="20">
                  <c:v>3.1683509187132586E-3</c:v>
                </c:pt>
                <c:pt idx="21">
                  <c:v>2.3769784434080066E-3</c:v>
                </c:pt>
                <c:pt idx="22">
                  <c:v>1.7830914600835968E-3</c:v>
                </c:pt>
                <c:pt idx="23">
                  <c:v>1.3374974089117586E-3</c:v>
                </c:pt>
                <c:pt idx="24">
                  <c:v>1.0032124636296658E-3</c:v>
                </c:pt>
                <c:pt idx="25">
                  <c:v>7.5245405120050179E-4</c:v>
                </c:pt>
                <c:pt idx="26">
                  <c:v>5.6436289014083485E-4</c:v>
                </c:pt>
                <c:pt idx="27">
                  <c:v>4.2328334347618846E-4</c:v>
                </c:pt>
                <c:pt idx="28">
                  <c:v>3.1746809554250577E-4</c:v>
                </c:pt>
                <c:pt idx="29">
                  <c:v>2.3810386562458236E-4</c:v>
                </c:pt>
                <c:pt idx="30">
                  <c:v>1.7857929620229349E-4</c:v>
                </c:pt>
                <c:pt idx="31">
                  <c:v>1.3393517064364978E-4</c:v>
                </c:pt>
                <c:pt idx="32">
                  <c:v>1.0045172722870249E-4</c:v>
                </c:pt>
                <c:pt idx="33">
                  <c:v>7.5338970044509524E-5</c:v>
                </c:pt>
                <c:pt idx="34">
                  <c:v>5.6504314844873493E-5</c:v>
                </c:pt>
                <c:pt idx="35">
                  <c:v>4.2378279789400801E-5</c:v>
                </c:pt>
                <c:pt idx="36">
                  <c:v>3.1783731669923444E-5</c:v>
                </c:pt>
                <c:pt idx="37">
                  <c:v>2.3837809666379002E-5</c:v>
                </c:pt>
                <c:pt idx="38">
                  <c:v>1.7878362706752464E-5</c:v>
                </c:pt>
                <c:pt idx="39">
                  <c:v>1.3408774758548453E-5</c:v>
                </c:pt>
                <c:pt idx="40">
                  <c:v>1.0056582433153393E-5</c:v>
                </c:pt>
                <c:pt idx="41">
                  <c:v>7.5424375069860712E-6</c:v>
                </c:pt>
                <c:pt idx="42">
                  <c:v>5.6568284713000668E-6</c:v>
                </c:pt>
                <c:pt idx="43">
                  <c:v>4.2426215240053062E-6</c:v>
                </c:pt>
                <c:pt idx="44">
                  <c:v>3.181966228269108E-6</c:v>
                </c:pt>
                <c:pt idx="45">
                  <c:v>2.3864747138343952E-6</c:v>
                </c:pt>
                <c:pt idx="46">
                  <c:v>1.7898560566920785E-6</c:v>
                </c:pt>
                <c:pt idx="47">
                  <c:v>1.3423920531771998E-6</c:v>
                </c:pt>
                <c:pt idx="48">
                  <c:v>1.0067940452119704E-6</c:v>
                </c:pt>
                <c:pt idx="49">
                  <c:v>7.5509553657351297E-7</c:v>
                </c:pt>
                <c:pt idx="50">
                  <c:v>5.6632165376240236E-7</c:v>
                </c:pt>
                <c:pt idx="51">
                  <c:v>4.2474124098793558E-7</c:v>
                </c:pt>
                <c:pt idx="52">
                  <c:v>3.1855593107401858E-7</c:v>
                </c:pt>
                <c:pt idx="53">
                  <c:v>2.389169484720474E-7</c:v>
                </c:pt>
                <c:pt idx="54">
                  <c:v>1.7918771143730227E-7</c:v>
                </c:pt>
                <c:pt idx="55">
                  <c:v>1.3439078361961006E-7</c:v>
                </c:pt>
                <c:pt idx="56">
                  <c:v>1.0079308773552423E-7</c:v>
                </c:pt>
                <c:pt idx="57">
                  <c:v>7.5594815812051519E-8</c:v>
                </c:pt>
                <c:pt idx="58">
                  <c:v>5.669611186424281E-8</c:v>
                </c:pt>
                <c:pt idx="59">
                  <c:v>4.2522083900784194E-8</c:v>
                </c:pt>
                <c:pt idx="60">
                  <c:v>3.1891562926889187E-8</c:v>
                </c:pt>
                <c:pt idx="61">
                  <c:v>2.3918672195817413E-8</c:v>
                </c:pt>
                <c:pt idx="62">
                  <c:v>1.793900414718832E-8</c:v>
                </c:pt>
                <c:pt idx="63">
                  <c:v>1.3454253110553871E-8</c:v>
                </c:pt>
                <c:pt idx="64">
                  <c:v>1.0090689832996719E-8</c:v>
                </c:pt>
                <c:pt idx="65">
                  <c:v>7.5680173747881976E-9</c:v>
                </c:pt>
                <c:pt idx="66">
                  <c:v>5.676013031111477E-9</c:v>
                </c:pt>
                <c:pt idx="67">
                  <c:v>4.2570097733437717E-9</c:v>
                </c:pt>
                <c:pt idx="68">
                  <c:v>3.192757330012911E-9</c:v>
                </c:pt>
                <c:pt idx="69">
                  <c:v>2.3945679975122242E-9</c:v>
                </c:pt>
                <c:pt idx="70">
                  <c:v>1.7959259981354387E-9</c:v>
                </c:pt>
                <c:pt idx="71">
                  <c:v>1.3469444986022144E-9</c:v>
                </c:pt>
                <c:pt idx="72">
                  <c:v>1.0102083739519784E-9</c:v>
                </c:pt>
                <c:pt idx="73">
                  <c:v>7.5765628046414264E-10</c:v>
                </c:pt>
                <c:pt idx="74">
                  <c:v>5.6824221034818639E-10</c:v>
                </c:pt>
                <c:pt idx="75">
                  <c:v>4.261816577611795E-10</c:v>
                </c:pt>
                <c:pt idx="76">
                  <c:v>3.1963624332090449E-10</c:v>
                </c:pt>
                <c:pt idx="77">
                  <c:v>2.3972718249068829E-10</c:v>
                </c:pt>
                <c:pt idx="78">
                  <c:v>1.7979538686802118E-10</c:v>
                </c:pt>
                <c:pt idx="79">
                  <c:v>1.3484654015101836E-10</c:v>
                </c:pt>
                <c:pt idx="80">
                  <c:v>1.0113490511326501E-10</c:v>
                </c:pt>
                <c:pt idx="81">
                  <c:v>7.5851178834949386E-11</c:v>
                </c:pt>
                <c:pt idx="82">
                  <c:v>5.688838412621235E-11</c:v>
                </c:pt>
                <c:pt idx="83">
                  <c:v>4.2666288094659417E-11</c:v>
                </c:pt>
                <c:pt idx="84">
                  <c:v>3.1999716070994641E-11</c:v>
                </c:pt>
                <c:pt idx="85">
                  <c:v>2.3999787053246018E-11</c:v>
                </c:pt>
                <c:pt idx="86">
                  <c:v>1.7999840289934534E-11</c:v>
                </c:pt>
                <c:pt idx="87">
                  <c:v>1.349988021745091E-11</c:v>
                </c:pt>
                <c:pt idx="88">
                  <c:v>1.0124910163088187E-11</c:v>
                </c:pt>
                <c:pt idx="89">
                  <c:v>7.5936826223161433E-12</c:v>
                </c:pt>
                <c:pt idx="90">
                  <c:v>5.6952619667371083E-12</c:v>
                </c:pt>
                <c:pt idx="91">
                  <c:v>4.271446475052832E-12</c:v>
                </c:pt>
                <c:pt idx="92">
                  <c:v>3.203584856289624E-12</c:v>
                </c:pt>
                <c:pt idx="93">
                  <c:v>2.4026886422172181E-12</c:v>
                </c:pt>
                <c:pt idx="94">
                  <c:v>1.8020164816629136E-12</c:v>
                </c:pt>
                <c:pt idx="95">
                  <c:v>1.3515123612471852E-12</c:v>
                </c:pt>
                <c:pt idx="96">
                  <c:v>1.0136342709353888E-12</c:v>
                </c:pt>
                <c:pt idx="97">
                  <c:v>7.602257032015416E-13</c:v>
                </c:pt>
                <c:pt idx="98">
                  <c:v>5.7016927740115625E-13</c:v>
                </c:pt>
                <c:pt idx="99">
                  <c:v>4.2762695805086719E-13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27-42C0-B15F-8430A9CBA698}"/>
            </c:ext>
          </c:extLst>
        </c:ser>
        <c:ser>
          <c:idx val="3"/>
          <c:order val="3"/>
          <c:tx>
            <c:strRef>
              <c:f>'クーポン収集問題-確率分布'!$E$9</c:f>
              <c:strCache>
                <c:ptCount val="1"/>
                <c:pt idx="0">
                  <c:v>k=5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'クーポン収集問題-確率分布'!$E$10:$E$109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3.8399999999999997E-2</c:v>
                </c:pt>
                <c:pt idx="5">
                  <c:v>7.6799999999999993E-2</c:v>
                </c:pt>
                <c:pt idx="6">
                  <c:v>9.9839999999999998E-2</c:v>
                </c:pt>
                <c:pt idx="7">
                  <c:v>0.10752</c:v>
                </c:pt>
                <c:pt idx="8">
                  <c:v>0.10450944</c:v>
                </c:pt>
                <c:pt idx="9">
                  <c:v>9.5477759999999995E-2</c:v>
                </c:pt>
                <c:pt idx="10">
                  <c:v>8.3816448000000002E-2</c:v>
                </c:pt>
                <c:pt idx="11">
                  <c:v>7.1639040000000001E-2</c:v>
                </c:pt>
                <c:pt idx="12">
                  <c:v>6.0112994304000002E-2</c:v>
                </c:pt>
                <c:pt idx="13">
                  <c:v>4.9791565824000003E-2</c:v>
                </c:pt>
                <c:pt idx="14">
                  <c:v>4.0862004019200003E-2</c:v>
                </c:pt>
                <c:pt idx="15">
                  <c:v>3.3310074470399999E-2</c:v>
                </c:pt>
                <c:pt idx="16">
                  <c:v>2.7021630662246401E-2</c:v>
                </c:pt>
                <c:pt idx="17">
                  <c:v>2.1841962545971198E-2</c:v>
                </c:pt>
                <c:pt idx="18">
                  <c:v>1.7608570998620159E-2</c:v>
                </c:pt>
                <c:pt idx="19">
                  <c:v>1.416793983811584E-2</c:v>
                </c:pt>
                <c:pt idx="20">
                  <c:v>1.1383034679121674E-2</c:v>
                </c:pt>
                <c:pt idx="21">
                  <c:v>9.1356506225639417E-3</c:v>
                </c:pt>
                <c:pt idx="22">
                  <c:v>7.3260595032568635E-3</c:v>
                </c:pt>
                <c:pt idx="23">
                  <c:v>5.8713731167892276E-3</c:v>
                </c:pt>
                <c:pt idx="24">
                  <c:v>4.7034146463661511E-3</c:v>
                </c:pt>
                <c:pt idx="25">
                  <c:v>3.7665217466236749E-3</c:v>
                </c:pt>
                <c:pt idx="26">
                  <c:v>3.0154915501253649E-3</c:v>
                </c:pt>
                <c:pt idx="27">
                  <c:v>2.4137577858393392E-3</c:v>
                </c:pt>
                <c:pt idx="28">
                  <c:v>1.9318249777321771E-3</c:v>
                </c:pt>
                <c:pt idx="29">
                  <c:v>1.5459512402690762E-3</c:v>
                </c:pt>
                <c:pt idx="30">
                  <c:v>1.2370557505240263E-3</c:v>
                </c:pt>
                <c:pt idx="31">
                  <c:v>9.8982145678798601E-4</c:v>
                </c:pt>
                <c:pt idx="32">
                  <c:v>7.9196327980505003E-4</c:v>
                </c:pt>
                <c:pt idx="33">
                  <c:v>6.3363429269019792E-4</c:v>
                </c:pt>
                <c:pt idx="34">
                  <c:v>5.0694563554839729E-4</c:v>
                </c:pt>
                <c:pt idx="35">
                  <c:v>4.05579429311879E-4</c:v>
                </c:pt>
                <c:pt idx="36">
                  <c:v>3.2447729598756697E-4</c:v>
                </c:pt>
                <c:pt idx="37">
                  <c:v>2.5959008831855871E-4</c:v>
                </c:pt>
                <c:pt idx="38">
                  <c:v>2.0767702157421672E-4</c:v>
                </c:pt>
                <c:pt idx="39">
                  <c:v>1.6614458781190198E-4</c:v>
                </c:pt>
                <c:pt idx="40">
                  <c:v>1.3291745258140139E-4</c:v>
                </c:pt>
                <c:pt idx="41">
                  <c:v>1.0633503146439408E-4</c:v>
                </c:pt>
                <c:pt idx="42">
                  <c:v>8.5068666811137088E-5</c:v>
                </c:pt>
                <c:pt idx="43">
                  <c:v>6.8055318432705969E-5</c:v>
                </c:pt>
                <c:pt idx="44">
                  <c:v>5.4444485736451823E-5</c:v>
                </c:pt>
                <c:pt idx="45">
                  <c:v>4.3555727183337423E-5</c:v>
                </c:pt>
                <c:pt idx="46">
                  <c:v>3.4844664903176991E-5</c:v>
                </c:pt>
                <c:pt idx="47">
                  <c:v>2.7875781816446418E-5</c:v>
                </c:pt>
                <c:pt idx="48">
                  <c:v>2.2300655389500269E-5</c:v>
                </c:pt>
                <c:pt idx="49">
                  <c:v>1.7840542273406187E-5</c:v>
                </c:pt>
                <c:pt idx="50">
                  <c:v>1.4272444595808577E-5</c:v>
                </c:pt>
                <c:pt idx="51">
                  <c:v>1.1417962142897051E-5</c:v>
                </c:pt>
                <c:pt idx="52">
                  <c:v>9.13437359406776E-6</c:v>
                </c:pt>
                <c:pt idx="53">
                  <c:v>7.3075012031042818E-6</c:v>
                </c:pt>
                <c:pt idx="54">
                  <c:v>5.846002359193471E-6</c:v>
                </c:pt>
                <c:pt idx="55">
                  <c:v>4.6768027253808043E-6</c:v>
                </c:pt>
                <c:pt idx="56">
                  <c:v>3.7414426831202598E-6</c:v>
                </c:pt>
                <c:pt idx="57">
                  <c:v>2.9931544481855789E-6</c:v>
                </c:pt>
                <c:pt idx="58">
                  <c:v>2.3945237395620851E-6</c:v>
                </c:pt>
                <c:pt idx="59">
                  <c:v>1.9156191002578412E-6</c:v>
                </c:pt>
                <c:pt idx="60">
                  <c:v>1.5324953453711769E-6</c:v>
                </c:pt>
                <c:pt idx="61">
                  <c:v>1.2259963153958836E-6</c:v>
                </c:pt>
                <c:pt idx="62">
                  <c:v>9.8079707577607242E-7</c:v>
                </c:pt>
                <c:pt idx="63">
                  <c:v>7.8463767469647713E-7</c:v>
                </c:pt>
                <c:pt idx="64">
                  <c:v>6.2771014820255311E-7</c:v>
                </c:pt>
                <c:pt idx="65">
                  <c:v>5.0216812362926556E-7</c:v>
                </c:pt>
                <c:pt idx="66">
                  <c:v>4.0173450194374617E-7</c:v>
                </c:pt>
                <c:pt idx="67">
                  <c:v>3.213876033791971E-7</c:v>
                </c:pt>
                <c:pt idx="68">
                  <c:v>2.5711008379787792E-7</c:v>
                </c:pt>
                <c:pt idx="69">
                  <c:v>2.056880676950144E-7</c:v>
                </c:pt>
                <c:pt idx="70">
                  <c:v>1.645504545500388E-7</c:v>
                </c:pt>
                <c:pt idx="71">
                  <c:v>1.3164036387644741E-7</c:v>
                </c:pt>
                <c:pt idx="72">
                  <c:v>1.0531229124300772E-7</c:v>
                </c:pt>
                <c:pt idx="73">
                  <c:v>8.4249833079516071E-8</c:v>
                </c:pt>
                <c:pt idx="74">
                  <c:v>6.739986651467879E-8</c:v>
                </c:pt>
                <c:pt idx="75">
                  <c:v>5.3919893242382585E-8</c:v>
                </c:pt>
                <c:pt idx="76">
                  <c:v>4.3135914612289812E-8</c:v>
                </c:pt>
                <c:pt idx="77">
                  <c:v>3.4508731700862091E-8</c:v>
                </c:pt>
                <c:pt idx="78">
                  <c:v>2.7606985367307819E-8</c:v>
                </c:pt>
                <c:pt idx="79">
                  <c:v>2.2085588297817143E-8</c:v>
                </c:pt>
                <c:pt idx="80">
                  <c:v>1.7668470640636244E-8</c:v>
                </c:pt>
                <c:pt idx="81">
                  <c:v>1.4134776513938515E-8</c:v>
                </c:pt>
                <c:pt idx="82">
                  <c:v>1.1307821212008524E-8</c:v>
                </c:pt>
                <c:pt idx="83">
                  <c:v>9.0462569701214434E-9</c:v>
                </c:pt>
                <c:pt idx="84">
                  <c:v>7.2370055764059327E-9</c:v>
                </c:pt>
                <c:pt idx="85">
                  <c:v>5.7896044613100121E-9</c:v>
                </c:pt>
                <c:pt idx="86">
                  <c:v>4.6316835691591687E-9</c:v>
                </c:pt>
                <c:pt idx="87">
                  <c:v>3.7053468553940308E-9</c:v>
                </c:pt>
                <c:pt idx="88">
                  <c:v>2.9642774843552415E-9</c:v>
                </c:pt>
                <c:pt idx="89">
                  <c:v>2.3714219875082036E-9</c:v>
                </c:pt>
                <c:pt idx="90">
                  <c:v>1.8971375900209692E-9</c:v>
                </c:pt>
                <c:pt idx="91">
                  <c:v>1.5177100720254194E-9</c:v>
                </c:pt>
                <c:pt idx="92">
                  <c:v>1.214168057625522E-9</c:v>
                </c:pt>
                <c:pt idx="93">
                  <c:v>9.7133444610352929E-10</c:v>
                </c:pt>
                <c:pt idx="94">
                  <c:v>7.7706755688469044E-10</c:v>
                </c:pt>
                <c:pt idx="95">
                  <c:v>6.2165404550887267E-10</c:v>
                </c:pt>
                <c:pt idx="96">
                  <c:v>4.9732323640777014E-10</c:v>
                </c:pt>
                <c:pt idx="97">
                  <c:v>3.9785858912661947E-10</c:v>
                </c:pt>
                <c:pt idx="98">
                  <c:v>3.1828687130153758E-10</c:v>
                </c:pt>
                <c:pt idx="99">
                  <c:v>2.546294970413752E-10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27-42C0-B15F-8430A9CBA698}"/>
            </c:ext>
          </c:extLst>
        </c:ser>
        <c:ser>
          <c:idx val="4"/>
          <c:order val="4"/>
          <c:tx>
            <c:strRef>
              <c:f>'クーポン収集問題-確率分布'!$F$9</c:f>
              <c:strCache>
                <c:ptCount val="1"/>
                <c:pt idx="0">
                  <c:v>k=6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'クーポン収集問題-確率分布'!$F$10:$F$109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1.5432098765432098E-2</c:v>
                </c:pt>
                <c:pt idx="6">
                  <c:v>3.8580246913580245E-2</c:v>
                </c:pt>
                <c:pt idx="7">
                  <c:v>6.0013717421124831E-2</c:v>
                </c:pt>
                <c:pt idx="8">
                  <c:v>7.501714677640603E-2</c:v>
                </c:pt>
                <c:pt idx="9">
                  <c:v>8.276891860996799E-2</c:v>
                </c:pt>
                <c:pt idx="10">
                  <c:v>8.4394290123456783E-2</c:v>
                </c:pt>
                <c:pt idx="11">
                  <c:v>8.1609262011211034E-2</c:v>
                </c:pt>
                <c:pt idx="12">
                  <c:v>7.6042513421057084E-2</c:v>
                </c:pt>
                <c:pt idx="13">
                  <c:v>6.8987154809400292E-2</c:v>
                </c:pt>
                <c:pt idx="14">
                  <c:v>6.1367389743464E-2</c:v>
                </c:pt>
                <c:pt idx="15">
                  <c:v>5.3791659090958982E-2</c:v>
                </c:pt>
                <c:pt idx="16">
                  <c:v>4.6628054317324266E-2</c:v>
                </c:pt>
                <c:pt idx="17">
                  <c:v>4.0074664486202151E-2</c:v>
                </c:pt>
                <c:pt idx="18">
                  <c:v>3.4215960496571156E-2</c:v>
                </c:pt>
                <c:pt idx="19">
                  <c:v>2.9064463899264068E-2</c:v>
                </c:pt>
                <c:pt idx="20">
                  <c:v>2.4589943880673679E-2</c:v>
                </c:pt>
                <c:pt idx="21">
                  <c:v>2.0739049636676561E-2</c:v>
                </c:pt>
                <c:pt idx="22">
                  <c:v>1.7448023862377034E-2</c:v>
                </c:pt>
                <c:pt idx="23">
                  <c:v>1.4650606301168097E-2</c:v>
                </c:pt>
                <c:pt idx="24">
                  <c:v>1.2282695263198268E-2</c:v>
                </c:pt>
                <c:pt idx="25">
                  <c:v>1.0284883381605794E-2</c:v>
                </c:pt>
                <c:pt idx="26">
                  <c:v>8.6036385895333512E-3</c:v>
                </c:pt>
                <c:pt idx="27">
                  <c:v>7.1916503382866313E-3</c:v>
                </c:pt>
                <c:pt idx="28">
                  <c:v>6.0076845687897298E-3</c:v>
                </c:pt>
                <c:pt idx="29">
                  <c:v>5.0161696931293456E-3</c:v>
                </c:pt>
                <c:pt idx="30">
                  <c:v>4.1866540710103692E-3</c:v>
                </c:pt>
                <c:pt idx="31">
                  <c:v>3.4932212006667158E-3</c:v>
                </c:pt>
                <c:pt idx="32">
                  <c:v>2.9139133900543154E-3</c:v>
                </c:pt>
                <c:pt idx="33">
                  <c:v>2.4301918989646479E-3</c:v>
                </c:pt>
                <c:pt idx="34">
                  <c:v>2.0264472055440325E-3</c:v>
                </c:pt>
                <c:pt idx="35">
                  <c:v>1.6895642624550119E-3</c:v>
                </c:pt>
                <c:pt idx="36">
                  <c:v>1.4085424229399895E-3</c:v>
                </c:pt>
                <c:pt idx="37">
                  <c:v>1.1741668381037391E-3</c:v>
                </c:pt>
                <c:pt idx="38">
                  <c:v>9.7872669694000058E-4</c:v>
                </c:pt>
                <c:pt idx="39">
                  <c:v>8.1577513939456298E-4</c:v>
                </c:pt>
                <c:pt idx="40">
                  <c:v>6.7992565725738681E-4</c:v>
                </c:pt>
                <c:pt idx="41">
                  <c:v>5.6668007612187211E-4</c:v>
                </c:pt>
                <c:pt idx="42">
                  <c:v>4.7228363843397918E-4</c:v>
                </c:pt>
                <c:pt idx="43">
                  <c:v>3.9360319339145494E-4</c:v>
                </c:pt>
                <c:pt idx="44">
                  <c:v>3.2802499108351273E-4</c:v>
                </c:pt>
                <c:pt idx="45">
                  <c:v>2.7336904591539782E-4</c:v>
                </c:pt>
                <c:pt idx="46">
                  <c:v>2.2781746274716936E-4</c:v>
                </c:pt>
                <c:pt idx="47">
                  <c:v>1.8985450196132286E-4</c:v>
                </c:pt>
                <c:pt idx="48">
                  <c:v>1.5821649586811849E-4</c:v>
                </c:pt>
                <c:pt idx="49">
                  <c:v>1.3185002049427913E-4</c:v>
                </c:pt>
                <c:pt idx="50">
                  <c:v>1.0987697748332661E-4</c:v>
                </c:pt>
                <c:pt idx="51">
                  <c:v>9.1565454840266154E-5</c:v>
                </c:pt>
                <c:pt idx="52">
                  <c:v>7.6305416992377879E-5</c:v>
                </c:pt>
                <c:pt idx="53">
                  <c:v>6.3588428355332326E-5</c:v>
                </c:pt>
                <c:pt idx="54">
                  <c:v>5.2990744204023045E-5</c:v>
                </c:pt>
                <c:pt idx="55">
                  <c:v>4.4159211664244937E-5</c:v>
                </c:pt>
                <c:pt idx="56">
                  <c:v>3.67995151608299E-5</c:v>
                </c:pt>
                <c:pt idx="57">
                  <c:v>3.0666377372235302E-5</c:v>
                </c:pt>
                <c:pt idx="58">
                  <c:v>2.5555390969010715E-5</c:v>
                </c:pt>
                <c:pt idx="59">
                  <c:v>2.1296210135611427E-5</c:v>
                </c:pt>
                <c:pt idx="60">
                  <c:v>1.7746875776190895E-5</c:v>
                </c:pt>
                <c:pt idx="61">
                  <c:v>1.4789085811169844E-5</c:v>
                </c:pt>
                <c:pt idx="62">
                  <c:v>1.2324253285538084E-5</c:v>
                </c:pt>
                <c:pt idx="63">
                  <c:v>1.0270221144324121E-5</c:v>
                </c:pt>
                <c:pt idx="64">
                  <c:v>8.5585243356318114E-6</c:v>
                </c:pt>
                <c:pt idx="65">
                  <c:v>7.1321080899343763E-6</c:v>
                </c:pt>
                <c:pt idx="66">
                  <c:v>5.9434263928839218E-6</c:v>
                </c:pt>
                <c:pt idx="67">
                  <c:v>4.952857317140132E-6</c:v>
                </c:pt>
                <c:pt idx="68">
                  <c:v>4.1273824241080283E-6</c:v>
                </c:pt>
                <c:pt idx="69">
                  <c:v>3.439486237750861E-6</c:v>
                </c:pt>
                <c:pt idx="70">
                  <c:v>2.8662391210107223E-6</c:v>
                </c:pt>
                <c:pt idx="71">
                  <c:v>2.3885329938767174E-6</c:v>
                </c:pt>
                <c:pt idx="72">
                  <c:v>1.9904444235868972E-6</c:v>
                </c:pt>
                <c:pt idx="73">
                  <c:v>1.6587038610043919E-6</c:v>
                </c:pt>
                <c:pt idx="74">
                  <c:v>1.3822533339583118E-6</c:v>
                </c:pt>
                <c:pt idx="75">
                  <c:v>1.1518778559350278E-6</c:v>
                </c:pt>
                <c:pt idx="76">
                  <c:v>9.5989826503681297E-7</c:v>
                </c:pt>
                <c:pt idx="77">
                  <c:v>7.9991525536909304E-7</c:v>
                </c:pt>
                <c:pt idx="78">
                  <c:v>6.6659606914429887E-7</c:v>
                </c:pt>
                <c:pt idx="79">
                  <c:v>5.5549673962250775E-7</c:v>
                </c:pt>
                <c:pt idx="80">
                  <c:v>4.6291395990915124E-7</c:v>
                </c:pt>
                <c:pt idx="81">
                  <c:v>3.8576164007344469E-7</c:v>
                </c:pt>
                <c:pt idx="82">
                  <c:v>3.2146803793841637E-7</c:v>
                </c:pt>
                <c:pt idx="83">
                  <c:v>2.6789003464459966E-7</c:v>
                </c:pt>
                <c:pt idx="84">
                  <c:v>2.2324169755666825E-7</c:v>
                </c:pt>
                <c:pt idx="85">
                  <c:v>1.8603474931022481E-7</c:v>
                </c:pt>
                <c:pt idx="86">
                  <c:v>1.5502895865607706E-7</c:v>
                </c:pt>
                <c:pt idx="87">
                  <c:v>1.2919079947843509E-7</c:v>
                </c:pt>
                <c:pt idx="88">
                  <c:v>1.0765899996427653E-7</c:v>
                </c:pt>
                <c:pt idx="89">
                  <c:v>8.9715833569506411E-8</c:v>
                </c:pt>
                <c:pt idx="90">
                  <c:v>7.4763194818550427E-8</c:v>
                </c:pt>
                <c:pt idx="91">
                  <c:v>6.2302662466988762E-8</c:v>
                </c:pt>
                <c:pt idx="92">
                  <c:v>5.1918885467955114E-8</c:v>
                </c:pt>
                <c:pt idx="93">
                  <c:v>4.3265737942494471E-8</c:v>
                </c:pt>
                <c:pt idx="94">
                  <c:v>3.6054781653766645E-8</c:v>
                </c:pt>
                <c:pt idx="95">
                  <c:v>3.0045651401486372E-8</c:v>
                </c:pt>
                <c:pt idx="96">
                  <c:v>2.5038042850136975E-8</c:v>
                </c:pt>
                <c:pt idx="97">
                  <c:v>2.0865035718824151E-8</c:v>
                </c:pt>
                <c:pt idx="98">
                  <c:v>1.7387529772604571E-8</c:v>
                </c:pt>
                <c:pt idx="99">
                  <c:v>1.4489608148448991E-8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27-42C0-B15F-8430A9CBA698}"/>
            </c:ext>
          </c:extLst>
        </c:ser>
        <c:ser>
          <c:idx val="5"/>
          <c:order val="5"/>
          <c:tx>
            <c:strRef>
              <c:f>'クーポン収集問題-確率分布'!$G$9</c:f>
              <c:strCache>
                <c:ptCount val="1"/>
                <c:pt idx="0">
                  <c:v>k=7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'クーポン収集問題-確率分布'!$G$10:$G$109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6.1198990216661427E-3</c:v>
                </c:pt>
                <c:pt idx="7">
                  <c:v>1.8359697064998428E-2</c:v>
                </c:pt>
                <c:pt idx="8">
                  <c:v>3.3222308974759057E-2</c:v>
                </c:pt>
                <c:pt idx="9">
                  <c:v>4.7210649595710245E-2</c:v>
                </c:pt>
                <c:pt idx="10">
                  <c:v>5.8183646383828835E-2</c:v>
                </c:pt>
                <c:pt idx="11">
                  <c:v>6.535623940630636E-2</c:v>
                </c:pt>
                <c:pt idx="12">
                  <c:v>6.8854104835794891E-2</c:v>
                </c:pt>
                <c:pt idx="13">
                  <c:v>6.9268378444653014E-2</c:v>
                </c:pt>
                <c:pt idx="14">
                  <c:v>6.7343902601451205E-2</c:v>
                </c:pt>
                <c:pt idx="15">
                  <c:v>6.3800996769736773E-2</c:v>
                </c:pt>
                <c:pt idx="16">
                  <c:v>5.9252888265027961E-2</c:v>
                </c:pt>
                <c:pt idx="17">
                  <c:v>5.4180940026006805E-2</c:v>
                </c:pt>
                <c:pt idx="18">
                  <c:v>4.8940159214061432E-2</c:v>
                </c:pt>
                <c:pt idx="19">
                  <c:v>4.3777817513508843E-2</c:v>
                </c:pt>
                <c:pt idx="20">
                  <c:v>3.8855605292780947E-2</c:v>
                </c:pt>
                <c:pt idx="21">
                  <c:v>3.4270577304578678E-2</c:v>
                </c:pt>
                <c:pt idx="22">
                  <c:v>3.0072947806952886E-2</c:v>
                </c:pt>
                <c:pt idx="23">
                  <c:v>2.6280278333919722E-2</c:v>
                </c:pt>
                <c:pt idx="24">
                  <c:v>2.2888306513023402E-2</c:v>
                </c:pt>
                <c:pt idx="25">
                  <c:v>1.9878938220686853E-2</c:v>
                </c:pt>
                <c:pt idx="26">
                  <c:v>1.7225978516604807E-2</c:v>
                </c:pt>
                <c:pt idx="27">
                  <c:v>1.4899128774998046E-2</c:v>
                </c:pt>
                <c:pt idx="28">
                  <c:v>1.2866692245807053E-2</c:v>
                </c:pt>
                <c:pt idx="29">
                  <c:v>1.1097339795049056E-2</c:v>
                </c:pt>
                <c:pt idx="30">
                  <c:v>9.5612059269896323E-3</c:v>
                </c:pt>
                <c:pt idx="31">
                  <c:v>8.2305172535470563E-3</c:v>
                </c:pt>
                <c:pt idx="32">
                  <c:v>7.0799017176093612E-3</c:v>
                </c:pt>
                <c:pt idx="33">
                  <c:v>6.0864855318962501E-3</c:v>
                </c:pt>
                <c:pt idx="34">
                  <c:v>5.2298537816837434E-3</c:v>
                </c:pt>
                <c:pt idx="35">
                  <c:v>4.4919277852179373E-3</c:v>
                </c:pt>
                <c:pt idx="36">
                  <c:v>3.8567957059383144E-3</c:v>
                </c:pt>
                <c:pt idx="37">
                  <c:v>3.3105210057166158E-3</c:v>
                </c:pt>
                <c:pt idx="38">
                  <c:v>2.8409448914509241E-3</c:v>
                </c:pt>
                <c:pt idx="39">
                  <c:v>2.4374929999259826E-3</c:v>
                </c:pt>
                <c:pt idx="40">
                  <c:v>2.0909924835653747E-3</c:v>
                </c:pt>
                <c:pt idx="41">
                  <c:v>1.7935028817325069E-3</c:v>
                </c:pt>
                <c:pt idx="42">
                  <c:v>1.5381623078081078E-3</c:v>
                </c:pt>
                <c:pt idx="43">
                  <c:v>1.3190492755964865E-3</c:v>
                </c:pt>
                <c:pt idx="44">
                  <c:v>1.1310597315650633E-3</c:v>
                </c:pt>
                <c:pt idx="45">
                  <c:v>9.6979841072407185E-4</c:v>
                </c:pt>
                <c:pt idx="46">
                  <c:v>8.3148339359500364E-4</c:v>
                </c:pt>
                <c:pt idx="47">
                  <c:v>7.1286263943170234E-4</c:v>
                </c:pt>
                <c:pt idx="48">
                  <c:v>6.1114125768799198E-4</c:v>
                </c:pt>
                <c:pt idx="49">
                  <c:v>5.2391832188470602E-4</c:v>
                </c:pt>
                <c:pt idx="50">
                  <c:v>4.491321044742972E-4</c:v>
                </c:pt>
                <c:pt idx="51">
                  <c:v>3.8501270255069981E-4</c:v>
                </c:pt>
                <c:pt idx="52">
                  <c:v>3.3004112210858089E-4</c:v>
                </c:pt>
                <c:pt idx="53">
                  <c:v>2.8291398648822209E-4</c:v>
                </c:pt>
                <c:pt idx="54">
                  <c:v>2.425131286375578E-4</c:v>
                </c:pt>
                <c:pt idx="55">
                  <c:v>2.0787941457940426E-4</c:v>
                </c:pt>
                <c:pt idx="56">
                  <c:v>1.7819022583146887E-4</c:v>
                </c:pt>
                <c:pt idx="57">
                  <c:v>1.5274010108019004E-4</c:v>
                </c:pt>
                <c:pt idx="58">
                  <c:v>1.3092410222381132E-4</c:v>
                </c:pt>
                <c:pt idx="59">
                  <c:v>1.1222352733160107E-4</c:v>
                </c:pt>
                <c:pt idx="60">
                  <c:v>9.6193643633863917E-5</c:v>
                </c:pt>
                <c:pt idx="61">
                  <c:v>8.245315795911949E-5</c:v>
                </c:pt>
                <c:pt idx="62">
                  <c:v>7.0675180692138291E-5</c:v>
                </c:pt>
                <c:pt idx="63">
                  <c:v>6.0579472950324849E-5</c:v>
                </c:pt>
                <c:pt idx="64">
                  <c:v>5.1925795845642766E-5</c:v>
                </c:pt>
                <c:pt idx="65">
                  <c:v>4.4508205951416201E-5</c:v>
                </c:pt>
                <c:pt idx="66">
                  <c:v>3.815016291628845E-5</c:v>
                </c:pt>
                <c:pt idx="67">
                  <c:v>3.2700334000336871E-5</c:v>
                </c:pt>
                <c:pt idx="68">
                  <c:v>2.8028996541633027E-5</c:v>
                </c:pt>
                <c:pt idx="69">
                  <c:v>2.4024953340759158E-5</c:v>
                </c:pt>
                <c:pt idx="70">
                  <c:v>2.059288797939503E-5</c:v>
                </c:pt>
                <c:pt idx="71">
                  <c:v>1.7651097432472502E-5</c:v>
                </c:pt>
                <c:pt idx="72">
                  <c:v>1.5129548222833126E-5</c:v>
                </c:pt>
                <c:pt idx="73">
                  <c:v>1.2968210003758E-5</c:v>
                </c:pt>
                <c:pt idx="74">
                  <c:v>1.1115627012336074E-5</c:v>
                </c:pt>
                <c:pt idx="75">
                  <c:v>9.5276934660651403E-6</c:v>
                </c:pt>
                <c:pt idx="76">
                  <c:v>8.1666038064686687E-6</c:v>
                </c:pt>
                <c:pt idx="77">
                  <c:v>6.9999528391051215E-6</c:v>
                </c:pt>
                <c:pt idx="78">
                  <c:v>5.9999643758580497E-6</c:v>
                </c:pt>
                <c:pt idx="79">
                  <c:v>5.1428300360800415E-6</c:v>
                </c:pt>
                <c:pt idx="80">
                  <c:v>4.4081424796413257E-6</c:v>
                </c:pt>
                <c:pt idx="81">
                  <c:v>3.7784095887751581E-6</c:v>
                </c:pt>
                <c:pt idx="82">
                  <c:v>3.2386380397234388E-6</c:v>
                </c:pt>
                <c:pt idx="83">
                  <c:v>2.7759763550091972E-6</c:v>
                </c:pt>
                <c:pt idx="84">
                  <c:v>2.3794089417143954E-6</c:v>
                </c:pt>
                <c:pt idx="85">
                  <c:v>2.0394938339129123E-6</c:v>
                </c:pt>
                <c:pt idx="86">
                  <c:v>1.7481378971400518E-6</c:v>
                </c:pt>
                <c:pt idx="87">
                  <c:v>1.498404144130544E-6</c:v>
                </c:pt>
                <c:pt idx="88">
                  <c:v>1.2843465751806198E-6</c:v>
                </c:pt>
                <c:pt idx="89">
                  <c:v>1.1008686115304375E-6</c:v>
                </c:pt>
                <c:pt idx="90">
                  <c:v>9.4360175168214502E-7</c:v>
                </c:pt>
                <c:pt idx="91">
                  <c:v>8.0880156191044982E-7</c:v>
                </c:pt>
                <c:pt idx="92">
                  <c:v>6.9325852482939369E-7</c:v>
                </c:pt>
                <c:pt idx="93">
                  <c:v>5.9422162356224135E-7</c:v>
                </c:pt>
                <c:pt idx="94">
                  <c:v>5.0933284223287292E-7</c:v>
                </c:pt>
                <c:pt idx="95">
                  <c:v>4.3657102336865246E-7</c:v>
                </c:pt>
                <c:pt idx="96">
                  <c:v>3.7420374555918477E-7</c:v>
                </c:pt>
                <c:pt idx="97">
                  <c:v>3.2074607565301345E-7</c:v>
                </c:pt>
                <c:pt idx="98">
                  <c:v>2.7492521343890795E-7</c:v>
                </c:pt>
                <c:pt idx="99">
                  <c:v>2.3565018704501039E-7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27-42C0-B15F-8430A9CBA698}"/>
            </c:ext>
          </c:extLst>
        </c:ser>
        <c:ser>
          <c:idx val="6"/>
          <c:order val="6"/>
          <c:tx>
            <c:strRef>
              <c:f>'クーポン収集問題-確率分布'!$H$9</c:f>
              <c:strCache>
                <c:ptCount val="1"/>
                <c:pt idx="0">
                  <c:v>k=8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'クーポン収集問題-確率分布'!$H$10:$H$109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2.40325927734375E-3</c:v>
                </c:pt>
                <c:pt idx="8">
                  <c:v>8.411407470703125E-3</c:v>
                </c:pt>
                <c:pt idx="9">
                  <c:v>1.7348527908325195E-2</c:v>
                </c:pt>
                <c:pt idx="10">
                  <c:v>2.7599930763244629E-2</c:v>
                </c:pt>
                <c:pt idx="11">
                  <c:v>3.7543298676609993E-2</c:v>
                </c:pt>
                <c:pt idx="12">
                  <c:v>4.6014259569346905E-2</c:v>
                </c:pt>
                <c:pt idx="13">
                  <c:v>5.2397330291569233E-2</c:v>
                </c:pt>
                <c:pt idx="14">
                  <c:v>5.6529545690864325E-2</c:v>
                </c:pt>
                <c:pt idx="15">
                  <c:v>5.8550322089558904E-2</c:v>
                </c:pt>
                <c:pt idx="16">
                  <c:v>5.8764329666018966E-2</c:v>
                </c:pt>
                <c:pt idx="17">
                  <c:v>5.754012738343306E-2</c:v>
                </c:pt>
                <c:pt idx="18">
                  <c:v>5.5245303683726377E-2</c:v>
                </c:pt>
                <c:pt idx="19">
                  <c:v>5.2210598064293401E-2</c:v>
                </c:pt>
                <c:pt idx="20">
                  <c:v>4.8714081718198299E-2</c:v>
                </c:pt>
                <c:pt idx="21">
                  <c:v>4.4977826190431246E-2</c:v>
                </c:pt>
                <c:pt idx="22">
                  <c:v>4.1171525756753591E-2</c:v>
                </c:pt>
                <c:pt idx="23">
                  <c:v>3.7419401066269918E-2</c:v>
                </c:pt>
                <c:pt idx="24">
                  <c:v>3.3808138015598808E-2</c:v>
                </c:pt>
                <c:pt idx="25">
                  <c:v>3.0394605079860203E-2</c:v>
                </c:pt>
                <c:pt idx="26">
                  <c:v>2.7212730536258944E-2</c:v>
                </c:pt>
                <c:pt idx="27">
                  <c:v>2.427930679575763E-2</c:v>
                </c:pt>
                <c:pt idx="28">
                  <c:v>2.1598705851748942E-2</c:v>
                </c:pt>
                <c:pt idx="29">
                  <c:v>1.9166599724297038E-2</c:v>
                </c:pt>
                <c:pt idx="30">
                  <c:v>1.6972825512451047E-2</c:v>
                </c:pt>
                <c:pt idx="31">
                  <c:v>1.5003544211972914E-2</c:v>
                </c:pt>
                <c:pt idx="32">
                  <c:v>1.3242833254726584E-2</c:v>
                </c:pt>
                <c:pt idx="33">
                  <c:v>1.1673835189548763E-2</c:v>
                </c:pt>
                <c:pt idx="34">
                  <c:v>1.0279564950322288E-2</c:v>
                </c:pt>
                <c:pt idx="35">
                  <c:v>9.0434588532908311E-3</c:v>
                </c:pt>
                <c:pt idx="36">
                  <c:v>7.9497312807817379E-3</c:v>
                </c:pt>
                <c:pt idx="37">
                  <c:v>6.9835904469377685E-3</c:v>
                </c:pt>
                <c:pt idx="38">
                  <c:v>6.1313527027831724E-3</c:v>
                </c:pt>
                <c:pt idx="39">
                  <c:v>5.3804852793889911E-3</c:v>
                </c:pt>
                <c:pt idx="40">
                  <c:v>4.7195998508954276E-3</c:v>
                </c:pt>
                <c:pt idx="41">
                  <c:v>4.138413471529186E-3</c:v>
                </c:pt>
                <c:pt idx="42">
                  <c:v>3.6276889763452967E-3</c:v>
                </c:pt>
                <c:pt idx="43">
                  <c:v>3.1791635507809066E-3</c:v>
                </c:pt>
                <c:pt idx="44">
                  <c:v>2.7854716325481522E-3</c:v>
                </c:pt>
                <c:pt idx="45">
                  <c:v>2.4400664185688964E-3</c:v>
                </c:pt>
                <c:pt idx="46">
                  <c:v>2.1371428562851845E-3</c:v>
                </c:pt>
                <c:pt idx="47">
                  <c:v>1.871563982407434E-3</c:v>
                </c:pt>
                <c:pt idx="48">
                  <c:v>1.6387917395677399E-3</c:v>
                </c:pt>
                <c:pt idx="49">
                  <c:v>1.4348228805940346E-3</c:v>
                </c:pt>
                <c:pt idx="50">
                  <c:v>1.2561302064089765E-3</c:v>
                </c:pt>
                <c:pt idx="51">
                  <c:v>1.0996091353605833E-3</c:v>
                </c:pt>
                <c:pt idx="52">
                  <c:v>9.6252943784068043E-4</c:v>
                </c:pt>
                <c:pt idx="53">
                  <c:v>8.4249186693335183E-4</c:v>
                </c:pt>
                <c:pt idx="54">
                  <c:v>7.3738935613557532E-4</c:v>
                </c:pt>
                <c:pt idx="55">
                  <c:v>6.4537242601527965E-4</c:v>
                </c:pt>
                <c:pt idx="56">
                  <c:v>5.6481843354214232E-4</c:v>
                </c:pt>
                <c:pt idx="57">
                  <c:v>4.9430430382802946E-4</c:v>
                </c:pt>
                <c:pt idx="58">
                  <c:v>4.3258239914263787E-4</c:v>
                </c:pt>
                <c:pt idx="59">
                  <c:v>3.7855920074097359E-4</c:v>
                </c:pt>
                <c:pt idx="60">
                  <c:v>3.3127650271756092E-4</c:v>
                </c:pt>
                <c:pt idx="61">
                  <c:v>2.8989484202404577E-4</c:v>
                </c:pt>
                <c:pt idx="62">
                  <c:v>2.5367891375209652E-4</c:v>
                </c:pt>
                <c:pt idx="63">
                  <c:v>2.219847450010156E-4</c:v>
                </c:pt>
                <c:pt idx="64">
                  <c:v>1.9424842362192392E-4</c:v>
                </c:pt>
                <c:pt idx="65">
                  <c:v>1.6997619956938929E-4</c:v>
                </c:pt>
                <c:pt idx="66">
                  <c:v>1.4873579635504472E-4</c:v>
                </c:pt>
                <c:pt idx="67">
                  <c:v>1.3014878814495765E-4</c:v>
                </c:pt>
                <c:pt idx="68">
                  <c:v>1.1388391439969663E-4</c:v>
                </c:pt>
                <c:pt idx="69">
                  <c:v>9.9651218693215201E-5</c:v>
                </c:pt>
                <c:pt idx="70">
                  <c:v>8.7196911560321675E-5</c:v>
                </c:pt>
                <c:pt idx="71">
                  <c:v>7.6298869023505168E-5</c:v>
                </c:pt>
                <c:pt idx="72">
                  <c:v>6.6762688955112885E-5</c:v>
                </c:pt>
                <c:pt idx="73">
                  <c:v>5.8418236757494471E-5</c:v>
                </c:pt>
                <c:pt idx="74">
                  <c:v>5.1116620105455249E-5</c:v>
                </c:pt>
                <c:pt idx="75">
                  <c:v>4.4727539800083763E-5</c:v>
                </c:pt>
                <c:pt idx="76">
                  <c:v>3.9136970231446562E-5</c:v>
                </c:pt>
                <c:pt idx="77">
                  <c:v>3.4245128632617851E-5</c:v>
                </c:pt>
                <c:pt idx="78">
                  <c:v>2.9964697313818551E-5</c:v>
                </c:pt>
                <c:pt idx="79">
                  <c:v>2.6219267469925522E-5</c:v>
                </c:pt>
                <c:pt idx="80">
                  <c:v>2.2941977026514203E-5</c:v>
                </c:pt>
                <c:pt idx="81">
                  <c:v>2.0074318390996119E-5</c:v>
                </c:pt>
                <c:pt idx="82">
                  <c:v>1.7565094961749465E-5</c:v>
                </c:pt>
                <c:pt idx="83">
                  <c:v>1.5369507868770881E-5</c:v>
                </c:pt>
                <c:pt idx="84">
                  <c:v>1.3448356718116597E-5</c:v>
                </c:pt>
                <c:pt idx="85">
                  <c:v>1.176734012806608E-5</c:v>
                </c:pt>
                <c:pt idx="86">
                  <c:v>1.0296443611848052E-5</c:v>
                </c:pt>
                <c:pt idx="87">
                  <c:v>9.009403910212649E-6</c:v>
                </c:pt>
                <c:pt idx="88">
                  <c:v>7.8832402338221004E-6</c:v>
                </c:pt>
                <c:pt idx="89">
                  <c:v>6.8978440638850077E-6</c:v>
                </c:pt>
                <c:pt idx="90">
                  <c:v>6.0356202003680992E-6</c:v>
                </c:pt>
                <c:pt idx="91">
                  <c:v>5.2811726586740723E-6</c:v>
                </c:pt>
                <c:pt idx="92">
                  <c:v>4.621029813854081E-6</c:v>
                </c:pt>
                <c:pt idx="93">
                  <c:v>4.0434038902581973E-6</c:v>
                </c:pt>
                <c:pt idx="94">
                  <c:v>3.5379805063279386E-6</c:v>
                </c:pt>
                <c:pt idx="95">
                  <c:v>3.0957345198010274E-6</c:v>
                </c:pt>
                <c:pt idx="96">
                  <c:v>2.7087688873990018E-6</c:v>
                </c:pt>
                <c:pt idx="97">
                  <c:v>2.3701736634039806E-6</c:v>
                </c:pt>
                <c:pt idx="98">
                  <c:v>2.0739026206758899E-6</c:v>
                </c:pt>
                <c:pt idx="99">
                  <c:v>1.8146652919894695E-6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27-42C0-B15F-8430A9CBA698}"/>
            </c:ext>
          </c:extLst>
        </c:ser>
        <c:ser>
          <c:idx val="7"/>
          <c:order val="7"/>
          <c:tx>
            <c:strRef>
              <c:f>'クーポン収集問題-確率分布'!$I$9</c:f>
              <c:strCache>
                <c:ptCount val="1"/>
                <c:pt idx="0">
                  <c:v>k=9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'クーポン収集問題-確率分布'!$I$10:$I$109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9.3665670841688495E-4</c:v>
                </c:pt>
                <c:pt idx="9">
                  <c:v>3.7466268336675398E-3</c:v>
                </c:pt>
                <c:pt idx="10">
                  <c:v>8.6727473001563422E-3</c:v>
                </c:pt>
                <c:pt idx="11">
                  <c:v>1.5264035248275163E-2</c:v>
                </c:pt>
                <c:pt idx="12">
                  <c:v>2.2702896870814202E-2</c:v>
                </c:pt>
                <c:pt idx="13">
                  <c:v>3.013233624937282E-2</c:v>
                </c:pt>
                <c:pt idx="14">
                  <c:v>3.6857647070061575E-2</c:v>
                </c:pt>
                <c:pt idx="15">
                  <c:v>4.2422587218495379E-2</c:v>
                </c:pt>
                <c:pt idx="16">
                  <c:v>4.6602798575264004E-2</c:v>
                </c:pt>
                <c:pt idx="17">
                  <c:v>4.9359234333065868E-2</c:v>
                </c:pt>
                <c:pt idx="18">
                  <c:v>5.0780856531756319E-2</c:v>
                </c:pt>
                <c:pt idx="19">
                  <c:v>5.1032366882625961E-2</c:v>
                </c:pt>
                <c:pt idx="20">
                  <c:v>5.0313278237437725E-2</c:v>
                </c:pt>
                <c:pt idx="21">
                  <c:v>4.8829222251110194E-2</c:v>
                </c:pt>
                <c:pt idx="22">
                  <c:v>4.6773854510857506E-2</c:v>
                </c:pt>
                <c:pt idx="23">
                  <c:v>4.4318895280494736E-2</c:v>
                </c:pt>
                <c:pt idx="24">
                  <c:v>4.1609892689145306E-2</c:v>
                </c:pt>
                <c:pt idx="25">
                  <c:v>3.8765703362631763E-2</c:v>
                </c:pt>
                <c:pt idx="26">
                  <c:v>3.5880178145551458E-2</c:v>
                </c:pt>
                <c:pt idx="27">
                  <c:v>3.3024990269899135E-2</c:v>
                </c:pt>
                <c:pt idx="28">
                  <c:v>3.0252904731942826E-2</c:v>
                </c:pt>
                <c:pt idx="29">
                  <c:v>2.7601056122235283E-2</c:v>
                </c:pt>
                <c:pt idx="30">
                  <c:v>2.5093990271144447E-2</c:v>
                </c:pt>
                <c:pt idx="31">
                  <c:v>2.2746350318931081E-2</c:v>
                </c:pt>
                <c:pt idx="32">
                  <c:v>2.0565166965472018E-2</c:v>
                </c:pt>
                <c:pt idx="33">
                  <c:v>1.8551759611047231E-2</c:v>
                </c:pt>
                <c:pt idx="34">
                  <c:v>1.6703280512534436E-2</c:v>
                </c:pt>
                <c:pt idx="35">
                  <c:v>1.5013945668893034E-2</c:v>
                </c:pt>
                <c:pt idx="36">
                  <c:v>1.3475999287193542E-2</c:v>
                </c:pt>
                <c:pt idx="37">
                  <c:v>1.2080456971484275E-2</c:v>
                </c:pt>
                <c:pt idx="38">
                  <c:v>1.0817668559314941E-2</c:v>
                </c:pt>
                <c:pt idx="39">
                  <c:v>9.6777362634347455E-3</c:v>
                </c:pt>
                <c:pt idx="40">
                  <c:v>8.6508183264741977E-3</c:v>
                </c:pt>
                <c:pt idx="41">
                  <c:v>7.7273432455769835E-3</c:v>
                </c:pt>
                <c:pt idx="42">
                  <c:v>6.8981550088298479E-3</c:v>
                </c:pt>
                <c:pt idx="43">
                  <c:v>6.1546057938102845E-3</c:v>
                </c:pt>
                <c:pt idx="44">
                  <c:v>5.4886092121571679E-3</c:v>
                </c:pt>
                <c:pt idx="45">
                  <c:v>4.8926643980217021E-3</c:v>
                </c:pt>
                <c:pt idx="46">
                  <c:v>4.3598589664259118E-3</c:v>
                </c:pt>
                <c:pt idx="47">
                  <c:v>3.8838570372341573E-3</c:v>
                </c:pt>
                <c:pt idx="48">
                  <c:v>3.4588770607419141E-3</c:v>
                </c:pt>
                <c:pt idx="49">
                  <c:v>3.0796630270551084E-3</c:v>
                </c:pt>
                <c:pt idx="50">
                  <c:v>2.7414517366998572E-3</c:v>
                </c:pt>
                <c:pt idx="51">
                  <c:v>2.4399381058613405E-3</c:v>
                </c:pt>
                <c:pt idx="52">
                  <c:v>2.1712399358590718E-3</c:v>
                </c:pt>
                <c:pt idx="53">
                  <c:v>1.9318631596481931E-3</c:v>
                </c:pt>
                <c:pt idx="54">
                  <c:v>1.7186682612405127E-3</c:v>
                </c:pt>
                <c:pt idx="55">
                  <c:v>1.528838325183684E-3</c:v>
                </c:pt>
                <c:pt idx="56">
                  <c:v>1.3598489952251496E-3</c:v>
                </c:pt>
                <c:pt idx="57">
                  <c:v>1.2094404902180339E-3</c:v>
                </c:pt>
                <c:pt idx="58">
                  <c:v>1.075591730315242E-3</c:v>
                </c:pt>
                <c:pt idx="59">
                  <c:v>9.5649655900834378E-4</c:v>
                </c:pt>
                <c:pt idx="60">
                  <c:v>8.5054199993576159E-4</c:v>
                </c:pt>
                <c:pt idx="61">
                  <c:v>7.5628845643376311E-4</c:v>
                </c:pt>
                <c:pt idx="62">
                  <c:v>6.7245174253132496E-4</c:v>
                </c:pt>
                <c:pt idx="63">
                  <c:v>5.9788682341618241E-4</c:v>
                </c:pt>
                <c:pt idx="64">
                  <c:v>5.3157313896652928E-4</c:v>
                </c:pt>
                <c:pt idx="65">
                  <c:v>4.7260138395579957E-4</c:v>
                </c:pt>
                <c:pt idx="66">
                  <c:v>4.2016162163876629E-4</c:v>
                </c:pt>
                <c:pt idx="67">
                  <c:v>3.7353261259587126E-4</c:v>
                </c:pt>
                <c:pt idx="68">
                  <c:v>3.3207224718984269E-4</c:v>
                </c:pt>
                <c:pt idx="69">
                  <c:v>2.9520897721478444E-4</c:v>
                </c:pt>
                <c:pt idx="70">
                  <c:v>2.6243414988629687E-4</c:v>
                </c:pt>
                <c:pt idx="71">
                  <c:v>2.3329515494122474E-4</c:v>
                </c:pt>
                <c:pt idx="72">
                  <c:v>2.0738930308449597E-4</c:v>
                </c:pt>
                <c:pt idx="73">
                  <c:v>1.8435836120130942E-4</c:v>
                </c:pt>
                <c:pt idx="74">
                  <c:v>1.6388367655782084E-4</c:v>
                </c:pt>
                <c:pt idx="75">
                  <c:v>1.4568182859084146E-4</c:v>
                </c:pt>
                <c:pt idx="76">
                  <c:v>1.2950075281163898E-4</c:v>
                </c:pt>
                <c:pt idx="77">
                  <c:v>1.151162868143485E-4</c:v>
                </c:pt>
                <c:pt idx="78">
                  <c:v>1.0232909339264185E-4</c:v>
                </c:pt>
                <c:pt idx="79">
                  <c:v>9.0961920345048841E-5</c:v>
                </c:pt>
                <c:pt idx="80">
                  <c:v>8.0857160711409853E-5</c:v>
                </c:pt>
                <c:pt idx="81">
                  <c:v>7.1874680955612668E-5</c:v>
                </c:pt>
                <c:pt idx="82">
                  <c:v>6.3889888020083721E-5</c:v>
                </c:pt>
                <c:pt idx="83">
                  <c:v>5.6792009253115311E-5</c:v>
                </c:pt>
                <c:pt idx="84">
                  <c:v>5.0482561978388191E-5</c:v>
                </c:pt>
                <c:pt idx="85">
                  <c:v>4.4873991963501969E-5</c:v>
                </c:pt>
                <c:pt idx="86">
                  <c:v>3.9888462276216054E-5</c:v>
                </c:pt>
                <c:pt idx="87">
                  <c:v>3.5456776017202131E-5</c:v>
                </c:pt>
                <c:pt idx="88">
                  <c:v>3.1517418208572831E-5</c:v>
                </c:pt>
                <c:pt idx="89">
                  <c:v>2.8015703718775559E-5</c:v>
                </c:pt>
                <c:pt idx="90">
                  <c:v>2.4903019535462869E-5</c:v>
                </c:pt>
                <c:pt idx="91">
                  <c:v>2.2136150975900872E-5</c:v>
                </c:pt>
                <c:pt idx="92">
                  <c:v>1.9676682565044937E-5</c:v>
                </c:pt>
                <c:pt idx="93">
                  <c:v>1.749046532883843E-5</c:v>
                </c:pt>
                <c:pt idx="94">
                  <c:v>1.5547143157459281E-5</c:v>
                </c:pt>
                <c:pt idx="95">
                  <c:v>1.3819731701782771E-5</c:v>
                </c:pt>
                <c:pt idx="96">
                  <c:v>1.2284243986722507E-5</c:v>
                </c:pt>
                <c:pt idx="97">
                  <c:v>1.0919357566774682E-5</c:v>
                </c:pt>
                <c:pt idx="98">
                  <c:v>9.7061186204792482E-6</c:v>
                </c:pt>
                <c:pt idx="99">
                  <c:v>8.6276788892071736E-6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27-42C0-B15F-8430A9CBA698}"/>
            </c:ext>
          </c:extLst>
        </c:ser>
        <c:ser>
          <c:idx val="8"/>
          <c:order val="8"/>
          <c:tx>
            <c:strRef>
              <c:f>'クーポン収集問題-確率分布'!$J$9</c:f>
              <c:strCache>
                <c:ptCount val="1"/>
                <c:pt idx="0">
                  <c:v>k=10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'クーポン収集問題-確率分布'!$A$10:$A$109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'クーポン収集問題-確率分布'!$J$10:$J$109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3.6288E-4</c:v>
                </c:pt>
                <c:pt idx="10">
                  <c:v>1.6329599999999999E-3</c:v>
                </c:pt>
                <c:pt idx="11">
                  <c:v>4.1912640000000001E-3</c:v>
                </c:pt>
                <c:pt idx="12">
                  <c:v>8.0831519999999997E-3</c:v>
                </c:pt>
                <c:pt idx="13">
                  <c:v>1.3045608576E-2</c:v>
                </c:pt>
                <c:pt idx="14">
                  <c:v>1.8634359744E-2</c:v>
                </c:pt>
                <c:pt idx="15">
                  <c:v>2.43595864512E-2</c:v>
                </c:pt>
                <c:pt idx="16">
                  <c:v>2.9784618863999999E-2</c:v>
                </c:pt>
                <c:pt idx="17">
                  <c:v>3.45781903731264E-2</c:v>
                </c:pt>
                <c:pt idx="18">
                  <c:v>3.85289276115744E-2</c:v>
                </c:pt>
                <c:pt idx="19">
                  <c:v>4.1535775577499844E-2</c:v>
                </c:pt>
                <c:pt idx="20">
                  <c:v>4.3586542461178074E-2</c:v>
                </c:pt>
                <c:pt idx="21">
                  <c:v>4.4733116259693229E-2</c:v>
                </c:pt>
                <c:pt idx="22">
                  <c:v>4.5068364358638896E-2</c:v>
                </c:pt>
                <c:pt idx="23">
                  <c:v>4.4707065704248587E-2</c:v>
                </c:pt>
                <c:pt idx="24">
                  <c:v>4.3771519771445187E-2</c:v>
                </c:pt>
                <c:pt idx="25">
                  <c:v>4.2381533617261803E-2</c:v>
                </c:pt>
                <c:pt idx="26">
                  <c:v>4.0648064094729958E-2</c:v>
                </c:pt>
                <c:pt idx="27">
                  <c:v>3.866968060804301E-2</c:v>
                </c:pt>
                <c:pt idx="28">
                  <c:v>3.6531067596089047E-2</c:v>
                </c:pt>
                <c:pt idx="29">
                  <c:v>3.4302911584009943E-2</c:v>
                </c:pt>
                <c:pt idx="30">
                  <c:v>3.204266116424976E-2</c:v>
                </c:pt>
                <c:pt idx="31">
                  <c:v>2.9795782029831519E-2</c:v>
                </c:pt>
                <c:pt idx="32">
                  <c:v>2.759724157745656E-2</c:v>
                </c:pt>
                <c:pt idx="33">
                  <c:v>2.5473045949349498E-2</c:v>
                </c:pt>
                <c:pt idx="34">
                  <c:v>2.3441718456611263E-2</c:v>
                </c:pt>
                <c:pt idx="35">
                  <c:v>2.1515655696614108E-2</c:v>
                </c:pt>
                <c:pt idx="36">
                  <c:v>1.9702330293727529E-2</c:v>
                </c:pt>
                <c:pt idx="37">
                  <c:v>1.8005330690943067E-2</c:v>
                </c:pt>
                <c:pt idx="38">
                  <c:v>1.6425241844533384E-2</c:v>
                </c:pt>
                <c:pt idx="39">
                  <c:v>1.4960378429718349E-2</c:v>
                </c:pt>
                <c:pt idx="40">
                  <c:v>1.360738607359442E-2</c:v>
                </c:pt>
                <c:pt idx="41">
                  <c:v>1.2361727525963085E-2</c:v>
                </c:pt>
                <c:pt idx="42">
                  <c:v>1.1218070507695313E-2</c:v>
                </c:pt>
                <c:pt idx="43">
                  <c:v>1.0170592895943176E-2</c:v>
                </c:pt>
                <c:pt idx="44">
                  <c:v>9.2132193565092127E-3</c:v>
                </c:pt>
                <c:pt idx="45">
                  <c:v>8.3398018021014712E-3</c:v>
                </c:pt>
                <c:pt idx="46">
                  <c:v>7.5442543188464547E-3</c:v>
                </c:pt>
                <c:pt idx="47">
                  <c:v>6.820651566040792E-3</c:v>
                </c:pt>
                <c:pt idx="48">
                  <c:v>6.1632981700629769E-3</c:v>
                </c:pt>
                <c:pt idx="49">
                  <c:v>5.5667753251020342E-3</c:v>
                </c:pt>
                <c:pt idx="50">
                  <c:v>5.0259696835475674E-3</c:v>
                </c:pt>
                <c:pt idx="51">
                  <c:v>4.5360886585862122E-3</c:v>
                </c:pt>
                <c:pt idx="52">
                  <c:v>4.0926654556666725E-3</c:v>
                </c:pt>
                <c:pt idx="53">
                  <c:v>3.6915564802793726E-3</c:v>
                </c:pt>
                <c:pt idx="54">
                  <c:v>3.3289332187175029E-3</c:v>
                </c:pt>
                <c:pt idx="55">
                  <c:v>3.0012702387102806E-3</c:v>
                </c:pt>
                <c:pt idx="56">
                  <c:v>2.7053305920946391E-3</c:v>
                </c:pt>
                <c:pt idx="57">
                  <c:v>2.4381496078519078E-3</c:v>
                </c:pt>
                <c:pt idx="58">
                  <c:v>2.197017828570489E-3</c:v>
                </c:pt>
                <c:pt idx="59">
                  <c:v>1.97946365617775E-3</c:v>
                </c:pt>
                <c:pt idx="60">
                  <c:v>1.7832361247283458E-3</c:v>
                </c:pt>
                <c:pt idx="61">
                  <c:v>1.606288101716466E-3</c:v>
                </c:pt>
                <c:pt idx="62">
                  <c:v>1.4467601286430128E-3</c:v>
                </c:pt>
                <c:pt idx="63">
                  <c:v>1.3029650413524968E-3</c:v>
                </c:pt>
                <c:pt idx="64">
                  <c:v>1.1733734568177146E-3</c:v>
                </c:pt>
                <c:pt idx="65">
                  <c:v>1.0566001722241915E-3</c:v>
                </c:pt>
                <c:pt idx="66">
                  <c:v>9.5139149166320375E-4</c:v>
                </c:pt>
                <c:pt idx="67">
                  <c:v>8.5661347328280324E-4</c:v>
                </c:pt>
                <c:pt idx="68">
                  <c:v>7.7124107360491642E-4</c:v>
                </c:pt>
                <c:pt idx="69">
                  <c:v>6.9434815448104928E-4</c:v>
                </c:pt>
                <c:pt idx="70">
                  <c:v>6.250983107043502E-4</c:v>
                </c:pt>
                <c:pt idx="71">
                  <c:v>5.6273647172892804E-4</c:v>
                </c:pt>
                <c:pt idx="72">
                  <c:v>5.0658122856281546E-4</c:v>
                </c:pt>
                <c:pt idx="73">
                  <c:v>4.5601783614364593E-4</c:v>
                </c:pt>
                <c:pt idx="74">
                  <c:v>4.1049184194124185E-4</c:v>
                </c:pt>
                <c:pt idx="75">
                  <c:v>3.6950329282032927E-4</c:v>
                </c:pt>
                <c:pt idx="76">
                  <c:v>3.3260147407744806E-4</c:v>
                </c:pt>
                <c:pt idx="77">
                  <c:v>2.993801368374516E-4</c:v>
                </c:pt>
                <c:pt idx="78">
                  <c:v>2.6947317250341563E-4</c:v>
                </c:pt>
                <c:pt idx="79">
                  <c:v>2.4255069558370575E-4</c:v>
                </c:pt>
                <c:pt idx="80">
                  <c:v>2.1831549888544967E-4</c:v>
                </c:pt>
                <c:pt idx="81">
                  <c:v>1.9649984770192522E-4</c:v>
                </c:pt>
                <c:pt idx="82">
                  <c:v>1.7686258218760082E-4</c:v>
                </c:pt>
                <c:pt idx="83">
                  <c:v>1.5918649957783241E-4</c:v>
                </c:pt>
                <c:pt idx="84">
                  <c:v>1.4327599025025102E-4</c:v>
                </c:pt>
                <c:pt idx="85">
                  <c:v>1.2895490382949367E-4</c:v>
                </c:pt>
                <c:pt idx="86">
                  <c:v>1.1606462360003314E-4</c:v>
                </c:pt>
                <c:pt idx="87">
                  <c:v>1.0446232941187323E-4</c:v>
                </c:pt>
                <c:pt idx="88">
                  <c:v>9.4019431042497304E-5</c:v>
                </c:pt>
                <c:pt idx="89">
                  <c:v>8.4620155619732459E-5</c:v>
                </c:pt>
                <c:pt idx="90">
                  <c:v>7.6160274219772136E-5</c:v>
                </c:pt>
                <c:pt idx="91">
                  <c:v>6.8545954139182812E-5</c:v>
                </c:pt>
                <c:pt idx="92">
                  <c:v>6.1692724606619137E-5</c:v>
                </c:pt>
                <c:pt idx="93">
                  <c:v>5.5524544856811916E-5</c:v>
                </c:pt>
                <c:pt idx="94">
                  <c:v>4.9972964543854186E-5</c:v>
                </c:pt>
                <c:pt idx="95">
                  <c:v>4.4976367430475339E-5</c:v>
                </c:pt>
                <c:pt idx="96">
                  <c:v>4.0479290162212518E-5</c:v>
                </c:pt>
                <c:pt idx="97">
                  <c:v>3.6431808727204661E-5</c:v>
                </c:pt>
                <c:pt idx="98">
                  <c:v>3.2788985920424842E-5</c:v>
                </c:pt>
                <c:pt idx="99">
                  <c:v>2.951037378181384E-5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727-42C0-B15F-8430A9CBA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357480"/>
        <c:axId val="680360760"/>
      </c:scatterChart>
      <c:valAx>
        <c:axId val="680357480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0360760"/>
        <c:crosses val="autoZero"/>
        <c:crossBetween val="midCat"/>
      </c:valAx>
      <c:valAx>
        <c:axId val="68036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0357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5636921223482"/>
          <c:y val="0.34356371358924076"/>
          <c:w val="6.5055668046091489E-2"/>
          <c:h val="0.3170476567752242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'Φ(x)'!$B$1</c:f>
              <c:strCache>
                <c:ptCount val="1"/>
                <c:pt idx="0">
                  <c:v>Φ(x)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'Φ(x)'!$A$2:$A$32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-2.6</c:v>
                </c:pt>
                <c:pt idx="3">
                  <c:v>-2.4</c:v>
                </c:pt>
                <c:pt idx="4">
                  <c:v>-2.2000000000000002</c:v>
                </c:pt>
                <c:pt idx="5">
                  <c:v>-2</c:v>
                </c:pt>
                <c:pt idx="6">
                  <c:v>-1.8</c:v>
                </c:pt>
                <c:pt idx="7">
                  <c:v>-1.6</c:v>
                </c:pt>
                <c:pt idx="8">
                  <c:v>-1.4</c:v>
                </c:pt>
                <c:pt idx="9">
                  <c:v>-1.2</c:v>
                </c:pt>
                <c:pt idx="10">
                  <c:v>-1</c:v>
                </c:pt>
                <c:pt idx="11">
                  <c:v>-0.8</c:v>
                </c:pt>
                <c:pt idx="12">
                  <c:v>-0.6</c:v>
                </c:pt>
                <c:pt idx="13">
                  <c:v>-0.4</c:v>
                </c:pt>
                <c:pt idx="14">
                  <c:v>-0.2</c:v>
                </c:pt>
                <c:pt idx="15">
                  <c:v>0</c:v>
                </c:pt>
                <c:pt idx="16">
                  <c:v>0.2</c:v>
                </c:pt>
                <c:pt idx="17">
                  <c:v>0.4</c:v>
                </c:pt>
                <c:pt idx="18">
                  <c:v>0.6</c:v>
                </c:pt>
                <c:pt idx="19">
                  <c:v>0.8</c:v>
                </c:pt>
                <c:pt idx="20">
                  <c:v>1</c:v>
                </c:pt>
                <c:pt idx="21">
                  <c:v>1.2</c:v>
                </c:pt>
                <c:pt idx="22">
                  <c:v>1.4</c:v>
                </c:pt>
                <c:pt idx="23">
                  <c:v>1.6</c:v>
                </c:pt>
                <c:pt idx="24">
                  <c:v>1.80000000000001</c:v>
                </c:pt>
                <c:pt idx="25">
                  <c:v>2.0000000000000102</c:v>
                </c:pt>
                <c:pt idx="26">
                  <c:v>2.2000000000000099</c:v>
                </c:pt>
                <c:pt idx="27">
                  <c:v>2.4000000000000101</c:v>
                </c:pt>
                <c:pt idx="28">
                  <c:v>2.6000000000000099</c:v>
                </c:pt>
                <c:pt idx="29">
                  <c:v>2.80000000000001</c:v>
                </c:pt>
                <c:pt idx="30">
                  <c:v>3.0000000000000102</c:v>
                </c:pt>
              </c:numCache>
            </c:numRef>
          </c:xVal>
          <c:yVal>
            <c:numRef>
              <c:f>'Φ(x)'!$B$2:$B$32</c:f>
              <c:numCache>
                <c:formatCode>General</c:formatCode>
                <c:ptCount val="31"/>
                <c:pt idx="0">
                  <c:v>4.4318484119380075E-3</c:v>
                </c:pt>
                <c:pt idx="1">
                  <c:v>7.9154515829799686E-3</c:v>
                </c:pt>
                <c:pt idx="2">
                  <c:v>1.3582969233685613E-2</c:v>
                </c:pt>
                <c:pt idx="3">
                  <c:v>2.2394530294842899E-2</c:v>
                </c:pt>
                <c:pt idx="4">
                  <c:v>3.5474592846231424E-2</c:v>
                </c:pt>
                <c:pt idx="5">
                  <c:v>5.3990966513188063E-2</c:v>
                </c:pt>
                <c:pt idx="6">
                  <c:v>7.8950158300894149E-2</c:v>
                </c:pt>
                <c:pt idx="7">
                  <c:v>0.11092083467945554</c:v>
                </c:pt>
                <c:pt idx="8">
                  <c:v>0.14972746563574488</c:v>
                </c:pt>
                <c:pt idx="9">
                  <c:v>0.19418605498321295</c:v>
                </c:pt>
                <c:pt idx="10">
                  <c:v>0.24197072451914337</c:v>
                </c:pt>
                <c:pt idx="11">
                  <c:v>0.28969155276148273</c:v>
                </c:pt>
                <c:pt idx="12">
                  <c:v>0.33322460289179967</c:v>
                </c:pt>
                <c:pt idx="13">
                  <c:v>0.36827014030332333</c:v>
                </c:pt>
                <c:pt idx="14">
                  <c:v>0.39104269397545588</c:v>
                </c:pt>
                <c:pt idx="15">
                  <c:v>0.3989422804014327</c:v>
                </c:pt>
                <c:pt idx="16">
                  <c:v>0.39104269397545588</c:v>
                </c:pt>
                <c:pt idx="17">
                  <c:v>0.36827014030332333</c:v>
                </c:pt>
                <c:pt idx="18">
                  <c:v>0.33322460289179967</c:v>
                </c:pt>
                <c:pt idx="19">
                  <c:v>0.28969155276148273</c:v>
                </c:pt>
                <c:pt idx="20">
                  <c:v>0.24197072451914337</c:v>
                </c:pt>
                <c:pt idx="21">
                  <c:v>0.19418605498321295</c:v>
                </c:pt>
                <c:pt idx="22">
                  <c:v>0.14972746563574488</c:v>
                </c:pt>
                <c:pt idx="23">
                  <c:v>0.11092083467945554</c:v>
                </c:pt>
                <c:pt idx="24">
                  <c:v>7.8950158300892734E-2</c:v>
                </c:pt>
                <c:pt idx="25">
                  <c:v>5.3990966513186953E-2</c:v>
                </c:pt>
                <c:pt idx="26">
                  <c:v>3.5474592846230668E-2</c:v>
                </c:pt>
                <c:pt idx="27">
                  <c:v>2.2394530294842355E-2</c:v>
                </c:pt>
                <c:pt idx="28">
                  <c:v>1.3582969233685271E-2</c:v>
                </c:pt>
                <c:pt idx="29">
                  <c:v>7.915451582979743E-3</c:v>
                </c:pt>
                <c:pt idx="30">
                  <c:v>4.431848411937874E-3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42-4E5C-9044-6609CD285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202040"/>
        <c:axId val="559200728"/>
      </c:scatterChart>
      <c:valAx>
        <c:axId val="559202040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ja-JP"/>
          </a:p>
        </c:txPr>
        <c:crossAx val="559200728"/>
        <c:crosses val="autoZero"/>
        <c:crossBetween val="midCat"/>
        <c:majorUnit val="1"/>
      </c:valAx>
      <c:valAx>
        <c:axId val="5592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ja-JP"/>
          </a:p>
        </c:txPr>
        <c:crossAx val="5592020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860125-3D1B-4C1C-A56E-6766E1CB46F6}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421E30-EACC-4D7D-B78F-687816C93600}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297" cy="6076293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546B423-A5DA-86B0-5A06-11BC070E08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3297" cy="6076293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FA5E64-3CBA-5278-6828-33299AD1B1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457200</xdr:colOff>
      <xdr:row>12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6D48C5C-BCD2-4967-AA8F-851CED753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nabitimes.jp/math/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eng225.hatenablog.com/entry/2019/03/15/08505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4270-9886-4BB3-83CB-F6FFDCD5151D}">
  <dimension ref="A1:I374"/>
  <sheetViews>
    <sheetView tabSelected="1" workbookViewId="0">
      <selection activeCell="I10" sqref="I10"/>
    </sheetView>
  </sheetViews>
  <sheetFormatPr defaultRowHeight="18.75" x14ac:dyDescent="0.4"/>
  <cols>
    <col min="1" max="1" width="4.5" bestFit="1" customWidth="1"/>
    <col min="2" max="2" width="12.75" bestFit="1" customWidth="1"/>
    <col min="3" max="3" width="12.75" customWidth="1"/>
    <col min="4" max="4" width="12.75" bestFit="1" customWidth="1"/>
    <col min="5" max="5" width="12.75" customWidth="1"/>
    <col min="6" max="6" width="12.75" bestFit="1" customWidth="1"/>
    <col min="7" max="7" width="9" customWidth="1"/>
  </cols>
  <sheetData>
    <row r="1" spans="1:9" x14ac:dyDescent="0.4">
      <c r="B1" t="s">
        <v>18</v>
      </c>
    </row>
    <row r="2" spans="1:9" x14ac:dyDescent="0.4">
      <c r="C2" t="s">
        <v>24</v>
      </c>
    </row>
    <row r="3" spans="1:9" x14ac:dyDescent="0.4">
      <c r="B3" t="s">
        <v>19</v>
      </c>
    </row>
    <row r="4" spans="1:9" x14ac:dyDescent="0.4">
      <c r="B4" t="s">
        <v>22</v>
      </c>
    </row>
    <row r="5" spans="1:9" x14ac:dyDescent="0.4">
      <c r="C5" t="s">
        <v>33</v>
      </c>
    </row>
    <row r="6" spans="1:9" x14ac:dyDescent="0.4">
      <c r="B6" t="s">
        <v>1</v>
      </c>
    </row>
    <row r="7" spans="1:9" x14ac:dyDescent="0.4">
      <c r="C7" t="s">
        <v>30</v>
      </c>
    </row>
    <row r="8" spans="1:9" x14ac:dyDescent="0.4">
      <c r="A8" s="3" t="s">
        <v>0</v>
      </c>
      <c r="B8" s="3" t="s">
        <v>25</v>
      </c>
      <c r="C8" s="3" t="s">
        <v>20</v>
      </c>
      <c r="D8" s="3" t="s">
        <v>21</v>
      </c>
      <c r="E8" s="3" t="s">
        <v>23</v>
      </c>
      <c r="F8" s="3" t="s">
        <v>29</v>
      </c>
    </row>
    <row r="9" spans="1:9" x14ac:dyDescent="0.4">
      <c r="A9">
        <v>1</v>
      </c>
      <c r="B9">
        <f>(366-A9)/365</f>
        <v>1</v>
      </c>
      <c r="C9">
        <f>B9</f>
        <v>1</v>
      </c>
      <c r="D9">
        <f>1-C9</f>
        <v>0</v>
      </c>
      <c r="E9">
        <v>0</v>
      </c>
      <c r="F9">
        <f>A9*E9</f>
        <v>0</v>
      </c>
    </row>
    <row r="10" spans="1:9" x14ac:dyDescent="0.4">
      <c r="A10">
        <v>2</v>
      </c>
      <c r="B10">
        <f>(366-A10)/365</f>
        <v>0.99726027397260275</v>
      </c>
      <c r="C10">
        <f>C9*B10</f>
        <v>0.99726027397260275</v>
      </c>
      <c r="D10">
        <f>1-C10</f>
        <v>2.739726027397249E-3</v>
      </c>
      <c r="E10">
        <f>C9*A9/365</f>
        <v>2.7397260273972603E-3</v>
      </c>
      <c r="F10">
        <f t="shared" ref="F10:F73" si="0">A10*E10</f>
        <v>5.4794520547945206E-3</v>
      </c>
      <c r="H10" s="2" t="s">
        <v>17</v>
      </c>
      <c r="I10" s="16">
        <f>SUM(F9:F374)</f>
        <v>24.61658589459886</v>
      </c>
    </row>
    <row r="11" spans="1:9" x14ac:dyDescent="0.4">
      <c r="A11">
        <v>3</v>
      </c>
      <c r="B11">
        <f t="shared" ref="B11:B74" si="1">(366-A11)/365</f>
        <v>0.9945205479452055</v>
      </c>
      <c r="C11">
        <f t="shared" ref="C11:C31" si="2">C10*B11</f>
        <v>0.99179583411521866</v>
      </c>
      <c r="D11">
        <f t="shared" ref="D11:D74" si="3">1-C11</f>
        <v>8.2041658847813448E-3</v>
      </c>
      <c r="E11">
        <f t="shared" ref="E11:E74" si="4">C10*A10/365</f>
        <v>5.4644398573841244E-3</v>
      </c>
      <c r="F11">
        <f t="shared" si="0"/>
        <v>1.6393319572152374E-2</v>
      </c>
    </row>
    <row r="12" spans="1:9" x14ac:dyDescent="0.4">
      <c r="A12">
        <v>4</v>
      </c>
      <c r="B12">
        <f t="shared" si="1"/>
        <v>0.99178082191780825</v>
      </c>
      <c r="C12">
        <f t="shared" si="2"/>
        <v>0.98364408753344978</v>
      </c>
      <c r="D12">
        <f t="shared" si="3"/>
        <v>1.6355912466550215E-2</v>
      </c>
      <c r="E12">
        <f t="shared" si="4"/>
        <v>8.1517465817689209E-3</v>
      </c>
      <c r="F12">
        <f t="shared" si="0"/>
        <v>3.2606986327075684E-2</v>
      </c>
    </row>
    <row r="13" spans="1:9" x14ac:dyDescent="0.4">
      <c r="A13">
        <v>5</v>
      </c>
      <c r="B13">
        <f t="shared" si="1"/>
        <v>0.989041095890411</v>
      </c>
      <c r="C13">
        <f t="shared" si="2"/>
        <v>0.97286442630020653</v>
      </c>
      <c r="D13">
        <f t="shared" si="3"/>
        <v>2.7135573699793469E-2</v>
      </c>
      <c r="E13">
        <f t="shared" si="4"/>
        <v>1.0779661233243285E-2</v>
      </c>
      <c r="F13">
        <f t="shared" si="0"/>
        <v>5.3898306166216423E-2</v>
      </c>
    </row>
    <row r="14" spans="1:9" x14ac:dyDescent="0.4">
      <c r="A14">
        <v>6</v>
      </c>
      <c r="B14">
        <f t="shared" si="1"/>
        <v>0.98630136986301364</v>
      </c>
      <c r="C14">
        <f t="shared" si="2"/>
        <v>0.95953751635088858</v>
      </c>
      <c r="D14">
        <f t="shared" si="3"/>
        <v>4.0462483649111425E-2</v>
      </c>
      <c r="E14">
        <f t="shared" si="4"/>
        <v>1.3326909949317898E-2</v>
      </c>
      <c r="F14">
        <f t="shared" si="0"/>
        <v>7.9961459695907386E-2</v>
      </c>
    </row>
    <row r="15" spans="1:9" x14ac:dyDescent="0.4">
      <c r="A15">
        <v>7</v>
      </c>
      <c r="B15">
        <f t="shared" si="1"/>
        <v>0.98356164383561639</v>
      </c>
      <c r="C15">
        <f t="shared" si="2"/>
        <v>0.94376429690402464</v>
      </c>
      <c r="D15">
        <f t="shared" si="3"/>
        <v>5.6235703095975365E-2</v>
      </c>
      <c r="E15">
        <f t="shared" si="4"/>
        <v>1.5773219446863922E-2</v>
      </c>
      <c r="F15">
        <f t="shared" si="0"/>
        <v>0.11041253612804745</v>
      </c>
    </row>
    <row r="16" spans="1:9" x14ac:dyDescent="0.4">
      <c r="A16">
        <v>8</v>
      </c>
      <c r="B16">
        <f t="shared" si="1"/>
        <v>0.98082191780821915</v>
      </c>
      <c r="C16">
        <f t="shared" si="2"/>
        <v>0.92566470764833098</v>
      </c>
      <c r="D16">
        <f t="shared" si="3"/>
        <v>7.4335292351669024E-2</v>
      </c>
      <c r="E16">
        <f t="shared" si="4"/>
        <v>1.8099589255693622E-2</v>
      </c>
      <c r="F16">
        <f t="shared" si="0"/>
        <v>0.14479671404554897</v>
      </c>
    </row>
    <row r="17" spans="1:6" x14ac:dyDescent="0.4">
      <c r="A17">
        <v>9</v>
      </c>
      <c r="B17">
        <f t="shared" si="1"/>
        <v>0.9780821917808219</v>
      </c>
      <c r="C17">
        <f t="shared" si="2"/>
        <v>0.90537616611083327</v>
      </c>
      <c r="D17">
        <f t="shared" si="3"/>
        <v>9.4623833889166731E-2</v>
      </c>
      <c r="E17">
        <f t="shared" si="4"/>
        <v>2.0288541537497665E-2</v>
      </c>
      <c r="F17">
        <f t="shared" si="0"/>
        <v>0.18259687383747897</v>
      </c>
    </row>
    <row r="18" spans="1:6" x14ac:dyDescent="0.4">
      <c r="A18">
        <v>10</v>
      </c>
      <c r="B18">
        <f t="shared" si="1"/>
        <v>0.97534246575342465</v>
      </c>
      <c r="C18">
        <f t="shared" si="2"/>
        <v>0.88305182228892232</v>
      </c>
      <c r="D18">
        <f t="shared" si="3"/>
        <v>0.11694817771107768</v>
      </c>
      <c r="E18">
        <f t="shared" si="4"/>
        <v>2.2324343821910959E-2</v>
      </c>
      <c r="F18">
        <f t="shared" si="0"/>
        <v>0.22324343821910958</v>
      </c>
    </row>
    <row r="19" spans="1:6" x14ac:dyDescent="0.4">
      <c r="A19">
        <v>11</v>
      </c>
      <c r="B19">
        <f t="shared" si="1"/>
        <v>0.9726027397260274</v>
      </c>
      <c r="C19">
        <f t="shared" si="2"/>
        <v>0.85885862167826688</v>
      </c>
      <c r="D19">
        <f t="shared" si="3"/>
        <v>0.14114137832173312</v>
      </c>
      <c r="E19">
        <f t="shared" si="4"/>
        <v>2.4193200610655406E-2</v>
      </c>
      <c r="F19">
        <f t="shared" si="0"/>
        <v>0.26612520671720946</v>
      </c>
    </row>
    <row r="20" spans="1:6" x14ac:dyDescent="0.4">
      <c r="A20">
        <v>12</v>
      </c>
      <c r="B20">
        <f t="shared" si="1"/>
        <v>0.96986301369863015</v>
      </c>
      <c r="C20">
        <f t="shared" si="2"/>
        <v>0.83297521116193551</v>
      </c>
      <c r="D20">
        <f t="shared" si="3"/>
        <v>0.16702478883806449</v>
      </c>
      <c r="E20">
        <f t="shared" si="4"/>
        <v>2.5883410516331331E-2</v>
      </c>
      <c r="F20">
        <f t="shared" si="0"/>
        <v>0.31060092619597596</v>
      </c>
    </row>
    <row r="21" spans="1:6" x14ac:dyDescent="0.4">
      <c r="A21">
        <v>13</v>
      </c>
      <c r="B21">
        <f t="shared" si="1"/>
        <v>0.9671232876712329</v>
      </c>
      <c r="C21">
        <f t="shared" si="2"/>
        <v>0.80558972476757051</v>
      </c>
      <c r="D21">
        <f t="shared" si="3"/>
        <v>0.19441027523242949</v>
      </c>
      <c r="E21">
        <f t="shared" si="4"/>
        <v>2.7385486394365006E-2</v>
      </c>
      <c r="F21">
        <f t="shared" si="0"/>
        <v>0.35601132312674511</v>
      </c>
    </row>
    <row r="22" spans="1:6" x14ac:dyDescent="0.4">
      <c r="A22">
        <v>14</v>
      </c>
      <c r="B22">
        <f t="shared" si="1"/>
        <v>0.96438356164383565</v>
      </c>
      <c r="C22">
        <f t="shared" si="2"/>
        <v>0.77689748799502689</v>
      </c>
      <c r="D22">
        <f t="shared" si="3"/>
        <v>0.22310251200497311</v>
      </c>
      <c r="E22">
        <f t="shared" si="4"/>
        <v>2.8692236772543608E-2</v>
      </c>
      <c r="F22">
        <f t="shared" si="0"/>
        <v>0.40169131481561049</v>
      </c>
    </row>
    <row r="23" spans="1:6" x14ac:dyDescent="0.4">
      <c r="A23">
        <v>15</v>
      </c>
      <c r="B23">
        <f t="shared" si="1"/>
        <v>0.9616438356164384</v>
      </c>
      <c r="C23">
        <f t="shared" si="2"/>
        <v>0.74709868023631354</v>
      </c>
      <c r="D23">
        <f t="shared" si="3"/>
        <v>0.25290131976368646</v>
      </c>
      <c r="E23">
        <f t="shared" si="4"/>
        <v>2.9798807758713363E-2</v>
      </c>
      <c r="F23">
        <f t="shared" si="0"/>
        <v>0.44698211638070046</v>
      </c>
    </row>
    <row r="24" spans="1:6" x14ac:dyDescent="0.4">
      <c r="A24">
        <v>16</v>
      </c>
      <c r="B24">
        <f t="shared" si="1"/>
        <v>0.95890410958904104</v>
      </c>
      <c r="C24">
        <f t="shared" si="2"/>
        <v>0.71639599474714988</v>
      </c>
      <c r="D24">
        <f t="shared" si="3"/>
        <v>0.28360400525285012</v>
      </c>
      <c r="E24">
        <f t="shared" si="4"/>
        <v>3.0702685489163571E-2</v>
      </c>
      <c r="F24">
        <f t="shared" si="0"/>
        <v>0.49124296782661714</v>
      </c>
    </row>
    <row r="25" spans="1:6" x14ac:dyDescent="0.4">
      <c r="A25">
        <v>17</v>
      </c>
      <c r="B25">
        <f t="shared" si="1"/>
        <v>0.95616438356164379</v>
      </c>
      <c r="C25">
        <f t="shared" si="2"/>
        <v>0.68499233470343912</v>
      </c>
      <c r="D25">
        <f t="shared" si="3"/>
        <v>0.31500766529656088</v>
      </c>
      <c r="E25">
        <f t="shared" si="4"/>
        <v>3.1403660043710681E-2</v>
      </c>
      <c r="F25">
        <f t="shared" si="0"/>
        <v>0.53386222074308154</v>
      </c>
    </row>
    <row r="26" spans="1:6" x14ac:dyDescent="0.4">
      <c r="A26">
        <v>18</v>
      </c>
      <c r="B26">
        <f t="shared" si="1"/>
        <v>0.95342465753424654</v>
      </c>
      <c r="C26">
        <f t="shared" si="2"/>
        <v>0.65308858212821042</v>
      </c>
      <c r="D26">
        <f t="shared" si="3"/>
        <v>0.34691141787178958</v>
      </c>
      <c r="E26">
        <f t="shared" si="4"/>
        <v>3.1903752575228671E-2</v>
      </c>
      <c r="F26">
        <f t="shared" si="0"/>
        <v>0.57426754635411603</v>
      </c>
    </row>
    <row r="27" spans="1:6" x14ac:dyDescent="0.4">
      <c r="A27">
        <v>19</v>
      </c>
      <c r="B27">
        <f t="shared" si="1"/>
        <v>0.9506849315068493</v>
      </c>
      <c r="C27">
        <f t="shared" si="2"/>
        <v>0.62088147396846305</v>
      </c>
      <c r="D27">
        <f t="shared" si="3"/>
        <v>0.37911852603153695</v>
      </c>
      <c r="E27">
        <f t="shared" si="4"/>
        <v>3.2207108159747366E-2</v>
      </c>
      <c r="F27">
        <f t="shared" si="0"/>
        <v>0.61193505503519996</v>
      </c>
    </row>
    <row r="28" spans="1:6" x14ac:dyDescent="0.4">
      <c r="A28">
        <v>20</v>
      </c>
      <c r="B28">
        <f t="shared" si="1"/>
        <v>0.94794520547945205</v>
      </c>
      <c r="C28">
        <f t="shared" si="2"/>
        <v>0.58856161641941973</v>
      </c>
      <c r="D28">
        <f t="shared" si="3"/>
        <v>0.41143838358058027</v>
      </c>
      <c r="E28">
        <f t="shared" si="4"/>
        <v>3.2319857549043277E-2</v>
      </c>
      <c r="F28">
        <f t="shared" si="0"/>
        <v>0.64639715098086548</v>
      </c>
    </row>
    <row r="29" spans="1:6" x14ac:dyDescent="0.4">
      <c r="A29">
        <v>21</v>
      </c>
      <c r="B29">
        <f t="shared" si="1"/>
        <v>0.9452054794520548</v>
      </c>
      <c r="C29">
        <f t="shared" si="2"/>
        <v>0.556311664834794</v>
      </c>
      <c r="D29">
        <f t="shared" si="3"/>
        <v>0.443688335165206</v>
      </c>
      <c r="E29">
        <f t="shared" si="4"/>
        <v>3.2249951584625743E-2</v>
      </c>
      <c r="F29">
        <f t="shared" si="0"/>
        <v>0.67724898327714056</v>
      </c>
    </row>
    <row r="30" spans="1:6" x14ac:dyDescent="0.4">
      <c r="A30">
        <v>22</v>
      </c>
      <c r="B30">
        <f t="shared" si="1"/>
        <v>0.94246575342465755</v>
      </c>
      <c r="C30">
        <f t="shared" si="2"/>
        <v>0.5243046923374497</v>
      </c>
      <c r="D30">
        <f t="shared" si="3"/>
        <v>0.4756953076625503</v>
      </c>
      <c r="E30">
        <f t="shared" si="4"/>
        <v>3.2006972497344313E-2</v>
      </c>
      <c r="F30">
        <f t="shared" si="0"/>
        <v>0.70415339494157492</v>
      </c>
    </row>
    <row r="31" spans="1:6" x14ac:dyDescent="0.4">
      <c r="A31">
        <v>23</v>
      </c>
      <c r="B31">
        <f t="shared" si="1"/>
        <v>0.9397260273972603</v>
      </c>
      <c r="C31">
        <f t="shared" si="2"/>
        <v>0.4927027656760144</v>
      </c>
      <c r="D31">
        <f t="shared" si="3"/>
        <v>0.50729723432398566</v>
      </c>
      <c r="E31">
        <f t="shared" si="4"/>
        <v>3.1601926661435326E-2</v>
      </c>
      <c r="F31">
        <f t="shared" si="0"/>
        <v>0.72684431321301246</v>
      </c>
    </row>
    <row r="32" spans="1:6" x14ac:dyDescent="0.4">
      <c r="A32">
        <v>24</v>
      </c>
      <c r="B32">
        <f t="shared" si="1"/>
        <v>0.93698630136986305</v>
      </c>
      <c r="C32">
        <f t="shared" ref="C32:C95" si="5">C31*B32</f>
        <v>0.46165574208547105</v>
      </c>
      <c r="D32">
        <f t="shared" si="3"/>
        <v>0.538344257914529</v>
      </c>
      <c r="E32">
        <f t="shared" si="4"/>
        <v>3.1047023590543375E-2</v>
      </c>
      <c r="F32">
        <f t="shared" si="0"/>
        <v>0.74512856617304102</v>
      </c>
    </row>
    <row r="33" spans="1:6" x14ac:dyDescent="0.4">
      <c r="A33">
        <v>25</v>
      </c>
      <c r="B33">
        <f t="shared" si="1"/>
        <v>0.9342465753424658</v>
      </c>
      <c r="C33">
        <f t="shared" si="5"/>
        <v>0.43130029603053599</v>
      </c>
      <c r="D33">
        <f t="shared" si="3"/>
        <v>0.56869970396946401</v>
      </c>
      <c r="E33">
        <f t="shared" si="4"/>
        <v>3.0355446054935085E-2</v>
      </c>
      <c r="F33">
        <f t="shared" si="0"/>
        <v>0.75888615137337712</v>
      </c>
    </row>
    <row r="34" spans="1:6" x14ac:dyDescent="0.4">
      <c r="A34">
        <v>26</v>
      </c>
      <c r="B34">
        <f t="shared" si="1"/>
        <v>0.93150684931506844</v>
      </c>
      <c r="C34">
        <f t="shared" si="5"/>
        <v>0.4017591798640609</v>
      </c>
      <c r="D34">
        <f t="shared" si="3"/>
        <v>0.59824082013593904</v>
      </c>
      <c r="E34">
        <f t="shared" si="4"/>
        <v>2.9541116166475069E-2</v>
      </c>
      <c r="F34">
        <f t="shared" si="0"/>
        <v>0.76806902032835178</v>
      </c>
    </row>
    <row r="35" spans="1:6" x14ac:dyDescent="0.4">
      <c r="A35">
        <v>27</v>
      </c>
      <c r="B35">
        <f t="shared" si="1"/>
        <v>0.92876712328767119</v>
      </c>
      <c r="C35">
        <f t="shared" si="5"/>
        <v>0.37314071773675794</v>
      </c>
      <c r="D35">
        <f t="shared" si="3"/>
        <v>0.62685928226324206</v>
      </c>
      <c r="E35">
        <f t="shared" si="4"/>
        <v>2.8618462127302968E-2</v>
      </c>
      <c r="F35">
        <f t="shared" si="0"/>
        <v>0.77269847743718012</v>
      </c>
    </row>
    <row r="36" spans="1:6" x14ac:dyDescent="0.4">
      <c r="A36">
        <v>28</v>
      </c>
      <c r="B36">
        <f t="shared" si="1"/>
        <v>0.92602739726027394</v>
      </c>
      <c r="C36">
        <f t="shared" si="5"/>
        <v>0.34553852765760051</v>
      </c>
      <c r="D36">
        <f t="shared" si="3"/>
        <v>0.65446147234239949</v>
      </c>
      <c r="E36">
        <f t="shared" si="4"/>
        <v>2.7602190079157436E-2</v>
      </c>
      <c r="F36">
        <f t="shared" si="0"/>
        <v>0.77286132221640824</v>
      </c>
    </row>
    <row r="37" spans="1:6" x14ac:dyDescent="0.4">
      <c r="A37">
        <v>29</v>
      </c>
      <c r="B37">
        <f t="shared" si="1"/>
        <v>0.92328767123287669</v>
      </c>
      <c r="C37">
        <f t="shared" si="5"/>
        <v>0.31903146252222292</v>
      </c>
      <c r="D37">
        <f t="shared" si="3"/>
        <v>0.68096853747777708</v>
      </c>
      <c r="E37">
        <f t="shared" si="4"/>
        <v>2.6507065135377574E-2</v>
      </c>
      <c r="F37">
        <f t="shared" si="0"/>
        <v>0.76870488892594968</v>
      </c>
    </row>
    <row r="38" spans="1:6" x14ac:dyDescent="0.4">
      <c r="A38">
        <v>30</v>
      </c>
      <c r="B38">
        <f t="shared" si="1"/>
        <v>0.92054794520547945</v>
      </c>
      <c r="C38">
        <f t="shared" si="5"/>
        <v>0.29368375728073121</v>
      </c>
      <c r="D38">
        <f t="shared" si="3"/>
        <v>0.70631624271926885</v>
      </c>
      <c r="E38">
        <f t="shared" si="4"/>
        <v>2.5347705241491686E-2</v>
      </c>
      <c r="F38">
        <f t="shared" si="0"/>
        <v>0.76043115724475063</v>
      </c>
    </row>
    <row r="39" spans="1:6" x14ac:dyDescent="0.4">
      <c r="A39">
        <v>31</v>
      </c>
      <c r="B39">
        <f t="shared" si="1"/>
        <v>0.9178082191780822</v>
      </c>
      <c r="C39">
        <f t="shared" si="5"/>
        <v>0.26954536627135606</v>
      </c>
      <c r="D39">
        <f t="shared" si="3"/>
        <v>0.73045463372864394</v>
      </c>
      <c r="E39">
        <f t="shared" si="4"/>
        <v>2.4138391009375169E-2</v>
      </c>
      <c r="F39">
        <f t="shared" si="0"/>
        <v>0.74829012129063022</v>
      </c>
    </row>
    <row r="40" spans="1:6" x14ac:dyDescent="0.4">
      <c r="A40">
        <v>32</v>
      </c>
      <c r="B40">
        <f t="shared" si="1"/>
        <v>0.91506849315068495</v>
      </c>
      <c r="C40">
        <f t="shared" si="5"/>
        <v>0.24665247214967925</v>
      </c>
      <c r="D40">
        <f t="shared" si="3"/>
        <v>0.75334752785032078</v>
      </c>
      <c r="E40">
        <f t="shared" si="4"/>
        <v>2.2892894121676818E-2</v>
      </c>
      <c r="F40">
        <f t="shared" si="0"/>
        <v>0.73257261189365819</v>
      </c>
    </row>
    <row r="41" spans="1:6" x14ac:dyDescent="0.4">
      <c r="A41">
        <v>33</v>
      </c>
      <c r="B41">
        <f t="shared" si="1"/>
        <v>0.9123287671232877</v>
      </c>
      <c r="C41">
        <f t="shared" si="5"/>
        <v>0.22502814582422792</v>
      </c>
      <c r="D41">
        <f t="shared" si="3"/>
        <v>0.77497185417577208</v>
      </c>
      <c r="E41">
        <f t="shared" si="4"/>
        <v>2.1624326325451332E-2</v>
      </c>
      <c r="F41">
        <f t="shared" si="0"/>
        <v>0.71360276873989392</v>
      </c>
    </row>
    <row r="42" spans="1:6" x14ac:dyDescent="0.4">
      <c r="A42">
        <v>34</v>
      </c>
      <c r="B42">
        <f t="shared" si="1"/>
        <v>0.90958904109589045</v>
      </c>
      <c r="C42">
        <f t="shared" si="5"/>
        <v>0.20468313537984567</v>
      </c>
      <c r="D42">
        <f t="shared" si="3"/>
        <v>0.79531686462015427</v>
      </c>
      <c r="E42">
        <f t="shared" si="4"/>
        <v>2.034501044438225E-2</v>
      </c>
      <c r="F42">
        <f t="shared" si="0"/>
        <v>0.6917303551089965</v>
      </c>
    </row>
    <row r="43" spans="1:6" x14ac:dyDescent="0.4">
      <c r="A43">
        <v>35</v>
      </c>
      <c r="B43">
        <f t="shared" si="1"/>
        <v>0.9068493150684932</v>
      </c>
      <c r="C43">
        <f t="shared" si="5"/>
        <v>0.18561676112528472</v>
      </c>
      <c r="D43">
        <f t="shared" si="3"/>
        <v>0.81438323887471531</v>
      </c>
      <c r="E43">
        <f t="shared" si="4"/>
        <v>1.9066374254560967E-2</v>
      </c>
      <c r="F43">
        <f t="shared" si="0"/>
        <v>0.66732309890963382</v>
      </c>
    </row>
    <row r="44" spans="1:6" x14ac:dyDescent="0.4">
      <c r="A44">
        <v>36</v>
      </c>
      <c r="B44">
        <f t="shared" si="1"/>
        <v>0.90410958904109584</v>
      </c>
      <c r="C44">
        <f t="shared" si="5"/>
        <v>0.16781789362012042</v>
      </c>
      <c r="D44">
        <f t="shared" si="3"/>
        <v>0.83218210637987955</v>
      </c>
      <c r="E44">
        <f t="shared" si="4"/>
        <v>1.7798867505164288E-2</v>
      </c>
      <c r="F44">
        <f t="shared" si="0"/>
        <v>0.64075923018591441</v>
      </c>
    </row>
    <row r="45" spans="1:6" x14ac:dyDescent="0.4">
      <c r="A45">
        <v>37</v>
      </c>
      <c r="B45">
        <f t="shared" si="1"/>
        <v>0.90136986301369859</v>
      </c>
      <c r="C45">
        <f t="shared" si="5"/>
        <v>0.15126599178361538</v>
      </c>
      <c r="D45">
        <f t="shared" si="3"/>
        <v>0.84873400821638456</v>
      </c>
      <c r="E45">
        <f t="shared" si="4"/>
        <v>1.6551901836505029E-2</v>
      </c>
      <c r="F45">
        <f t="shared" si="0"/>
        <v>0.61242036795068611</v>
      </c>
    </row>
    <row r="46" spans="1:6" x14ac:dyDescent="0.4">
      <c r="A46">
        <v>38</v>
      </c>
      <c r="B46">
        <f t="shared" si="1"/>
        <v>0.89863013698630134</v>
      </c>
      <c r="C46">
        <f t="shared" si="5"/>
        <v>0.13593217891787904</v>
      </c>
      <c r="D46">
        <f t="shared" si="3"/>
        <v>0.86406782108212099</v>
      </c>
      <c r="E46">
        <f t="shared" si="4"/>
        <v>1.5333812865736353E-2</v>
      </c>
      <c r="F46">
        <f t="shared" si="0"/>
        <v>0.58268488889798142</v>
      </c>
    </row>
    <row r="47" spans="1:6" x14ac:dyDescent="0.4">
      <c r="A47">
        <v>39</v>
      </c>
      <c r="B47">
        <f t="shared" si="1"/>
        <v>0.89589041095890409</v>
      </c>
      <c r="C47">
        <f t="shared" si="5"/>
        <v>0.12178033563327793</v>
      </c>
      <c r="D47">
        <f t="shared" si="3"/>
        <v>0.87821966436672205</v>
      </c>
      <c r="E47">
        <f t="shared" si="4"/>
        <v>1.4151843284601104E-2</v>
      </c>
      <c r="F47">
        <f t="shared" si="0"/>
        <v>0.55192188809944309</v>
      </c>
    </row>
    <row r="48" spans="1:6" x14ac:dyDescent="0.4">
      <c r="A48">
        <v>40</v>
      </c>
      <c r="B48">
        <f t="shared" si="1"/>
        <v>0.89315068493150684</v>
      </c>
      <c r="C48">
        <f t="shared" si="5"/>
        <v>0.10876819018205097</v>
      </c>
      <c r="D48">
        <f t="shared" si="3"/>
        <v>0.89123180981794903</v>
      </c>
      <c r="E48">
        <f t="shared" si="4"/>
        <v>1.3012145451226956E-2</v>
      </c>
      <c r="F48">
        <f t="shared" si="0"/>
        <v>0.52048581804907823</v>
      </c>
    </row>
    <row r="49" spans="1:6" x14ac:dyDescent="0.4">
      <c r="A49">
        <v>41</v>
      </c>
      <c r="B49">
        <f t="shared" si="1"/>
        <v>0.8904109589041096</v>
      </c>
      <c r="C49">
        <f t="shared" si="5"/>
        <v>9.6848388518264564E-2</v>
      </c>
      <c r="D49">
        <f t="shared" si="3"/>
        <v>0.90315161148173539</v>
      </c>
      <c r="E49">
        <f t="shared" si="4"/>
        <v>1.1919801663786408E-2</v>
      </c>
      <c r="F49">
        <f t="shared" si="0"/>
        <v>0.48871186821524276</v>
      </c>
    </row>
    <row r="50" spans="1:6" x14ac:dyDescent="0.4">
      <c r="A50">
        <v>42</v>
      </c>
      <c r="B50">
        <f t="shared" si="1"/>
        <v>0.88767123287671235</v>
      </c>
      <c r="C50">
        <f t="shared" si="5"/>
        <v>8.5969528438130743E-2</v>
      </c>
      <c r="D50">
        <f t="shared" si="3"/>
        <v>0.91403047156186923</v>
      </c>
      <c r="E50">
        <f t="shared" si="4"/>
        <v>1.0878860080133827E-2</v>
      </c>
      <c r="F50">
        <f t="shared" si="0"/>
        <v>0.45691212336562076</v>
      </c>
    </row>
    <row r="51" spans="1:6" x14ac:dyDescent="0.4">
      <c r="A51">
        <v>43</v>
      </c>
      <c r="B51">
        <f t="shared" si="1"/>
        <v>0.8849315068493151</v>
      </c>
      <c r="C51">
        <f t="shared" si="5"/>
        <v>7.607714434388009E-2</v>
      </c>
      <c r="D51">
        <f t="shared" si="3"/>
        <v>0.92392285565611987</v>
      </c>
      <c r="E51">
        <f t="shared" si="4"/>
        <v>9.89238409425066E-3</v>
      </c>
      <c r="F51">
        <f t="shared" si="0"/>
        <v>0.42537251605277837</v>
      </c>
    </row>
    <row r="52" spans="1:6" x14ac:dyDescent="0.4">
      <c r="A52">
        <v>44</v>
      </c>
      <c r="B52">
        <f t="shared" si="1"/>
        <v>0.88219178082191785</v>
      </c>
      <c r="C52">
        <f t="shared" si="5"/>
        <v>6.7114631448573672E-2</v>
      </c>
      <c r="D52">
        <f t="shared" si="3"/>
        <v>0.93288536855142634</v>
      </c>
      <c r="E52">
        <f t="shared" si="4"/>
        <v>8.9625128953064216E-3</v>
      </c>
      <c r="F52">
        <f t="shared" si="0"/>
        <v>0.39435056739348257</v>
      </c>
    </row>
    <row r="53" spans="1:6" x14ac:dyDescent="0.4">
      <c r="A53">
        <v>45</v>
      </c>
      <c r="B53">
        <f t="shared" si="1"/>
        <v>0.8794520547945206</v>
      </c>
      <c r="C53">
        <f t="shared" si="5"/>
        <v>5.902410053422507E-2</v>
      </c>
      <c r="D53">
        <f t="shared" si="3"/>
        <v>0.94097589946577498</v>
      </c>
      <c r="E53">
        <f t="shared" si="4"/>
        <v>8.0905309143486058E-3</v>
      </c>
      <c r="F53">
        <f t="shared" si="0"/>
        <v>0.36407389114568728</v>
      </c>
    </row>
    <row r="54" spans="1:6" x14ac:dyDescent="0.4">
      <c r="A54">
        <v>46</v>
      </c>
      <c r="B54">
        <f t="shared" si="1"/>
        <v>0.87671232876712324</v>
      </c>
      <c r="C54">
        <f t="shared" si="5"/>
        <v>5.1747156632745261E-2</v>
      </c>
      <c r="D54">
        <f t="shared" si="3"/>
        <v>0.94825284336725479</v>
      </c>
      <c r="E54">
        <f t="shared" si="4"/>
        <v>7.2769439014798033E-3</v>
      </c>
      <c r="F54">
        <f t="shared" si="0"/>
        <v>0.33473941946807095</v>
      </c>
    </row>
    <row r="55" spans="1:6" x14ac:dyDescent="0.4">
      <c r="A55">
        <v>47</v>
      </c>
      <c r="B55">
        <f t="shared" si="1"/>
        <v>0.87397260273972599</v>
      </c>
      <c r="C55">
        <f t="shared" si="5"/>
        <v>4.5225597166700653E-2</v>
      </c>
      <c r="D55">
        <f t="shared" si="3"/>
        <v>0.9547744028332994</v>
      </c>
      <c r="E55">
        <f t="shared" si="4"/>
        <v>6.5215594660446088E-3</v>
      </c>
      <c r="F55">
        <f t="shared" si="0"/>
        <v>0.30651329490409662</v>
      </c>
    </row>
    <row r="56" spans="1:6" x14ac:dyDescent="0.4">
      <c r="A56">
        <v>48</v>
      </c>
      <c r="B56">
        <f t="shared" si="1"/>
        <v>0.87123287671232874</v>
      </c>
      <c r="C56">
        <f t="shared" si="5"/>
        <v>3.9402027120577554E-2</v>
      </c>
      <c r="D56">
        <f t="shared" si="3"/>
        <v>0.9605979728794225</v>
      </c>
      <c r="E56">
        <f t="shared" si="4"/>
        <v>5.8235700461230985E-3</v>
      </c>
      <c r="F56">
        <f t="shared" si="0"/>
        <v>0.27953136221390873</v>
      </c>
    </row>
    <row r="57" spans="1:6" x14ac:dyDescent="0.4">
      <c r="A57">
        <v>49</v>
      </c>
      <c r="B57">
        <f t="shared" si="1"/>
        <v>0.86849315068493149</v>
      </c>
      <c r="C57">
        <f t="shared" si="5"/>
        <v>3.422039067732352E-2</v>
      </c>
      <c r="D57">
        <f t="shared" si="3"/>
        <v>0.96577960932267648</v>
      </c>
      <c r="E57">
        <f t="shared" si="4"/>
        <v>5.1816364432540349E-3</v>
      </c>
      <c r="F57">
        <f t="shared" si="0"/>
        <v>0.25390018571944772</v>
      </c>
    </row>
    <row r="58" spans="1:6" x14ac:dyDescent="0.4">
      <c r="A58">
        <v>50</v>
      </c>
      <c r="B58">
        <f t="shared" si="1"/>
        <v>0.86575342465753424</v>
      </c>
      <c r="C58">
        <f t="shared" si="5"/>
        <v>2.9626420422011596E-2</v>
      </c>
      <c r="D58">
        <f t="shared" si="3"/>
        <v>0.97037357957798842</v>
      </c>
      <c r="E58">
        <f t="shared" si="4"/>
        <v>4.5939702553119246E-3</v>
      </c>
      <c r="F58">
        <f t="shared" si="0"/>
        <v>0.22969851276559622</v>
      </c>
    </row>
    <row r="59" spans="1:6" x14ac:dyDescent="0.4">
      <c r="A59">
        <v>51</v>
      </c>
      <c r="B59">
        <f t="shared" si="1"/>
        <v>0.86301369863013699</v>
      </c>
      <c r="C59">
        <f t="shared" si="5"/>
        <v>2.5568006665571651E-2</v>
      </c>
      <c r="D59">
        <f t="shared" si="3"/>
        <v>0.97443199333442831</v>
      </c>
      <c r="E59">
        <f t="shared" si="4"/>
        <v>4.0584137564399448E-3</v>
      </c>
      <c r="F59">
        <f t="shared" si="0"/>
        <v>0.20697910157843719</v>
      </c>
    </row>
    <row r="60" spans="1:6" x14ac:dyDescent="0.4">
      <c r="A60">
        <v>52</v>
      </c>
      <c r="B60">
        <f t="shared" si="1"/>
        <v>0.86027397260273974</v>
      </c>
      <c r="C60">
        <f t="shared" si="5"/>
        <v>2.1995490665724652E-2</v>
      </c>
      <c r="D60">
        <f t="shared" si="3"/>
        <v>0.9780045093342753</v>
      </c>
      <c r="E60">
        <f t="shared" si="4"/>
        <v>3.5725159998469978E-3</v>
      </c>
      <c r="F60">
        <f t="shared" si="0"/>
        <v>0.18577083199204389</v>
      </c>
    </row>
    <row r="61" spans="1:6" x14ac:dyDescent="0.4">
      <c r="A61">
        <v>53</v>
      </c>
      <c r="B61">
        <f t="shared" si="1"/>
        <v>0.8575342465753425</v>
      </c>
      <c r="C61">
        <f t="shared" si="5"/>
        <v>1.8861886516087167E-2</v>
      </c>
      <c r="D61">
        <f t="shared" si="3"/>
        <v>0.98113811348391278</v>
      </c>
      <c r="E61">
        <f t="shared" si="4"/>
        <v>3.1336041496374846E-3</v>
      </c>
      <c r="F61">
        <f t="shared" si="0"/>
        <v>0.16608101993078669</v>
      </c>
    </row>
    <row r="62" spans="1:6" x14ac:dyDescent="0.4">
      <c r="A62">
        <v>54</v>
      </c>
      <c r="B62">
        <f t="shared" si="1"/>
        <v>0.85479452054794525</v>
      </c>
      <c r="C62">
        <f t="shared" si="5"/>
        <v>1.6123037241148483E-2</v>
      </c>
      <c r="D62">
        <f t="shared" si="3"/>
        <v>0.9838769627588515</v>
      </c>
      <c r="E62">
        <f t="shared" si="4"/>
        <v>2.7388492749386849E-3</v>
      </c>
      <c r="F62">
        <f t="shared" si="0"/>
        <v>0.14789786084668899</v>
      </c>
    </row>
    <row r="63" spans="1:6" x14ac:dyDescent="0.4">
      <c r="A63">
        <v>55</v>
      </c>
      <c r="B63">
        <f t="shared" si="1"/>
        <v>0.852054794520548</v>
      </c>
      <c r="C63">
        <f t="shared" si="5"/>
        <v>1.3737711183553913E-2</v>
      </c>
      <c r="D63">
        <f t="shared" si="3"/>
        <v>0.98626228881644606</v>
      </c>
      <c r="E63">
        <f t="shared" si="4"/>
        <v>2.3853260575945699E-3</v>
      </c>
      <c r="F63">
        <f t="shared" si="0"/>
        <v>0.13119293316770134</v>
      </c>
    </row>
    <row r="64" spans="1:6" x14ac:dyDescent="0.4">
      <c r="A64">
        <v>56</v>
      </c>
      <c r="B64">
        <f t="shared" si="1"/>
        <v>0.84931506849315064</v>
      </c>
      <c r="C64">
        <f t="shared" si="5"/>
        <v>1.1667645114799213E-2</v>
      </c>
      <c r="D64">
        <f t="shared" si="3"/>
        <v>0.98833235488520077</v>
      </c>
      <c r="E64">
        <f t="shared" si="4"/>
        <v>2.0700660687546992E-3</v>
      </c>
      <c r="F64">
        <f t="shared" si="0"/>
        <v>0.11592369985026316</v>
      </c>
    </row>
    <row r="65" spans="1:6" x14ac:dyDescent="0.4">
      <c r="A65">
        <v>57</v>
      </c>
      <c r="B65">
        <f t="shared" si="1"/>
        <v>0.84657534246575339</v>
      </c>
      <c r="C65">
        <f t="shared" si="5"/>
        <v>9.8775406588300172E-3</v>
      </c>
      <c r="D65">
        <f t="shared" si="3"/>
        <v>0.99012245934116994</v>
      </c>
      <c r="E65">
        <f t="shared" si="4"/>
        <v>1.7901044559691941E-3</v>
      </c>
      <c r="F65">
        <f t="shared" si="0"/>
        <v>0.10203595399024407</v>
      </c>
    </row>
    <row r="66" spans="1:6" x14ac:dyDescent="0.4">
      <c r="A66">
        <v>58</v>
      </c>
      <c r="B66">
        <f t="shared" si="1"/>
        <v>0.84383561643835614</v>
      </c>
      <c r="C66">
        <f t="shared" si="5"/>
        <v>8.3350206107387532E-3</v>
      </c>
      <c r="D66">
        <f t="shared" si="3"/>
        <v>0.99166497938926124</v>
      </c>
      <c r="E66">
        <f t="shared" si="4"/>
        <v>1.5425200480912629E-3</v>
      </c>
      <c r="F66">
        <f t="shared" si="0"/>
        <v>8.9466162789293244E-2</v>
      </c>
    </row>
    <row r="67" spans="1:6" x14ac:dyDescent="0.4">
      <c r="A67">
        <v>59</v>
      </c>
      <c r="B67">
        <f t="shared" si="1"/>
        <v>0.84109589041095889</v>
      </c>
      <c r="C67">
        <f t="shared" si="5"/>
        <v>7.0105515821830061E-3</v>
      </c>
      <c r="D67">
        <f t="shared" si="3"/>
        <v>0.992989448417817</v>
      </c>
      <c r="E67">
        <f t="shared" si="4"/>
        <v>1.3244690285557472E-3</v>
      </c>
      <c r="F67">
        <f t="shared" si="0"/>
        <v>7.8143672684789084E-2</v>
      </c>
    </row>
    <row r="68" spans="1:6" x14ac:dyDescent="0.4">
      <c r="A68">
        <v>60</v>
      </c>
      <c r="B68">
        <f t="shared" si="1"/>
        <v>0.83835616438356164</v>
      </c>
      <c r="C68">
        <f t="shared" si="5"/>
        <v>5.8773391346520548E-3</v>
      </c>
      <c r="D68">
        <f t="shared" si="3"/>
        <v>0.99412266086534795</v>
      </c>
      <c r="E68">
        <f t="shared" si="4"/>
        <v>1.1332124475309515E-3</v>
      </c>
      <c r="F68">
        <f t="shared" si="0"/>
        <v>6.7992746851857092E-2</v>
      </c>
    </row>
    <row r="69" spans="1:6" x14ac:dyDescent="0.4">
      <c r="A69">
        <v>61</v>
      </c>
      <c r="B69">
        <f t="shared" si="1"/>
        <v>0.83561643835616439</v>
      </c>
      <c r="C69">
        <f t="shared" si="5"/>
        <v>4.9112011947092509E-3</v>
      </c>
      <c r="D69">
        <f t="shared" si="3"/>
        <v>0.99508879880529078</v>
      </c>
      <c r="E69">
        <f t="shared" si="4"/>
        <v>9.6613793994280355E-4</v>
      </c>
      <c r="F69">
        <f t="shared" si="0"/>
        <v>5.8934414336511018E-2</v>
      </c>
    </row>
    <row r="70" spans="1:6" x14ac:dyDescent="0.4">
      <c r="A70">
        <v>62</v>
      </c>
      <c r="B70">
        <f t="shared" si="1"/>
        <v>0.83287671232876714</v>
      </c>
      <c r="C70">
        <f t="shared" si="5"/>
        <v>4.0904251046345545E-3</v>
      </c>
      <c r="D70">
        <f t="shared" si="3"/>
        <v>0.99590957489536547</v>
      </c>
      <c r="E70">
        <f t="shared" si="4"/>
        <v>8.2077609007469678E-4</v>
      </c>
      <c r="F70">
        <f t="shared" si="0"/>
        <v>5.0888117584631201E-2</v>
      </c>
    </row>
    <row r="71" spans="1:6" x14ac:dyDescent="0.4">
      <c r="A71">
        <v>63</v>
      </c>
      <c r="B71">
        <f t="shared" si="1"/>
        <v>0.83013698630136989</v>
      </c>
      <c r="C71">
        <f t="shared" si="5"/>
        <v>3.3956131690527948E-3</v>
      </c>
      <c r="D71">
        <f t="shared" si="3"/>
        <v>0.99660438683094721</v>
      </c>
      <c r="E71">
        <f t="shared" si="4"/>
        <v>6.9481193558175989E-4</v>
      </c>
      <c r="F71">
        <f t="shared" si="0"/>
        <v>4.3773151941650872E-2</v>
      </c>
    </row>
    <row r="72" spans="1:6" x14ac:dyDescent="0.4">
      <c r="A72">
        <v>64</v>
      </c>
      <c r="B72">
        <f t="shared" si="1"/>
        <v>0.82739726027397265</v>
      </c>
      <c r="C72">
        <f t="shared" si="5"/>
        <v>2.8095210330245043E-3</v>
      </c>
      <c r="D72">
        <f t="shared" si="3"/>
        <v>0.99719047896697555</v>
      </c>
      <c r="E72">
        <f t="shared" si="4"/>
        <v>5.860921360282906E-4</v>
      </c>
      <c r="F72">
        <f t="shared" si="0"/>
        <v>3.7509896705810598E-2</v>
      </c>
    </row>
    <row r="73" spans="1:6" x14ac:dyDescent="0.4">
      <c r="A73">
        <v>65</v>
      </c>
      <c r="B73">
        <f t="shared" si="1"/>
        <v>0.8246575342465754</v>
      </c>
      <c r="C73">
        <f t="shared" si="5"/>
        <v>2.3168926875078788E-3</v>
      </c>
      <c r="D73">
        <f t="shared" si="3"/>
        <v>0.9976831073124921</v>
      </c>
      <c r="E73">
        <f t="shared" si="4"/>
        <v>4.9262834551662546E-4</v>
      </c>
      <c r="F73">
        <f t="shared" si="0"/>
        <v>3.2020842458580653E-2</v>
      </c>
    </row>
    <row r="74" spans="1:6" x14ac:dyDescent="0.4">
      <c r="A74">
        <v>66</v>
      </c>
      <c r="B74">
        <f t="shared" si="1"/>
        <v>0.82191780821917804</v>
      </c>
      <c r="C74">
        <f t="shared" si="5"/>
        <v>1.9042953595955169E-3</v>
      </c>
      <c r="D74">
        <f t="shared" si="3"/>
        <v>0.99809570464040454</v>
      </c>
      <c r="E74">
        <f t="shared" si="4"/>
        <v>4.1259732791236198E-4</v>
      </c>
      <c r="F74">
        <f t="shared" ref="F74:F137" si="6">A74*E74</f>
        <v>2.7231423642215889E-2</v>
      </c>
    </row>
    <row r="75" spans="1:6" x14ac:dyDescent="0.4">
      <c r="A75">
        <v>67</v>
      </c>
      <c r="B75">
        <f t="shared" ref="B75:B138" si="7">(366-A75)/365</f>
        <v>0.81917808219178079</v>
      </c>
      <c r="C75">
        <f t="shared" si="5"/>
        <v>1.5599570206001631E-3</v>
      </c>
      <c r="D75">
        <f t="shared" ref="D75:D138" si="8">1-C75</f>
        <v>0.99844004297939981</v>
      </c>
      <c r="E75">
        <f t="shared" ref="E75:E138" si="9">C74*A74/365</f>
        <v>3.4433833899535373E-4</v>
      </c>
      <c r="F75">
        <f t="shared" si="6"/>
        <v>2.3070668712688699E-2</v>
      </c>
    </row>
    <row r="76" spans="1:6" x14ac:dyDescent="0.4">
      <c r="A76">
        <v>68</v>
      </c>
      <c r="B76">
        <f t="shared" si="7"/>
        <v>0.81643835616438354</v>
      </c>
      <c r="C76">
        <f t="shared" si="5"/>
        <v>1.2736087455858865E-3</v>
      </c>
      <c r="D76">
        <f t="shared" si="8"/>
        <v>0.99872639125441409</v>
      </c>
      <c r="E76">
        <f t="shared" si="9"/>
        <v>2.8634827501427651E-4</v>
      </c>
      <c r="F76">
        <f t="shared" si="6"/>
        <v>1.9471682700970803E-2</v>
      </c>
    </row>
    <row r="77" spans="1:6" x14ac:dyDescent="0.4">
      <c r="A77">
        <v>69</v>
      </c>
      <c r="B77">
        <f t="shared" si="7"/>
        <v>0.81369863013698629</v>
      </c>
      <c r="C77">
        <f t="shared" si="5"/>
        <v>1.0363336916137213E-3</v>
      </c>
      <c r="D77">
        <f t="shared" si="8"/>
        <v>0.99896366630838629</v>
      </c>
      <c r="E77">
        <f t="shared" si="9"/>
        <v>2.3727505397216518E-4</v>
      </c>
      <c r="F77">
        <f t="shared" si="6"/>
        <v>1.6371978724079396E-2</v>
      </c>
    </row>
    <row r="78" spans="1:6" x14ac:dyDescent="0.4">
      <c r="A78">
        <v>70</v>
      </c>
      <c r="B78">
        <f t="shared" si="7"/>
        <v>0.81095890410958904</v>
      </c>
      <c r="C78">
        <f t="shared" si="5"/>
        <v>8.4042403484290828E-4</v>
      </c>
      <c r="D78">
        <f t="shared" si="8"/>
        <v>0.99915957596515714</v>
      </c>
      <c r="E78">
        <f t="shared" si="9"/>
        <v>1.9590965677081308E-4</v>
      </c>
      <c r="F78">
        <f t="shared" si="6"/>
        <v>1.3713675973956915E-2</v>
      </c>
    </row>
    <row r="79" spans="1:6" x14ac:dyDescent="0.4">
      <c r="A79">
        <v>71</v>
      </c>
      <c r="B79">
        <f t="shared" si="7"/>
        <v>0.80821917808219179</v>
      </c>
      <c r="C79">
        <f t="shared" si="5"/>
        <v>6.792468226812546E-4</v>
      </c>
      <c r="D79">
        <f t="shared" si="8"/>
        <v>0.99932075317731872</v>
      </c>
      <c r="E79">
        <f t="shared" si="9"/>
        <v>1.6117721216165365E-4</v>
      </c>
      <c r="F79">
        <f t="shared" si="6"/>
        <v>1.144358206347741E-2</v>
      </c>
    </row>
    <row r="80" spans="1:6" x14ac:dyDescent="0.4">
      <c r="A80">
        <v>72</v>
      </c>
      <c r="B80">
        <f t="shared" si="7"/>
        <v>0.80547945205479454</v>
      </c>
      <c r="C80">
        <f t="shared" si="5"/>
        <v>5.4711935854325714E-4</v>
      </c>
      <c r="D80">
        <f t="shared" si="8"/>
        <v>0.99945288064145676</v>
      </c>
      <c r="E80">
        <f t="shared" si="9"/>
        <v>1.3212746413799749E-4</v>
      </c>
      <c r="F80">
        <f t="shared" si="6"/>
        <v>9.513177417935819E-3</v>
      </c>
    </row>
    <row r="81" spans="1:6" x14ac:dyDescent="0.4">
      <c r="A81">
        <v>73</v>
      </c>
      <c r="B81">
        <f t="shared" si="7"/>
        <v>0.80273972602739729</v>
      </c>
      <c r="C81">
        <f t="shared" si="5"/>
        <v>4.391944439812996E-4</v>
      </c>
      <c r="D81">
        <f t="shared" si="8"/>
        <v>0.99956080555601867</v>
      </c>
      <c r="E81">
        <f t="shared" si="9"/>
        <v>1.0792491456195757E-4</v>
      </c>
      <c r="F81">
        <f t="shared" si="6"/>
        <v>7.8785187630229028E-3</v>
      </c>
    </row>
    <row r="82" spans="1:6" x14ac:dyDescent="0.4">
      <c r="A82">
        <v>74</v>
      </c>
      <c r="B82">
        <f t="shared" si="7"/>
        <v>0.8</v>
      </c>
      <c r="C82">
        <f t="shared" si="5"/>
        <v>3.5135555518503968E-4</v>
      </c>
      <c r="D82">
        <f t="shared" si="8"/>
        <v>0.99964864444481494</v>
      </c>
      <c r="E82">
        <f t="shared" si="9"/>
        <v>8.7838888796259906E-5</v>
      </c>
      <c r="F82">
        <f t="shared" si="6"/>
        <v>6.5000777709232332E-3</v>
      </c>
    </row>
    <row r="83" spans="1:6" x14ac:dyDescent="0.4">
      <c r="A83">
        <v>75</v>
      </c>
      <c r="B83">
        <f t="shared" si="7"/>
        <v>0.79726027397260268</v>
      </c>
      <c r="C83">
        <f t="shared" si="5"/>
        <v>2.8012182618862065E-4</v>
      </c>
      <c r="D83">
        <f t="shared" si="8"/>
        <v>0.99971987817381136</v>
      </c>
      <c r="E83">
        <f t="shared" si="9"/>
        <v>7.1233728996419004E-5</v>
      </c>
      <c r="F83">
        <f t="shared" si="6"/>
        <v>5.3425296747314256E-3</v>
      </c>
    </row>
    <row r="84" spans="1:6" x14ac:dyDescent="0.4">
      <c r="A84">
        <v>76</v>
      </c>
      <c r="B84">
        <f t="shared" si="7"/>
        <v>0.79452054794520544</v>
      </c>
      <c r="C84">
        <f t="shared" si="5"/>
        <v>2.2256254683479447E-4</v>
      </c>
      <c r="D84">
        <f t="shared" si="8"/>
        <v>0.99977743745316516</v>
      </c>
      <c r="E84">
        <f t="shared" si="9"/>
        <v>5.7559279353826159E-5</v>
      </c>
      <c r="F84">
        <f t="shared" si="6"/>
        <v>4.3745052308907881E-3</v>
      </c>
    </row>
    <row r="85" spans="1:6" x14ac:dyDescent="0.4">
      <c r="A85">
        <v>77</v>
      </c>
      <c r="B85">
        <f t="shared" si="7"/>
        <v>0.79178082191780819</v>
      </c>
      <c r="C85">
        <f t="shared" si="5"/>
        <v>1.7622075626097424E-4</v>
      </c>
      <c r="D85">
        <f t="shared" si="8"/>
        <v>0.999823779243739</v>
      </c>
      <c r="E85">
        <f t="shared" si="9"/>
        <v>4.6341790573820224E-5</v>
      </c>
      <c r="F85">
        <f t="shared" si="6"/>
        <v>3.568317874184157E-3</v>
      </c>
    </row>
    <row r="86" spans="1:6" x14ac:dyDescent="0.4">
      <c r="A86">
        <v>78</v>
      </c>
      <c r="B86">
        <f t="shared" si="7"/>
        <v>0.78904109589041094</v>
      </c>
      <c r="C86">
        <f t="shared" si="5"/>
        <v>1.3904541863879612E-4</v>
      </c>
      <c r="D86">
        <f t="shared" si="8"/>
        <v>0.99986095458136115</v>
      </c>
      <c r="E86">
        <f t="shared" si="9"/>
        <v>3.7175337622178128E-5</v>
      </c>
      <c r="F86">
        <f t="shared" si="6"/>
        <v>2.8996763345298941E-3</v>
      </c>
    </row>
    <row r="87" spans="1:6" x14ac:dyDescent="0.4">
      <c r="A87">
        <v>79</v>
      </c>
      <c r="B87">
        <f t="shared" si="7"/>
        <v>0.78630136986301369</v>
      </c>
      <c r="C87">
        <f t="shared" si="5"/>
        <v>1.0933160314886161E-4</v>
      </c>
      <c r="D87">
        <f t="shared" si="8"/>
        <v>0.99989066839685115</v>
      </c>
      <c r="E87">
        <f t="shared" si="9"/>
        <v>2.9713815489934513E-5</v>
      </c>
      <c r="F87">
        <f t="shared" si="6"/>
        <v>2.3473914237048268E-3</v>
      </c>
    </row>
    <row r="88" spans="1:6" x14ac:dyDescent="0.4">
      <c r="A88">
        <v>80</v>
      </c>
      <c r="B88">
        <f t="shared" si="7"/>
        <v>0.78356164383561644</v>
      </c>
      <c r="C88">
        <f t="shared" si="5"/>
        <v>8.5668050686505266E-5</v>
      </c>
      <c r="D88">
        <f t="shared" si="8"/>
        <v>0.99991433194931345</v>
      </c>
      <c r="E88">
        <f t="shared" si="9"/>
        <v>2.366355246235635E-5</v>
      </c>
      <c r="F88">
        <f t="shared" si="6"/>
        <v>1.8930841969885079E-3</v>
      </c>
    </row>
    <row r="89" spans="1:6" x14ac:dyDescent="0.4">
      <c r="A89">
        <v>81</v>
      </c>
      <c r="B89">
        <f t="shared" si="7"/>
        <v>0.78082191780821919</v>
      </c>
      <c r="C89">
        <f t="shared" si="5"/>
        <v>6.6891491631928764E-5</v>
      </c>
      <c r="D89">
        <f t="shared" si="8"/>
        <v>0.99993310850836803</v>
      </c>
      <c r="E89">
        <f t="shared" si="9"/>
        <v>1.8776559054576495E-5</v>
      </c>
      <c r="F89">
        <f t="shared" si="6"/>
        <v>1.5209012834206961E-3</v>
      </c>
    </row>
    <row r="90" spans="1:6" x14ac:dyDescent="0.4">
      <c r="A90">
        <v>82</v>
      </c>
      <c r="B90">
        <f t="shared" si="7"/>
        <v>0.77808219178082194</v>
      </c>
      <c r="C90">
        <f t="shared" si="5"/>
        <v>5.2047078420459645E-5</v>
      </c>
      <c r="D90">
        <f t="shared" si="8"/>
        <v>0.99994795292157956</v>
      </c>
      <c r="E90">
        <f t="shared" si="9"/>
        <v>1.4844413211469124E-5</v>
      </c>
      <c r="F90">
        <f t="shared" si="6"/>
        <v>1.2172418833404682E-3</v>
      </c>
    </row>
    <row r="91" spans="1:6" x14ac:dyDescent="0.4">
      <c r="A91">
        <v>83</v>
      </c>
      <c r="B91">
        <f t="shared" si="7"/>
        <v>0.77534246575342469</v>
      </c>
      <c r="C91">
        <f t="shared" si="5"/>
        <v>4.0354310117781044E-5</v>
      </c>
      <c r="D91">
        <f t="shared" si="8"/>
        <v>0.99995964568988227</v>
      </c>
      <c r="E91">
        <f t="shared" si="9"/>
        <v>1.1692768302678604E-5</v>
      </c>
      <c r="F91">
        <f t="shared" si="6"/>
        <v>9.704997691223242E-4</v>
      </c>
    </row>
    <row r="92" spans="1:6" x14ac:dyDescent="0.4">
      <c r="A92">
        <v>84</v>
      </c>
      <c r="B92">
        <f t="shared" si="7"/>
        <v>0.77260273972602744</v>
      </c>
      <c r="C92">
        <f t="shared" si="5"/>
        <v>3.1177850556751383E-5</v>
      </c>
      <c r="D92">
        <f t="shared" si="8"/>
        <v>0.99996882214944327</v>
      </c>
      <c r="E92">
        <f t="shared" si="9"/>
        <v>9.1764595610296626E-6</v>
      </c>
      <c r="F92">
        <f t="shared" si="6"/>
        <v>7.7082260312649168E-4</v>
      </c>
    </row>
    <row r="93" spans="1:6" x14ac:dyDescent="0.4">
      <c r="A93">
        <v>85</v>
      </c>
      <c r="B93">
        <f t="shared" si="7"/>
        <v>0.76986301369863008</v>
      </c>
      <c r="C93">
        <f t="shared" si="5"/>
        <v>2.4002673990266133E-5</v>
      </c>
      <c r="D93">
        <f t="shared" si="8"/>
        <v>0.99997599732600972</v>
      </c>
      <c r="E93">
        <f t="shared" si="9"/>
        <v>7.1751765664852502E-6</v>
      </c>
      <c r="F93">
        <f t="shared" si="6"/>
        <v>6.0989000815124626E-4</v>
      </c>
    </row>
    <row r="94" spans="1:6" x14ac:dyDescent="0.4">
      <c r="A94">
        <v>86</v>
      </c>
      <c r="B94">
        <f t="shared" si="7"/>
        <v>0.76712328767123283</v>
      </c>
      <c r="C94">
        <f t="shared" si="5"/>
        <v>1.8413010184313745E-5</v>
      </c>
      <c r="D94">
        <f t="shared" si="8"/>
        <v>0.99998158698981565</v>
      </c>
      <c r="E94">
        <f t="shared" si="9"/>
        <v>5.5896638059523868E-6</v>
      </c>
      <c r="F94">
        <f t="shared" si="6"/>
        <v>4.8071108731190525E-4</v>
      </c>
    </row>
    <row r="95" spans="1:6" x14ac:dyDescent="0.4">
      <c r="A95">
        <v>87</v>
      </c>
      <c r="B95">
        <f t="shared" si="7"/>
        <v>0.76438356164383559</v>
      </c>
      <c r="C95">
        <f t="shared" si="5"/>
        <v>1.4074602305269957E-5</v>
      </c>
      <c r="D95">
        <f t="shared" si="8"/>
        <v>0.99998592539769471</v>
      </c>
      <c r="E95">
        <f t="shared" si="9"/>
        <v>4.3384078790437867E-6</v>
      </c>
      <c r="F95">
        <f t="shared" si="6"/>
        <v>3.7744148547680942E-4</v>
      </c>
    </row>
    <row r="96" spans="1:6" x14ac:dyDescent="0.4">
      <c r="A96">
        <v>88</v>
      </c>
      <c r="B96">
        <f t="shared" si="7"/>
        <v>0.76164383561643834</v>
      </c>
      <c r="C96">
        <f t="shared" ref="C96:C159" si="10">C95*B96</f>
        <v>1.0719834084561776E-5</v>
      </c>
      <c r="D96">
        <f t="shared" si="8"/>
        <v>0.99998928016591548</v>
      </c>
      <c r="E96">
        <f t="shared" si="9"/>
        <v>3.3547682207081818E-6</v>
      </c>
      <c r="F96">
        <f t="shared" si="6"/>
        <v>2.9521960342231997E-4</v>
      </c>
    </row>
    <row r="97" spans="1:6" x14ac:dyDescent="0.4">
      <c r="A97">
        <v>89</v>
      </c>
      <c r="B97">
        <f t="shared" si="7"/>
        <v>0.75890410958904109</v>
      </c>
      <c r="C97">
        <f t="shared" si="10"/>
        <v>8.1353261408866082E-6</v>
      </c>
      <c r="D97">
        <f t="shared" si="8"/>
        <v>0.99999186467385914</v>
      </c>
      <c r="E97">
        <f t="shared" si="9"/>
        <v>2.584507943675168E-6</v>
      </c>
      <c r="F97">
        <f t="shared" si="6"/>
        <v>2.3002120698708994E-4</v>
      </c>
    </row>
    <row r="98" spans="1:6" x14ac:dyDescent="0.4">
      <c r="A98">
        <v>90</v>
      </c>
      <c r="B98">
        <f t="shared" si="7"/>
        <v>0.75616438356164384</v>
      </c>
      <c r="C98">
        <f t="shared" si="10"/>
        <v>6.1516438763964487E-6</v>
      </c>
      <c r="D98">
        <f t="shared" si="8"/>
        <v>0.99999384835612359</v>
      </c>
      <c r="E98">
        <f t="shared" si="9"/>
        <v>1.9836822644901591E-6</v>
      </c>
      <c r="F98">
        <f t="shared" si="6"/>
        <v>1.7853140380411431E-4</v>
      </c>
    </row>
    <row r="99" spans="1:6" x14ac:dyDescent="0.4">
      <c r="A99">
        <v>91</v>
      </c>
      <c r="B99">
        <f t="shared" si="7"/>
        <v>0.75342465753424659</v>
      </c>
      <c r="C99">
        <f t="shared" si="10"/>
        <v>4.6348001808466394E-6</v>
      </c>
      <c r="D99">
        <f t="shared" si="8"/>
        <v>0.99999536519981913</v>
      </c>
      <c r="E99">
        <f t="shared" si="9"/>
        <v>1.5168436955498093E-6</v>
      </c>
      <c r="F99">
        <f t="shared" si="6"/>
        <v>1.3803277629503266E-4</v>
      </c>
    </row>
    <row r="100" spans="1:6" x14ac:dyDescent="0.4">
      <c r="A100">
        <v>92</v>
      </c>
      <c r="B100">
        <f t="shared" si="7"/>
        <v>0.75068493150684934</v>
      </c>
      <c r="C100">
        <f t="shared" si="10"/>
        <v>3.4792746563067922E-6</v>
      </c>
      <c r="D100">
        <f t="shared" si="8"/>
        <v>0.99999652072534373</v>
      </c>
      <c r="E100">
        <f t="shared" si="9"/>
        <v>1.1555255245398472E-6</v>
      </c>
      <c r="F100">
        <f t="shared" si="6"/>
        <v>1.0630834825766594E-4</v>
      </c>
    </row>
    <row r="101" spans="1:6" x14ac:dyDescent="0.4">
      <c r="A101">
        <v>93</v>
      </c>
      <c r="B101">
        <f t="shared" si="7"/>
        <v>0.74794520547945209</v>
      </c>
      <c r="C101">
        <f t="shared" si="10"/>
        <v>2.6023067977308336E-6</v>
      </c>
      <c r="D101">
        <f t="shared" si="8"/>
        <v>0.99999739769320228</v>
      </c>
      <c r="E101">
        <f t="shared" si="9"/>
        <v>8.7696785857595848E-7</v>
      </c>
      <c r="F101">
        <f t="shared" si="6"/>
        <v>8.1558010847564133E-5</v>
      </c>
    </row>
    <row r="102" spans="1:6" x14ac:dyDescent="0.4">
      <c r="A102">
        <v>94</v>
      </c>
      <c r="B102">
        <f t="shared" si="7"/>
        <v>0.74520547945205484</v>
      </c>
      <c r="C102">
        <f t="shared" si="10"/>
        <v>1.9392532848843475E-6</v>
      </c>
      <c r="D102">
        <f t="shared" si="8"/>
        <v>0.99999806074671516</v>
      </c>
      <c r="E102">
        <f t="shared" si="9"/>
        <v>6.6305351284648638E-7</v>
      </c>
      <c r="F102">
        <f t="shared" si="6"/>
        <v>6.2327030207569723E-5</v>
      </c>
    </row>
    <row r="103" spans="1:6" x14ac:dyDescent="0.4">
      <c r="A103">
        <v>95</v>
      </c>
      <c r="B103">
        <f t="shared" si="7"/>
        <v>0.74246575342465748</v>
      </c>
      <c r="C103">
        <f t="shared" si="10"/>
        <v>1.4398291512428989E-6</v>
      </c>
      <c r="D103">
        <f t="shared" si="8"/>
        <v>0.99999856017084876</v>
      </c>
      <c r="E103">
        <f t="shared" si="9"/>
        <v>4.9942413364144843E-7</v>
      </c>
      <c r="F103">
        <f t="shared" si="6"/>
        <v>4.74452926959376E-5</v>
      </c>
    </row>
    <row r="104" spans="1:6" x14ac:dyDescent="0.4">
      <c r="A104">
        <v>96</v>
      </c>
      <c r="B104">
        <f t="shared" si="7"/>
        <v>0.73972602739726023</v>
      </c>
      <c r="C104">
        <f t="shared" si="10"/>
        <v>1.0650790981796785E-6</v>
      </c>
      <c r="D104">
        <f t="shared" si="8"/>
        <v>0.99999893492090186</v>
      </c>
      <c r="E104">
        <f t="shared" si="9"/>
        <v>3.7475005306322029E-7</v>
      </c>
      <c r="F104">
        <f t="shared" si="6"/>
        <v>3.5976005094069151E-5</v>
      </c>
    </row>
    <row r="105" spans="1:6" x14ac:dyDescent="0.4">
      <c r="A105">
        <v>97</v>
      </c>
      <c r="B105">
        <f t="shared" si="7"/>
        <v>0.73698630136986298</v>
      </c>
      <c r="C105">
        <f t="shared" si="10"/>
        <v>7.8494870523379048E-7</v>
      </c>
      <c r="D105">
        <f t="shared" si="8"/>
        <v>0.99999921505129474</v>
      </c>
      <c r="E105">
        <f t="shared" si="9"/>
        <v>2.8013039294588805E-7</v>
      </c>
      <c r="F105">
        <f t="shared" si="6"/>
        <v>2.7172648115751141E-5</v>
      </c>
    </row>
    <row r="106" spans="1:6" x14ac:dyDescent="0.4">
      <c r="A106">
        <v>98</v>
      </c>
      <c r="B106">
        <f t="shared" si="7"/>
        <v>0.73424657534246573</v>
      </c>
      <c r="C106">
        <f t="shared" si="10"/>
        <v>5.763458986374133E-7</v>
      </c>
      <c r="D106">
        <f t="shared" si="8"/>
        <v>0.99999942365410133</v>
      </c>
      <c r="E106">
        <f t="shared" si="9"/>
        <v>2.086028065963772E-7</v>
      </c>
      <c r="F106">
        <f t="shared" si="6"/>
        <v>2.0443075046444967E-5</v>
      </c>
    </row>
    <row r="107" spans="1:6" x14ac:dyDescent="0.4">
      <c r="A107">
        <v>99</v>
      </c>
      <c r="B107">
        <f t="shared" si="7"/>
        <v>0.73150684931506849</v>
      </c>
      <c r="C107">
        <f t="shared" si="10"/>
        <v>4.2160097242791601E-7</v>
      </c>
      <c r="D107">
        <f t="shared" si="8"/>
        <v>0.99999957839902753</v>
      </c>
      <c r="E107">
        <f t="shared" si="9"/>
        <v>1.5474492620949726E-7</v>
      </c>
      <c r="F107">
        <f t="shared" si="6"/>
        <v>1.5319747694740228E-5</v>
      </c>
    </row>
    <row r="108" spans="1:6" x14ac:dyDescent="0.4">
      <c r="A108">
        <v>100</v>
      </c>
      <c r="B108">
        <f t="shared" si="7"/>
        <v>0.72876712328767124</v>
      </c>
      <c r="C108">
        <f t="shared" si="10"/>
        <v>3.0724892785157715E-7</v>
      </c>
      <c r="D108">
        <f t="shared" si="8"/>
        <v>0.99999969275107214</v>
      </c>
      <c r="E108">
        <f t="shared" si="9"/>
        <v>1.1435204457633886E-7</v>
      </c>
      <c r="F108">
        <f t="shared" si="6"/>
        <v>1.1435204457633886E-5</v>
      </c>
    </row>
    <row r="109" spans="1:6" x14ac:dyDescent="0.4">
      <c r="A109">
        <v>101</v>
      </c>
      <c r="B109">
        <f t="shared" si="7"/>
        <v>0.72602739726027399</v>
      </c>
      <c r="C109">
        <f t="shared" si="10"/>
        <v>2.2307113939909027E-7</v>
      </c>
      <c r="D109">
        <f t="shared" si="8"/>
        <v>0.99999977692886055</v>
      </c>
      <c r="E109">
        <f t="shared" si="9"/>
        <v>8.4177788452486879E-8</v>
      </c>
      <c r="F109">
        <f t="shared" si="6"/>
        <v>8.5019566337011745E-6</v>
      </c>
    </row>
    <row r="110" spans="1:6" x14ac:dyDescent="0.4">
      <c r="A110">
        <v>102</v>
      </c>
      <c r="B110">
        <f t="shared" si="7"/>
        <v>0.72328767123287674</v>
      </c>
      <c r="C110">
        <f t="shared" si="10"/>
        <v>1.6134460493523241E-7</v>
      </c>
      <c r="D110">
        <f t="shared" si="8"/>
        <v>0.9999998386553951</v>
      </c>
      <c r="E110">
        <f t="shared" si="9"/>
        <v>6.1726534463857858E-8</v>
      </c>
      <c r="F110">
        <f t="shared" si="6"/>
        <v>6.2961065153135019E-6</v>
      </c>
    </row>
    <row r="111" spans="1:6" x14ac:dyDescent="0.4">
      <c r="A111">
        <v>103</v>
      </c>
      <c r="B111">
        <f t="shared" si="7"/>
        <v>0.72054794520547949</v>
      </c>
      <c r="C111">
        <f t="shared" si="10"/>
        <v>1.1625652355607158E-7</v>
      </c>
      <c r="D111">
        <f t="shared" si="8"/>
        <v>0.99999988374347648</v>
      </c>
      <c r="E111">
        <f t="shared" si="9"/>
        <v>4.5088081379160841E-8</v>
      </c>
      <c r="F111">
        <f t="shared" si="6"/>
        <v>4.6440723820535665E-6</v>
      </c>
    </row>
    <row r="112" spans="1:6" x14ac:dyDescent="0.4">
      <c r="A112">
        <v>104</v>
      </c>
      <c r="B112">
        <f t="shared" si="7"/>
        <v>0.71780821917808224</v>
      </c>
      <c r="C112">
        <f t="shared" si="10"/>
        <v>8.3449888141618509E-8</v>
      </c>
      <c r="D112">
        <f t="shared" si="8"/>
        <v>0.99999991655011189</v>
      </c>
      <c r="E112">
        <f t="shared" si="9"/>
        <v>3.2806635414453072E-8</v>
      </c>
      <c r="F112">
        <f t="shared" si="6"/>
        <v>3.4118900831031195E-6</v>
      </c>
    </row>
    <row r="113" spans="1:6" x14ac:dyDescent="0.4">
      <c r="A113">
        <v>105</v>
      </c>
      <c r="B113">
        <f t="shared" si="7"/>
        <v>0.71506849315068488</v>
      </c>
      <c r="C113">
        <f t="shared" si="10"/>
        <v>5.9672385767020349E-8</v>
      </c>
      <c r="D113">
        <f t="shared" si="8"/>
        <v>0.99999994032761419</v>
      </c>
      <c r="E113">
        <f t="shared" si="9"/>
        <v>2.377750237459815E-8</v>
      </c>
      <c r="F113">
        <f t="shared" si="6"/>
        <v>2.4966377493328056E-6</v>
      </c>
    </row>
    <row r="114" spans="1:6" x14ac:dyDescent="0.4">
      <c r="A114">
        <v>106</v>
      </c>
      <c r="B114">
        <f t="shared" si="7"/>
        <v>0.71232876712328763</v>
      </c>
      <c r="C114">
        <f t="shared" si="10"/>
        <v>4.250635698472682E-8</v>
      </c>
      <c r="D114">
        <f t="shared" si="8"/>
        <v>0.99999995749364301</v>
      </c>
      <c r="E114">
        <f t="shared" si="9"/>
        <v>1.7166028782293526E-8</v>
      </c>
      <c r="F114">
        <f t="shared" si="6"/>
        <v>1.8195990509231137E-6</v>
      </c>
    </row>
    <row r="115" spans="1:6" x14ac:dyDescent="0.4">
      <c r="A115">
        <v>107</v>
      </c>
      <c r="B115">
        <f t="shared" si="7"/>
        <v>0.70958904109589038</v>
      </c>
      <c r="C115">
        <f t="shared" si="10"/>
        <v>3.0162045093271907E-8</v>
      </c>
      <c r="D115">
        <f t="shared" si="8"/>
        <v>0.99999996983795492</v>
      </c>
      <c r="E115">
        <f t="shared" si="9"/>
        <v>1.2344311891454911E-8</v>
      </c>
      <c r="F115">
        <f t="shared" si="6"/>
        <v>1.3208413723856756E-6</v>
      </c>
    </row>
    <row r="116" spans="1:6" x14ac:dyDescent="0.4">
      <c r="A116">
        <v>108</v>
      </c>
      <c r="B116">
        <f t="shared" si="7"/>
        <v>0.70684931506849313</v>
      </c>
      <c r="C116">
        <f t="shared" si="10"/>
        <v>2.1320020915244251E-8</v>
      </c>
      <c r="D116">
        <f t="shared" si="8"/>
        <v>0.99999997867997914</v>
      </c>
      <c r="E116">
        <f t="shared" si="9"/>
        <v>8.8420241780276545E-9</v>
      </c>
      <c r="F116">
        <f t="shared" si="6"/>
        <v>9.5493861122698677E-7</v>
      </c>
    </row>
    <row r="117" spans="1:6" x14ac:dyDescent="0.4">
      <c r="A117">
        <v>109</v>
      </c>
      <c r="B117">
        <f t="shared" si="7"/>
        <v>0.70410958904109588</v>
      </c>
      <c r="C117">
        <f t="shared" si="10"/>
        <v>1.5011631164980198E-8</v>
      </c>
      <c r="D117">
        <f t="shared" si="8"/>
        <v>0.99999998498836884</v>
      </c>
      <c r="E117">
        <f t="shared" si="9"/>
        <v>6.3083897502640521E-9</v>
      </c>
      <c r="F117">
        <f t="shared" si="6"/>
        <v>6.8761448277878169E-7</v>
      </c>
    </row>
    <row r="118" spans="1:6" x14ac:dyDescent="0.4">
      <c r="A118">
        <v>110</v>
      </c>
      <c r="B118">
        <f t="shared" si="7"/>
        <v>0.70136986301369864</v>
      </c>
      <c r="C118">
        <f t="shared" si="10"/>
        <v>1.0528705693794331E-8</v>
      </c>
      <c r="D118">
        <f t="shared" si="8"/>
        <v>0.99999998947129431</v>
      </c>
      <c r="E118">
        <f t="shared" si="9"/>
        <v>4.482925471185867E-9</v>
      </c>
      <c r="F118">
        <f t="shared" si="6"/>
        <v>4.9312180183044537E-7</v>
      </c>
    </row>
    <row r="119" spans="1:6" x14ac:dyDescent="0.4">
      <c r="A119">
        <v>111</v>
      </c>
      <c r="B119">
        <f t="shared" si="7"/>
        <v>0.69863013698630139</v>
      </c>
      <c r="C119">
        <f t="shared" si="10"/>
        <v>7.3556711011439842E-9</v>
      </c>
      <c r="D119">
        <f t="shared" si="8"/>
        <v>0.99999999264432893</v>
      </c>
      <c r="E119">
        <f t="shared" si="9"/>
        <v>3.173034592650346E-9</v>
      </c>
      <c r="F119">
        <f t="shared" si="6"/>
        <v>3.5220683978418842E-7</v>
      </c>
    </row>
    <row r="120" spans="1:6" x14ac:dyDescent="0.4">
      <c r="A120">
        <v>112</v>
      </c>
      <c r="B120">
        <f t="shared" si="7"/>
        <v>0.69589041095890414</v>
      </c>
      <c r="C120">
        <f t="shared" si="10"/>
        <v>5.1187409854536223E-9</v>
      </c>
      <c r="D120">
        <f t="shared" si="8"/>
        <v>0.99999999488125901</v>
      </c>
      <c r="E120">
        <f t="shared" si="9"/>
        <v>2.2369301156903623E-9</v>
      </c>
      <c r="F120">
        <f t="shared" si="6"/>
        <v>2.5053617295732056E-7</v>
      </c>
    </row>
    <row r="121" spans="1:6" x14ac:dyDescent="0.4">
      <c r="A121">
        <v>113</v>
      </c>
      <c r="B121">
        <f t="shared" si="7"/>
        <v>0.69315068493150689</v>
      </c>
      <c r="C121">
        <f t="shared" si="10"/>
        <v>3.5480588200541547E-9</v>
      </c>
      <c r="D121">
        <f t="shared" si="8"/>
        <v>0.99999999645194115</v>
      </c>
      <c r="E121">
        <f t="shared" si="9"/>
        <v>1.5706821653994679E-9</v>
      </c>
      <c r="F121">
        <f t="shared" si="6"/>
        <v>1.7748708469013986E-7</v>
      </c>
    </row>
    <row r="122" spans="1:6" x14ac:dyDescent="0.4">
      <c r="A122">
        <v>114</v>
      </c>
      <c r="B122">
        <f t="shared" si="7"/>
        <v>0.69041095890410964</v>
      </c>
      <c r="C122">
        <f t="shared" si="10"/>
        <v>2.4496186922017726E-9</v>
      </c>
      <c r="D122">
        <f t="shared" si="8"/>
        <v>0.99999999755038127</v>
      </c>
      <c r="E122">
        <f t="shared" si="9"/>
        <v>1.098440127852382E-9</v>
      </c>
      <c r="F122">
        <f t="shared" si="6"/>
        <v>1.2522217457517156E-7</v>
      </c>
    </row>
    <row r="123" spans="1:6" x14ac:dyDescent="0.4">
      <c r="A123">
        <v>115</v>
      </c>
      <c r="B123">
        <f t="shared" si="7"/>
        <v>0.68767123287671228</v>
      </c>
      <c r="C123">
        <f t="shared" si="10"/>
        <v>1.6845323061442325E-9</v>
      </c>
      <c r="D123">
        <f t="shared" si="8"/>
        <v>0.99999999831546771</v>
      </c>
      <c r="E123">
        <f t="shared" si="9"/>
        <v>7.6508638605753999E-10</v>
      </c>
      <c r="F123">
        <f t="shared" si="6"/>
        <v>8.7984934396617105E-8</v>
      </c>
    </row>
    <row r="124" spans="1:6" x14ac:dyDescent="0.4">
      <c r="A124">
        <v>116</v>
      </c>
      <c r="B124">
        <f t="shared" si="7"/>
        <v>0.68493150684931503</v>
      </c>
      <c r="C124">
        <f t="shared" si="10"/>
        <v>1.1537892507837209E-9</v>
      </c>
      <c r="D124">
        <f t="shared" si="8"/>
        <v>0.99999999884621071</v>
      </c>
      <c r="E124">
        <f t="shared" si="9"/>
        <v>5.3074305536051161E-10</v>
      </c>
      <c r="F124">
        <f t="shared" si="6"/>
        <v>6.156619442181935E-8</v>
      </c>
    </row>
    <row r="125" spans="1:6" x14ac:dyDescent="0.4">
      <c r="A125">
        <v>117</v>
      </c>
      <c r="B125">
        <f t="shared" si="7"/>
        <v>0.68219178082191778</v>
      </c>
      <c r="C125">
        <f t="shared" si="10"/>
        <v>7.8710554368533289E-10</v>
      </c>
      <c r="D125">
        <f t="shared" si="8"/>
        <v>0.99999999921289451</v>
      </c>
      <c r="E125">
        <f t="shared" si="9"/>
        <v>3.6668370709838804E-10</v>
      </c>
      <c r="F125">
        <f t="shared" si="6"/>
        <v>4.29019937305114E-8</v>
      </c>
    </row>
    <row r="126" spans="1:6" x14ac:dyDescent="0.4">
      <c r="A126">
        <v>118</v>
      </c>
      <c r="B126">
        <f t="shared" si="7"/>
        <v>0.67945205479452053</v>
      </c>
      <c r="C126">
        <f t="shared" si="10"/>
        <v>5.3480047899715768E-10</v>
      </c>
      <c r="D126">
        <f t="shared" si="8"/>
        <v>0.99999999946519957</v>
      </c>
      <c r="E126">
        <f t="shared" si="9"/>
        <v>2.5230506468817521E-10</v>
      </c>
      <c r="F126">
        <f t="shared" si="6"/>
        <v>2.9771997633204674E-8</v>
      </c>
    </row>
    <row r="127" spans="1:6" x14ac:dyDescent="0.4">
      <c r="A127">
        <v>119</v>
      </c>
      <c r="B127">
        <f t="shared" si="7"/>
        <v>0.67671232876712328</v>
      </c>
      <c r="C127">
        <f t="shared" si="10"/>
        <v>3.619060775679396E-10</v>
      </c>
      <c r="D127">
        <f t="shared" si="8"/>
        <v>0.99999999963809394</v>
      </c>
      <c r="E127">
        <f t="shared" si="9"/>
        <v>1.7289440142921811E-10</v>
      </c>
      <c r="F127">
        <f t="shared" si="6"/>
        <v>2.0574433770076955E-8</v>
      </c>
    </row>
    <row r="128" spans="1:6" x14ac:dyDescent="0.4">
      <c r="A128">
        <v>120</v>
      </c>
      <c r="B128">
        <f t="shared" si="7"/>
        <v>0.67397260273972603</v>
      </c>
      <c r="C128">
        <f t="shared" si="10"/>
        <v>2.4391478104578944E-10</v>
      </c>
      <c r="D128">
        <f t="shared" si="8"/>
        <v>0.99999999975608522</v>
      </c>
      <c r="E128">
        <f t="shared" si="9"/>
        <v>1.1799129652215016E-10</v>
      </c>
      <c r="F128">
        <f t="shared" si="6"/>
        <v>1.415895558265802E-8</v>
      </c>
    </row>
    <row r="129" spans="1:6" x14ac:dyDescent="0.4">
      <c r="A129">
        <v>121</v>
      </c>
      <c r="B129">
        <f t="shared" si="7"/>
        <v>0.67123287671232879</v>
      </c>
      <c r="C129">
        <f t="shared" si="10"/>
        <v>1.6372362015402305E-10</v>
      </c>
      <c r="D129">
        <f t="shared" si="8"/>
        <v>0.99999999983627641</v>
      </c>
      <c r="E129">
        <f t="shared" si="9"/>
        <v>8.0191160891766391E-11</v>
      </c>
      <c r="F129">
        <f t="shared" si="6"/>
        <v>9.7031304679037341E-9</v>
      </c>
    </row>
    <row r="130" spans="1:6" x14ac:dyDescent="0.4">
      <c r="A130">
        <v>122</v>
      </c>
      <c r="B130">
        <f t="shared" si="7"/>
        <v>0.66849315068493154</v>
      </c>
      <c r="C130">
        <f t="shared" si="10"/>
        <v>1.0944811867830583E-10</v>
      </c>
      <c r="D130">
        <f t="shared" si="8"/>
        <v>0.99999999989055188</v>
      </c>
      <c r="E130">
        <f t="shared" si="9"/>
        <v>5.4275501475717231E-11</v>
      </c>
      <c r="F130">
        <f t="shared" si="6"/>
        <v>6.621611180037502E-9</v>
      </c>
    </row>
    <row r="131" spans="1:6" x14ac:dyDescent="0.4">
      <c r="A131">
        <v>123</v>
      </c>
      <c r="B131">
        <f t="shared" si="7"/>
        <v>0.66575342465753429</v>
      </c>
      <c r="C131">
        <f t="shared" si="10"/>
        <v>7.2865459832406351E-11</v>
      </c>
      <c r="D131">
        <f t="shared" si="8"/>
        <v>0.99999999992713451</v>
      </c>
      <c r="E131">
        <f t="shared" si="9"/>
        <v>3.6582658845899484E-11</v>
      </c>
      <c r="F131">
        <f t="shared" si="6"/>
        <v>4.4996670380456366E-9</v>
      </c>
    </row>
    <row r="132" spans="1:6" x14ac:dyDescent="0.4">
      <c r="A132">
        <v>124</v>
      </c>
      <c r="B132">
        <f t="shared" si="7"/>
        <v>0.66301369863013704</v>
      </c>
      <c r="C132">
        <f t="shared" si="10"/>
        <v>4.8310798025869422E-11</v>
      </c>
      <c r="D132">
        <f t="shared" si="8"/>
        <v>0.9999999999516892</v>
      </c>
      <c r="E132">
        <f t="shared" si="9"/>
        <v>2.4554661806536932E-11</v>
      </c>
      <c r="F132">
        <f t="shared" si="6"/>
        <v>3.0447780640105794E-9</v>
      </c>
    </row>
    <row r="133" spans="1:6" x14ac:dyDescent="0.4">
      <c r="A133">
        <v>125</v>
      </c>
      <c r="B133">
        <f t="shared" si="7"/>
        <v>0.66027397260273968</v>
      </c>
      <c r="C133">
        <f t="shared" si="10"/>
        <v>3.1898362532149398E-11</v>
      </c>
      <c r="D133">
        <f t="shared" si="8"/>
        <v>0.99999999996810163</v>
      </c>
      <c r="E133">
        <f t="shared" si="9"/>
        <v>1.6412435493720024E-11</v>
      </c>
      <c r="F133">
        <f t="shared" si="6"/>
        <v>2.0515544367150031E-9</v>
      </c>
    </row>
    <row r="134" spans="1:6" x14ac:dyDescent="0.4">
      <c r="A134">
        <v>126</v>
      </c>
      <c r="B134">
        <f t="shared" si="7"/>
        <v>0.65753424657534243</v>
      </c>
      <c r="C134">
        <f t="shared" si="10"/>
        <v>2.0974265774563986E-11</v>
      </c>
      <c r="D134">
        <f t="shared" si="8"/>
        <v>0.99999999997902578</v>
      </c>
      <c r="E134">
        <f t="shared" si="9"/>
        <v>1.092409675758541E-11</v>
      </c>
      <c r="F134">
        <f t="shared" si="6"/>
        <v>1.3764361914557616E-9</v>
      </c>
    </row>
    <row r="135" spans="1:6" x14ac:dyDescent="0.4">
      <c r="A135">
        <v>127</v>
      </c>
      <c r="B135">
        <f t="shared" si="7"/>
        <v>0.65479452054794518</v>
      </c>
      <c r="C135">
        <f t="shared" si="10"/>
        <v>1.3733834301700802E-11</v>
      </c>
      <c r="D135">
        <f t="shared" si="8"/>
        <v>0.99999999998626621</v>
      </c>
      <c r="E135">
        <f t="shared" si="9"/>
        <v>7.240431472863185E-12</v>
      </c>
      <c r="F135">
        <f t="shared" si="6"/>
        <v>9.1953479705362454E-10</v>
      </c>
    </row>
    <row r="136" spans="1:6" x14ac:dyDescent="0.4">
      <c r="A136">
        <v>128</v>
      </c>
      <c r="B136">
        <f t="shared" si="7"/>
        <v>0.65205479452054793</v>
      </c>
      <c r="C136">
        <f t="shared" si="10"/>
        <v>8.9552125035747689E-12</v>
      </c>
      <c r="D136">
        <f t="shared" si="8"/>
        <v>0.99999999999104483</v>
      </c>
      <c r="E136">
        <f t="shared" si="9"/>
        <v>4.7786217981260323E-12</v>
      </c>
      <c r="F136">
        <f t="shared" si="6"/>
        <v>6.1166359016013214E-10</v>
      </c>
    </row>
    <row r="137" spans="1:6" x14ac:dyDescent="0.4">
      <c r="A137">
        <v>129</v>
      </c>
      <c r="B137">
        <f t="shared" si="7"/>
        <v>0.64931506849315068</v>
      </c>
      <c r="C137">
        <f t="shared" si="10"/>
        <v>5.8147544201293701E-12</v>
      </c>
      <c r="D137">
        <f t="shared" si="8"/>
        <v>0.99999999999418521</v>
      </c>
      <c r="E137">
        <f t="shared" si="9"/>
        <v>3.1404580834453984E-12</v>
      </c>
      <c r="F137">
        <f t="shared" si="6"/>
        <v>4.051190927644564E-10</v>
      </c>
    </row>
    <row r="138" spans="1:6" x14ac:dyDescent="0.4">
      <c r="A138">
        <v>130</v>
      </c>
      <c r="B138">
        <f t="shared" si="7"/>
        <v>0.64657534246575343</v>
      </c>
      <c r="C138">
        <f t="shared" si="10"/>
        <v>3.7596768305494006E-12</v>
      </c>
      <c r="D138">
        <f t="shared" si="8"/>
        <v>0.99999999999624034</v>
      </c>
      <c r="E138">
        <f t="shared" si="9"/>
        <v>2.0550775895799691E-12</v>
      </c>
      <c r="F138">
        <f t="shared" ref="F138:F201" si="11">A138*E138</f>
        <v>2.6716008664539599E-10</v>
      </c>
    </row>
    <row r="139" spans="1:6" x14ac:dyDescent="0.4">
      <c r="A139">
        <v>131</v>
      </c>
      <c r="B139">
        <f t="shared" ref="B139:B202" si="12">(366-A139)/365</f>
        <v>0.64383561643835618</v>
      </c>
      <c r="C139">
        <f t="shared" si="10"/>
        <v>2.4206138498057785E-12</v>
      </c>
      <c r="D139">
        <f t="shared" ref="D139:D202" si="13">1-C139</f>
        <v>0.99999999999757938</v>
      </c>
      <c r="E139">
        <f t="shared" ref="E139:E202" si="14">C138*A138/365</f>
        <v>1.3390629807436221E-12</v>
      </c>
      <c r="F139">
        <f t="shared" si="11"/>
        <v>1.754172504774145E-10</v>
      </c>
    </row>
    <row r="140" spans="1:6" x14ac:dyDescent="0.4">
      <c r="A140">
        <v>132</v>
      </c>
      <c r="B140">
        <f t="shared" si="12"/>
        <v>0.64109589041095894</v>
      </c>
      <c r="C140">
        <f t="shared" si="10"/>
        <v>1.5518455913823348E-12</v>
      </c>
      <c r="D140">
        <f t="shared" si="13"/>
        <v>0.99999999999844813</v>
      </c>
      <c r="E140">
        <f t="shared" si="14"/>
        <v>8.6876825842344386E-13</v>
      </c>
      <c r="F140">
        <f t="shared" si="11"/>
        <v>1.1467741011189459E-10</v>
      </c>
    </row>
    <row r="141" spans="1:6" x14ac:dyDescent="0.4">
      <c r="A141">
        <v>133</v>
      </c>
      <c r="B141">
        <f t="shared" si="12"/>
        <v>0.63835616438356169</v>
      </c>
      <c r="C141">
        <f t="shared" si="10"/>
        <v>9.9063019943036731E-13</v>
      </c>
      <c r="D141">
        <f t="shared" si="13"/>
        <v>0.99999999999900935</v>
      </c>
      <c r="E141">
        <f t="shared" si="14"/>
        <v>5.6121539195196761E-13</v>
      </c>
      <c r="F141">
        <f t="shared" si="11"/>
        <v>7.4641647129611694E-11</v>
      </c>
    </row>
    <row r="142" spans="1:6" x14ac:dyDescent="0.4">
      <c r="A142">
        <v>134</v>
      </c>
      <c r="B142">
        <f t="shared" si="12"/>
        <v>0.63561643835616444</v>
      </c>
      <c r="C142">
        <f t="shared" si="10"/>
        <v>6.2966083908998699E-13</v>
      </c>
      <c r="D142">
        <f t="shared" si="13"/>
        <v>0.99999999999937039</v>
      </c>
      <c r="E142">
        <f t="shared" si="14"/>
        <v>3.6096936034038042E-13</v>
      </c>
      <c r="F142">
        <f t="shared" si="11"/>
        <v>4.8369894285610977E-11</v>
      </c>
    </row>
    <row r="143" spans="1:6" x14ac:dyDescent="0.4">
      <c r="A143">
        <v>135</v>
      </c>
      <c r="B143">
        <f t="shared" si="12"/>
        <v>0.63287671232876708</v>
      </c>
      <c r="C143">
        <f t="shared" si="10"/>
        <v>3.9849768172544381E-13</v>
      </c>
      <c r="D143">
        <f t="shared" si="13"/>
        <v>0.99999999999960154</v>
      </c>
      <c r="E143">
        <f t="shared" si="14"/>
        <v>2.3116315736454318E-13</v>
      </c>
      <c r="F143">
        <f t="shared" si="11"/>
        <v>3.1207026244213331E-11</v>
      </c>
    </row>
    <row r="144" spans="1:6" x14ac:dyDescent="0.4">
      <c r="A144">
        <v>136</v>
      </c>
      <c r="B144">
        <f t="shared" si="12"/>
        <v>0.63013698630136983</v>
      </c>
      <c r="C144">
        <f t="shared" si="10"/>
        <v>2.5110812821055363E-13</v>
      </c>
      <c r="D144">
        <f t="shared" si="13"/>
        <v>0.99999999999974887</v>
      </c>
      <c r="E144">
        <f t="shared" si="14"/>
        <v>1.4738955351489018E-13</v>
      </c>
      <c r="F144">
        <f t="shared" si="11"/>
        <v>2.0044979278025066E-11</v>
      </c>
    </row>
    <row r="145" spans="1:6" x14ac:dyDescent="0.4">
      <c r="A145">
        <v>137</v>
      </c>
      <c r="B145">
        <f t="shared" si="12"/>
        <v>0.62739726027397258</v>
      </c>
      <c r="C145">
        <f t="shared" si="10"/>
        <v>1.5754455167182679E-13</v>
      </c>
      <c r="D145">
        <f t="shared" si="13"/>
        <v>0.99999999999984246</v>
      </c>
      <c r="E145">
        <f t="shared" si="14"/>
        <v>9.3563576538726827E-14</v>
      </c>
      <c r="F145">
        <f t="shared" si="11"/>
        <v>1.2818209985805576E-11</v>
      </c>
    </row>
    <row r="146" spans="1:6" x14ac:dyDescent="0.4">
      <c r="A146">
        <v>138</v>
      </c>
      <c r="B146">
        <f t="shared" si="12"/>
        <v>0.62465753424657533</v>
      </c>
      <c r="C146">
        <f t="shared" si="10"/>
        <v>9.8411391181305495E-14</v>
      </c>
      <c r="D146">
        <f t="shared" si="13"/>
        <v>0.99999999999990163</v>
      </c>
      <c r="E146">
        <f t="shared" si="14"/>
        <v>5.9133160490521279E-14</v>
      </c>
      <c r="F146">
        <f t="shared" si="11"/>
        <v>8.1603761476919365E-12</v>
      </c>
    </row>
    <row r="147" spans="1:6" x14ac:dyDescent="0.4">
      <c r="A147">
        <v>139</v>
      </c>
      <c r="B147">
        <f t="shared" si="12"/>
        <v>0.62191780821917808</v>
      </c>
      <c r="C147">
        <f t="shared" si="10"/>
        <v>6.120379670727766E-14</v>
      </c>
      <c r="D147">
        <f t="shared" si="13"/>
        <v>0.99999999999993883</v>
      </c>
      <c r="E147">
        <f t="shared" si="14"/>
        <v>3.7207594474027828E-14</v>
      </c>
      <c r="F147">
        <f t="shared" si="11"/>
        <v>5.1718556318898685E-12</v>
      </c>
    </row>
    <row r="148" spans="1:6" x14ac:dyDescent="0.4">
      <c r="A148">
        <v>140</v>
      </c>
      <c r="B148">
        <f t="shared" si="12"/>
        <v>0.61917808219178083</v>
      </c>
      <c r="C148">
        <f t="shared" si="10"/>
        <v>3.7896049468067809E-14</v>
      </c>
      <c r="D148">
        <f t="shared" si="13"/>
        <v>0.99999999999996214</v>
      </c>
      <c r="E148">
        <f t="shared" si="14"/>
        <v>2.3307747239209851E-14</v>
      </c>
      <c r="F148">
        <f t="shared" si="11"/>
        <v>3.2630846134893792E-12</v>
      </c>
    </row>
    <row r="149" spans="1:6" x14ac:dyDescent="0.4">
      <c r="A149">
        <v>141</v>
      </c>
      <c r="B149">
        <f t="shared" si="12"/>
        <v>0.61643835616438358</v>
      </c>
      <c r="C149">
        <f t="shared" si="10"/>
        <v>2.3360578439219884E-14</v>
      </c>
      <c r="D149">
        <f t="shared" si="13"/>
        <v>0.99999999999997669</v>
      </c>
      <c r="E149">
        <f t="shared" si="14"/>
        <v>1.4535471028847926E-14</v>
      </c>
      <c r="F149">
        <f t="shared" si="11"/>
        <v>2.0495014150675574E-12</v>
      </c>
    </row>
    <row r="150" spans="1:6" x14ac:dyDescent="0.4">
      <c r="A150">
        <v>142</v>
      </c>
      <c r="B150">
        <f t="shared" si="12"/>
        <v>0.61369863013698633</v>
      </c>
      <c r="C150">
        <f t="shared" si="10"/>
        <v>1.4336354987356862E-14</v>
      </c>
      <c r="D150">
        <f t="shared" si="13"/>
        <v>0.99999999999998568</v>
      </c>
      <c r="E150">
        <f t="shared" si="14"/>
        <v>9.0242234518630235E-15</v>
      </c>
      <c r="F150">
        <f t="shared" si="11"/>
        <v>1.2814397301645493E-12</v>
      </c>
    </row>
    <row r="151" spans="1:6" x14ac:dyDescent="0.4">
      <c r="A151">
        <v>143</v>
      </c>
      <c r="B151">
        <f t="shared" si="12"/>
        <v>0.61095890410958908</v>
      </c>
      <c r="C151">
        <f t="shared" si="10"/>
        <v>8.7589237320015895E-15</v>
      </c>
      <c r="D151">
        <f t="shared" si="13"/>
        <v>0.99999999999999123</v>
      </c>
      <c r="E151">
        <f t="shared" si="14"/>
        <v>5.5774312553552723E-15</v>
      </c>
      <c r="F151">
        <f t="shared" si="11"/>
        <v>7.9757266951580398E-13</v>
      </c>
    </row>
    <row r="152" spans="1:6" x14ac:dyDescent="0.4">
      <c r="A152">
        <v>144</v>
      </c>
      <c r="B152">
        <f t="shared" si="12"/>
        <v>0.60821917808219184</v>
      </c>
      <c r="C152">
        <f t="shared" si="10"/>
        <v>5.3273453931626113E-15</v>
      </c>
      <c r="D152">
        <f t="shared" si="13"/>
        <v>0.99999999999999467</v>
      </c>
      <c r="E152">
        <f t="shared" si="14"/>
        <v>3.4315783388389789E-15</v>
      </c>
      <c r="F152">
        <f t="shared" si="11"/>
        <v>4.9414728079281299E-13</v>
      </c>
    </row>
    <row r="153" spans="1:6" x14ac:dyDescent="0.4">
      <c r="A153">
        <v>145</v>
      </c>
      <c r="B153">
        <f t="shared" si="12"/>
        <v>0.60547945205479448</v>
      </c>
      <c r="C153">
        <f t="shared" si="10"/>
        <v>3.2255981695587315E-15</v>
      </c>
      <c r="D153">
        <f t="shared" si="13"/>
        <v>0.99999999999999678</v>
      </c>
      <c r="E153">
        <f t="shared" si="14"/>
        <v>2.1017472236038795E-15</v>
      </c>
      <c r="F153">
        <f t="shared" si="11"/>
        <v>3.0475334742256252E-13</v>
      </c>
    </row>
    <row r="154" spans="1:6" x14ac:dyDescent="0.4">
      <c r="A154">
        <v>146</v>
      </c>
      <c r="B154">
        <f t="shared" si="12"/>
        <v>0.60273972602739723</v>
      </c>
      <c r="C154">
        <f t="shared" si="10"/>
        <v>1.9441961569943037E-15</v>
      </c>
      <c r="D154">
        <f t="shared" si="13"/>
        <v>0.999999999999998</v>
      </c>
      <c r="E154">
        <f t="shared" si="14"/>
        <v>1.2814020125644278E-15</v>
      </c>
      <c r="F154">
        <f t="shared" si="11"/>
        <v>1.8708469383440646E-13</v>
      </c>
    </row>
    <row r="155" spans="1:6" x14ac:dyDescent="0.4">
      <c r="A155">
        <v>147</v>
      </c>
      <c r="B155">
        <f t="shared" si="12"/>
        <v>0.6</v>
      </c>
      <c r="C155">
        <f t="shared" si="10"/>
        <v>1.1665176941965821E-15</v>
      </c>
      <c r="D155">
        <f t="shared" si="13"/>
        <v>0.99999999999999878</v>
      </c>
      <c r="E155">
        <f t="shared" si="14"/>
        <v>7.7767846279772146E-16</v>
      </c>
      <c r="F155">
        <f t="shared" si="11"/>
        <v>1.1431873403126504E-13</v>
      </c>
    </row>
    <row r="156" spans="1:6" x14ac:dyDescent="0.4">
      <c r="A156">
        <v>148</v>
      </c>
      <c r="B156">
        <f t="shared" si="12"/>
        <v>0.59726027397260273</v>
      </c>
      <c r="C156">
        <f t="shared" si="10"/>
        <v>6.967146776297395E-16</v>
      </c>
      <c r="D156">
        <f t="shared" si="13"/>
        <v>0.99999999999999933</v>
      </c>
      <c r="E156">
        <f t="shared" si="14"/>
        <v>4.6980301656684264E-16</v>
      </c>
      <c r="F156">
        <f t="shared" si="11"/>
        <v>6.9530846451892716E-14</v>
      </c>
    </row>
    <row r="157" spans="1:6" x14ac:dyDescent="0.4">
      <c r="A157">
        <v>149</v>
      </c>
      <c r="B157">
        <f t="shared" si="12"/>
        <v>0.59452054794520548</v>
      </c>
      <c r="C157">
        <f t="shared" si="10"/>
        <v>4.1421119190589994E-16</v>
      </c>
      <c r="D157">
        <f t="shared" si="13"/>
        <v>0.99999999999999956</v>
      </c>
      <c r="E157">
        <f t="shared" si="14"/>
        <v>2.8250348572383961E-16</v>
      </c>
      <c r="F157">
        <f t="shared" si="11"/>
        <v>4.2093019372852102E-14</v>
      </c>
    </row>
    <row r="158" spans="1:6" x14ac:dyDescent="0.4">
      <c r="A158">
        <v>150</v>
      </c>
      <c r="B158">
        <f t="shared" si="12"/>
        <v>0.59178082191780823</v>
      </c>
      <c r="C158">
        <f t="shared" si="10"/>
        <v>2.4512223959362848E-16</v>
      </c>
      <c r="D158">
        <f t="shared" si="13"/>
        <v>0.99999999999999978</v>
      </c>
      <c r="E158">
        <f t="shared" si="14"/>
        <v>1.6908895231227149E-16</v>
      </c>
      <c r="F158">
        <f t="shared" si="11"/>
        <v>2.5363342846840724E-14</v>
      </c>
    </row>
    <row r="159" spans="1:6" x14ac:dyDescent="0.4">
      <c r="A159">
        <v>151</v>
      </c>
      <c r="B159">
        <f t="shared" si="12"/>
        <v>0.58904109589041098</v>
      </c>
      <c r="C159">
        <f t="shared" si="10"/>
        <v>1.443870726373428E-16</v>
      </c>
      <c r="D159">
        <f t="shared" si="13"/>
        <v>0.99999999999999989</v>
      </c>
      <c r="E159">
        <f t="shared" si="14"/>
        <v>1.0073516695628568E-16</v>
      </c>
      <c r="F159">
        <f t="shared" si="11"/>
        <v>1.5211010210399137E-14</v>
      </c>
    </row>
    <row r="160" spans="1:6" x14ac:dyDescent="0.4">
      <c r="A160">
        <v>152</v>
      </c>
      <c r="B160">
        <f t="shared" si="12"/>
        <v>0.58630136986301373</v>
      </c>
      <c r="C160">
        <f t="shared" ref="C160:C223" si="15">C159*B160</f>
        <v>8.4654338477784551E-17</v>
      </c>
      <c r="D160">
        <f t="shared" si="13"/>
        <v>0.99999999999999989</v>
      </c>
      <c r="E160">
        <f t="shared" si="14"/>
        <v>5.9732734159558253E-17</v>
      </c>
      <c r="F160">
        <f t="shared" si="11"/>
        <v>9.0793755922528539E-15</v>
      </c>
    </row>
    <row r="161" spans="1:6" x14ac:dyDescent="0.4">
      <c r="A161">
        <v>153</v>
      </c>
      <c r="B161">
        <f t="shared" si="12"/>
        <v>0.58356164383561648</v>
      </c>
      <c r="C161">
        <f t="shared" si="15"/>
        <v>4.9401024919912634E-17</v>
      </c>
      <c r="D161">
        <f t="shared" si="13"/>
        <v>1</v>
      </c>
      <c r="E161">
        <f t="shared" si="14"/>
        <v>3.5253313557871923E-17</v>
      </c>
      <c r="F161">
        <f t="shared" si="11"/>
        <v>5.3937569743544042E-15</v>
      </c>
    </row>
    <row r="162" spans="1:6" x14ac:dyDescent="0.4">
      <c r="A162">
        <v>154</v>
      </c>
      <c r="B162">
        <f t="shared" si="12"/>
        <v>0.58082191780821912</v>
      </c>
      <c r="C162">
        <f t="shared" si="15"/>
        <v>2.8693198035675278E-17</v>
      </c>
      <c r="D162">
        <f t="shared" si="13"/>
        <v>1</v>
      </c>
      <c r="E162">
        <f t="shared" si="14"/>
        <v>2.070782688423735E-17</v>
      </c>
      <c r="F162">
        <f t="shared" si="11"/>
        <v>3.1890053401725521E-15</v>
      </c>
    </row>
    <row r="163" spans="1:6" x14ac:dyDescent="0.4">
      <c r="A163">
        <v>155</v>
      </c>
      <c r="B163">
        <f t="shared" si="12"/>
        <v>0.57808219178082187</v>
      </c>
      <c r="C163">
        <f t="shared" si="15"/>
        <v>1.6587026809664338E-17</v>
      </c>
      <c r="D163">
        <f t="shared" si="13"/>
        <v>1</v>
      </c>
      <c r="E163">
        <f t="shared" si="14"/>
        <v>1.210617122601094E-17</v>
      </c>
      <c r="F163">
        <f t="shared" si="11"/>
        <v>1.8764565400316956E-15</v>
      </c>
    </row>
    <row r="164" spans="1:6" x14ac:dyDescent="0.4">
      <c r="A164">
        <v>156</v>
      </c>
      <c r="B164">
        <f t="shared" si="12"/>
        <v>0.57534246575342463</v>
      </c>
      <c r="C164">
        <f t="shared" si="15"/>
        <v>9.5432209041904402E-18</v>
      </c>
      <c r="D164">
        <f t="shared" si="13"/>
        <v>1</v>
      </c>
      <c r="E164">
        <f t="shared" si="14"/>
        <v>7.0438059054738958E-18</v>
      </c>
      <c r="F164">
        <f t="shared" si="11"/>
        <v>1.0988337212539278E-15</v>
      </c>
    </row>
    <row r="165" spans="1:6" x14ac:dyDescent="0.4">
      <c r="A165">
        <v>157</v>
      </c>
      <c r="B165">
        <f t="shared" si="12"/>
        <v>0.57260273972602738</v>
      </c>
      <c r="C165">
        <f t="shared" si="15"/>
        <v>5.4644744355501424E-18</v>
      </c>
      <c r="D165">
        <f t="shared" si="13"/>
        <v>1</v>
      </c>
      <c r="E165">
        <f t="shared" si="14"/>
        <v>4.0787464686402978E-18</v>
      </c>
      <c r="F165">
        <f t="shared" si="11"/>
        <v>6.403631955765268E-16</v>
      </c>
    </row>
    <row r="166" spans="1:6" x14ac:dyDescent="0.4">
      <c r="A166">
        <v>158</v>
      </c>
      <c r="B166">
        <f t="shared" si="12"/>
        <v>0.56986301369863013</v>
      </c>
      <c r="C166">
        <f t="shared" si="15"/>
        <v>3.1140018701217248E-18</v>
      </c>
      <c r="D166">
        <f t="shared" si="13"/>
        <v>1</v>
      </c>
      <c r="E166">
        <f t="shared" si="14"/>
        <v>2.3504725654284173E-18</v>
      </c>
      <c r="F166">
        <f t="shared" si="11"/>
        <v>3.7137466533768991E-16</v>
      </c>
    </row>
    <row r="167" spans="1:6" x14ac:dyDescent="0.4">
      <c r="A167">
        <v>159</v>
      </c>
      <c r="B167">
        <f t="shared" si="12"/>
        <v>0.56712328767123288</v>
      </c>
      <c r="C167">
        <f t="shared" si="15"/>
        <v>1.7660229783978003E-18</v>
      </c>
      <c r="D167">
        <f t="shared" si="13"/>
        <v>1</v>
      </c>
      <c r="E167">
        <f t="shared" si="14"/>
        <v>1.3479788917239246E-18</v>
      </c>
      <c r="F167">
        <f t="shared" si="11"/>
        <v>2.1432864378410401E-16</v>
      </c>
    </row>
    <row r="168" spans="1:6" x14ac:dyDescent="0.4">
      <c r="A168">
        <v>160</v>
      </c>
      <c r="B168">
        <f t="shared" si="12"/>
        <v>0.56438356164383563</v>
      </c>
      <c r="C168">
        <f t="shared" si="15"/>
        <v>9.9671433849300506E-19</v>
      </c>
      <c r="D168">
        <f t="shared" si="13"/>
        <v>1</v>
      </c>
      <c r="E168">
        <f t="shared" si="14"/>
        <v>7.6930863990479519E-19</v>
      </c>
      <c r="F168">
        <f t="shared" si="11"/>
        <v>1.2308938238476722E-16</v>
      </c>
    </row>
    <row r="169" spans="1:6" x14ac:dyDescent="0.4">
      <c r="A169">
        <v>161</v>
      </c>
      <c r="B169">
        <f t="shared" si="12"/>
        <v>0.56164383561643838</v>
      </c>
      <c r="C169">
        <f t="shared" si="15"/>
        <v>5.5979846408511247E-19</v>
      </c>
      <c r="D169">
        <f t="shared" si="13"/>
        <v>1</v>
      </c>
      <c r="E169">
        <f t="shared" si="14"/>
        <v>4.3691587440789259E-19</v>
      </c>
      <c r="F169">
        <f t="shared" si="11"/>
        <v>7.0343455779670707E-17</v>
      </c>
    </row>
    <row r="170" spans="1:6" x14ac:dyDescent="0.4">
      <c r="A170">
        <v>162</v>
      </c>
      <c r="B170">
        <f t="shared" si="12"/>
        <v>0.55890410958904113</v>
      </c>
      <c r="C170">
        <f t="shared" si="15"/>
        <v>3.1287366211880258E-19</v>
      </c>
      <c r="D170">
        <f t="shared" si="13"/>
        <v>1</v>
      </c>
      <c r="E170">
        <f t="shared" si="14"/>
        <v>2.4692480196630989E-19</v>
      </c>
      <c r="F170">
        <f t="shared" si="11"/>
        <v>4.0001817918542204E-17</v>
      </c>
    </row>
    <row r="171" spans="1:6" x14ac:dyDescent="0.4">
      <c r="A171">
        <v>163</v>
      </c>
      <c r="B171">
        <f t="shared" si="12"/>
        <v>0.55616438356164388</v>
      </c>
      <c r="C171">
        <f t="shared" si="15"/>
        <v>1.7400918742497789E-19</v>
      </c>
      <c r="D171">
        <f t="shared" si="13"/>
        <v>1</v>
      </c>
      <c r="E171">
        <f t="shared" si="14"/>
        <v>1.3886447469382471E-19</v>
      </c>
      <c r="F171">
        <f t="shared" si="11"/>
        <v>2.2634909375093429E-17</v>
      </c>
    </row>
    <row r="172" spans="1:6" x14ac:dyDescent="0.4">
      <c r="A172">
        <v>164</v>
      </c>
      <c r="B172">
        <f t="shared" si="12"/>
        <v>0.55342465753424652</v>
      </c>
      <c r="C172">
        <f t="shared" si="15"/>
        <v>9.6300974958480904E-20</v>
      </c>
      <c r="D172">
        <f t="shared" si="13"/>
        <v>1</v>
      </c>
      <c r="E172">
        <f t="shared" si="14"/>
        <v>7.7708212466496978E-20</v>
      </c>
      <c r="F172">
        <f t="shared" si="11"/>
        <v>1.2744146844505504E-17</v>
      </c>
    </row>
    <row r="173" spans="1:6" x14ac:dyDescent="0.4">
      <c r="A173">
        <v>165</v>
      </c>
      <c r="B173">
        <f t="shared" si="12"/>
        <v>0.55068493150684927</v>
      </c>
      <c r="C173">
        <f t="shared" si="15"/>
        <v>5.3031495799053863E-20</v>
      </c>
      <c r="D173">
        <f t="shared" si="13"/>
        <v>1</v>
      </c>
      <c r="E173">
        <f t="shared" si="14"/>
        <v>4.3269479159427035E-20</v>
      </c>
      <c r="F173">
        <f t="shared" si="11"/>
        <v>7.1394640613054612E-18</v>
      </c>
    </row>
    <row r="174" spans="1:6" x14ac:dyDescent="0.4">
      <c r="A174">
        <v>166</v>
      </c>
      <c r="B174">
        <f t="shared" si="12"/>
        <v>0.54794520547945202</v>
      </c>
      <c r="C174">
        <f t="shared" si="15"/>
        <v>2.9058353862495264E-20</v>
      </c>
      <c r="D174">
        <f t="shared" si="13"/>
        <v>1</v>
      </c>
      <c r="E174">
        <f t="shared" si="14"/>
        <v>2.3973141936558596E-20</v>
      </c>
      <c r="F174">
        <f t="shared" si="11"/>
        <v>3.9795415614687266E-18</v>
      </c>
    </row>
    <row r="175" spans="1:6" x14ac:dyDescent="0.4">
      <c r="A175">
        <v>167</v>
      </c>
      <c r="B175">
        <f t="shared" si="12"/>
        <v>0.54520547945205478</v>
      </c>
      <c r="C175">
        <f t="shared" si="15"/>
        <v>1.5842773749689197E-20</v>
      </c>
      <c r="D175">
        <f t="shared" si="13"/>
        <v>1</v>
      </c>
      <c r="E175">
        <f t="shared" si="14"/>
        <v>1.3215580112806066E-20</v>
      </c>
      <c r="F175">
        <f t="shared" si="11"/>
        <v>2.2070018788386129E-18</v>
      </c>
    </row>
    <row r="176" spans="1:6" x14ac:dyDescent="0.4">
      <c r="A176">
        <v>168</v>
      </c>
      <c r="B176">
        <f t="shared" si="12"/>
        <v>0.54246575342465753</v>
      </c>
      <c r="C176">
        <f t="shared" si="15"/>
        <v>8.5941621984615376E-21</v>
      </c>
      <c r="D176">
        <f t="shared" si="13"/>
        <v>1</v>
      </c>
      <c r="E176">
        <f t="shared" si="14"/>
        <v>7.2486115512276596E-21</v>
      </c>
      <c r="F176">
        <f t="shared" si="11"/>
        <v>1.2177667406062469E-18</v>
      </c>
    </row>
    <row r="177" spans="1:6" x14ac:dyDescent="0.4">
      <c r="A177">
        <v>169</v>
      </c>
      <c r="B177">
        <f t="shared" si="12"/>
        <v>0.53972602739726028</v>
      </c>
      <c r="C177">
        <f t="shared" si="15"/>
        <v>4.6384930221833503E-21</v>
      </c>
      <c r="D177">
        <f t="shared" si="13"/>
        <v>1</v>
      </c>
      <c r="E177">
        <f t="shared" si="14"/>
        <v>3.9556691762781873E-21</v>
      </c>
      <c r="F177">
        <f t="shared" si="11"/>
        <v>6.6850809079101365E-19</v>
      </c>
    </row>
    <row r="178" spans="1:6" x14ac:dyDescent="0.4">
      <c r="A178">
        <v>170</v>
      </c>
      <c r="B178">
        <f t="shared" si="12"/>
        <v>0.53698630136986303</v>
      </c>
      <c r="C178">
        <f t="shared" si="15"/>
        <v>2.4908072119121554E-21</v>
      </c>
      <c r="D178">
        <f t="shared" si="13"/>
        <v>1</v>
      </c>
      <c r="E178">
        <f t="shared" si="14"/>
        <v>2.1476858102711949E-21</v>
      </c>
      <c r="F178">
        <f t="shared" si="11"/>
        <v>3.6510658774610314E-19</v>
      </c>
    </row>
    <row r="179" spans="1:6" x14ac:dyDescent="0.4">
      <c r="A179">
        <v>171</v>
      </c>
      <c r="B179">
        <f t="shared" si="12"/>
        <v>0.53424657534246578</v>
      </c>
      <c r="C179">
        <f t="shared" si="15"/>
        <v>1.3307052228023845E-21</v>
      </c>
      <c r="D179">
        <f t="shared" si="13"/>
        <v>1</v>
      </c>
      <c r="E179">
        <f t="shared" si="14"/>
        <v>1.160101989109771E-21</v>
      </c>
      <c r="F179">
        <f t="shared" si="11"/>
        <v>1.9837744013777084E-19</v>
      </c>
    </row>
    <row r="180" spans="1:6" x14ac:dyDescent="0.4">
      <c r="A180">
        <v>172</v>
      </c>
      <c r="B180">
        <f t="shared" si="12"/>
        <v>0.53150684931506853</v>
      </c>
      <c r="C180">
        <f t="shared" si="15"/>
        <v>7.0727894033880172E-22</v>
      </c>
      <c r="D180">
        <f t="shared" si="13"/>
        <v>1</v>
      </c>
      <c r="E180">
        <f t="shared" si="14"/>
        <v>6.2342628246358289E-22</v>
      </c>
      <c r="F180">
        <f t="shared" si="11"/>
        <v>1.0722932058373626E-19</v>
      </c>
    </row>
    <row r="181" spans="1:6" x14ac:dyDescent="0.4">
      <c r="A181">
        <v>173</v>
      </c>
      <c r="B181">
        <f t="shared" si="12"/>
        <v>0.52876712328767128</v>
      </c>
      <c r="C181">
        <f t="shared" si="15"/>
        <v>3.7398585064490066E-22</v>
      </c>
      <c r="D181">
        <f t="shared" si="13"/>
        <v>1</v>
      </c>
      <c r="E181">
        <f t="shared" si="14"/>
        <v>3.3329308969390111E-22</v>
      </c>
      <c r="F181">
        <f t="shared" si="11"/>
        <v>5.7659704517044896E-20</v>
      </c>
    </row>
    <row r="182" spans="1:6" x14ac:dyDescent="0.4">
      <c r="A182">
        <v>174</v>
      </c>
      <c r="B182">
        <f t="shared" si="12"/>
        <v>0.52602739726027392</v>
      </c>
      <c r="C182">
        <f t="shared" si="15"/>
        <v>1.9672680362690663E-22</v>
      </c>
      <c r="D182">
        <f t="shared" si="13"/>
        <v>1</v>
      </c>
      <c r="E182">
        <f t="shared" si="14"/>
        <v>1.7725904701799401E-22</v>
      </c>
      <c r="F182">
        <f t="shared" si="11"/>
        <v>3.0843074181130955E-20</v>
      </c>
    </row>
    <row r="183" spans="1:6" x14ac:dyDescent="0.4">
      <c r="A183">
        <v>175</v>
      </c>
      <c r="B183">
        <f t="shared" si="12"/>
        <v>0.52328767123287667</v>
      </c>
      <c r="C183">
        <f t="shared" si="15"/>
        <v>1.0294471093901141E-22</v>
      </c>
      <c r="D183">
        <f t="shared" si="13"/>
        <v>1</v>
      </c>
      <c r="E183">
        <f t="shared" si="14"/>
        <v>9.3782092687895204E-23</v>
      </c>
      <c r="F183">
        <f t="shared" si="11"/>
        <v>1.641186622038166E-20</v>
      </c>
    </row>
    <row r="184" spans="1:6" x14ac:dyDescent="0.4">
      <c r="A184">
        <v>176</v>
      </c>
      <c r="B184">
        <f t="shared" si="12"/>
        <v>0.52054794520547942</v>
      </c>
      <c r="C184">
        <f t="shared" si="15"/>
        <v>5.3587657749074428E-23</v>
      </c>
      <c r="D184">
        <f t="shared" si="13"/>
        <v>1</v>
      </c>
      <c r="E184">
        <f t="shared" si="14"/>
        <v>4.9357053189936975E-23</v>
      </c>
      <c r="F184">
        <f t="shared" si="11"/>
        <v>8.686841361428907E-21</v>
      </c>
    </row>
    <row r="185" spans="1:6" x14ac:dyDescent="0.4">
      <c r="A185">
        <v>177</v>
      </c>
      <c r="B185">
        <f t="shared" si="12"/>
        <v>0.51780821917808217</v>
      </c>
      <c r="C185">
        <f t="shared" si="15"/>
        <v>2.7748129628972787E-23</v>
      </c>
      <c r="D185">
        <f t="shared" si="13"/>
        <v>1</v>
      </c>
      <c r="E185">
        <f t="shared" si="14"/>
        <v>2.5839528120101641E-23</v>
      </c>
      <c r="F185">
        <f t="shared" si="11"/>
        <v>4.5735964772579903E-21</v>
      </c>
    </row>
    <row r="186" spans="1:6" x14ac:dyDescent="0.4">
      <c r="A186">
        <v>178</v>
      </c>
      <c r="B186">
        <f t="shared" si="12"/>
        <v>0.51506849315068493</v>
      </c>
      <c r="C186">
        <f t="shared" si="15"/>
        <v>1.4292187315744886E-23</v>
      </c>
      <c r="D186">
        <f t="shared" si="13"/>
        <v>1</v>
      </c>
      <c r="E186">
        <f t="shared" si="14"/>
        <v>1.3455942313227898E-23</v>
      </c>
      <c r="F186">
        <f t="shared" si="11"/>
        <v>2.3951577317545657E-21</v>
      </c>
    </row>
    <row r="187" spans="1:6" x14ac:dyDescent="0.4">
      <c r="A187">
        <v>179</v>
      </c>
      <c r="B187">
        <f t="shared" si="12"/>
        <v>0.51232876712328768</v>
      </c>
      <c r="C187">
        <f t="shared" si="15"/>
        <v>7.3222987069706676E-24</v>
      </c>
      <c r="D187">
        <f t="shared" si="13"/>
        <v>1</v>
      </c>
      <c r="E187">
        <f t="shared" si="14"/>
        <v>6.9698886087742187E-24</v>
      </c>
      <c r="F187">
        <f t="shared" si="11"/>
        <v>1.2476100609705851E-21</v>
      </c>
    </row>
    <row r="188" spans="1:6" x14ac:dyDescent="0.4">
      <c r="A188">
        <v>180</v>
      </c>
      <c r="B188">
        <f t="shared" si="12"/>
        <v>0.50958904109589043</v>
      </c>
      <c r="C188">
        <f t="shared" si="15"/>
        <v>3.731363176702861E-24</v>
      </c>
      <c r="D188">
        <f t="shared" si="13"/>
        <v>1</v>
      </c>
      <c r="E188">
        <f t="shared" si="14"/>
        <v>3.5909355302678074E-24</v>
      </c>
      <c r="F188">
        <f t="shared" si="11"/>
        <v>6.463683954482053E-22</v>
      </c>
    </row>
    <row r="189" spans="1:6" x14ac:dyDescent="0.4">
      <c r="A189">
        <v>181</v>
      </c>
      <c r="B189">
        <f t="shared" si="12"/>
        <v>0.50684931506849318</v>
      </c>
      <c r="C189">
        <f t="shared" si="15"/>
        <v>1.8912388703836419E-24</v>
      </c>
      <c r="D189">
        <f t="shared" si="13"/>
        <v>1</v>
      </c>
      <c r="E189">
        <f t="shared" si="14"/>
        <v>1.8401243063192191E-24</v>
      </c>
      <c r="F189">
        <f t="shared" si="11"/>
        <v>3.3306249944377866E-22</v>
      </c>
    </row>
    <row r="190" spans="1:6" x14ac:dyDescent="0.4">
      <c r="A190">
        <v>182</v>
      </c>
      <c r="B190">
        <f t="shared" si="12"/>
        <v>0.50410958904109593</v>
      </c>
      <c r="C190">
        <f t="shared" si="15"/>
        <v>9.5339164972764419E-25</v>
      </c>
      <c r="D190">
        <f t="shared" si="13"/>
        <v>1</v>
      </c>
      <c r="E190">
        <f t="shared" si="14"/>
        <v>9.3784722065599774E-25</v>
      </c>
      <c r="F190">
        <f t="shared" si="11"/>
        <v>1.7068819415939158E-22</v>
      </c>
    </row>
    <row r="191" spans="1:6" x14ac:dyDescent="0.4">
      <c r="A191">
        <v>183</v>
      </c>
      <c r="B191">
        <f t="shared" si="12"/>
        <v>0.50136986301369868</v>
      </c>
      <c r="C191">
        <f t="shared" si="15"/>
        <v>4.7800184082235316E-25</v>
      </c>
      <c r="D191">
        <f t="shared" si="13"/>
        <v>1</v>
      </c>
      <c r="E191">
        <f t="shared" si="14"/>
        <v>4.7538980890529103E-25</v>
      </c>
      <c r="F191">
        <f t="shared" si="11"/>
        <v>8.6996335029668263E-23</v>
      </c>
    </row>
    <row r="192" spans="1:6" x14ac:dyDescent="0.4">
      <c r="A192">
        <v>184</v>
      </c>
      <c r="B192">
        <f t="shared" si="12"/>
        <v>0.49863013698630138</v>
      </c>
      <c r="C192">
        <f t="shared" si="15"/>
        <v>2.3834612336895419E-25</v>
      </c>
      <c r="D192">
        <f t="shared" si="13"/>
        <v>1</v>
      </c>
      <c r="E192">
        <f t="shared" si="14"/>
        <v>2.3965571745339897E-25</v>
      </c>
      <c r="F192">
        <f t="shared" si="11"/>
        <v>4.4096652011425409E-23</v>
      </c>
    </row>
    <row r="193" spans="1:6" x14ac:dyDescent="0.4">
      <c r="A193">
        <v>185</v>
      </c>
      <c r="B193">
        <f t="shared" si="12"/>
        <v>0.49589041095890413</v>
      </c>
      <c r="C193">
        <f t="shared" si="15"/>
        <v>1.1819355706789237E-25</v>
      </c>
      <c r="D193">
        <f t="shared" si="13"/>
        <v>1</v>
      </c>
      <c r="E193">
        <f t="shared" si="14"/>
        <v>1.2015256630106184E-25</v>
      </c>
      <c r="F193">
        <f t="shared" si="11"/>
        <v>2.2228224765696442E-23</v>
      </c>
    </row>
    <row r="194" spans="1:6" x14ac:dyDescent="0.4">
      <c r="A194">
        <v>186</v>
      </c>
      <c r="B194">
        <f t="shared" si="12"/>
        <v>0.49315068493150682</v>
      </c>
      <c r="C194">
        <f t="shared" si="15"/>
        <v>5.8287233622522263E-26</v>
      </c>
      <c r="D194">
        <f t="shared" si="13"/>
        <v>1</v>
      </c>
      <c r="E194">
        <f t="shared" si="14"/>
        <v>5.9906323445370102E-26</v>
      </c>
      <c r="F194">
        <f t="shared" si="11"/>
        <v>1.1142576160838839E-23</v>
      </c>
    </row>
    <row r="195" spans="1:6" x14ac:dyDescent="0.4">
      <c r="A195">
        <v>187</v>
      </c>
      <c r="B195">
        <f t="shared" si="12"/>
        <v>0.49041095890410957</v>
      </c>
      <c r="C195">
        <f t="shared" si="15"/>
        <v>2.8584698132689002E-26</v>
      </c>
      <c r="D195">
        <f t="shared" si="13"/>
        <v>1</v>
      </c>
      <c r="E195">
        <f t="shared" si="14"/>
        <v>2.9702535489833268E-26</v>
      </c>
      <c r="F195">
        <f t="shared" si="11"/>
        <v>5.5543741365988209E-24</v>
      </c>
    </row>
    <row r="196" spans="1:6" x14ac:dyDescent="0.4">
      <c r="A196">
        <v>188</v>
      </c>
      <c r="B196">
        <f t="shared" si="12"/>
        <v>0.48767123287671232</v>
      </c>
      <c r="C196">
        <f t="shared" si="15"/>
        <v>1.3939934979777103E-26</v>
      </c>
      <c r="D196">
        <f t="shared" si="13"/>
        <v>1</v>
      </c>
      <c r="E196">
        <f t="shared" si="14"/>
        <v>1.4644763152911901E-26</v>
      </c>
      <c r="F196">
        <f t="shared" si="11"/>
        <v>2.7532154727474373E-24</v>
      </c>
    </row>
    <row r="197" spans="1:6" x14ac:dyDescent="0.4">
      <c r="A197">
        <v>189</v>
      </c>
      <c r="B197">
        <f t="shared" si="12"/>
        <v>0.48493150684931507</v>
      </c>
      <c r="C197">
        <f t="shared" si="15"/>
        <v>6.7599136751247877E-27</v>
      </c>
      <c r="D197">
        <f t="shared" si="13"/>
        <v>1</v>
      </c>
      <c r="E197">
        <f t="shared" si="14"/>
        <v>7.1800213046523169E-27</v>
      </c>
      <c r="F197">
        <f t="shared" si="11"/>
        <v>1.3570240265792878E-24</v>
      </c>
    </row>
    <row r="198" spans="1:6" x14ac:dyDescent="0.4">
      <c r="A198">
        <v>190</v>
      </c>
      <c r="B198">
        <f t="shared" si="12"/>
        <v>0.48219178082191783</v>
      </c>
      <c r="C198">
        <f t="shared" si="15"/>
        <v>3.2595748132108565E-27</v>
      </c>
      <c r="D198">
        <f t="shared" si="13"/>
        <v>1</v>
      </c>
      <c r="E198">
        <f t="shared" si="14"/>
        <v>3.5003388619139312E-27</v>
      </c>
      <c r="F198">
        <f t="shared" si="11"/>
        <v>6.650643837636469E-25</v>
      </c>
    </row>
    <row r="199" spans="1:6" x14ac:dyDescent="0.4">
      <c r="A199">
        <v>191</v>
      </c>
      <c r="B199">
        <f t="shared" si="12"/>
        <v>0.47945205479452052</v>
      </c>
      <c r="C199">
        <f t="shared" si="15"/>
        <v>1.5628098419504105E-27</v>
      </c>
      <c r="D199">
        <f t="shared" si="13"/>
        <v>1</v>
      </c>
      <c r="E199">
        <f t="shared" si="14"/>
        <v>1.6967649712604457E-27</v>
      </c>
      <c r="F199">
        <f t="shared" si="11"/>
        <v>3.2408210951074515E-25</v>
      </c>
    </row>
    <row r="200" spans="1:6" x14ac:dyDescent="0.4">
      <c r="A200">
        <v>192</v>
      </c>
      <c r="B200">
        <f t="shared" si="12"/>
        <v>0.47671232876712327</v>
      </c>
      <c r="C200">
        <f t="shared" si="15"/>
        <v>7.4501071917636006E-28</v>
      </c>
      <c r="D200">
        <f t="shared" si="13"/>
        <v>1</v>
      </c>
      <c r="E200">
        <f t="shared" si="14"/>
        <v>8.177991227740504E-28</v>
      </c>
      <c r="F200">
        <f t="shared" si="11"/>
        <v>1.5701743157261768E-25</v>
      </c>
    </row>
    <row r="201" spans="1:6" x14ac:dyDescent="0.4">
      <c r="A201">
        <v>193</v>
      </c>
      <c r="B201">
        <f t="shared" si="12"/>
        <v>0.47397260273972602</v>
      </c>
      <c r="C201">
        <f t="shared" si="15"/>
        <v>3.5311466963701449E-28</v>
      </c>
      <c r="D201">
        <f t="shared" si="13"/>
        <v>1</v>
      </c>
      <c r="E201">
        <f t="shared" si="14"/>
        <v>3.9189604953934557E-28</v>
      </c>
      <c r="F201">
        <f t="shared" si="11"/>
        <v>7.5635937561093698E-26</v>
      </c>
    </row>
    <row r="202" spans="1:6" x14ac:dyDescent="0.4">
      <c r="A202">
        <v>194</v>
      </c>
      <c r="B202">
        <f t="shared" si="12"/>
        <v>0.47123287671232877</v>
      </c>
      <c r="C202">
        <f t="shared" si="15"/>
        <v>1.6639924158237395E-28</v>
      </c>
      <c r="D202">
        <f t="shared" si="13"/>
        <v>1</v>
      </c>
      <c r="E202">
        <f t="shared" si="14"/>
        <v>1.8671542805464054E-28</v>
      </c>
      <c r="F202">
        <f t="shared" ref="F202:F265" si="16">A202*E202</f>
        <v>3.6222793042600265E-26</v>
      </c>
    </row>
    <row r="203" spans="1:6" x14ac:dyDescent="0.4">
      <c r="A203">
        <v>195</v>
      </c>
      <c r="B203">
        <f t="shared" ref="B203:B266" si="17">(366-A203)/365</f>
        <v>0.46849315068493153</v>
      </c>
      <c r="C203">
        <f t="shared" si="15"/>
        <v>7.7956904960509439E-29</v>
      </c>
      <c r="D203">
        <f t="shared" ref="D203:D266" si="18">1-C203</f>
        <v>1</v>
      </c>
      <c r="E203">
        <f t="shared" ref="E203:E266" si="19">C202*A202/365</f>
        <v>8.8442336621864518E-29</v>
      </c>
      <c r="F203">
        <f t="shared" si="16"/>
        <v>1.7246255641263581E-26</v>
      </c>
    </row>
    <row r="204" spans="1:6" x14ac:dyDescent="0.4">
      <c r="A204">
        <v>196</v>
      </c>
      <c r="B204">
        <f t="shared" si="17"/>
        <v>0.46575342465753422</v>
      </c>
      <c r="C204">
        <f t="shared" si="15"/>
        <v>3.6308695461059191E-29</v>
      </c>
      <c r="D204">
        <f t="shared" si="18"/>
        <v>1</v>
      </c>
      <c r="E204">
        <f t="shared" si="19"/>
        <v>4.1648209499450243E-29</v>
      </c>
      <c r="F204">
        <f t="shared" si="16"/>
        <v>8.1630490618922479E-27</v>
      </c>
    </row>
    <row r="205" spans="1:6" x14ac:dyDescent="0.4">
      <c r="A205">
        <v>197</v>
      </c>
      <c r="B205">
        <f t="shared" si="17"/>
        <v>0.46301369863013697</v>
      </c>
      <c r="C205">
        <f t="shared" si="15"/>
        <v>1.6811423377860284E-29</v>
      </c>
      <c r="D205">
        <f t="shared" si="18"/>
        <v>1</v>
      </c>
      <c r="E205">
        <f t="shared" si="19"/>
        <v>1.9497272083198907E-29</v>
      </c>
      <c r="F205">
        <f t="shared" si="16"/>
        <v>3.8409626003901845E-27</v>
      </c>
    </row>
    <row r="206" spans="1:6" x14ac:dyDescent="0.4">
      <c r="A206">
        <v>198</v>
      </c>
      <c r="B206">
        <f t="shared" si="17"/>
        <v>0.46027397260273972</v>
      </c>
      <c r="C206">
        <f t="shared" si="15"/>
        <v>7.7378606232343228E-30</v>
      </c>
      <c r="D206">
        <f t="shared" si="18"/>
        <v>1</v>
      </c>
      <c r="E206">
        <f t="shared" si="19"/>
        <v>9.0735627546259621E-30</v>
      </c>
      <c r="F206">
        <f t="shared" si="16"/>
        <v>1.7965654254159406E-27</v>
      </c>
    </row>
    <row r="207" spans="1:6" x14ac:dyDescent="0.4">
      <c r="A207">
        <v>199</v>
      </c>
      <c r="B207">
        <f t="shared" si="17"/>
        <v>0.45753424657534247</v>
      </c>
      <c r="C207">
        <f t="shared" si="15"/>
        <v>3.5403362303565257E-30</v>
      </c>
      <c r="D207">
        <f t="shared" si="18"/>
        <v>1</v>
      </c>
      <c r="E207">
        <f t="shared" si="19"/>
        <v>4.1975243928777971E-30</v>
      </c>
      <c r="F207">
        <f t="shared" si="16"/>
        <v>8.3530735418268163E-28</v>
      </c>
    </row>
    <row r="208" spans="1:6" x14ac:dyDescent="0.4">
      <c r="A208">
        <v>200</v>
      </c>
      <c r="B208">
        <f t="shared" si="17"/>
        <v>0.45479452054794522</v>
      </c>
      <c r="C208">
        <f t="shared" si="15"/>
        <v>1.6101255184635159E-30</v>
      </c>
      <c r="D208">
        <f t="shared" si="18"/>
        <v>1</v>
      </c>
      <c r="E208">
        <f t="shared" si="19"/>
        <v>1.9302107118930098E-30</v>
      </c>
      <c r="F208">
        <f t="shared" si="16"/>
        <v>3.8604214237860197E-28</v>
      </c>
    </row>
    <row r="209" spans="1:6" x14ac:dyDescent="0.4">
      <c r="A209">
        <v>201</v>
      </c>
      <c r="B209">
        <f t="shared" si="17"/>
        <v>0.45205479452054792</v>
      </c>
      <c r="C209">
        <f t="shared" si="15"/>
        <v>7.2786496040131539E-31</v>
      </c>
      <c r="D209">
        <f t="shared" si="18"/>
        <v>1</v>
      </c>
      <c r="E209">
        <f t="shared" si="19"/>
        <v>8.8226055806220052E-31</v>
      </c>
      <c r="F209">
        <f t="shared" si="16"/>
        <v>1.7733437217050231E-28</v>
      </c>
    </row>
    <row r="210" spans="1:6" x14ac:dyDescent="0.4">
      <c r="A210">
        <v>202</v>
      </c>
      <c r="B210">
        <f t="shared" si="17"/>
        <v>0.44931506849315067</v>
      </c>
      <c r="C210">
        <f t="shared" si="15"/>
        <v>3.2704069453648144E-31</v>
      </c>
      <c r="D210">
        <f t="shared" si="18"/>
        <v>1</v>
      </c>
      <c r="E210">
        <f t="shared" si="19"/>
        <v>4.0082426586483396E-31</v>
      </c>
      <c r="F210">
        <f t="shared" si="16"/>
        <v>8.0966501704696456E-29</v>
      </c>
    </row>
    <row r="211" spans="1:6" x14ac:dyDescent="0.4">
      <c r="A211">
        <v>203</v>
      </c>
      <c r="B211">
        <f t="shared" si="17"/>
        <v>0.44657534246575342</v>
      </c>
      <c r="C211">
        <f t="shared" si="15"/>
        <v>1.4604831016286706E-31</v>
      </c>
      <c r="D211">
        <f t="shared" si="18"/>
        <v>1</v>
      </c>
      <c r="E211">
        <f t="shared" si="19"/>
        <v>1.8099238437361437E-31</v>
      </c>
      <c r="F211">
        <f t="shared" si="16"/>
        <v>3.6741454027843716E-29</v>
      </c>
    </row>
    <row r="212" spans="1:6" x14ac:dyDescent="0.4">
      <c r="A212">
        <v>204</v>
      </c>
      <c r="B212">
        <f t="shared" si="17"/>
        <v>0.44383561643835617</v>
      </c>
      <c r="C212">
        <f t="shared" si="15"/>
        <v>6.4821441770916341E-32</v>
      </c>
      <c r="D212">
        <f t="shared" si="18"/>
        <v>1</v>
      </c>
      <c r="E212">
        <f t="shared" si="19"/>
        <v>8.1226868391950721E-32</v>
      </c>
      <c r="F212">
        <f t="shared" si="16"/>
        <v>1.6570281151957948E-29</v>
      </c>
    </row>
    <row r="213" spans="1:6" x14ac:dyDescent="0.4">
      <c r="A213">
        <v>205</v>
      </c>
      <c r="B213">
        <f t="shared" si="17"/>
        <v>0.44109589041095892</v>
      </c>
      <c r="C213">
        <f t="shared" si="15"/>
        <v>2.8592471575664472E-32</v>
      </c>
      <c r="D213">
        <f t="shared" si="18"/>
        <v>1</v>
      </c>
      <c r="E213">
        <f t="shared" si="19"/>
        <v>3.6228970195251874E-32</v>
      </c>
      <c r="F213">
        <f t="shared" si="16"/>
        <v>7.4269388900266339E-30</v>
      </c>
    </row>
    <row r="214" spans="1:6" x14ac:dyDescent="0.4">
      <c r="A214">
        <v>206</v>
      </c>
      <c r="B214">
        <f t="shared" si="17"/>
        <v>0.43835616438356162</v>
      </c>
      <c r="C214">
        <f t="shared" si="15"/>
        <v>1.253368617015429E-32</v>
      </c>
      <c r="D214">
        <f t="shared" si="18"/>
        <v>1</v>
      </c>
      <c r="E214">
        <f t="shared" si="19"/>
        <v>1.6058785405510183E-32</v>
      </c>
      <c r="F214">
        <f t="shared" si="16"/>
        <v>3.3081097935350973E-30</v>
      </c>
    </row>
    <row r="215" spans="1:6" x14ac:dyDescent="0.4">
      <c r="A215">
        <v>207</v>
      </c>
      <c r="B215">
        <f t="shared" si="17"/>
        <v>0.43561643835616437</v>
      </c>
      <c r="C215">
        <f t="shared" si="15"/>
        <v>5.4598797289165259E-33</v>
      </c>
      <c r="D215">
        <f t="shared" si="18"/>
        <v>1</v>
      </c>
      <c r="E215">
        <f t="shared" si="19"/>
        <v>7.0738064412377629E-33</v>
      </c>
      <c r="F215">
        <f t="shared" si="16"/>
        <v>1.464277933336217E-30</v>
      </c>
    </row>
    <row r="216" spans="1:6" x14ac:dyDescent="0.4">
      <c r="A216">
        <v>208</v>
      </c>
      <c r="B216">
        <f t="shared" si="17"/>
        <v>0.43287671232876712</v>
      </c>
      <c r="C216">
        <f t="shared" si="15"/>
        <v>2.3634547867638659E-33</v>
      </c>
      <c r="D216">
        <f t="shared" si="18"/>
        <v>1</v>
      </c>
      <c r="E216">
        <f t="shared" si="19"/>
        <v>3.09642494215266E-33</v>
      </c>
      <c r="F216">
        <f t="shared" si="16"/>
        <v>6.4405638796775326E-31</v>
      </c>
    </row>
    <row r="217" spans="1:6" x14ac:dyDescent="0.4">
      <c r="A217">
        <v>209</v>
      </c>
      <c r="B217">
        <f t="shared" si="17"/>
        <v>0.43013698630136987</v>
      </c>
      <c r="C217">
        <f t="shared" si="15"/>
        <v>1.0166093192381559E-33</v>
      </c>
      <c r="D217">
        <f t="shared" si="18"/>
        <v>1</v>
      </c>
      <c r="E217">
        <f t="shared" si="19"/>
        <v>1.3468454675257099E-33</v>
      </c>
      <c r="F217">
        <f t="shared" si="16"/>
        <v>2.8149070271287338E-31</v>
      </c>
    </row>
    <row r="218" spans="1:6" x14ac:dyDescent="0.4">
      <c r="A218">
        <v>210</v>
      </c>
      <c r="B218">
        <f t="shared" si="17"/>
        <v>0.42739726027397262</v>
      </c>
      <c r="C218">
        <f t="shared" si="15"/>
        <v>4.3449603781137622E-34</v>
      </c>
      <c r="D218">
        <f t="shared" si="18"/>
        <v>1</v>
      </c>
      <c r="E218">
        <f t="shared" si="19"/>
        <v>5.8211328142677973E-34</v>
      </c>
      <c r="F218">
        <f t="shared" si="16"/>
        <v>1.2224378909962375E-31</v>
      </c>
    </row>
    <row r="219" spans="1:6" x14ac:dyDescent="0.4">
      <c r="A219">
        <v>211</v>
      </c>
      <c r="B219">
        <f t="shared" si="17"/>
        <v>0.42465753424657532</v>
      </c>
      <c r="C219">
        <f t="shared" si="15"/>
        <v>1.8451201605688577E-34</v>
      </c>
      <c r="D219">
        <f t="shared" si="18"/>
        <v>1</v>
      </c>
      <c r="E219">
        <f t="shared" si="19"/>
        <v>2.4998402175449043E-34</v>
      </c>
      <c r="F219">
        <f t="shared" si="16"/>
        <v>5.2746628590197485E-32</v>
      </c>
    </row>
    <row r="220" spans="1:6" x14ac:dyDescent="0.4">
      <c r="A220">
        <v>212</v>
      </c>
      <c r="B220">
        <f t="shared" si="17"/>
        <v>0.42191780821917807</v>
      </c>
      <c r="C220">
        <f t="shared" si="15"/>
        <v>7.7848905404823031E-35</v>
      </c>
      <c r="D220">
        <f t="shared" si="18"/>
        <v>1</v>
      </c>
      <c r="E220">
        <f t="shared" si="19"/>
        <v>1.0666311065206274E-34</v>
      </c>
      <c r="F220">
        <f t="shared" si="16"/>
        <v>2.26125794582373E-32</v>
      </c>
    </row>
    <row r="221" spans="1:6" x14ac:dyDescent="0.4">
      <c r="A221">
        <v>213</v>
      </c>
      <c r="B221">
        <f t="shared" si="17"/>
        <v>0.41917808219178082</v>
      </c>
      <c r="C221">
        <f t="shared" si="15"/>
        <v>3.2632554868323076E-35</v>
      </c>
      <c r="D221">
        <f t="shared" si="18"/>
        <v>1</v>
      </c>
      <c r="E221">
        <f t="shared" si="19"/>
        <v>4.5216350536499949E-35</v>
      </c>
      <c r="F221">
        <f t="shared" si="16"/>
        <v>9.6310826642744887E-33</v>
      </c>
    </row>
    <row r="222" spans="1:6" x14ac:dyDescent="0.4">
      <c r="A222">
        <v>214</v>
      </c>
      <c r="B222">
        <f t="shared" si="17"/>
        <v>0.41643835616438357</v>
      </c>
      <c r="C222">
        <f t="shared" si="15"/>
        <v>1.3589447506808514E-35</v>
      </c>
      <c r="D222">
        <f t="shared" si="18"/>
        <v>1</v>
      </c>
      <c r="E222">
        <f t="shared" si="19"/>
        <v>1.9043107361514562E-35</v>
      </c>
      <c r="F222">
        <f t="shared" si="16"/>
        <v>4.075224975364116E-33</v>
      </c>
    </row>
    <row r="223" spans="1:6" x14ac:dyDescent="0.4">
      <c r="A223">
        <v>215</v>
      </c>
      <c r="B223">
        <f t="shared" si="17"/>
        <v>0.41369863013698632</v>
      </c>
      <c r="C223">
        <f t="shared" si="15"/>
        <v>5.6219358178851667E-36</v>
      </c>
      <c r="D223">
        <f t="shared" si="18"/>
        <v>1</v>
      </c>
      <c r="E223">
        <f t="shared" si="19"/>
        <v>7.9675116889233475E-36</v>
      </c>
      <c r="F223">
        <f t="shared" si="16"/>
        <v>1.7130150131185196E-33</v>
      </c>
    </row>
    <row r="224" spans="1:6" x14ac:dyDescent="0.4">
      <c r="A224">
        <v>216</v>
      </c>
      <c r="B224">
        <f t="shared" si="17"/>
        <v>0.41095890410958902</v>
      </c>
      <c r="C224">
        <f t="shared" ref="C224:C287" si="20">C223*B224</f>
        <v>2.310384582692534E-36</v>
      </c>
      <c r="D224">
        <f t="shared" si="18"/>
        <v>1</v>
      </c>
      <c r="E224">
        <f t="shared" si="19"/>
        <v>3.3115512351926323E-36</v>
      </c>
      <c r="F224">
        <f t="shared" si="16"/>
        <v>7.1529506680160857E-34</v>
      </c>
    </row>
    <row r="225" spans="1:6" x14ac:dyDescent="0.4">
      <c r="A225">
        <v>217</v>
      </c>
      <c r="B225">
        <f t="shared" si="17"/>
        <v>0.40821917808219177</v>
      </c>
      <c r="C225">
        <f t="shared" si="20"/>
        <v>9.4314329540051383E-37</v>
      </c>
      <c r="D225">
        <f t="shared" si="18"/>
        <v>1</v>
      </c>
      <c r="E225">
        <f t="shared" si="19"/>
        <v>1.3672412872920202E-36</v>
      </c>
      <c r="F225">
        <f t="shared" si="16"/>
        <v>2.9669135934236839E-34</v>
      </c>
    </row>
    <row r="226" spans="1:6" x14ac:dyDescent="0.4">
      <c r="A226">
        <v>218</v>
      </c>
      <c r="B226">
        <f t="shared" si="17"/>
        <v>0.40547945205479452</v>
      </c>
      <c r="C226">
        <f t="shared" si="20"/>
        <v>3.8242522662815352E-37</v>
      </c>
      <c r="D226">
        <f t="shared" si="18"/>
        <v>1</v>
      </c>
      <c r="E226">
        <f t="shared" si="19"/>
        <v>5.6071806877236031E-37</v>
      </c>
      <c r="F226">
        <f t="shared" si="16"/>
        <v>1.2223653899237455E-34</v>
      </c>
    </row>
    <row r="227" spans="1:6" x14ac:dyDescent="0.4">
      <c r="A227">
        <v>219</v>
      </c>
      <c r="B227">
        <f t="shared" si="17"/>
        <v>0.40273972602739727</v>
      </c>
      <c r="C227">
        <f t="shared" si="20"/>
        <v>1.5401783099818787E-37</v>
      </c>
      <c r="D227">
        <f t="shared" si="18"/>
        <v>1</v>
      </c>
      <c r="E227">
        <f t="shared" si="19"/>
        <v>2.2840739562996566E-37</v>
      </c>
      <c r="F227">
        <f t="shared" si="16"/>
        <v>5.0021219642962482E-35</v>
      </c>
    </row>
    <row r="228" spans="1:6" x14ac:dyDescent="0.4">
      <c r="A228">
        <v>220</v>
      </c>
      <c r="B228">
        <f t="shared" si="17"/>
        <v>0.4</v>
      </c>
      <c r="C228">
        <f t="shared" si="20"/>
        <v>6.1607132399275153E-38</v>
      </c>
      <c r="D228">
        <f t="shared" si="18"/>
        <v>1</v>
      </c>
      <c r="E228">
        <f t="shared" si="19"/>
        <v>9.2410698598912713E-38</v>
      </c>
      <c r="F228">
        <f t="shared" si="16"/>
        <v>2.0330353691760796E-35</v>
      </c>
    </row>
    <row r="229" spans="1:6" x14ac:dyDescent="0.4">
      <c r="A229">
        <v>221</v>
      </c>
      <c r="B229">
        <f t="shared" si="17"/>
        <v>0.39726027397260272</v>
      </c>
      <c r="C229">
        <f t="shared" si="20"/>
        <v>2.4474066295602454E-38</v>
      </c>
      <c r="D229">
        <f t="shared" si="18"/>
        <v>1</v>
      </c>
      <c r="E229">
        <f t="shared" si="19"/>
        <v>3.7133066103672698E-38</v>
      </c>
      <c r="F229">
        <f t="shared" si="16"/>
        <v>8.2064076089116659E-36</v>
      </c>
    </row>
    <row r="230" spans="1:6" x14ac:dyDescent="0.4">
      <c r="A230">
        <v>222</v>
      </c>
      <c r="B230">
        <f t="shared" si="17"/>
        <v>0.39452054794520547</v>
      </c>
      <c r="C230">
        <f t="shared" si="20"/>
        <v>9.6555220453883651E-39</v>
      </c>
      <c r="D230">
        <f t="shared" si="18"/>
        <v>1</v>
      </c>
      <c r="E230">
        <f t="shared" si="19"/>
        <v>1.4818544250214089E-38</v>
      </c>
      <c r="F230">
        <f t="shared" si="16"/>
        <v>3.2897168235475275E-36</v>
      </c>
    </row>
    <row r="231" spans="1:6" x14ac:dyDescent="0.4">
      <c r="A231">
        <v>223</v>
      </c>
      <c r="B231">
        <f t="shared" si="17"/>
        <v>0.39178082191780822</v>
      </c>
      <c r="C231">
        <f t="shared" si="20"/>
        <v>3.7828483629877708E-39</v>
      </c>
      <c r="D231">
        <f t="shared" si="18"/>
        <v>1</v>
      </c>
      <c r="E231">
        <f t="shared" si="19"/>
        <v>5.8726736824005943E-39</v>
      </c>
      <c r="F231">
        <f t="shared" si="16"/>
        <v>1.3096062311753325E-36</v>
      </c>
    </row>
    <row r="232" spans="1:6" x14ac:dyDescent="0.4">
      <c r="A232">
        <v>224</v>
      </c>
      <c r="B232">
        <f t="shared" si="17"/>
        <v>0.38904109589041097</v>
      </c>
      <c r="C232">
        <f t="shared" si="20"/>
        <v>1.4716834727240095E-39</v>
      </c>
      <c r="D232">
        <f t="shared" si="18"/>
        <v>1</v>
      </c>
      <c r="E232">
        <f t="shared" si="19"/>
        <v>2.3111648902637613E-39</v>
      </c>
      <c r="F232">
        <f t="shared" si="16"/>
        <v>5.1770093541908251E-37</v>
      </c>
    </row>
    <row r="233" spans="1:6" x14ac:dyDescent="0.4">
      <c r="A233">
        <v>225</v>
      </c>
      <c r="B233">
        <f t="shared" si="17"/>
        <v>0.38630136986301372</v>
      </c>
      <c r="C233">
        <f t="shared" si="20"/>
        <v>5.6851334151804204E-40</v>
      </c>
      <c r="D233">
        <f t="shared" si="18"/>
        <v>1</v>
      </c>
      <c r="E233">
        <f t="shared" si="19"/>
        <v>9.0317013120596752E-40</v>
      </c>
      <c r="F233">
        <f t="shared" si="16"/>
        <v>2.0321327952134268E-37</v>
      </c>
    </row>
    <row r="234" spans="1:6" x14ac:dyDescent="0.4">
      <c r="A234">
        <v>226</v>
      </c>
      <c r="B234">
        <f t="shared" si="17"/>
        <v>0.38356164383561642</v>
      </c>
      <c r="C234">
        <f t="shared" si="20"/>
        <v>2.1805991181513939E-40</v>
      </c>
      <c r="D234">
        <f t="shared" si="18"/>
        <v>1</v>
      </c>
      <c r="E234">
        <f t="shared" si="19"/>
        <v>3.5045342970290261E-40</v>
      </c>
      <c r="F234">
        <f t="shared" si="16"/>
        <v>7.9202475112855991E-38</v>
      </c>
    </row>
    <row r="235" spans="1:6" x14ac:dyDescent="0.4">
      <c r="A235">
        <v>227</v>
      </c>
      <c r="B235">
        <f t="shared" si="17"/>
        <v>0.38082191780821917</v>
      </c>
      <c r="C235">
        <f t="shared" si="20"/>
        <v>8.3041993814532531E-41</v>
      </c>
      <c r="D235">
        <f t="shared" si="18"/>
        <v>1</v>
      </c>
      <c r="E235">
        <f t="shared" si="19"/>
        <v>1.3501791800060687E-40</v>
      </c>
      <c r="F235">
        <f t="shared" si="16"/>
        <v>3.0649067386137757E-38</v>
      </c>
    </row>
    <row r="236" spans="1:6" x14ac:dyDescent="0.4">
      <c r="A236">
        <v>228</v>
      </c>
      <c r="B236">
        <f t="shared" si="17"/>
        <v>0.37808219178082192</v>
      </c>
      <c r="C236">
        <f t="shared" si="20"/>
        <v>3.1396699031247917E-41</v>
      </c>
      <c r="D236">
        <f t="shared" si="18"/>
        <v>1</v>
      </c>
      <c r="E236">
        <f t="shared" si="19"/>
        <v>5.1645294783284609E-41</v>
      </c>
      <c r="F236">
        <f t="shared" si="16"/>
        <v>1.1775127210588891E-38</v>
      </c>
    </row>
    <row r="237" spans="1:6" x14ac:dyDescent="0.4">
      <c r="A237">
        <v>229</v>
      </c>
      <c r="B237">
        <f t="shared" si="17"/>
        <v>0.37534246575342467</v>
      </c>
      <c r="C237">
        <f t="shared" si="20"/>
        <v>1.1784514430906753E-41</v>
      </c>
      <c r="D237">
        <f t="shared" si="18"/>
        <v>1</v>
      </c>
      <c r="E237">
        <f t="shared" si="19"/>
        <v>1.9612184600341166E-41</v>
      </c>
      <c r="F237">
        <f t="shared" si="16"/>
        <v>4.4911902734781273E-39</v>
      </c>
    </row>
    <row r="238" spans="1:6" x14ac:dyDescent="0.4">
      <c r="A238">
        <v>230</v>
      </c>
      <c r="B238">
        <f t="shared" si="17"/>
        <v>0.37260273972602742</v>
      </c>
      <c r="C238">
        <f t="shared" si="20"/>
        <v>4.390942363296763E-42</v>
      </c>
      <c r="D238">
        <f t="shared" si="18"/>
        <v>1</v>
      </c>
      <c r="E238">
        <f t="shared" si="19"/>
        <v>7.3935720676099904E-42</v>
      </c>
      <c r="F238">
        <f t="shared" si="16"/>
        <v>1.7005215755502977E-39</v>
      </c>
    </row>
    <row r="239" spans="1:6" x14ac:dyDescent="0.4">
      <c r="A239">
        <v>231</v>
      </c>
      <c r="B239">
        <f t="shared" si="17"/>
        <v>0.36986301369863012</v>
      </c>
      <c r="C239">
        <f t="shared" si="20"/>
        <v>1.6240471754659258E-42</v>
      </c>
      <c r="D239">
        <f t="shared" si="18"/>
        <v>1</v>
      </c>
      <c r="E239">
        <f t="shared" si="19"/>
        <v>2.7668951878308372E-42</v>
      </c>
      <c r="F239">
        <f t="shared" si="16"/>
        <v>6.3915278838892337E-40</v>
      </c>
    </row>
    <row r="240" spans="1:6" x14ac:dyDescent="0.4">
      <c r="A240">
        <v>232</v>
      </c>
      <c r="B240">
        <f t="shared" si="17"/>
        <v>0.36712328767123287</v>
      </c>
      <c r="C240">
        <f t="shared" si="20"/>
        <v>5.9622553839023027E-43</v>
      </c>
      <c r="D240">
        <f t="shared" si="18"/>
        <v>1</v>
      </c>
      <c r="E240">
        <f t="shared" si="19"/>
        <v>1.0278216370756954E-42</v>
      </c>
      <c r="F240">
        <f t="shared" si="16"/>
        <v>2.3845461980156133E-40</v>
      </c>
    </row>
    <row r="241" spans="1:6" x14ac:dyDescent="0.4">
      <c r="A241">
        <v>233</v>
      </c>
      <c r="B241">
        <f t="shared" si="17"/>
        <v>0.36438356164383562</v>
      </c>
      <c r="C241">
        <f t="shared" si="20"/>
        <v>2.1725478522164557E-43</v>
      </c>
      <c r="D241">
        <f t="shared" si="18"/>
        <v>1</v>
      </c>
      <c r="E241">
        <f t="shared" si="19"/>
        <v>3.7897075316858471E-43</v>
      </c>
      <c r="F241">
        <f t="shared" si="16"/>
        <v>8.8300185488280234E-41</v>
      </c>
    </row>
    <row r="242" spans="1:6" x14ac:dyDescent="0.4">
      <c r="A242">
        <v>234</v>
      </c>
      <c r="B242">
        <f t="shared" si="17"/>
        <v>0.36164383561643837</v>
      </c>
      <c r="C242">
        <f t="shared" si="20"/>
        <v>7.8568853833581416E-44</v>
      </c>
      <c r="D242">
        <f t="shared" si="18"/>
        <v>1</v>
      </c>
      <c r="E242">
        <f t="shared" si="19"/>
        <v>1.3868593138806415E-43</v>
      </c>
      <c r="F242">
        <f t="shared" si="16"/>
        <v>3.2452507944807013E-41</v>
      </c>
    </row>
    <row r="243" spans="1:6" x14ac:dyDescent="0.4">
      <c r="A243">
        <v>235</v>
      </c>
      <c r="B243">
        <f t="shared" si="17"/>
        <v>0.35890410958904112</v>
      </c>
      <c r="C243">
        <f t="shared" si="20"/>
        <v>2.8198684526573057E-44</v>
      </c>
      <c r="D243">
        <f t="shared" si="18"/>
        <v>1</v>
      </c>
      <c r="E243">
        <f t="shared" si="19"/>
        <v>5.0370169307008364E-44</v>
      </c>
      <c r="F243">
        <f t="shared" si="16"/>
        <v>1.1836989787146966E-41</v>
      </c>
    </row>
    <row r="244" spans="1:6" x14ac:dyDescent="0.4">
      <c r="A244">
        <v>236</v>
      </c>
      <c r="B244">
        <f t="shared" si="17"/>
        <v>0.35616438356164382</v>
      </c>
      <c r="C244">
        <f t="shared" si="20"/>
        <v>1.0043367091656157E-44</v>
      </c>
      <c r="D244">
        <f t="shared" si="18"/>
        <v>1</v>
      </c>
      <c r="E244">
        <f t="shared" si="19"/>
        <v>1.81553174349169E-44</v>
      </c>
      <c r="F244">
        <f t="shared" si="16"/>
        <v>4.2846549146403883E-42</v>
      </c>
    </row>
    <row r="245" spans="1:6" x14ac:dyDescent="0.4">
      <c r="A245">
        <v>237</v>
      </c>
      <c r="B245">
        <f t="shared" si="17"/>
        <v>0.35342465753424657</v>
      </c>
      <c r="C245">
        <f t="shared" si="20"/>
        <v>3.5495735748592993E-45</v>
      </c>
      <c r="D245">
        <f t="shared" si="18"/>
        <v>1</v>
      </c>
      <c r="E245">
        <f t="shared" si="19"/>
        <v>6.4937935167968583E-45</v>
      </c>
      <c r="F245">
        <f t="shared" si="16"/>
        <v>1.5390290634808555E-42</v>
      </c>
    </row>
    <row r="246" spans="1:6" x14ac:dyDescent="0.4">
      <c r="A246">
        <v>238</v>
      </c>
      <c r="B246">
        <f t="shared" si="17"/>
        <v>0.35068493150684932</v>
      </c>
      <c r="C246">
        <f t="shared" si="20"/>
        <v>1.2447819659780557E-45</v>
      </c>
      <c r="D246">
        <f t="shared" si="18"/>
        <v>1</v>
      </c>
      <c r="E246">
        <f t="shared" si="19"/>
        <v>2.3047916088812438E-45</v>
      </c>
      <c r="F246">
        <f t="shared" si="16"/>
        <v>5.4854040291373603E-43</v>
      </c>
    </row>
    <row r="247" spans="1:6" x14ac:dyDescent="0.4">
      <c r="A247">
        <v>239</v>
      </c>
      <c r="B247">
        <f t="shared" si="17"/>
        <v>0.34794520547945207</v>
      </c>
      <c r="C247">
        <f t="shared" si="20"/>
        <v>4.3311591692935086E-46</v>
      </c>
      <c r="D247">
        <f t="shared" si="18"/>
        <v>1</v>
      </c>
      <c r="E247">
        <f t="shared" si="19"/>
        <v>8.1166604904870473E-46</v>
      </c>
      <c r="F247">
        <f t="shared" si="16"/>
        <v>1.9398818572264043E-43</v>
      </c>
    </row>
    <row r="248" spans="1:6" x14ac:dyDescent="0.4">
      <c r="A248">
        <v>240</v>
      </c>
      <c r="B248">
        <f t="shared" si="17"/>
        <v>0.34520547945205482</v>
      </c>
      <c r="C248">
        <f t="shared" si="20"/>
        <v>1.4951398776191291E-46</v>
      </c>
      <c r="D248">
        <f t="shared" si="18"/>
        <v>1</v>
      </c>
      <c r="E248">
        <f t="shared" si="19"/>
        <v>2.8360192916743795E-46</v>
      </c>
      <c r="F248">
        <f t="shared" si="16"/>
        <v>6.8064463000185114E-44</v>
      </c>
    </row>
    <row r="249" spans="1:6" x14ac:dyDescent="0.4">
      <c r="A249">
        <v>241</v>
      </c>
      <c r="B249">
        <f t="shared" si="17"/>
        <v>0.34246575342465752</v>
      </c>
      <c r="C249">
        <f t="shared" si="20"/>
        <v>5.1203420466408531E-47</v>
      </c>
      <c r="D249">
        <f t="shared" si="18"/>
        <v>1</v>
      </c>
      <c r="E249">
        <f t="shared" si="19"/>
        <v>9.8310567295504378E-47</v>
      </c>
      <c r="F249">
        <f t="shared" si="16"/>
        <v>2.3692846718216553E-44</v>
      </c>
    </row>
    <row r="250" spans="1:6" x14ac:dyDescent="0.4">
      <c r="A250">
        <v>242</v>
      </c>
      <c r="B250">
        <f t="shared" si="17"/>
        <v>0.33972602739726027</v>
      </c>
      <c r="C250">
        <f t="shared" si="20"/>
        <v>1.7395134624204543E-47</v>
      </c>
      <c r="D250">
        <f t="shared" si="18"/>
        <v>1</v>
      </c>
      <c r="E250">
        <f t="shared" si="19"/>
        <v>3.3808285842203989E-47</v>
      </c>
      <c r="F250">
        <f t="shared" si="16"/>
        <v>8.1816051738133657E-45</v>
      </c>
    </row>
    <row r="251" spans="1:6" x14ac:dyDescent="0.4">
      <c r="A251">
        <v>243</v>
      </c>
      <c r="B251">
        <f t="shared" si="17"/>
        <v>0.33698630136986302</v>
      </c>
      <c r="C251">
        <f t="shared" si="20"/>
        <v>5.8619220788415314E-48</v>
      </c>
      <c r="D251">
        <f t="shared" si="18"/>
        <v>1</v>
      </c>
      <c r="E251">
        <f t="shared" si="19"/>
        <v>1.1533212545363013E-47</v>
      </c>
      <c r="F251">
        <f t="shared" si="16"/>
        <v>2.8025706485232121E-45</v>
      </c>
    </row>
    <row r="252" spans="1:6" x14ac:dyDescent="0.4">
      <c r="A252">
        <v>244</v>
      </c>
      <c r="B252">
        <f t="shared" si="17"/>
        <v>0.33424657534246577</v>
      </c>
      <c r="C252">
        <f t="shared" si="20"/>
        <v>1.9593273797771696E-48</v>
      </c>
      <c r="D252">
        <f t="shared" si="18"/>
        <v>1</v>
      </c>
      <c r="E252">
        <f t="shared" si="19"/>
        <v>3.9025946990643624E-48</v>
      </c>
      <c r="F252">
        <f t="shared" si="16"/>
        <v>9.5223310657170451E-46</v>
      </c>
    </row>
    <row r="253" spans="1:6" x14ac:dyDescent="0.4">
      <c r="A253">
        <v>245</v>
      </c>
      <c r="B253">
        <f t="shared" si="17"/>
        <v>0.33150684931506852</v>
      </c>
      <c r="C253">
        <f t="shared" si="20"/>
        <v>6.4953044644667818E-49</v>
      </c>
      <c r="D253">
        <f t="shared" si="18"/>
        <v>1</v>
      </c>
      <c r="E253">
        <f t="shared" si="19"/>
        <v>1.3097969333304914E-48</v>
      </c>
      <c r="F253">
        <f t="shared" si="16"/>
        <v>3.209002486659704E-46</v>
      </c>
    </row>
    <row r="254" spans="1:6" x14ac:dyDescent="0.4">
      <c r="A254">
        <v>246</v>
      </c>
      <c r="B254">
        <f t="shared" si="17"/>
        <v>0.32876712328767121</v>
      </c>
      <c r="C254">
        <f t="shared" si="20"/>
        <v>2.1354425636603117E-49</v>
      </c>
      <c r="D254">
        <f t="shared" si="18"/>
        <v>1</v>
      </c>
      <c r="E254">
        <f t="shared" si="19"/>
        <v>4.3598619008064701E-49</v>
      </c>
      <c r="F254">
        <f t="shared" si="16"/>
        <v>1.0725260275983917E-46</v>
      </c>
    </row>
    <row r="255" spans="1:6" x14ac:dyDescent="0.4">
      <c r="A255">
        <v>247</v>
      </c>
      <c r="B255">
        <f t="shared" si="17"/>
        <v>0.32602739726027397</v>
      </c>
      <c r="C255">
        <f t="shared" si="20"/>
        <v>6.962127810289783E-50</v>
      </c>
      <c r="D255">
        <f t="shared" si="18"/>
        <v>1</v>
      </c>
      <c r="E255">
        <f t="shared" si="19"/>
        <v>1.4392297826313334E-49</v>
      </c>
      <c r="F255">
        <f t="shared" si="16"/>
        <v>3.5548975630993935E-47</v>
      </c>
    </row>
    <row r="256" spans="1:6" x14ac:dyDescent="0.4">
      <c r="A256">
        <v>248</v>
      </c>
      <c r="B256">
        <f t="shared" si="17"/>
        <v>0.32328767123287672</v>
      </c>
      <c r="C256">
        <f t="shared" si="20"/>
        <v>2.2507700866142313E-50</v>
      </c>
      <c r="D256">
        <f t="shared" si="18"/>
        <v>1</v>
      </c>
      <c r="E256">
        <f t="shared" si="19"/>
        <v>4.7113577236755521E-50</v>
      </c>
      <c r="F256">
        <f t="shared" si="16"/>
        <v>1.1684167154715369E-47</v>
      </c>
    </row>
    <row r="257" spans="1:6" x14ac:dyDescent="0.4">
      <c r="A257">
        <v>249</v>
      </c>
      <c r="B257">
        <f t="shared" si="17"/>
        <v>0.32054794520547947</v>
      </c>
      <c r="C257">
        <f t="shared" si="20"/>
        <v>7.2147972639415084E-51</v>
      </c>
      <c r="D257">
        <f t="shared" si="18"/>
        <v>1</v>
      </c>
      <c r="E257">
        <f t="shared" si="19"/>
        <v>1.5292903602200802E-50</v>
      </c>
      <c r="F257">
        <f t="shared" si="16"/>
        <v>3.8079329969479999E-48</v>
      </c>
    </row>
    <row r="258" spans="1:6" x14ac:dyDescent="0.4">
      <c r="A258">
        <v>250</v>
      </c>
      <c r="B258">
        <f t="shared" si="17"/>
        <v>0.31780821917808222</v>
      </c>
      <c r="C258">
        <f t="shared" si="20"/>
        <v>2.2929218701841508E-51</v>
      </c>
      <c r="D258">
        <f t="shared" si="18"/>
        <v>1</v>
      </c>
      <c r="E258">
        <f t="shared" si="19"/>
        <v>4.9218753937573579E-51</v>
      </c>
      <c r="F258">
        <f t="shared" si="16"/>
        <v>1.2304688484393395E-48</v>
      </c>
    </row>
    <row r="259" spans="1:6" x14ac:dyDescent="0.4">
      <c r="A259">
        <v>251</v>
      </c>
      <c r="B259">
        <f t="shared" si="17"/>
        <v>0.31506849315068491</v>
      </c>
      <c r="C259">
        <f t="shared" si="20"/>
        <v>7.2242743855117069E-52</v>
      </c>
      <c r="D259">
        <f t="shared" si="18"/>
        <v>1</v>
      </c>
      <c r="E259">
        <f t="shared" si="19"/>
        <v>1.5704944316329801E-51</v>
      </c>
      <c r="F259">
        <f t="shared" si="16"/>
        <v>3.9419410233987799E-49</v>
      </c>
    </row>
    <row r="260" spans="1:6" x14ac:dyDescent="0.4">
      <c r="A260">
        <v>252</v>
      </c>
      <c r="B260">
        <f t="shared" si="17"/>
        <v>0.31232876712328766</v>
      </c>
      <c r="C260">
        <f t="shared" si="20"/>
        <v>2.2563487121872181E-52</v>
      </c>
      <c r="D260">
        <f t="shared" si="18"/>
        <v>1</v>
      </c>
      <c r="E260">
        <f t="shared" si="19"/>
        <v>4.9679256733244892E-52</v>
      </c>
      <c r="F260">
        <f t="shared" si="16"/>
        <v>1.2519172696777713E-49</v>
      </c>
    </row>
    <row r="261" spans="1:6" x14ac:dyDescent="0.4">
      <c r="A261">
        <v>253</v>
      </c>
      <c r="B261">
        <f t="shared" si="17"/>
        <v>0.30958904109589042</v>
      </c>
      <c r="C261">
        <f t="shared" si="20"/>
        <v>6.9854083418398809E-53</v>
      </c>
      <c r="D261">
        <f t="shared" si="18"/>
        <v>1</v>
      </c>
      <c r="E261">
        <f t="shared" si="19"/>
        <v>1.5578078780032301E-52</v>
      </c>
      <c r="F261">
        <f t="shared" si="16"/>
        <v>3.9412539313481725E-50</v>
      </c>
    </row>
    <row r="262" spans="1:6" x14ac:dyDescent="0.4">
      <c r="A262">
        <v>254</v>
      </c>
      <c r="B262">
        <f t="shared" si="17"/>
        <v>0.30684931506849317</v>
      </c>
      <c r="C262">
        <f t="shared" si="20"/>
        <v>2.1434677651673058E-53</v>
      </c>
      <c r="D262">
        <f t="shared" si="18"/>
        <v>1</v>
      </c>
      <c r="E262">
        <f t="shared" si="19"/>
        <v>4.8419405766725746E-53</v>
      </c>
      <c r="F262">
        <f t="shared" si="16"/>
        <v>1.229852906474834E-50</v>
      </c>
    </row>
    <row r="263" spans="1:6" x14ac:dyDescent="0.4">
      <c r="A263">
        <v>255</v>
      </c>
      <c r="B263">
        <f t="shared" si="17"/>
        <v>0.30410958904109592</v>
      </c>
      <c r="C263">
        <f t="shared" si="20"/>
        <v>6.5184910118786572E-54</v>
      </c>
      <c r="D263">
        <f t="shared" si="18"/>
        <v>1</v>
      </c>
      <c r="E263">
        <f t="shared" si="19"/>
        <v>1.4916186639794402E-53</v>
      </c>
      <c r="F263">
        <f t="shared" si="16"/>
        <v>3.8036275931475724E-51</v>
      </c>
    </row>
    <row r="264" spans="1:6" x14ac:dyDescent="0.4">
      <c r="A264">
        <v>256</v>
      </c>
      <c r="B264">
        <f t="shared" si="17"/>
        <v>0.30136986301369861</v>
      </c>
      <c r="C264">
        <f t="shared" si="20"/>
        <v>1.9644767433058966E-54</v>
      </c>
      <c r="D264">
        <f t="shared" si="18"/>
        <v>1</v>
      </c>
      <c r="E264">
        <f t="shared" si="19"/>
        <v>4.55401426857276E-54</v>
      </c>
      <c r="F264">
        <f t="shared" si="16"/>
        <v>1.1658276527546266E-51</v>
      </c>
    </row>
    <row r="265" spans="1:6" x14ac:dyDescent="0.4">
      <c r="A265">
        <v>257</v>
      </c>
      <c r="B265">
        <f t="shared" si="17"/>
        <v>0.29863013698630136</v>
      </c>
      <c r="C265">
        <f t="shared" si="20"/>
        <v>5.8665195895984312E-55</v>
      </c>
      <c r="D265">
        <f t="shared" si="18"/>
        <v>1</v>
      </c>
      <c r="E265">
        <f t="shared" si="19"/>
        <v>1.3778247843460536E-54</v>
      </c>
      <c r="F265">
        <f t="shared" si="16"/>
        <v>3.5410096957693578E-52</v>
      </c>
    </row>
    <row r="266" spans="1:6" x14ac:dyDescent="0.4">
      <c r="A266">
        <v>258</v>
      </c>
      <c r="B266">
        <f t="shared" si="17"/>
        <v>0.29589041095890412</v>
      </c>
      <c r="C266">
        <f t="shared" si="20"/>
        <v>1.7358468922647414E-55</v>
      </c>
      <c r="D266">
        <f t="shared" si="18"/>
        <v>1</v>
      </c>
      <c r="E266">
        <f t="shared" si="19"/>
        <v>4.1306726973336901E-55</v>
      </c>
      <c r="F266">
        <f t="shared" ref="F266:F329" si="21">A266*E266</f>
        <v>1.0657135559120921E-52</v>
      </c>
    </row>
    <row r="267" spans="1:6" x14ac:dyDescent="0.4">
      <c r="A267">
        <v>259</v>
      </c>
      <c r="B267">
        <f t="shared" ref="B267:B330" si="22">(366-A267)/365</f>
        <v>0.29315068493150687</v>
      </c>
      <c r="C267">
        <f t="shared" si="20"/>
        <v>5.0886470540363655E-56</v>
      </c>
      <c r="D267">
        <f t="shared" ref="D267:D330" si="23">1-C267</f>
        <v>1</v>
      </c>
      <c r="E267">
        <f t="shared" ref="E267:E330" si="24">C266*A266/365</f>
        <v>1.2269821868611049E-55</v>
      </c>
      <c r="F267">
        <f t="shared" si="21"/>
        <v>3.1778838639702615E-53</v>
      </c>
    </row>
    <row r="268" spans="1:6" x14ac:dyDescent="0.4">
      <c r="A268">
        <v>260</v>
      </c>
      <c r="B268">
        <f t="shared" si="22"/>
        <v>0.29041095890410956</v>
      </c>
      <c r="C268">
        <f t="shared" si="20"/>
        <v>1.4777988704872732E-56</v>
      </c>
      <c r="D268">
        <f t="shared" si="23"/>
        <v>1</v>
      </c>
      <c r="E268">
        <f t="shared" si="24"/>
        <v>3.6108481835490918E-56</v>
      </c>
      <c r="F268">
        <f t="shared" si="21"/>
        <v>9.3882052772276382E-54</v>
      </c>
    </row>
    <row r="269" spans="1:6" x14ac:dyDescent="0.4">
      <c r="A269">
        <v>261</v>
      </c>
      <c r="B269">
        <f t="shared" si="22"/>
        <v>0.28767123287671231</v>
      </c>
      <c r="C269">
        <f t="shared" si="20"/>
        <v>4.2512022301688681E-57</v>
      </c>
      <c r="D269">
        <f t="shared" si="23"/>
        <v>1</v>
      </c>
      <c r="E269">
        <f t="shared" si="24"/>
        <v>1.0526786474703865E-56</v>
      </c>
      <c r="F269">
        <f t="shared" si="21"/>
        <v>2.747491269897709E-54</v>
      </c>
    </row>
    <row r="270" spans="1:6" x14ac:dyDescent="0.4">
      <c r="A270">
        <v>262</v>
      </c>
      <c r="B270">
        <f t="shared" si="22"/>
        <v>0.28493150684931506</v>
      </c>
      <c r="C270">
        <f t="shared" si="20"/>
        <v>1.2113014573631843E-57</v>
      </c>
      <c r="D270">
        <f t="shared" si="23"/>
        <v>1</v>
      </c>
      <c r="E270">
        <f t="shared" si="24"/>
        <v>3.0399007728056835E-57</v>
      </c>
      <c r="F270">
        <f t="shared" si="21"/>
        <v>7.9645400247508912E-55</v>
      </c>
    </row>
    <row r="271" spans="1:6" x14ac:dyDescent="0.4">
      <c r="A271">
        <v>263</v>
      </c>
      <c r="B271">
        <f t="shared" si="22"/>
        <v>0.28219178082191781</v>
      </c>
      <c r="C271">
        <f t="shared" si="20"/>
        <v>3.4181931536550131E-58</v>
      </c>
      <c r="D271">
        <f t="shared" si="23"/>
        <v>1</v>
      </c>
      <c r="E271">
        <f t="shared" si="24"/>
        <v>8.694821419976831E-58</v>
      </c>
      <c r="F271">
        <f t="shared" si="21"/>
        <v>2.2867380334539065E-55</v>
      </c>
    </row>
    <row r="272" spans="1:6" x14ac:dyDescent="0.4">
      <c r="A272">
        <v>264</v>
      </c>
      <c r="B272">
        <f t="shared" si="22"/>
        <v>0.27945205479452057</v>
      </c>
      <c r="C272">
        <f t="shared" si="20"/>
        <v>9.5522110047345575E-59</v>
      </c>
      <c r="D272">
        <f t="shared" si="23"/>
        <v>1</v>
      </c>
      <c r="E272">
        <f t="shared" si="24"/>
        <v>2.4629720531815575E-58</v>
      </c>
      <c r="F272">
        <f t="shared" si="21"/>
        <v>6.5022462203993116E-56</v>
      </c>
    </row>
    <row r="273" spans="1:6" x14ac:dyDescent="0.4">
      <c r="A273">
        <v>265</v>
      </c>
      <c r="B273">
        <f t="shared" si="22"/>
        <v>0.27671232876712326</v>
      </c>
      <c r="C273">
        <f t="shared" si="20"/>
        <v>2.6432145519950417E-59</v>
      </c>
      <c r="D273">
        <f t="shared" si="23"/>
        <v>1</v>
      </c>
      <c r="E273">
        <f t="shared" si="24"/>
        <v>6.9089964527395149E-59</v>
      </c>
      <c r="F273">
        <f t="shared" si="21"/>
        <v>1.8308840599759714E-56</v>
      </c>
    </row>
    <row r="274" spans="1:6" x14ac:dyDescent="0.4">
      <c r="A274">
        <v>266</v>
      </c>
      <c r="B274">
        <f t="shared" si="22"/>
        <v>0.27397260273972601</v>
      </c>
      <c r="C274">
        <f t="shared" si="20"/>
        <v>7.2416837040960039E-60</v>
      </c>
      <c r="D274">
        <f t="shared" si="23"/>
        <v>1</v>
      </c>
      <c r="E274">
        <f t="shared" si="24"/>
        <v>1.9190461815854412E-59</v>
      </c>
      <c r="F274">
        <f t="shared" si="21"/>
        <v>5.1046628430172734E-57</v>
      </c>
    </row>
    <row r="275" spans="1:6" x14ac:dyDescent="0.4">
      <c r="A275">
        <v>267</v>
      </c>
      <c r="B275">
        <f t="shared" si="22"/>
        <v>0.27123287671232876</v>
      </c>
      <c r="C275">
        <f t="shared" si="20"/>
        <v>1.9641827033027517E-60</v>
      </c>
      <c r="D275">
        <f t="shared" si="23"/>
        <v>1</v>
      </c>
      <c r="E275">
        <f t="shared" si="24"/>
        <v>5.277501000793252E-60</v>
      </c>
      <c r="F275">
        <f t="shared" si="21"/>
        <v>1.4090927672117983E-57</v>
      </c>
    </row>
    <row r="276" spans="1:6" x14ac:dyDescent="0.4">
      <c r="A276">
        <v>268</v>
      </c>
      <c r="B276">
        <f t="shared" si="22"/>
        <v>0.26849315068493151</v>
      </c>
      <c r="C276">
        <f t="shared" si="20"/>
        <v>5.2736960253060186E-61</v>
      </c>
      <c r="D276">
        <f t="shared" si="23"/>
        <v>1</v>
      </c>
      <c r="E276">
        <f t="shared" si="24"/>
        <v>1.4368131007721498E-60</v>
      </c>
      <c r="F276">
        <f t="shared" si="21"/>
        <v>3.8506591100693618E-58</v>
      </c>
    </row>
    <row r="277" spans="1:6" x14ac:dyDescent="0.4">
      <c r="A277">
        <v>269</v>
      </c>
      <c r="B277">
        <f t="shared" si="22"/>
        <v>0.26575342465753427</v>
      </c>
      <c r="C277">
        <f t="shared" si="20"/>
        <v>1.401502779327901E-61</v>
      </c>
      <c r="D277">
        <f t="shared" si="23"/>
        <v>1</v>
      </c>
      <c r="E277">
        <f t="shared" si="24"/>
        <v>3.8721932459781178E-61</v>
      </c>
      <c r="F277">
        <f t="shared" si="21"/>
        <v>1.0416199831681138E-58</v>
      </c>
    </row>
    <row r="278" spans="1:6" x14ac:dyDescent="0.4">
      <c r="A278">
        <v>270</v>
      </c>
      <c r="B278">
        <f t="shared" si="22"/>
        <v>0.26301369863013696</v>
      </c>
      <c r="C278">
        <f t="shared" si="20"/>
        <v>3.6861442963144789E-62</v>
      </c>
      <c r="D278">
        <f t="shared" si="23"/>
        <v>1</v>
      </c>
      <c r="E278">
        <f t="shared" si="24"/>
        <v>1.032888349696453E-61</v>
      </c>
      <c r="F278">
        <f t="shared" si="21"/>
        <v>2.788798544180423E-59</v>
      </c>
    </row>
    <row r="279" spans="1:6" x14ac:dyDescent="0.4">
      <c r="A279">
        <v>271</v>
      </c>
      <c r="B279">
        <f t="shared" si="22"/>
        <v>0.26027397260273971</v>
      </c>
      <c r="C279">
        <f t="shared" si="20"/>
        <v>9.5940741958869989E-63</v>
      </c>
      <c r="D279">
        <f t="shared" si="23"/>
        <v>1</v>
      </c>
      <c r="E279">
        <f t="shared" si="24"/>
        <v>2.726736876725779E-62</v>
      </c>
      <c r="F279">
        <f t="shared" si="21"/>
        <v>7.3894569359268613E-60</v>
      </c>
    </row>
    <row r="280" spans="1:6" x14ac:dyDescent="0.4">
      <c r="A280">
        <v>272</v>
      </c>
      <c r="B280">
        <f t="shared" si="22"/>
        <v>0.25753424657534246</v>
      </c>
      <c r="C280">
        <f t="shared" si="20"/>
        <v>2.4708026696256929E-63</v>
      </c>
      <c r="D280">
        <f t="shared" si="23"/>
        <v>1</v>
      </c>
      <c r="E280">
        <f t="shared" si="24"/>
        <v>7.1232715262613066E-63</v>
      </c>
      <c r="F280">
        <f t="shared" si="21"/>
        <v>1.9375298551430753E-60</v>
      </c>
    </row>
    <row r="281" spans="1:6" x14ac:dyDescent="0.4">
      <c r="A281">
        <v>273</v>
      </c>
      <c r="B281">
        <f t="shared" si="22"/>
        <v>0.25479452054794521</v>
      </c>
      <c r="C281">
        <f t="shared" si="20"/>
        <v>6.2954698157586144E-64</v>
      </c>
      <c r="D281">
        <f t="shared" si="23"/>
        <v>1</v>
      </c>
      <c r="E281">
        <f t="shared" si="24"/>
        <v>1.8412556880498313E-63</v>
      </c>
      <c r="F281">
        <f t="shared" si="21"/>
        <v>5.0266280283760394E-61</v>
      </c>
    </row>
    <row r="282" spans="1:6" x14ac:dyDescent="0.4">
      <c r="A282">
        <v>274</v>
      </c>
      <c r="B282">
        <f t="shared" si="22"/>
        <v>0.25205479452054796</v>
      </c>
      <c r="C282">
        <f t="shared" si="20"/>
        <v>1.5868033508213494E-64</v>
      </c>
      <c r="D282">
        <f t="shared" si="23"/>
        <v>1</v>
      </c>
      <c r="E282">
        <f t="shared" si="24"/>
        <v>4.7086664649372657E-64</v>
      </c>
      <c r="F282">
        <f t="shared" si="21"/>
        <v>1.2901746113928109E-61</v>
      </c>
    </row>
    <row r="283" spans="1:6" x14ac:dyDescent="0.4">
      <c r="A283">
        <v>275</v>
      </c>
      <c r="B283">
        <f t="shared" si="22"/>
        <v>0.24931506849315069</v>
      </c>
      <c r="C283">
        <f t="shared" si="20"/>
        <v>3.9561398609518579E-65</v>
      </c>
      <c r="D283">
        <f t="shared" si="23"/>
        <v>1</v>
      </c>
      <c r="E283">
        <f t="shared" si="24"/>
        <v>1.1911893647261636E-64</v>
      </c>
      <c r="F283">
        <f t="shared" si="21"/>
        <v>3.27577075299695E-62</v>
      </c>
    </row>
    <row r="284" spans="1:6" x14ac:dyDescent="0.4">
      <c r="A284">
        <v>276</v>
      </c>
      <c r="B284">
        <f t="shared" si="22"/>
        <v>0.24657534246575341</v>
      </c>
      <c r="C284">
        <f t="shared" si="20"/>
        <v>9.7548654105662233E-66</v>
      </c>
      <c r="D284">
        <f t="shared" si="23"/>
        <v>1</v>
      </c>
      <c r="E284">
        <f t="shared" si="24"/>
        <v>2.9806533198952353E-65</v>
      </c>
      <c r="F284">
        <f t="shared" si="21"/>
        <v>8.2266031629108495E-63</v>
      </c>
    </row>
    <row r="285" spans="1:6" x14ac:dyDescent="0.4">
      <c r="A285">
        <v>277</v>
      </c>
      <c r="B285">
        <f t="shared" si="22"/>
        <v>0.24383561643835616</v>
      </c>
      <c r="C285">
        <f t="shared" si="20"/>
        <v>2.3785836206586135E-66</v>
      </c>
      <c r="D285">
        <f t="shared" si="23"/>
        <v>1</v>
      </c>
      <c r="E285">
        <f t="shared" si="24"/>
        <v>7.3762817899076098E-66</v>
      </c>
      <c r="F285">
        <f t="shared" si="21"/>
        <v>2.043230055804408E-63</v>
      </c>
    </row>
    <row r="286" spans="1:6" x14ac:dyDescent="0.4">
      <c r="A286">
        <v>278</v>
      </c>
      <c r="B286">
        <f t="shared" si="22"/>
        <v>0.24109589041095891</v>
      </c>
      <c r="C286">
        <f t="shared" si="20"/>
        <v>5.7346673593961094E-67</v>
      </c>
      <c r="D286">
        <f t="shared" si="23"/>
        <v>1</v>
      </c>
      <c r="E286">
        <f t="shared" si="24"/>
        <v>1.8051168847190027E-66</v>
      </c>
      <c r="F286">
        <f t="shared" si="21"/>
        <v>5.0182249395188277E-64</v>
      </c>
    </row>
    <row r="287" spans="1:6" x14ac:dyDescent="0.4">
      <c r="A287">
        <v>279</v>
      </c>
      <c r="B287">
        <f t="shared" si="22"/>
        <v>0.23835616438356164</v>
      </c>
      <c r="C287">
        <f t="shared" si="20"/>
        <v>1.3668933158012643E-67</v>
      </c>
      <c r="D287">
        <f t="shared" si="23"/>
        <v>1</v>
      </c>
      <c r="E287">
        <f t="shared" si="24"/>
        <v>4.3677740435948455E-67</v>
      </c>
      <c r="F287">
        <f t="shared" si="21"/>
        <v>1.2186089581629618E-64</v>
      </c>
    </row>
    <row r="288" spans="1:6" x14ac:dyDescent="0.4">
      <c r="A288">
        <v>280</v>
      </c>
      <c r="B288">
        <f t="shared" si="22"/>
        <v>0.23561643835616439</v>
      </c>
      <c r="C288">
        <f t="shared" ref="C288:C351" si="25">C287*B288</f>
        <v>3.2206253468194176E-68</v>
      </c>
      <c r="D288">
        <f t="shared" si="23"/>
        <v>1</v>
      </c>
      <c r="E288">
        <f t="shared" si="24"/>
        <v>1.0448307811193226E-67</v>
      </c>
      <c r="F288">
        <f t="shared" si="21"/>
        <v>2.9255261871341034E-65</v>
      </c>
    </row>
    <row r="289" spans="1:6" x14ac:dyDescent="0.4">
      <c r="A289">
        <v>281</v>
      </c>
      <c r="B289">
        <f t="shared" si="22"/>
        <v>0.23287671232876711</v>
      </c>
      <c r="C289">
        <f t="shared" si="25"/>
        <v>7.5000864241000131E-69</v>
      </c>
      <c r="D289">
        <f t="shared" si="23"/>
        <v>1</v>
      </c>
      <c r="E289">
        <f t="shared" si="24"/>
        <v>2.4706167044094164E-68</v>
      </c>
      <c r="F289">
        <f t="shared" si="21"/>
        <v>6.94243293939046E-66</v>
      </c>
    </row>
    <row r="290" spans="1:6" x14ac:dyDescent="0.4">
      <c r="A290">
        <v>282</v>
      </c>
      <c r="B290">
        <f t="shared" si="22"/>
        <v>0.23013698630136986</v>
      </c>
      <c r="C290">
        <f t="shared" si="25"/>
        <v>1.7260472866421948E-69</v>
      </c>
      <c r="D290">
        <f t="shared" si="23"/>
        <v>1</v>
      </c>
      <c r="E290">
        <f t="shared" si="24"/>
        <v>5.7740391374578183E-69</v>
      </c>
      <c r="F290">
        <f t="shared" si="21"/>
        <v>1.6282790367631049E-66</v>
      </c>
    </row>
    <row r="291" spans="1:6" x14ac:dyDescent="0.4">
      <c r="A291">
        <v>283</v>
      </c>
      <c r="B291">
        <f t="shared" si="22"/>
        <v>0.22739726027397261</v>
      </c>
      <c r="C291">
        <f t="shared" si="25"/>
        <v>3.924984240857594E-70</v>
      </c>
      <c r="D291">
        <f t="shared" si="23"/>
        <v>1</v>
      </c>
      <c r="E291">
        <f t="shared" si="24"/>
        <v>1.3335488625564355E-69</v>
      </c>
      <c r="F291">
        <f t="shared" si="21"/>
        <v>3.7739432810347126E-67</v>
      </c>
    </row>
    <row r="292" spans="1:6" x14ac:dyDescent="0.4">
      <c r="A292">
        <v>284</v>
      </c>
      <c r="B292">
        <f t="shared" si="22"/>
        <v>0.22465753424657534</v>
      </c>
      <c r="C292">
        <f t="shared" si="25"/>
        <v>8.8177728150773347E-71</v>
      </c>
      <c r="D292">
        <f t="shared" si="23"/>
        <v>1</v>
      </c>
      <c r="E292">
        <f t="shared" si="24"/>
        <v>3.0432069593498603E-70</v>
      </c>
      <c r="F292">
        <f t="shared" si="21"/>
        <v>8.6427077645536026E-68</v>
      </c>
    </row>
    <row r="293" spans="1:6" x14ac:dyDescent="0.4">
      <c r="A293">
        <v>285</v>
      </c>
      <c r="B293">
        <f t="shared" si="22"/>
        <v>0.22191780821917809</v>
      </c>
      <c r="C293">
        <f t="shared" si="25"/>
        <v>1.9568208164966142E-71</v>
      </c>
      <c r="D293">
        <f t="shared" si="23"/>
        <v>1</v>
      </c>
      <c r="E293">
        <f t="shared" si="24"/>
        <v>6.8609519985807201E-71</v>
      </c>
      <c r="F293">
        <f t="shared" si="21"/>
        <v>1.9553713195955053E-68</v>
      </c>
    </row>
    <row r="294" spans="1:6" x14ac:dyDescent="0.4">
      <c r="A294">
        <v>286</v>
      </c>
      <c r="B294">
        <f t="shared" si="22"/>
        <v>0.21917808219178081</v>
      </c>
      <c r="C294">
        <f t="shared" si="25"/>
        <v>4.2889223375268256E-72</v>
      </c>
      <c r="D294">
        <f t="shared" si="23"/>
        <v>1</v>
      </c>
      <c r="E294">
        <f t="shared" si="24"/>
        <v>1.5279285827439317E-71</v>
      </c>
      <c r="F294">
        <f t="shared" si="21"/>
        <v>4.3698757466476449E-69</v>
      </c>
    </row>
    <row r="295" spans="1:6" x14ac:dyDescent="0.4">
      <c r="A295">
        <v>287</v>
      </c>
      <c r="B295">
        <f t="shared" si="22"/>
        <v>0.21643835616438356</v>
      </c>
      <c r="C295">
        <f t="shared" si="25"/>
        <v>9.2828730045101156E-73</v>
      </c>
      <c r="D295">
        <f t="shared" si="23"/>
        <v>1</v>
      </c>
      <c r="E295">
        <f t="shared" si="24"/>
        <v>3.3606350370758142E-72</v>
      </c>
      <c r="F295">
        <f t="shared" si="21"/>
        <v>9.6450225564075862E-70</v>
      </c>
    </row>
    <row r="296" spans="1:6" x14ac:dyDescent="0.4">
      <c r="A296">
        <v>288</v>
      </c>
      <c r="B296">
        <f t="shared" si="22"/>
        <v>0.21369863013698631</v>
      </c>
      <c r="C296">
        <f t="shared" si="25"/>
        <v>1.9837372447994219E-73</v>
      </c>
      <c r="D296">
        <f t="shared" si="23"/>
        <v>1</v>
      </c>
      <c r="E296">
        <f t="shared" si="24"/>
        <v>7.2991357597106933E-73</v>
      </c>
      <c r="F296">
        <f t="shared" si="21"/>
        <v>2.1021510987966798E-70</v>
      </c>
    </row>
    <row r="297" spans="1:6" x14ac:dyDescent="0.4">
      <c r="A297">
        <v>289</v>
      </c>
      <c r="B297">
        <f t="shared" si="22"/>
        <v>0.21095890410958903</v>
      </c>
      <c r="C297">
        <f t="shared" si="25"/>
        <v>4.1848703520426158E-74</v>
      </c>
      <c r="D297">
        <f t="shared" si="23"/>
        <v>1</v>
      </c>
      <c r="E297">
        <f t="shared" si="24"/>
        <v>1.5652502095951604E-73</v>
      </c>
      <c r="F297">
        <f t="shared" si="21"/>
        <v>4.5235731057300137E-71</v>
      </c>
    </row>
    <row r="298" spans="1:6" x14ac:dyDescent="0.4">
      <c r="A298">
        <v>290</v>
      </c>
      <c r="B298">
        <f t="shared" si="22"/>
        <v>0.20821917808219179</v>
      </c>
      <c r="C298">
        <f t="shared" si="25"/>
        <v>8.7137026508284602E-75</v>
      </c>
      <c r="D298">
        <f t="shared" si="23"/>
        <v>1</v>
      </c>
      <c r="E298">
        <f t="shared" si="24"/>
        <v>3.3135000869597698E-74</v>
      </c>
      <c r="F298">
        <f t="shared" si="21"/>
        <v>9.6091502521833317E-72</v>
      </c>
    </row>
    <row r="299" spans="1:6" x14ac:dyDescent="0.4">
      <c r="A299">
        <v>291</v>
      </c>
      <c r="B299">
        <f t="shared" si="22"/>
        <v>0.20547945205479451</v>
      </c>
      <c r="C299">
        <f t="shared" si="25"/>
        <v>1.7904868460606425E-75</v>
      </c>
      <c r="D299">
        <f t="shared" si="23"/>
        <v>1</v>
      </c>
      <c r="E299">
        <f t="shared" si="24"/>
        <v>6.9232158047678175E-75</v>
      </c>
      <c r="F299">
        <f t="shared" si="21"/>
        <v>2.014655799187435E-72</v>
      </c>
    </row>
    <row r="300" spans="1:6" x14ac:dyDescent="0.4">
      <c r="A300">
        <v>292</v>
      </c>
      <c r="B300">
        <f t="shared" si="22"/>
        <v>0.20273972602739726</v>
      </c>
      <c r="C300">
        <f t="shared" si="25"/>
        <v>3.6300281262599329E-76</v>
      </c>
      <c r="D300">
        <f t="shared" si="23"/>
        <v>1</v>
      </c>
      <c r="E300">
        <f t="shared" si="24"/>
        <v>1.4274840334346493E-75</v>
      </c>
      <c r="F300">
        <f t="shared" si="21"/>
        <v>4.1682533776291758E-73</v>
      </c>
    </row>
    <row r="301" spans="1:6" x14ac:dyDescent="0.4">
      <c r="A301">
        <v>293</v>
      </c>
      <c r="B301">
        <f t="shared" si="22"/>
        <v>0.2</v>
      </c>
      <c r="C301">
        <f t="shared" si="25"/>
        <v>7.2600562525198667E-77</v>
      </c>
      <c r="D301">
        <f t="shared" si="23"/>
        <v>1</v>
      </c>
      <c r="E301">
        <f t="shared" si="24"/>
        <v>2.9040225010079461E-76</v>
      </c>
      <c r="F301">
        <f t="shared" si="21"/>
        <v>8.5087859279532818E-74</v>
      </c>
    </row>
    <row r="302" spans="1:6" x14ac:dyDescent="0.4">
      <c r="A302">
        <v>294</v>
      </c>
      <c r="B302">
        <f t="shared" si="22"/>
        <v>0.19726027397260273</v>
      </c>
      <c r="C302">
        <f t="shared" si="25"/>
        <v>1.4321206854285765E-77</v>
      </c>
      <c r="D302">
        <f t="shared" si="23"/>
        <v>1</v>
      </c>
      <c r="E302">
        <f t="shared" si="24"/>
        <v>5.82793556709129E-77</v>
      </c>
      <c r="F302">
        <f t="shared" si="21"/>
        <v>1.7134130567248393E-74</v>
      </c>
    </row>
    <row r="303" spans="1:6" x14ac:dyDescent="0.4">
      <c r="A303">
        <v>295</v>
      </c>
      <c r="B303">
        <f t="shared" si="22"/>
        <v>0.19452054794520549</v>
      </c>
      <c r="C303">
        <f t="shared" si="25"/>
        <v>2.7857690045322993E-78</v>
      </c>
      <c r="D303">
        <f t="shared" si="23"/>
        <v>1</v>
      </c>
      <c r="E303">
        <f t="shared" si="24"/>
        <v>1.1535437849753466E-77</v>
      </c>
      <c r="F303">
        <f t="shared" si="21"/>
        <v>3.4029541656772723E-75</v>
      </c>
    </row>
    <row r="304" spans="1:6" x14ac:dyDescent="0.4">
      <c r="A304">
        <v>296</v>
      </c>
      <c r="B304">
        <f t="shared" si="22"/>
        <v>0.19178082191780821</v>
      </c>
      <c r="C304">
        <f t="shared" si="25"/>
        <v>5.3425706936235874E-79</v>
      </c>
      <c r="D304">
        <f t="shared" si="23"/>
        <v>1</v>
      </c>
      <c r="E304">
        <f t="shared" si="24"/>
        <v>2.2515119351699403E-78</v>
      </c>
      <c r="F304">
        <f t="shared" si="21"/>
        <v>6.6644753281030238E-76</v>
      </c>
    </row>
    <row r="305" spans="1:6" x14ac:dyDescent="0.4">
      <c r="A305">
        <v>297</v>
      </c>
      <c r="B305">
        <f t="shared" si="22"/>
        <v>0.18904109589041096</v>
      </c>
      <c r="C305">
        <f t="shared" si="25"/>
        <v>1.0099654187945959E-79</v>
      </c>
      <c r="D305">
        <f t="shared" si="23"/>
        <v>1</v>
      </c>
      <c r="E305">
        <f t="shared" si="24"/>
        <v>4.3326052748289914E-79</v>
      </c>
      <c r="F305">
        <f t="shared" si="21"/>
        <v>1.2867837666242104E-76</v>
      </c>
    </row>
    <row r="306" spans="1:6" x14ac:dyDescent="0.4">
      <c r="A306">
        <v>298</v>
      </c>
      <c r="B306">
        <f t="shared" si="22"/>
        <v>0.18630136986301371</v>
      </c>
      <c r="C306">
        <f t="shared" si="25"/>
        <v>1.8815794103570555E-80</v>
      </c>
      <c r="D306">
        <f t="shared" si="23"/>
        <v>1</v>
      </c>
      <c r="E306">
        <f t="shared" si="24"/>
        <v>8.2180747775889039E-80</v>
      </c>
      <c r="F306">
        <f t="shared" si="21"/>
        <v>2.4489862837214935E-77</v>
      </c>
    </row>
    <row r="307" spans="1:6" x14ac:dyDescent="0.4">
      <c r="A307">
        <v>299</v>
      </c>
      <c r="B307">
        <f t="shared" si="22"/>
        <v>0.18356164383561643</v>
      </c>
      <c r="C307">
        <f t="shared" si="25"/>
        <v>3.4538580957239103E-81</v>
      </c>
      <c r="D307">
        <f t="shared" si="23"/>
        <v>1</v>
      </c>
      <c r="E307">
        <f t="shared" si="24"/>
        <v>1.5361936007846646E-80</v>
      </c>
      <c r="F307">
        <f t="shared" si="21"/>
        <v>4.5932188663461467E-78</v>
      </c>
    </row>
    <row r="308" spans="1:6" x14ac:dyDescent="0.4">
      <c r="A308">
        <v>300</v>
      </c>
      <c r="B308">
        <f t="shared" si="22"/>
        <v>0.18082191780821918</v>
      </c>
      <c r="C308">
        <f t="shared" si="25"/>
        <v>6.2453324470624129E-82</v>
      </c>
      <c r="D308">
        <f t="shared" si="23"/>
        <v>1</v>
      </c>
      <c r="E308">
        <f t="shared" si="24"/>
        <v>2.8293248510176688E-81</v>
      </c>
      <c r="F308">
        <f t="shared" si="21"/>
        <v>8.4879745530530071E-79</v>
      </c>
    </row>
    <row r="309" spans="1:6" x14ac:dyDescent="0.4">
      <c r="A309">
        <v>301</v>
      </c>
      <c r="B309">
        <f t="shared" si="22"/>
        <v>0.17808219178082191</v>
      </c>
      <c r="C309">
        <f t="shared" si="25"/>
        <v>1.1121824905727585E-82</v>
      </c>
      <c r="D309">
        <f t="shared" si="23"/>
        <v>1</v>
      </c>
      <c r="E309">
        <f t="shared" si="24"/>
        <v>5.1331499564896542E-82</v>
      </c>
      <c r="F309">
        <f t="shared" si="21"/>
        <v>1.5450781369033859E-79</v>
      </c>
    </row>
    <row r="310" spans="1:6" x14ac:dyDescent="0.4">
      <c r="A310">
        <v>302</v>
      </c>
      <c r="B310">
        <f t="shared" si="22"/>
        <v>0.17534246575342466</v>
      </c>
      <c r="C310">
        <f t="shared" si="25"/>
        <v>1.9501282026481244E-83</v>
      </c>
      <c r="D310">
        <f t="shared" si="23"/>
        <v>1</v>
      </c>
      <c r="E310">
        <f t="shared" si="24"/>
        <v>9.171696703079461E-83</v>
      </c>
      <c r="F310">
        <f t="shared" si="21"/>
        <v>2.7698524043299972E-80</v>
      </c>
    </row>
    <row r="311" spans="1:6" x14ac:dyDescent="0.4">
      <c r="A311">
        <v>303</v>
      </c>
      <c r="B311">
        <f t="shared" si="22"/>
        <v>0.17260273972602741</v>
      </c>
      <c r="C311">
        <f t="shared" si="25"/>
        <v>3.3659747059405983E-84</v>
      </c>
      <c r="D311">
        <f t="shared" si="23"/>
        <v>1</v>
      </c>
      <c r="E311">
        <f t="shared" si="24"/>
        <v>1.6135307320540645E-83</v>
      </c>
      <c r="F311">
        <f t="shared" si="21"/>
        <v>4.8889981181238155E-81</v>
      </c>
    </row>
    <row r="312" spans="1:6" x14ac:dyDescent="0.4">
      <c r="A312">
        <v>304</v>
      </c>
      <c r="B312">
        <f t="shared" si="22"/>
        <v>0.16986301369863013</v>
      </c>
      <c r="C312">
        <f t="shared" si="25"/>
        <v>5.7175460758443042E-85</v>
      </c>
      <c r="D312">
        <f t="shared" si="23"/>
        <v>1</v>
      </c>
      <c r="E312">
        <f t="shared" si="24"/>
        <v>2.7942200983561679E-84</v>
      </c>
      <c r="F312">
        <f t="shared" si="21"/>
        <v>8.4944290990027508E-82</v>
      </c>
    </row>
    <row r="313" spans="1:6" x14ac:dyDescent="0.4">
      <c r="A313">
        <v>305</v>
      </c>
      <c r="B313">
        <f t="shared" si="22"/>
        <v>0.16712328767123288</v>
      </c>
      <c r="C313">
        <f t="shared" si="25"/>
        <v>9.5553509760685631E-86</v>
      </c>
      <c r="D313">
        <f t="shared" si="23"/>
        <v>1</v>
      </c>
      <c r="E313">
        <f t="shared" si="24"/>
        <v>4.7620109782374479E-85</v>
      </c>
      <c r="F313">
        <f t="shared" si="21"/>
        <v>1.4524133483624216E-82</v>
      </c>
    </row>
    <row r="314" spans="1:6" x14ac:dyDescent="0.4">
      <c r="A314">
        <v>306</v>
      </c>
      <c r="B314">
        <f t="shared" si="22"/>
        <v>0.16438356164383561</v>
      </c>
      <c r="C314">
        <f t="shared" si="25"/>
        <v>1.5707426262030514E-86</v>
      </c>
      <c r="D314">
        <f t="shared" si="23"/>
        <v>1</v>
      </c>
      <c r="E314">
        <f t="shared" si="24"/>
        <v>7.9846083498655112E-86</v>
      </c>
      <c r="F314">
        <f t="shared" si="21"/>
        <v>2.4432901550588463E-83</v>
      </c>
    </row>
    <row r="315" spans="1:6" x14ac:dyDescent="0.4">
      <c r="A315">
        <v>307</v>
      </c>
      <c r="B315">
        <f t="shared" si="22"/>
        <v>0.16164383561643836</v>
      </c>
      <c r="C315">
        <f t="shared" si="25"/>
        <v>2.5390086286569872E-87</v>
      </c>
      <c r="D315">
        <f t="shared" si="23"/>
        <v>1</v>
      </c>
      <c r="E315">
        <f t="shared" si="24"/>
        <v>1.3168417633373525E-86</v>
      </c>
      <c r="F315">
        <f t="shared" si="21"/>
        <v>4.0427042134456719E-84</v>
      </c>
    </row>
    <row r="316" spans="1:6" x14ac:dyDescent="0.4">
      <c r="A316">
        <v>308</v>
      </c>
      <c r="B316">
        <f t="shared" si="22"/>
        <v>0.15890410958904111</v>
      </c>
      <c r="C316">
        <f t="shared" si="25"/>
        <v>4.0345890537563088E-88</v>
      </c>
      <c r="D316">
        <f t="shared" si="23"/>
        <v>1</v>
      </c>
      <c r="E316">
        <f t="shared" si="24"/>
        <v>2.1355497232813565E-87</v>
      </c>
      <c r="F316">
        <f t="shared" si="21"/>
        <v>6.5774931477065781E-85</v>
      </c>
    </row>
    <row r="317" spans="1:6" x14ac:dyDescent="0.4">
      <c r="A317">
        <v>309</v>
      </c>
      <c r="B317">
        <f t="shared" si="22"/>
        <v>0.15616438356164383</v>
      </c>
      <c r="C317">
        <f t="shared" si="25"/>
        <v>6.3005911250440987E-89</v>
      </c>
      <c r="D317">
        <f t="shared" si="23"/>
        <v>1</v>
      </c>
      <c r="E317">
        <f t="shared" si="24"/>
        <v>3.4045299412518987E-88</v>
      </c>
      <c r="F317">
        <f t="shared" si="21"/>
        <v>1.0519997518468367E-85</v>
      </c>
    </row>
    <row r="318" spans="1:6" x14ac:dyDescent="0.4">
      <c r="A318">
        <v>310</v>
      </c>
      <c r="B318">
        <f t="shared" si="22"/>
        <v>0.15342465753424658</v>
      </c>
      <c r="C318">
        <f t="shared" si="25"/>
        <v>9.666660356232042E-90</v>
      </c>
      <c r="D318">
        <f t="shared" si="23"/>
        <v>1</v>
      </c>
      <c r="E318">
        <f t="shared" si="24"/>
        <v>5.3339250894208949E-89</v>
      </c>
      <c r="F318">
        <f t="shared" si="21"/>
        <v>1.6535167777204773E-86</v>
      </c>
    </row>
    <row r="319" spans="1:6" x14ac:dyDescent="0.4">
      <c r="A319">
        <v>311</v>
      </c>
      <c r="B319">
        <f t="shared" si="22"/>
        <v>0.15068493150684931</v>
      </c>
      <c r="C319">
        <f t="shared" si="25"/>
        <v>1.4566200536788007E-90</v>
      </c>
      <c r="D319">
        <f t="shared" si="23"/>
        <v>1</v>
      </c>
      <c r="E319">
        <f t="shared" si="24"/>
        <v>8.2100403025532418E-90</v>
      </c>
      <c r="F319">
        <f t="shared" si="21"/>
        <v>2.5533225340940582E-87</v>
      </c>
    </row>
    <row r="320" spans="1:6" x14ac:dyDescent="0.4">
      <c r="A320">
        <v>312</v>
      </c>
      <c r="B320">
        <f t="shared" si="22"/>
        <v>0.14794520547945206</v>
      </c>
      <c r="C320">
        <f t="shared" si="25"/>
        <v>2.1549995314700065E-91</v>
      </c>
      <c r="D320">
        <f t="shared" si="23"/>
        <v>1</v>
      </c>
      <c r="E320">
        <f t="shared" si="24"/>
        <v>1.2411201005318001E-90</v>
      </c>
      <c r="F320">
        <f t="shared" si="21"/>
        <v>3.8722947136592166E-88</v>
      </c>
    </row>
    <row r="321" spans="1:6" x14ac:dyDescent="0.4">
      <c r="A321">
        <v>313</v>
      </c>
      <c r="B321">
        <f t="shared" si="22"/>
        <v>0.14520547945205478</v>
      </c>
      <c r="C321">
        <f t="shared" si="25"/>
        <v>3.129177401860557E-92</v>
      </c>
      <c r="D321">
        <f t="shared" si="23"/>
        <v>1</v>
      </c>
      <c r="E321">
        <f t="shared" si="24"/>
        <v>1.8420817912839509E-91</v>
      </c>
      <c r="F321">
        <f t="shared" si="21"/>
        <v>5.7657160067187665E-89</v>
      </c>
    </row>
    <row r="322" spans="1:6" x14ac:dyDescent="0.4">
      <c r="A322">
        <v>314</v>
      </c>
      <c r="B322">
        <f t="shared" si="22"/>
        <v>0.14246575342465753</v>
      </c>
      <c r="C322">
        <f t="shared" si="25"/>
        <v>4.4580061615547658E-93</v>
      </c>
      <c r="D322">
        <f t="shared" si="23"/>
        <v>1</v>
      </c>
      <c r="E322">
        <f t="shared" si="24"/>
        <v>2.6833767857050806E-92</v>
      </c>
      <c r="F322">
        <f t="shared" si="21"/>
        <v>8.4258031071139532E-90</v>
      </c>
    </row>
    <row r="323" spans="1:6" x14ac:dyDescent="0.4">
      <c r="A323">
        <v>315</v>
      </c>
      <c r="B323">
        <f t="shared" si="22"/>
        <v>0.13972602739726028</v>
      </c>
      <c r="C323">
        <f t="shared" si="25"/>
        <v>6.2289949106655635E-94</v>
      </c>
      <c r="D323">
        <f t="shared" si="23"/>
        <v>1</v>
      </c>
      <c r="E323">
        <f t="shared" si="24"/>
        <v>3.8351066704882096E-93</v>
      </c>
      <c r="F323">
        <f t="shared" si="21"/>
        <v>1.208058601203786E-90</v>
      </c>
    </row>
    <row r="324" spans="1:6" x14ac:dyDescent="0.4">
      <c r="A324">
        <v>316</v>
      </c>
      <c r="B324">
        <f t="shared" si="22"/>
        <v>0.13698630136986301</v>
      </c>
      <c r="C324">
        <f t="shared" si="25"/>
        <v>8.5328697406377575E-95</v>
      </c>
      <c r="D324">
        <f t="shared" si="23"/>
        <v>1</v>
      </c>
      <c r="E324">
        <f t="shared" si="24"/>
        <v>5.3757079366017872E-94</v>
      </c>
      <c r="F324">
        <f t="shared" si="21"/>
        <v>1.6987237079661647E-91</v>
      </c>
    </row>
    <row r="325" spans="1:6" x14ac:dyDescent="0.4">
      <c r="A325">
        <v>317</v>
      </c>
      <c r="B325">
        <f t="shared" si="22"/>
        <v>0.13424657534246576</v>
      </c>
      <c r="C325">
        <f t="shared" si="25"/>
        <v>1.1455085405239729E-95</v>
      </c>
      <c r="D325">
        <f t="shared" si="23"/>
        <v>1</v>
      </c>
      <c r="E325">
        <f t="shared" si="24"/>
        <v>7.3873612001137856E-95</v>
      </c>
      <c r="F325">
        <f t="shared" si="21"/>
        <v>2.3417935004360702E-92</v>
      </c>
    </row>
    <row r="326" spans="1:6" x14ac:dyDescent="0.4">
      <c r="A326">
        <v>318</v>
      </c>
      <c r="B326">
        <f t="shared" si="22"/>
        <v>0.13150684931506848</v>
      </c>
      <c r="C326">
        <f t="shared" si="25"/>
        <v>1.5064221902781011E-96</v>
      </c>
      <c r="D326">
        <f t="shared" si="23"/>
        <v>1</v>
      </c>
      <c r="E326">
        <f t="shared" si="24"/>
        <v>9.9486632149616275E-96</v>
      </c>
      <c r="F326">
        <f t="shared" si="21"/>
        <v>3.1636749023577973E-93</v>
      </c>
    </row>
    <row r="327" spans="1:6" x14ac:dyDescent="0.4">
      <c r="A327">
        <v>319</v>
      </c>
      <c r="B327">
        <f t="shared" si="22"/>
        <v>0.12876712328767123</v>
      </c>
      <c r="C327">
        <f t="shared" si="25"/>
        <v>1.9397765189882398E-97</v>
      </c>
      <c r="D327">
        <f t="shared" si="23"/>
        <v>1</v>
      </c>
      <c r="E327">
        <f t="shared" si="24"/>
        <v>1.3124445383792771E-96</v>
      </c>
      <c r="F327">
        <f t="shared" si="21"/>
        <v>4.1866980774298939E-94</v>
      </c>
    </row>
    <row r="328" spans="1:6" x14ac:dyDescent="0.4">
      <c r="A328">
        <v>320</v>
      </c>
      <c r="B328">
        <f t="shared" si="22"/>
        <v>0.12602739726027398</v>
      </c>
      <c r="C328">
        <f t="shared" si="25"/>
        <v>2.4446498595468229E-98</v>
      </c>
      <c r="D328">
        <f t="shared" si="23"/>
        <v>1</v>
      </c>
      <c r="E328">
        <f t="shared" si="24"/>
        <v>1.6953115330335577E-97</v>
      </c>
      <c r="F328">
        <f t="shared" si="21"/>
        <v>5.4249969057073848E-95</v>
      </c>
    </row>
    <row r="329" spans="1:6" x14ac:dyDescent="0.4">
      <c r="A329">
        <v>321</v>
      </c>
      <c r="B329">
        <f t="shared" si="22"/>
        <v>0.12328767123287671</v>
      </c>
      <c r="C329">
        <f t="shared" si="25"/>
        <v>3.0139518816330692E-99</v>
      </c>
      <c r="D329">
        <f t="shared" si="23"/>
        <v>1</v>
      </c>
      <c r="E329">
        <f t="shared" si="24"/>
        <v>2.1432546713835162E-98</v>
      </c>
      <c r="F329">
        <f t="shared" si="21"/>
        <v>6.8798474951410865E-96</v>
      </c>
    </row>
    <row r="330" spans="1:6" x14ac:dyDescent="0.4">
      <c r="A330">
        <v>322</v>
      </c>
      <c r="B330">
        <f t="shared" si="22"/>
        <v>0.12054794520547946</v>
      </c>
      <c r="C330">
        <f t="shared" si="25"/>
        <v>3.6332570627905491E-100</v>
      </c>
      <c r="D330">
        <f t="shared" si="23"/>
        <v>1</v>
      </c>
      <c r="E330">
        <f t="shared" si="24"/>
        <v>2.6506261753540143E-99</v>
      </c>
      <c r="F330">
        <f t="shared" ref="F330:F374" si="26">A330*E330</f>
        <v>8.535016284639926E-97</v>
      </c>
    </row>
    <row r="331" spans="1:6" x14ac:dyDescent="0.4">
      <c r="A331">
        <v>323</v>
      </c>
      <c r="B331">
        <f t="shared" ref="B331:B374" si="27">(366-A331)/365</f>
        <v>0.11780821917808219</v>
      </c>
      <c r="C331">
        <f t="shared" si="25"/>
        <v>4.2802754438354416E-101</v>
      </c>
      <c r="D331">
        <f t="shared" ref="D331:D374" si="28">1-C331</f>
        <v>1</v>
      </c>
      <c r="E331">
        <f t="shared" ref="E331:E374" si="29">C330*A330/365</f>
        <v>3.2052295184070049E-100</v>
      </c>
      <c r="F331">
        <f t="shared" si="26"/>
        <v>1.0352891344454626E-97</v>
      </c>
    </row>
    <row r="332" spans="1:6" x14ac:dyDescent="0.4">
      <c r="A332">
        <v>324</v>
      </c>
      <c r="B332">
        <f t="shared" si="27"/>
        <v>0.11506849315068493</v>
      </c>
      <c r="C332">
        <f t="shared" si="25"/>
        <v>4.9252484559202341E-102</v>
      </c>
      <c r="D332">
        <f t="shared" si="28"/>
        <v>1</v>
      </c>
      <c r="E332">
        <f t="shared" si="29"/>
        <v>3.787750598243418E-101</v>
      </c>
      <c r="F332">
        <f t="shared" si="26"/>
        <v>1.2272311938308675E-98</v>
      </c>
    </row>
    <row r="333" spans="1:6" x14ac:dyDescent="0.4">
      <c r="A333">
        <v>325</v>
      </c>
      <c r="B333">
        <f t="shared" si="27"/>
        <v>0.11232876712328767</v>
      </c>
      <c r="C333">
        <f t="shared" si="25"/>
        <v>5.5324708682939617E-103</v>
      </c>
      <c r="D333">
        <f t="shared" si="28"/>
        <v>1</v>
      </c>
      <c r="E333">
        <f t="shared" si="29"/>
        <v>4.372001369090838E-102</v>
      </c>
      <c r="F333">
        <f t="shared" si="26"/>
        <v>1.4209004449545223E-99</v>
      </c>
    </row>
    <row r="334" spans="1:6" x14ac:dyDescent="0.4">
      <c r="A334">
        <v>326</v>
      </c>
      <c r="B334">
        <f t="shared" si="27"/>
        <v>0.1095890410958904</v>
      </c>
      <c r="C334">
        <f t="shared" si="25"/>
        <v>6.0629817734728346E-104</v>
      </c>
      <c r="D334">
        <f t="shared" si="28"/>
        <v>1</v>
      </c>
      <c r="E334">
        <f t="shared" si="29"/>
        <v>4.926172690946678E-103</v>
      </c>
      <c r="F334">
        <f t="shared" si="26"/>
        <v>1.6059322972486171E-100</v>
      </c>
    </row>
    <row r="335" spans="1:6" x14ac:dyDescent="0.4">
      <c r="A335">
        <v>327</v>
      </c>
      <c r="B335">
        <f t="shared" si="27"/>
        <v>0.10684931506849316</v>
      </c>
      <c r="C335">
        <f t="shared" si="25"/>
        <v>6.4782544976833028E-105</v>
      </c>
      <c r="D335">
        <f t="shared" si="28"/>
        <v>1</v>
      </c>
      <c r="E335">
        <f t="shared" si="29"/>
        <v>5.4151563237045045E-104</v>
      </c>
      <c r="F335">
        <f t="shared" si="26"/>
        <v>1.7707561178513728E-101</v>
      </c>
    </row>
    <row r="336" spans="1:6" x14ac:dyDescent="0.4">
      <c r="A336">
        <v>328</v>
      </c>
      <c r="B336">
        <f t="shared" si="27"/>
        <v>0.10410958904109589</v>
      </c>
      <c r="C336">
        <f t="shared" si="25"/>
        <v>6.7444841345743976E-106</v>
      </c>
      <c r="D336">
        <f t="shared" si="28"/>
        <v>1</v>
      </c>
      <c r="E336">
        <f t="shared" si="29"/>
        <v>5.8038060842258626E-105</v>
      </c>
      <c r="F336">
        <f t="shared" si="26"/>
        <v>1.9036483956260829E-102</v>
      </c>
    </row>
    <row r="337" spans="1:6" x14ac:dyDescent="0.4">
      <c r="A337">
        <v>329</v>
      </c>
      <c r="B337">
        <f t="shared" si="27"/>
        <v>0.10136986301369863</v>
      </c>
      <c r="C337">
        <f t="shared" si="25"/>
        <v>6.8368743281987041E-107</v>
      </c>
      <c r="D337">
        <f t="shared" si="28"/>
        <v>1</v>
      </c>
      <c r="E337">
        <f t="shared" si="29"/>
        <v>6.060796701754527E-106</v>
      </c>
      <c r="F337">
        <f t="shared" si="26"/>
        <v>1.9940021148772393E-103</v>
      </c>
    </row>
    <row r="338" spans="1:6" x14ac:dyDescent="0.4">
      <c r="A338">
        <v>330</v>
      </c>
      <c r="B338">
        <f t="shared" si="27"/>
        <v>9.8630136986301367E-2</v>
      </c>
      <c r="C338">
        <f t="shared" si="25"/>
        <v>6.7432185154836534E-108</v>
      </c>
      <c r="D338">
        <f t="shared" si="28"/>
        <v>1</v>
      </c>
      <c r="E338">
        <f t="shared" si="29"/>
        <v>6.1625524766503382E-107</v>
      </c>
      <c r="F338">
        <f t="shared" si="26"/>
        <v>2.0336423172946115E-104</v>
      </c>
    </row>
    <row r="339" spans="1:6" x14ac:dyDescent="0.4">
      <c r="A339">
        <v>331</v>
      </c>
      <c r="B339">
        <f t="shared" si="27"/>
        <v>9.5890410958904104E-2</v>
      </c>
      <c r="C339">
        <f t="shared" si="25"/>
        <v>6.4660999463541874E-109</v>
      </c>
      <c r="D339">
        <f t="shared" si="28"/>
        <v>1</v>
      </c>
      <c r="E339">
        <f t="shared" si="29"/>
        <v>6.0966085208482342E-108</v>
      </c>
      <c r="F339">
        <f t="shared" si="26"/>
        <v>2.0179774204007655E-105</v>
      </c>
    </row>
    <row r="340" spans="1:6" x14ac:dyDescent="0.4">
      <c r="A340">
        <v>332</v>
      </c>
      <c r="B340">
        <f t="shared" si="27"/>
        <v>9.3150684931506855E-2</v>
      </c>
      <c r="C340">
        <f t="shared" si="25"/>
        <v>6.0232163883847234E-110</v>
      </c>
      <c r="D340">
        <f t="shared" si="28"/>
        <v>1</v>
      </c>
      <c r="E340">
        <f t="shared" si="29"/>
        <v>5.8637783075157156E-109</v>
      </c>
      <c r="F340">
        <f t="shared" si="26"/>
        <v>1.9467743980952176E-106</v>
      </c>
    </row>
    <row r="341" spans="1:6" x14ac:dyDescent="0.4">
      <c r="A341">
        <v>333</v>
      </c>
      <c r="B341">
        <f t="shared" si="27"/>
        <v>9.0410958904109592E-2</v>
      </c>
      <c r="C341">
        <f t="shared" si="25"/>
        <v>5.4456476936081065E-111</v>
      </c>
      <c r="D341">
        <f t="shared" si="28"/>
        <v>1</v>
      </c>
      <c r="E341">
        <f t="shared" si="29"/>
        <v>5.4786516190239124E-110</v>
      </c>
      <c r="F341">
        <f t="shared" si="26"/>
        <v>1.8243909891349629E-107</v>
      </c>
    </row>
    <row r="342" spans="1:6" x14ac:dyDescent="0.4">
      <c r="A342">
        <v>334</v>
      </c>
      <c r="B342">
        <f t="shared" si="27"/>
        <v>8.7671232876712329E-2</v>
      </c>
      <c r="C342">
        <f t="shared" si="25"/>
        <v>4.7742664711084766E-112</v>
      </c>
      <c r="D342">
        <f t="shared" si="28"/>
        <v>1</v>
      </c>
      <c r="E342">
        <f t="shared" si="29"/>
        <v>4.9682210464972588E-111</v>
      </c>
      <c r="F342">
        <f t="shared" si="26"/>
        <v>1.6593858295300844E-108</v>
      </c>
    </row>
    <row r="343" spans="1:6" x14ac:dyDescent="0.4">
      <c r="A343">
        <v>335</v>
      </c>
      <c r="B343">
        <f t="shared" si="27"/>
        <v>8.4931506849315067E-2</v>
      </c>
      <c r="C343">
        <f t="shared" si="25"/>
        <v>4.0548564549140487E-113</v>
      </c>
      <c r="D343">
        <f t="shared" si="28"/>
        <v>1</v>
      </c>
      <c r="E343">
        <f t="shared" si="29"/>
        <v>4.3687808256170716E-112</v>
      </c>
      <c r="F343">
        <f t="shared" si="26"/>
        <v>1.463541576581719E-109</v>
      </c>
    </row>
    <row r="344" spans="1:6" x14ac:dyDescent="0.4">
      <c r="A344">
        <v>336</v>
      </c>
      <c r="B344">
        <f t="shared" si="27"/>
        <v>8.2191780821917804E-2</v>
      </c>
      <c r="C344">
        <f t="shared" si="25"/>
        <v>3.3327587300663413E-114</v>
      </c>
      <c r="D344">
        <f t="shared" si="28"/>
        <v>1</v>
      </c>
      <c r="E344">
        <f t="shared" si="29"/>
        <v>3.7215805819074145E-113</v>
      </c>
      <c r="F344">
        <f t="shared" si="26"/>
        <v>1.2504510755208913E-110</v>
      </c>
    </row>
    <row r="345" spans="1:6" x14ac:dyDescent="0.4">
      <c r="A345">
        <v>337</v>
      </c>
      <c r="B345">
        <f t="shared" si="27"/>
        <v>7.9452054794520555E-2</v>
      </c>
      <c r="C345">
        <f t="shared" si="25"/>
        <v>2.6479452923814769E-115</v>
      </c>
      <c r="D345">
        <f t="shared" si="28"/>
        <v>1</v>
      </c>
      <c r="E345">
        <f t="shared" si="29"/>
        <v>3.0679642008281937E-114</v>
      </c>
      <c r="F345">
        <f t="shared" si="26"/>
        <v>1.0339039356791013E-111</v>
      </c>
    </row>
    <row r="346" spans="1:6" x14ac:dyDescent="0.4">
      <c r="A346">
        <v>338</v>
      </c>
      <c r="B346">
        <f t="shared" si="27"/>
        <v>7.6712328767123292E-2</v>
      </c>
      <c r="C346">
        <f t="shared" si="25"/>
        <v>2.0313004982652427E-116</v>
      </c>
      <c r="D346">
        <f t="shared" si="28"/>
        <v>1</v>
      </c>
      <c r="E346">
        <f t="shared" si="29"/>
        <v>2.4448152425549526E-115</v>
      </c>
      <c r="F346">
        <f t="shared" si="26"/>
        <v>8.2634755198357396E-113</v>
      </c>
    </row>
    <row r="347" spans="1:6" x14ac:dyDescent="0.4">
      <c r="A347">
        <v>339</v>
      </c>
      <c r="B347">
        <f t="shared" si="27"/>
        <v>7.3972602739726029E-2</v>
      </c>
      <c r="C347">
        <f t="shared" si="25"/>
        <v>1.5026058480318234E-117</v>
      </c>
      <c r="D347">
        <f t="shared" si="28"/>
        <v>1</v>
      </c>
      <c r="E347">
        <f t="shared" si="29"/>
        <v>1.8810399134620602E-116</v>
      </c>
      <c r="F347">
        <f t="shared" si="26"/>
        <v>6.3767253066363839E-114</v>
      </c>
    </row>
    <row r="348" spans="1:6" x14ac:dyDescent="0.4">
      <c r="A348">
        <v>340</v>
      </c>
      <c r="B348">
        <f t="shared" si="27"/>
        <v>7.1232876712328766E-2</v>
      </c>
      <c r="C348">
        <f t="shared" si="25"/>
        <v>1.0703493712007508E-118</v>
      </c>
      <c r="D348">
        <f t="shared" si="28"/>
        <v>1</v>
      </c>
      <c r="E348">
        <f t="shared" si="29"/>
        <v>1.3955709109117484E-117</v>
      </c>
      <c r="F348">
        <f t="shared" si="26"/>
        <v>4.7449410970999448E-115</v>
      </c>
    </row>
    <row r="349" spans="1:6" x14ac:dyDescent="0.4">
      <c r="A349">
        <v>341</v>
      </c>
      <c r="B349">
        <f t="shared" si="27"/>
        <v>6.8493150684931503E-2</v>
      </c>
      <c r="C349">
        <f t="shared" si="25"/>
        <v>7.3311600767174708E-120</v>
      </c>
      <c r="D349">
        <f t="shared" si="28"/>
        <v>1</v>
      </c>
      <c r="E349">
        <f t="shared" si="29"/>
        <v>9.9703777043357614E-119</v>
      </c>
      <c r="F349">
        <f t="shared" si="26"/>
        <v>3.3998987971784948E-116</v>
      </c>
    </row>
    <row r="350" spans="1:6" x14ac:dyDescent="0.4">
      <c r="A350">
        <v>342</v>
      </c>
      <c r="B350">
        <f t="shared" si="27"/>
        <v>6.575342465753424E-2</v>
      </c>
      <c r="C350">
        <f t="shared" si="25"/>
        <v>4.8204888175676519E-121</v>
      </c>
      <c r="D350">
        <f t="shared" si="28"/>
        <v>1</v>
      </c>
      <c r="E350">
        <f t="shared" si="29"/>
        <v>6.8491111949607057E-120</v>
      </c>
      <c r="F350">
        <f t="shared" si="26"/>
        <v>2.3423960286765615E-117</v>
      </c>
    </row>
    <row r="351" spans="1:6" x14ac:dyDescent="0.4">
      <c r="A351">
        <v>343</v>
      </c>
      <c r="B351">
        <f t="shared" si="27"/>
        <v>6.3013698630136991E-2</v>
      </c>
      <c r="C351">
        <f t="shared" si="25"/>
        <v>3.0375682960015342E-122</v>
      </c>
      <c r="D351">
        <f t="shared" si="28"/>
        <v>1</v>
      </c>
      <c r="E351">
        <f t="shared" si="29"/>
        <v>4.5167319879674982E-121</v>
      </c>
      <c r="F351">
        <f t="shared" si="26"/>
        <v>1.549239071872852E-118</v>
      </c>
    </row>
    <row r="352" spans="1:6" x14ac:dyDescent="0.4">
      <c r="A352">
        <v>344</v>
      </c>
      <c r="B352">
        <f t="shared" si="27"/>
        <v>6.0273972602739728E-2</v>
      </c>
      <c r="C352">
        <f t="shared" ref="C352:C374" si="30">C351*B352</f>
        <v>1.8308630825214726E-123</v>
      </c>
      <c r="D352">
        <f t="shared" si="28"/>
        <v>1</v>
      </c>
      <c r="E352">
        <f t="shared" si="29"/>
        <v>2.8544819877493872E-122</v>
      </c>
      <c r="F352">
        <f t="shared" si="26"/>
        <v>9.8194180378578912E-120</v>
      </c>
    </row>
    <row r="353" spans="1:6" x14ac:dyDescent="0.4">
      <c r="A353">
        <v>345</v>
      </c>
      <c r="B353">
        <f t="shared" si="27"/>
        <v>5.7534246575342465E-2</v>
      </c>
      <c r="C353">
        <f t="shared" si="30"/>
        <v>1.0533732803548199E-124</v>
      </c>
      <c r="D353">
        <f t="shared" si="28"/>
        <v>1</v>
      </c>
      <c r="E353">
        <f t="shared" si="29"/>
        <v>1.7255257544859906E-123</v>
      </c>
      <c r="F353">
        <f t="shared" si="26"/>
        <v>5.9530638529766674E-121</v>
      </c>
    </row>
    <row r="354" spans="1:6" x14ac:dyDescent="0.4">
      <c r="A354">
        <v>346</v>
      </c>
      <c r="B354">
        <f t="shared" si="27"/>
        <v>5.4794520547945202E-2</v>
      </c>
      <c r="C354">
        <f t="shared" si="30"/>
        <v>5.7719083855058622E-126</v>
      </c>
      <c r="D354">
        <f t="shared" si="28"/>
        <v>1</v>
      </c>
      <c r="E354">
        <f t="shared" si="29"/>
        <v>9.9565419649976126E-125</v>
      </c>
      <c r="F354">
        <f t="shared" si="26"/>
        <v>3.444963519889174E-122</v>
      </c>
    </row>
    <row r="355" spans="1:6" x14ac:dyDescent="0.4">
      <c r="A355">
        <v>347</v>
      </c>
      <c r="B355">
        <f t="shared" si="27"/>
        <v>5.2054794520547946E-2</v>
      </c>
      <c r="C355">
        <f t="shared" si="30"/>
        <v>3.004555049989353E-127</v>
      </c>
      <c r="D355">
        <f t="shared" si="28"/>
        <v>1</v>
      </c>
      <c r="E355">
        <f t="shared" si="29"/>
        <v>5.4714528805069268E-126</v>
      </c>
      <c r="F355">
        <f t="shared" si="26"/>
        <v>1.8985941495359035E-123</v>
      </c>
    </row>
    <row r="356" spans="1:6" x14ac:dyDescent="0.4">
      <c r="A356">
        <v>348</v>
      </c>
      <c r="B356">
        <f t="shared" si="27"/>
        <v>4.9315068493150684E-2</v>
      </c>
      <c r="C356">
        <f t="shared" si="30"/>
        <v>1.4816983808166673E-128</v>
      </c>
      <c r="D356">
        <f t="shared" si="28"/>
        <v>1</v>
      </c>
      <c r="E356">
        <f t="shared" si="29"/>
        <v>2.8563852119076862E-127</v>
      </c>
      <c r="F356">
        <f t="shared" si="26"/>
        <v>9.9402205374387481E-125</v>
      </c>
    </row>
    <row r="357" spans="1:6" x14ac:dyDescent="0.4">
      <c r="A357">
        <v>349</v>
      </c>
      <c r="B357">
        <f t="shared" si="27"/>
        <v>4.6575342465753428E-2</v>
      </c>
      <c r="C357">
        <f t="shared" si="30"/>
        <v>6.9010609517488615E-130</v>
      </c>
      <c r="D357">
        <f t="shared" si="28"/>
        <v>1</v>
      </c>
      <c r="E357">
        <f t="shared" si="29"/>
        <v>1.4126877712991786E-128</v>
      </c>
      <c r="F357">
        <f t="shared" si="26"/>
        <v>4.9302803218341332E-126</v>
      </c>
    </row>
    <row r="358" spans="1:6" x14ac:dyDescent="0.4">
      <c r="A358">
        <v>350</v>
      </c>
      <c r="B358">
        <f t="shared" si="27"/>
        <v>4.3835616438356165E-2</v>
      </c>
      <c r="C358">
        <f t="shared" si="30"/>
        <v>3.0251226089858024E-131</v>
      </c>
      <c r="D358">
        <f t="shared" si="28"/>
        <v>1</v>
      </c>
      <c r="E358">
        <f t="shared" si="29"/>
        <v>6.5985486908502808E-130</v>
      </c>
      <c r="F358">
        <f t="shared" si="26"/>
        <v>2.3094920417975982E-127</v>
      </c>
    </row>
    <row r="359" spans="1:6" x14ac:dyDescent="0.4">
      <c r="A359">
        <v>351</v>
      </c>
      <c r="B359">
        <f t="shared" si="27"/>
        <v>4.1095890410958902E-2</v>
      </c>
      <c r="C359">
        <f t="shared" si="30"/>
        <v>1.2432010721859462E-132</v>
      </c>
      <c r="D359">
        <f t="shared" si="28"/>
        <v>1</v>
      </c>
      <c r="E359">
        <f t="shared" si="29"/>
        <v>2.9008025017672078E-131</v>
      </c>
      <c r="F359">
        <f t="shared" si="26"/>
        <v>1.0181816781202899E-128</v>
      </c>
    </row>
    <row r="360" spans="1:6" x14ac:dyDescent="0.4">
      <c r="A360">
        <v>352</v>
      </c>
      <c r="B360">
        <f t="shared" si="27"/>
        <v>3.8356164383561646E-2</v>
      </c>
      <c r="C360">
        <f t="shared" si="30"/>
        <v>4.7684424686584239E-134</v>
      </c>
      <c r="D360">
        <f t="shared" si="28"/>
        <v>1</v>
      </c>
      <c r="E360">
        <f t="shared" si="29"/>
        <v>1.195516647499362E-132</v>
      </c>
      <c r="F360">
        <f t="shared" si="26"/>
        <v>4.2082185991977543E-130</v>
      </c>
    </row>
    <row r="361" spans="1:6" x14ac:dyDescent="0.4">
      <c r="A361">
        <v>353</v>
      </c>
      <c r="B361">
        <f t="shared" si="27"/>
        <v>3.5616438356164383E-2</v>
      </c>
      <c r="C361">
        <f t="shared" si="30"/>
        <v>1.6983493723988907E-135</v>
      </c>
      <c r="D361">
        <f t="shared" si="28"/>
        <v>1</v>
      </c>
      <c r="E361">
        <f t="shared" si="29"/>
        <v>4.5986075314185349E-134</v>
      </c>
      <c r="F361">
        <f t="shared" si="26"/>
        <v>1.6233084585907427E-131</v>
      </c>
    </row>
    <row r="362" spans="1:6" x14ac:dyDescent="0.4">
      <c r="A362">
        <v>354</v>
      </c>
      <c r="B362">
        <f t="shared" si="27"/>
        <v>3.287671232876712E-2</v>
      </c>
      <c r="C362">
        <f t="shared" si="30"/>
        <v>5.5836143750100511E-137</v>
      </c>
      <c r="D362">
        <f t="shared" si="28"/>
        <v>1</v>
      </c>
      <c r="E362">
        <f t="shared" si="29"/>
        <v>1.6425132286487902E-135</v>
      </c>
      <c r="F362">
        <f t="shared" si="26"/>
        <v>5.814496829416717E-133</v>
      </c>
    </row>
    <row r="363" spans="1:6" x14ac:dyDescent="0.4">
      <c r="A363">
        <v>355</v>
      </c>
      <c r="B363">
        <f t="shared" si="27"/>
        <v>3.0136986301369864E-2</v>
      </c>
      <c r="C363">
        <f t="shared" si="30"/>
        <v>1.6827330993180975E-138</v>
      </c>
      <c r="D363">
        <f t="shared" si="28"/>
        <v>1</v>
      </c>
      <c r="E363">
        <f t="shared" si="29"/>
        <v>5.4153410650782418E-137</v>
      </c>
      <c r="F363">
        <f t="shared" si="26"/>
        <v>1.9224460781027758E-134</v>
      </c>
    </row>
    <row r="364" spans="1:6" x14ac:dyDescent="0.4">
      <c r="A364">
        <v>356</v>
      </c>
      <c r="B364">
        <f t="shared" si="27"/>
        <v>2.7397260273972601E-2</v>
      </c>
      <c r="C364">
        <f t="shared" si="30"/>
        <v>4.6102276693646504E-140</v>
      </c>
      <c r="D364">
        <f t="shared" si="28"/>
        <v>1</v>
      </c>
      <c r="E364">
        <f t="shared" si="29"/>
        <v>1.6366308226244511E-138</v>
      </c>
      <c r="F364">
        <f t="shared" si="26"/>
        <v>5.8264057285430461E-136</v>
      </c>
    </row>
    <row r="365" spans="1:6" x14ac:dyDescent="0.4">
      <c r="A365">
        <v>357</v>
      </c>
      <c r="B365">
        <f t="shared" si="27"/>
        <v>2.4657534246575342E-2</v>
      </c>
      <c r="C365">
        <f t="shared" si="30"/>
        <v>1.1367684664186809E-141</v>
      </c>
      <c r="D365">
        <f t="shared" si="28"/>
        <v>1</v>
      </c>
      <c r="E365">
        <f t="shared" si="29"/>
        <v>4.496550822722782E-140</v>
      </c>
      <c r="F365">
        <f t="shared" si="26"/>
        <v>1.6052686437120332E-137</v>
      </c>
    </row>
    <row r="366" spans="1:6" x14ac:dyDescent="0.4">
      <c r="A366">
        <v>358</v>
      </c>
      <c r="B366">
        <f t="shared" si="27"/>
        <v>2.1917808219178082E-2</v>
      </c>
      <c r="C366">
        <f t="shared" si="30"/>
        <v>2.4915473236573828E-143</v>
      </c>
      <c r="D366">
        <f t="shared" si="28"/>
        <v>1</v>
      </c>
      <c r="E366">
        <f t="shared" si="29"/>
        <v>1.1118529931821069E-141</v>
      </c>
      <c r="F366">
        <f t="shared" si="26"/>
        <v>3.9804337155919423E-139</v>
      </c>
    </row>
    <row r="367" spans="1:6" x14ac:dyDescent="0.4">
      <c r="A367">
        <v>359</v>
      </c>
      <c r="B367">
        <f t="shared" si="27"/>
        <v>1.9178082191780823E-2</v>
      </c>
      <c r="C367">
        <f t="shared" si="30"/>
        <v>4.7783099357812823E-145</v>
      </c>
      <c r="D367">
        <f t="shared" si="28"/>
        <v>1</v>
      </c>
      <c r="E367">
        <f t="shared" si="29"/>
        <v>2.4437642242995698E-143</v>
      </c>
      <c r="F367">
        <f t="shared" si="26"/>
        <v>8.7731135652354552E-141</v>
      </c>
    </row>
    <row r="368" spans="1:6" x14ac:dyDescent="0.4">
      <c r="A368">
        <v>360</v>
      </c>
      <c r="B368">
        <f t="shared" si="27"/>
        <v>1.643835616438356E-2</v>
      </c>
      <c r="C368">
        <f t="shared" si="30"/>
        <v>7.8547560588185456E-147</v>
      </c>
      <c r="D368">
        <f t="shared" si="28"/>
        <v>1</v>
      </c>
      <c r="E368">
        <f t="shared" si="29"/>
        <v>4.6997623751930963E-145</v>
      </c>
      <c r="F368">
        <f t="shared" si="26"/>
        <v>1.6919144550695147E-142</v>
      </c>
    </row>
    <row r="369" spans="1:6" x14ac:dyDescent="0.4">
      <c r="A369">
        <v>361</v>
      </c>
      <c r="B369">
        <f t="shared" si="27"/>
        <v>1.3698630136986301E-2</v>
      </c>
      <c r="C369">
        <f t="shared" si="30"/>
        <v>1.0759939806600747E-148</v>
      </c>
      <c r="D369">
        <f t="shared" si="28"/>
        <v>1</v>
      </c>
      <c r="E369">
        <f t="shared" si="29"/>
        <v>7.7471566607525382E-147</v>
      </c>
      <c r="F369">
        <f t="shared" si="26"/>
        <v>2.7967235545316663E-144</v>
      </c>
    </row>
    <row r="370" spans="1:6" x14ac:dyDescent="0.4">
      <c r="A370">
        <v>362</v>
      </c>
      <c r="B370">
        <f t="shared" si="27"/>
        <v>1.0958904109589041E-2</v>
      </c>
      <c r="C370">
        <f t="shared" si="30"/>
        <v>1.1791714856548765E-150</v>
      </c>
      <c r="D370">
        <f t="shared" si="28"/>
        <v>1</v>
      </c>
      <c r="E370">
        <f t="shared" si="29"/>
        <v>1.064202265803526E-148</v>
      </c>
      <c r="F370">
        <f t="shared" si="26"/>
        <v>3.8524122022087644E-146</v>
      </c>
    </row>
    <row r="371" spans="1:6" x14ac:dyDescent="0.4">
      <c r="A371">
        <v>363</v>
      </c>
      <c r="B371">
        <f t="shared" si="27"/>
        <v>8.21917808219178E-3</v>
      </c>
      <c r="C371">
        <f t="shared" si="30"/>
        <v>9.6918204300400805E-153</v>
      </c>
      <c r="D371">
        <f t="shared" si="28"/>
        <v>1</v>
      </c>
      <c r="E371">
        <f t="shared" si="29"/>
        <v>1.1694796652248364E-150</v>
      </c>
      <c r="F371">
        <f t="shared" si="26"/>
        <v>4.2452111847661559E-148</v>
      </c>
    </row>
    <row r="372" spans="1:6" x14ac:dyDescent="0.4">
      <c r="A372">
        <v>364</v>
      </c>
      <c r="B372">
        <f t="shared" si="27"/>
        <v>5.4794520547945206E-3</v>
      </c>
      <c r="C372">
        <f t="shared" si="30"/>
        <v>5.3105865370082633E-155</v>
      </c>
      <c r="D372">
        <f t="shared" si="28"/>
        <v>1</v>
      </c>
      <c r="E372">
        <f t="shared" si="29"/>
        <v>9.6387145646699988E-153</v>
      </c>
      <c r="F372">
        <f t="shared" si="26"/>
        <v>3.5084921015398796E-150</v>
      </c>
    </row>
    <row r="373" spans="1:6" x14ac:dyDescent="0.4">
      <c r="A373">
        <v>365</v>
      </c>
      <c r="B373">
        <f t="shared" si="27"/>
        <v>2.7397260273972603E-3</v>
      </c>
      <c r="C373">
        <f t="shared" si="30"/>
        <v>1.4549552156187023E-157</v>
      </c>
      <c r="D373">
        <f t="shared" si="28"/>
        <v>1</v>
      </c>
      <c r="E373">
        <f t="shared" si="29"/>
        <v>5.2960369848520762E-155</v>
      </c>
      <c r="F373">
        <f t="shared" si="26"/>
        <v>1.9330534994710079E-152</v>
      </c>
    </row>
    <row r="374" spans="1:6" x14ac:dyDescent="0.4">
      <c r="A374">
        <v>366</v>
      </c>
      <c r="B374">
        <f t="shared" si="27"/>
        <v>0</v>
      </c>
      <c r="C374">
        <f t="shared" si="30"/>
        <v>0</v>
      </c>
      <c r="D374">
        <f t="shared" si="28"/>
        <v>1</v>
      </c>
      <c r="E374">
        <f t="shared" si="29"/>
        <v>1.4549552156187023E-157</v>
      </c>
      <c r="F374">
        <f t="shared" si="26"/>
        <v>5.3251360891644504E-155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3426-1279-4210-A010-1160783C923B}">
  <dimension ref="A1:K108"/>
  <sheetViews>
    <sheetView workbookViewId="0">
      <selection activeCell="C9" sqref="C9"/>
    </sheetView>
  </sheetViews>
  <sheetFormatPr defaultRowHeight="18.75" x14ac:dyDescent="0.4"/>
  <cols>
    <col min="1" max="1" width="5.5" bestFit="1" customWidth="1"/>
    <col min="2" max="2" width="13.375" customWidth="1"/>
    <col min="3" max="11" width="12.75" customWidth="1"/>
  </cols>
  <sheetData>
    <row r="1" spans="1:11" x14ac:dyDescent="0.4">
      <c r="B1" t="s">
        <v>8</v>
      </c>
    </row>
    <row r="2" spans="1:11" x14ac:dyDescent="0.4">
      <c r="B2" s="2" t="s">
        <v>9</v>
      </c>
      <c r="C2">
        <v>0</v>
      </c>
      <c r="E2" t="s">
        <v>10</v>
      </c>
    </row>
    <row r="3" spans="1:11" x14ac:dyDescent="0.4">
      <c r="C3">
        <v>1</v>
      </c>
      <c r="E3" t="s">
        <v>11</v>
      </c>
    </row>
    <row r="4" spans="1:11" x14ac:dyDescent="0.4">
      <c r="C4" s="15" t="s">
        <v>12</v>
      </c>
      <c r="D4" s="15"/>
      <c r="E4" t="s">
        <v>13</v>
      </c>
    </row>
    <row r="5" spans="1:11" x14ac:dyDescent="0.4">
      <c r="H5" s="2" t="s">
        <v>15</v>
      </c>
      <c r="I5" s="22" t="s">
        <v>14</v>
      </c>
      <c r="J5" s="22"/>
      <c r="K5" s="22"/>
    </row>
    <row r="6" spans="1:11" ht="19.5" thickBot="1" x14ac:dyDescent="0.45"/>
    <row r="7" spans="1:11" x14ac:dyDescent="0.4">
      <c r="A7" s="9" t="s">
        <v>3</v>
      </c>
      <c r="B7" s="10">
        <v>1</v>
      </c>
      <c r="C7" s="10">
        <f>B7+1</f>
        <v>2</v>
      </c>
      <c r="D7" s="10">
        <f t="shared" ref="D7:G7" si="0">C7+1</f>
        <v>3</v>
      </c>
      <c r="E7" s="10">
        <f t="shared" si="0"/>
        <v>4</v>
      </c>
      <c r="F7" s="10">
        <f t="shared" si="0"/>
        <v>5</v>
      </c>
      <c r="G7" s="10">
        <f t="shared" si="0"/>
        <v>6</v>
      </c>
      <c r="H7" s="10">
        <f t="shared" ref="H7:K7" si="1">G7+1</f>
        <v>7</v>
      </c>
      <c r="I7" s="10">
        <f t="shared" si="1"/>
        <v>8</v>
      </c>
      <c r="J7" s="10">
        <f t="shared" si="1"/>
        <v>9</v>
      </c>
      <c r="K7" s="10">
        <f t="shared" si="1"/>
        <v>10</v>
      </c>
    </row>
    <row r="8" spans="1:11" ht="19.5" thickBot="1" x14ac:dyDescent="0.45">
      <c r="A8" s="7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ht="19.5" thickBot="1" x14ac:dyDescent="0.45">
      <c r="A9" s="8">
        <v>1</v>
      </c>
      <c r="B9" s="5">
        <v>1</v>
      </c>
      <c r="C9" s="1">
        <f>B8+C$7*C8</f>
        <v>0</v>
      </c>
      <c r="D9">
        <f t="shared" ref="D9:K9" si="2">C8+D$7*D8</f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</row>
    <row r="10" spans="1:11" x14ac:dyDescent="0.4">
      <c r="A10" s="8">
        <f>A9+1</f>
        <v>2</v>
      </c>
      <c r="B10" s="5">
        <v>1</v>
      </c>
      <c r="C10">
        <f t="shared" ref="C10:C73" si="3">B9+C$7*C9</f>
        <v>1</v>
      </c>
      <c r="D10">
        <f t="shared" ref="D10:D73" si="4">C9+D$7*D9</f>
        <v>0</v>
      </c>
      <c r="E10">
        <f t="shared" ref="E10:E73" si="5">D9+E$7*E9</f>
        <v>0</v>
      </c>
      <c r="F10">
        <f t="shared" ref="F10:F73" si="6">E9+F$7*F9</f>
        <v>0</v>
      </c>
      <c r="G10">
        <f t="shared" ref="G10:G73" si="7">F9+G$7*G9</f>
        <v>0</v>
      </c>
      <c r="H10">
        <f t="shared" ref="H10:H73" si="8">G9+H$7*H9</f>
        <v>0</v>
      </c>
      <c r="I10">
        <f t="shared" ref="I10:I73" si="9">H9+I$7*I9</f>
        <v>0</v>
      </c>
      <c r="J10">
        <f t="shared" ref="J10:J73" si="10">I9+J$7*J9</f>
        <v>0</v>
      </c>
      <c r="K10">
        <f t="shared" ref="K10:K73" si="11">J9+K$7*K9</f>
        <v>0</v>
      </c>
    </row>
    <row r="11" spans="1:11" x14ac:dyDescent="0.4">
      <c r="A11" s="8">
        <f t="shared" ref="A11:A33" si="12">A10+1</f>
        <v>3</v>
      </c>
      <c r="B11" s="5">
        <v>1</v>
      </c>
      <c r="C11">
        <f t="shared" si="3"/>
        <v>3</v>
      </c>
      <c r="D11">
        <f t="shared" si="4"/>
        <v>1</v>
      </c>
      <c r="E11">
        <f t="shared" si="5"/>
        <v>0</v>
      </c>
      <c r="F11">
        <f t="shared" si="6"/>
        <v>0</v>
      </c>
      <c r="G11">
        <f t="shared" si="7"/>
        <v>0</v>
      </c>
      <c r="H11">
        <f t="shared" si="8"/>
        <v>0</v>
      </c>
      <c r="I11">
        <f t="shared" si="9"/>
        <v>0</v>
      </c>
      <c r="J11">
        <f t="shared" si="10"/>
        <v>0</v>
      </c>
      <c r="K11">
        <f t="shared" si="11"/>
        <v>0</v>
      </c>
    </row>
    <row r="12" spans="1:11" x14ac:dyDescent="0.4">
      <c r="A12" s="8">
        <f t="shared" si="12"/>
        <v>4</v>
      </c>
      <c r="B12" s="5">
        <v>1</v>
      </c>
      <c r="C12">
        <f t="shared" si="3"/>
        <v>7</v>
      </c>
      <c r="D12">
        <f t="shared" si="4"/>
        <v>6</v>
      </c>
      <c r="E12">
        <f t="shared" si="5"/>
        <v>1</v>
      </c>
      <c r="F12">
        <f t="shared" si="6"/>
        <v>0</v>
      </c>
      <c r="G12">
        <f t="shared" si="7"/>
        <v>0</v>
      </c>
      <c r="H12">
        <f t="shared" si="8"/>
        <v>0</v>
      </c>
      <c r="I12">
        <f t="shared" si="9"/>
        <v>0</v>
      </c>
      <c r="J12">
        <f t="shared" si="10"/>
        <v>0</v>
      </c>
      <c r="K12">
        <f t="shared" si="11"/>
        <v>0</v>
      </c>
    </row>
    <row r="13" spans="1:11" x14ac:dyDescent="0.4">
      <c r="A13" s="8">
        <f t="shared" si="12"/>
        <v>5</v>
      </c>
      <c r="B13" s="5">
        <v>1</v>
      </c>
      <c r="C13">
        <f t="shared" si="3"/>
        <v>15</v>
      </c>
      <c r="D13">
        <f t="shared" si="4"/>
        <v>25</v>
      </c>
      <c r="E13">
        <f t="shared" si="5"/>
        <v>10</v>
      </c>
      <c r="F13">
        <f t="shared" si="6"/>
        <v>1</v>
      </c>
      <c r="G13">
        <f t="shared" si="7"/>
        <v>0</v>
      </c>
      <c r="H13">
        <f t="shared" si="8"/>
        <v>0</v>
      </c>
      <c r="I13">
        <f t="shared" si="9"/>
        <v>0</v>
      </c>
      <c r="J13">
        <f t="shared" si="10"/>
        <v>0</v>
      </c>
      <c r="K13">
        <f t="shared" si="11"/>
        <v>0</v>
      </c>
    </row>
    <row r="14" spans="1:11" x14ac:dyDescent="0.4">
      <c r="A14" s="8">
        <f t="shared" si="12"/>
        <v>6</v>
      </c>
      <c r="B14" s="5">
        <v>1</v>
      </c>
      <c r="C14">
        <f t="shared" si="3"/>
        <v>31</v>
      </c>
      <c r="D14">
        <f t="shared" si="4"/>
        <v>90</v>
      </c>
      <c r="E14">
        <f t="shared" si="5"/>
        <v>65</v>
      </c>
      <c r="F14">
        <f t="shared" si="6"/>
        <v>15</v>
      </c>
      <c r="G14">
        <f t="shared" si="7"/>
        <v>1</v>
      </c>
      <c r="H14">
        <f t="shared" si="8"/>
        <v>0</v>
      </c>
      <c r="I14">
        <f t="shared" si="9"/>
        <v>0</v>
      </c>
      <c r="J14">
        <f t="shared" si="10"/>
        <v>0</v>
      </c>
      <c r="K14">
        <f t="shared" si="11"/>
        <v>0</v>
      </c>
    </row>
    <row r="15" spans="1:11" x14ac:dyDescent="0.4">
      <c r="A15" s="8">
        <f t="shared" si="12"/>
        <v>7</v>
      </c>
      <c r="B15" s="5">
        <v>1</v>
      </c>
      <c r="C15">
        <f t="shared" si="3"/>
        <v>63</v>
      </c>
      <c r="D15">
        <f t="shared" si="4"/>
        <v>301</v>
      </c>
      <c r="E15">
        <f t="shared" si="5"/>
        <v>350</v>
      </c>
      <c r="F15">
        <f t="shared" si="6"/>
        <v>140</v>
      </c>
      <c r="G15">
        <f t="shared" si="7"/>
        <v>21</v>
      </c>
      <c r="H15">
        <f t="shared" si="8"/>
        <v>1</v>
      </c>
      <c r="I15">
        <f t="shared" si="9"/>
        <v>0</v>
      </c>
      <c r="J15">
        <f t="shared" si="10"/>
        <v>0</v>
      </c>
      <c r="K15">
        <f t="shared" si="11"/>
        <v>0</v>
      </c>
    </row>
    <row r="16" spans="1:11" x14ac:dyDescent="0.4">
      <c r="A16" s="8">
        <f t="shared" si="12"/>
        <v>8</v>
      </c>
      <c r="B16" s="5">
        <v>1</v>
      </c>
      <c r="C16">
        <f t="shared" si="3"/>
        <v>127</v>
      </c>
      <c r="D16">
        <f t="shared" si="4"/>
        <v>966</v>
      </c>
      <c r="E16">
        <f t="shared" si="5"/>
        <v>1701</v>
      </c>
      <c r="F16">
        <f t="shared" si="6"/>
        <v>1050</v>
      </c>
      <c r="G16">
        <f t="shared" si="7"/>
        <v>266</v>
      </c>
      <c r="H16">
        <f t="shared" si="8"/>
        <v>28</v>
      </c>
      <c r="I16">
        <f t="shared" si="9"/>
        <v>1</v>
      </c>
      <c r="J16">
        <f t="shared" si="10"/>
        <v>0</v>
      </c>
      <c r="K16">
        <f t="shared" si="11"/>
        <v>0</v>
      </c>
    </row>
    <row r="17" spans="1:11" x14ac:dyDescent="0.4">
      <c r="A17" s="8">
        <f t="shared" si="12"/>
        <v>9</v>
      </c>
      <c r="B17" s="5">
        <v>1</v>
      </c>
      <c r="C17">
        <f t="shared" si="3"/>
        <v>255</v>
      </c>
      <c r="D17">
        <f t="shared" si="4"/>
        <v>3025</v>
      </c>
      <c r="E17">
        <f t="shared" si="5"/>
        <v>7770</v>
      </c>
      <c r="F17">
        <f t="shared" si="6"/>
        <v>6951</v>
      </c>
      <c r="G17">
        <f t="shared" si="7"/>
        <v>2646</v>
      </c>
      <c r="H17">
        <f t="shared" si="8"/>
        <v>462</v>
      </c>
      <c r="I17">
        <f t="shared" si="9"/>
        <v>36</v>
      </c>
      <c r="J17">
        <f t="shared" si="10"/>
        <v>1</v>
      </c>
      <c r="K17">
        <f t="shared" si="11"/>
        <v>0</v>
      </c>
    </row>
    <row r="18" spans="1:11" x14ac:dyDescent="0.4">
      <c r="A18" s="8">
        <f t="shared" si="12"/>
        <v>10</v>
      </c>
      <c r="B18" s="5">
        <v>1</v>
      </c>
      <c r="C18">
        <f t="shared" si="3"/>
        <v>511</v>
      </c>
      <c r="D18">
        <f t="shared" si="4"/>
        <v>9330</v>
      </c>
      <c r="E18">
        <f t="shared" si="5"/>
        <v>34105</v>
      </c>
      <c r="F18">
        <f t="shared" si="6"/>
        <v>42525</v>
      </c>
      <c r="G18">
        <f t="shared" si="7"/>
        <v>22827</v>
      </c>
      <c r="H18">
        <f t="shared" si="8"/>
        <v>5880</v>
      </c>
      <c r="I18">
        <f t="shared" si="9"/>
        <v>750</v>
      </c>
      <c r="J18">
        <f t="shared" si="10"/>
        <v>45</v>
      </c>
      <c r="K18">
        <f t="shared" si="11"/>
        <v>1</v>
      </c>
    </row>
    <row r="19" spans="1:11" x14ac:dyDescent="0.4">
      <c r="A19" s="8">
        <f t="shared" si="12"/>
        <v>11</v>
      </c>
      <c r="B19" s="5">
        <v>1</v>
      </c>
      <c r="C19">
        <f t="shared" si="3"/>
        <v>1023</v>
      </c>
      <c r="D19">
        <f t="shared" si="4"/>
        <v>28501</v>
      </c>
      <c r="E19">
        <f t="shared" si="5"/>
        <v>145750</v>
      </c>
      <c r="F19">
        <f t="shared" si="6"/>
        <v>246730</v>
      </c>
      <c r="G19">
        <f t="shared" si="7"/>
        <v>179487</v>
      </c>
      <c r="H19">
        <f t="shared" si="8"/>
        <v>63987</v>
      </c>
      <c r="I19">
        <f t="shared" si="9"/>
        <v>11880</v>
      </c>
      <c r="J19">
        <f t="shared" si="10"/>
        <v>1155</v>
      </c>
      <c r="K19">
        <f t="shared" si="11"/>
        <v>55</v>
      </c>
    </row>
    <row r="20" spans="1:11" x14ac:dyDescent="0.4">
      <c r="A20" s="8">
        <f t="shared" si="12"/>
        <v>12</v>
      </c>
      <c r="B20" s="5">
        <v>1</v>
      </c>
      <c r="C20">
        <f t="shared" si="3"/>
        <v>2047</v>
      </c>
      <c r="D20">
        <f t="shared" si="4"/>
        <v>86526</v>
      </c>
      <c r="E20">
        <f t="shared" si="5"/>
        <v>611501</v>
      </c>
      <c r="F20">
        <f t="shared" si="6"/>
        <v>1379400</v>
      </c>
      <c r="G20">
        <f t="shared" si="7"/>
        <v>1323652</v>
      </c>
      <c r="H20">
        <f t="shared" si="8"/>
        <v>627396</v>
      </c>
      <c r="I20">
        <f t="shared" si="9"/>
        <v>159027</v>
      </c>
      <c r="J20">
        <f t="shared" si="10"/>
        <v>22275</v>
      </c>
      <c r="K20">
        <f t="shared" si="11"/>
        <v>1705</v>
      </c>
    </row>
    <row r="21" spans="1:11" x14ac:dyDescent="0.4">
      <c r="A21" s="8">
        <f t="shared" si="12"/>
        <v>13</v>
      </c>
      <c r="B21" s="5">
        <v>1</v>
      </c>
      <c r="C21">
        <f t="shared" si="3"/>
        <v>4095</v>
      </c>
      <c r="D21">
        <f t="shared" si="4"/>
        <v>261625</v>
      </c>
      <c r="E21">
        <f t="shared" si="5"/>
        <v>2532530</v>
      </c>
      <c r="F21">
        <f t="shared" si="6"/>
        <v>7508501</v>
      </c>
      <c r="G21">
        <f t="shared" si="7"/>
        <v>9321312</v>
      </c>
      <c r="H21">
        <f t="shared" si="8"/>
        <v>5715424</v>
      </c>
      <c r="I21">
        <f t="shared" si="9"/>
        <v>1899612</v>
      </c>
      <c r="J21">
        <f t="shared" si="10"/>
        <v>359502</v>
      </c>
      <c r="K21">
        <f t="shared" si="11"/>
        <v>39325</v>
      </c>
    </row>
    <row r="22" spans="1:11" x14ac:dyDescent="0.4">
      <c r="A22" s="8">
        <f t="shared" si="12"/>
        <v>14</v>
      </c>
      <c r="B22" s="5">
        <v>1</v>
      </c>
      <c r="C22">
        <f t="shared" si="3"/>
        <v>8191</v>
      </c>
      <c r="D22">
        <f t="shared" si="4"/>
        <v>788970</v>
      </c>
      <c r="E22">
        <f t="shared" si="5"/>
        <v>10391745</v>
      </c>
      <c r="F22">
        <f t="shared" si="6"/>
        <v>40075035</v>
      </c>
      <c r="G22">
        <f t="shared" si="7"/>
        <v>63436373</v>
      </c>
      <c r="H22">
        <f t="shared" si="8"/>
        <v>49329280</v>
      </c>
      <c r="I22">
        <f t="shared" si="9"/>
        <v>20912320</v>
      </c>
      <c r="J22">
        <f t="shared" si="10"/>
        <v>5135130</v>
      </c>
      <c r="K22">
        <f t="shared" si="11"/>
        <v>752752</v>
      </c>
    </row>
    <row r="23" spans="1:11" x14ac:dyDescent="0.4">
      <c r="A23" s="8">
        <f t="shared" si="12"/>
        <v>15</v>
      </c>
      <c r="B23" s="5">
        <v>1</v>
      </c>
      <c r="C23">
        <f t="shared" si="3"/>
        <v>16383</v>
      </c>
      <c r="D23">
        <f t="shared" si="4"/>
        <v>2375101</v>
      </c>
      <c r="E23">
        <f t="shared" si="5"/>
        <v>42355950</v>
      </c>
      <c r="F23">
        <f t="shared" si="6"/>
        <v>210766920</v>
      </c>
      <c r="G23">
        <f t="shared" si="7"/>
        <v>420693273</v>
      </c>
      <c r="H23">
        <f t="shared" si="8"/>
        <v>408741333</v>
      </c>
      <c r="I23">
        <f t="shared" si="9"/>
        <v>216627840</v>
      </c>
      <c r="J23">
        <f t="shared" si="10"/>
        <v>67128490</v>
      </c>
      <c r="K23">
        <f t="shared" si="11"/>
        <v>12662650</v>
      </c>
    </row>
    <row r="24" spans="1:11" x14ac:dyDescent="0.4">
      <c r="A24" s="8">
        <f t="shared" si="12"/>
        <v>16</v>
      </c>
      <c r="B24" s="5">
        <v>1</v>
      </c>
      <c r="C24">
        <f t="shared" si="3"/>
        <v>32767</v>
      </c>
      <c r="D24">
        <f t="shared" si="4"/>
        <v>7141686</v>
      </c>
      <c r="E24">
        <f t="shared" si="5"/>
        <v>171798901</v>
      </c>
      <c r="F24">
        <f t="shared" si="6"/>
        <v>1096190550</v>
      </c>
      <c r="G24">
        <f t="shared" si="7"/>
        <v>2734926558</v>
      </c>
      <c r="H24">
        <f t="shared" si="8"/>
        <v>3281882604</v>
      </c>
      <c r="I24">
        <f t="shared" si="9"/>
        <v>2141764053</v>
      </c>
      <c r="J24">
        <f t="shared" si="10"/>
        <v>820784250</v>
      </c>
      <c r="K24">
        <f t="shared" si="11"/>
        <v>193754990</v>
      </c>
    </row>
    <row r="25" spans="1:11" x14ac:dyDescent="0.4">
      <c r="A25" s="8">
        <f t="shared" si="12"/>
        <v>17</v>
      </c>
      <c r="B25" s="5">
        <v>1</v>
      </c>
      <c r="C25">
        <f t="shared" si="3"/>
        <v>65535</v>
      </c>
      <c r="D25">
        <f t="shared" si="4"/>
        <v>21457825</v>
      </c>
      <c r="E25">
        <f t="shared" si="5"/>
        <v>694337290</v>
      </c>
      <c r="F25">
        <f t="shared" si="6"/>
        <v>5652751651</v>
      </c>
      <c r="G25">
        <f t="shared" si="7"/>
        <v>17505749898</v>
      </c>
      <c r="H25">
        <f t="shared" si="8"/>
        <v>25708104786</v>
      </c>
      <c r="I25">
        <f t="shared" si="9"/>
        <v>20415995028</v>
      </c>
      <c r="J25">
        <f t="shared" si="10"/>
        <v>9528822303</v>
      </c>
      <c r="K25">
        <f t="shared" si="11"/>
        <v>2758334150</v>
      </c>
    </row>
    <row r="26" spans="1:11" x14ac:dyDescent="0.4">
      <c r="A26" s="8">
        <f t="shared" si="12"/>
        <v>18</v>
      </c>
      <c r="B26" s="5">
        <v>1</v>
      </c>
      <c r="C26">
        <f t="shared" si="3"/>
        <v>131071</v>
      </c>
      <c r="D26">
        <f t="shared" si="4"/>
        <v>64439010</v>
      </c>
      <c r="E26">
        <f t="shared" si="5"/>
        <v>2798806985</v>
      </c>
      <c r="F26">
        <f t="shared" si="6"/>
        <v>28958095545</v>
      </c>
      <c r="G26">
        <f t="shared" si="7"/>
        <v>110687251039</v>
      </c>
      <c r="H26">
        <f t="shared" si="8"/>
        <v>197462483400</v>
      </c>
      <c r="I26">
        <f t="shared" si="9"/>
        <v>189036065010</v>
      </c>
      <c r="J26">
        <f t="shared" si="10"/>
        <v>106175395755</v>
      </c>
      <c r="K26">
        <f t="shared" si="11"/>
        <v>37112163803</v>
      </c>
    </row>
    <row r="27" spans="1:11" x14ac:dyDescent="0.4">
      <c r="A27" s="8">
        <f t="shared" si="12"/>
        <v>19</v>
      </c>
      <c r="B27" s="5">
        <v>1</v>
      </c>
      <c r="C27">
        <f t="shared" si="3"/>
        <v>262143</v>
      </c>
      <c r="D27">
        <f t="shared" si="4"/>
        <v>193448101</v>
      </c>
      <c r="E27">
        <f t="shared" si="5"/>
        <v>11259666950</v>
      </c>
      <c r="F27">
        <f t="shared" si="6"/>
        <v>147589284710</v>
      </c>
      <c r="G27">
        <f t="shared" si="7"/>
        <v>693081601779</v>
      </c>
      <c r="H27">
        <f t="shared" si="8"/>
        <v>1492924634839</v>
      </c>
      <c r="I27">
        <f t="shared" si="9"/>
        <v>1709751003480</v>
      </c>
      <c r="J27">
        <f t="shared" si="10"/>
        <v>1144614626805</v>
      </c>
      <c r="K27">
        <f t="shared" si="11"/>
        <v>477297033785</v>
      </c>
    </row>
    <row r="28" spans="1:11" x14ac:dyDescent="0.4">
      <c r="A28" s="8">
        <f t="shared" si="12"/>
        <v>20</v>
      </c>
      <c r="B28" s="5">
        <v>1</v>
      </c>
      <c r="C28">
        <f t="shared" si="3"/>
        <v>524287</v>
      </c>
      <c r="D28">
        <f t="shared" si="4"/>
        <v>580606446</v>
      </c>
      <c r="E28">
        <f t="shared" si="5"/>
        <v>45232115901</v>
      </c>
      <c r="F28">
        <f t="shared" si="6"/>
        <v>749206090500</v>
      </c>
      <c r="G28">
        <f t="shared" si="7"/>
        <v>4306078895384</v>
      </c>
      <c r="H28">
        <f t="shared" si="8"/>
        <v>11143554045652</v>
      </c>
      <c r="I28">
        <f t="shared" si="9"/>
        <v>15170932662679</v>
      </c>
      <c r="J28">
        <f t="shared" si="10"/>
        <v>12011282644725</v>
      </c>
      <c r="K28">
        <f t="shared" si="11"/>
        <v>5917584964655</v>
      </c>
    </row>
    <row r="29" spans="1:11" x14ac:dyDescent="0.4">
      <c r="A29" s="8">
        <f t="shared" si="12"/>
        <v>21</v>
      </c>
      <c r="B29" s="5">
        <v>1</v>
      </c>
      <c r="C29">
        <f t="shared" si="3"/>
        <v>1048575</v>
      </c>
      <c r="D29">
        <f t="shared" si="4"/>
        <v>1742343625</v>
      </c>
      <c r="E29">
        <f t="shared" si="5"/>
        <v>181509070050</v>
      </c>
      <c r="F29">
        <f t="shared" si="6"/>
        <v>3791262568401</v>
      </c>
      <c r="G29">
        <f t="shared" si="7"/>
        <v>26585679462804</v>
      </c>
      <c r="H29">
        <f t="shared" si="8"/>
        <v>82310957214948</v>
      </c>
      <c r="I29">
        <f t="shared" si="9"/>
        <v>132511015347084</v>
      </c>
      <c r="J29">
        <f t="shared" si="10"/>
        <v>123272476465204</v>
      </c>
      <c r="K29">
        <f t="shared" si="11"/>
        <v>71187132291275</v>
      </c>
    </row>
    <row r="30" spans="1:11" x14ac:dyDescent="0.4">
      <c r="A30" s="8">
        <f t="shared" si="12"/>
        <v>22</v>
      </c>
      <c r="B30" s="5">
        <v>1</v>
      </c>
      <c r="C30">
        <f t="shared" si="3"/>
        <v>2097151</v>
      </c>
      <c r="D30">
        <f t="shared" si="4"/>
        <v>5228079450</v>
      </c>
      <c r="E30">
        <f t="shared" si="5"/>
        <v>727778623825</v>
      </c>
      <c r="F30">
        <f t="shared" si="6"/>
        <v>19137821912055</v>
      </c>
      <c r="G30">
        <f t="shared" si="7"/>
        <v>163305339345225</v>
      </c>
      <c r="H30">
        <f t="shared" si="8"/>
        <v>602762379967440</v>
      </c>
      <c r="I30">
        <f t="shared" si="9"/>
        <v>1142399079991620</v>
      </c>
      <c r="J30">
        <f t="shared" si="10"/>
        <v>1241963303533920</v>
      </c>
      <c r="K30">
        <f t="shared" si="11"/>
        <v>835143799377954</v>
      </c>
    </row>
    <row r="31" spans="1:11" x14ac:dyDescent="0.4">
      <c r="A31" s="8">
        <f t="shared" si="12"/>
        <v>23</v>
      </c>
      <c r="B31" s="5">
        <v>1</v>
      </c>
      <c r="C31">
        <f t="shared" si="3"/>
        <v>4194303</v>
      </c>
      <c r="D31">
        <f t="shared" si="4"/>
        <v>15686335501</v>
      </c>
      <c r="E31">
        <f t="shared" si="5"/>
        <v>2916342574750</v>
      </c>
      <c r="F31">
        <f t="shared" si="6"/>
        <v>96416888184100</v>
      </c>
      <c r="G31">
        <f t="shared" si="7"/>
        <v>998969857983405</v>
      </c>
      <c r="H31">
        <f t="shared" si="8"/>
        <v>4382641999117305</v>
      </c>
      <c r="I31">
        <f t="shared" si="9"/>
        <v>9741955019900400</v>
      </c>
      <c r="J31">
        <f t="shared" si="10"/>
        <v>1.23200688117969E+16</v>
      </c>
      <c r="K31">
        <f t="shared" si="11"/>
        <v>9593401297313460</v>
      </c>
    </row>
    <row r="32" spans="1:11" x14ac:dyDescent="0.4">
      <c r="A32" s="8">
        <f t="shared" si="12"/>
        <v>24</v>
      </c>
      <c r="B32" s="5">
        <v>1</v>
      </c>
      <c r="C32">
        <f t="shared" si="3"/>
        <v>8388607</v>
      </c>
      <c r="D32">
        <f t="shared" si="4"/>
        <v>47063200806</v>
      </c>
      <c r="E32">
        <f t="shared" si="5"/>
        <v>11681056634501</v>
      </c>
      <c r="F32">
        <f t="shared" si="6"/>
        <v>485000783495250</v>
      </c>
      <c r="G32">
        <f t="shared" si="7"/>
        <v>6090236036084530</v>
      </c>
      <c r="H32">
        <f t="shared" si="8"/>
        <v>3.167746385180454E+16</v>
      </c>
      <c r="I32">
        <f t="shared" si="9"/>
        <v>8.2318282158320512E+16</v>
      </c>
      <c r="J32">
        <f t="shared" si="10"/>
        <v>1.206225743260725E+17</v>
      </c>
      <c r="K32">
        <f t="shared" si="11"/>
        <v>1.0825408178493149E+17</v>
      </c>
    </row>
    <row r="33" spans="1:11" x14ac:dyDescent="0.4">
      <c r="A33" s="8">
        <f t="shared" si="12"/>
        <v>25</v>
      </c>
      <c r="B33" s="5">
        <v>1</v>
      </c>
      <c r="C33">
        <f t="shared" si="3"/>
        <v>16777215</v>
      </c>
      <c r="D33">
        <f t="shared" si="4"/>
        <v>141197991025</v>
      </c>
      <c r="E33">
        <f t="shared" si="5"/>
        <v>46771289738810</v>
      </c>
      <c r="F33">
        <f t="shared" si="6"/>
        <v>2436684974110751</v>
      </c>
      <c r="G33">
        <f t="shared" si="7"/>
        <v>3.7026417000002432E+16</v>
      </c>
      <c r="H33">
        <f t="shared" si="8"/>
        <v>2.2783248299871632E+17</v>
      </c>
      <c r="I33">
        <f t="shared" si="9"/>
        <v>6.9022372111836864E+17</v>
      </c>
      <c r="J33">
        <f t="shared" si="10"/>
        <v>1.1679214510929731E+18</v>
      </c>
      <c r="K33">
        <f t="shared" si="11"/>
        <v>1.2031633921753874E+18</v>
      </c>
    </row>
    <row r="34" spans="1:11" x14ac:dyDescent="0.4">
      <c r="A34" s="8">
        <f t="shared" ref="A34:A38" si="13">A33+1</f>
        <v>26</v>
      </c>
      <c r="B34" s="5">
        <v>1</v>
      </c>
      <c r="C34">
        <f t="shared" si="3"/>
        <v>33554431</v>
      </c>
      <c r="D34">
        <f t="shared" si="4"/>
        <v>423610750290</v>
      </c>
      <c r="E34">
        <f t="shared" si="5"/>
        <v>187226356946265</v>
      </c>
      <c r="F34">
        <f t="shared" si="6"/>
        <v>1.2230196160292566E+16</v>
      </c>
      <c r="G34">
        <f t="shared" si="7"/>
        <v>2.2459518697412534E+17</v>
      </c>
      <c r="H34">
        <f t="shared" si="8"/>
        <v>1.6318537979910164E+18</v>
      </c>
      <c r="I34">
        <f t="shared" si="9"/>
        <v>5.7496222519456655E+18</v>
      </c>
      <c r="J34">
        <f t="shared" si="10"/>
        <v>1.1201516780955126E+19</v>
      </c>
      <c r="K34">
        <f t="shared" si="11"/>
        <v>1.3199555372846848E+19</v>
      </c>
    </row>
    <row r="35" spans="1:11" x14ac:dyDescent="0.4">
      <c r="A35" s="8">
        <f t="shared" si="13"/>
        <v>27</v>
      </c>
      <c r="B35" s="5">
        <v>1</v>
      </c>
      <c r="C35">
        <f t="shared" si="3"/>
        <v>67108863</v>
      </c>
      <c r="D35">
        <f t="shared" si="4"/>
        <v>1270865805301</v>
      </c>
      <c r="E35">
        <f t="shared" si="5"/>
        <v>749329038535350</v>
      </c>
      <c r="F35">
        <f t="shared" si="6"/>
        <v>6.1338207158409096E+16</v>
      </c>
      <c r="G35">
        <f t="shared" si="7"/>
        <v>1.3598013180050447E+18</v>
      </c>
      <c r="H35">
        <f t="shared" si="8"/>
        <v>1.1647571772911241E+19</v>
      </c>
      <c r="I35">
        <f t="shared" si="9"/>
        <v>4.7628831813556339E+19</v>
      </c>
      <c r="J35">
        <f t="shared" si="10"/>
        <v>1.065632732805418E+20</v>
      </c>
      <c r="K35">
        <f t="shared" si="11"/>
        <v>1.4319707050942361E+20</v>
      </c>
    </row>
    <row r="36" spans="1:11" x14ac:dyDescent="0.4">
      <c r="A36" s="8">
        <f t="shared" si="13"/>
        <v>28</v>
      </c>
      <c r="B36" s="5">
        <v>1</v>
      </c>
      <c r="C36">
        <f t="shared" si="3"/>
        <v>134217727</v>
      </c>
      <c r="D36">
        <f t="shared" si="4"/>
        <v>3812664524766</v>
      </c>
      <c r="E36">
        <f t="shared" si="5"/>
        <v>2998587019946701</v>
      </c>
      <c r="F36">
        <f t="shared" si="6"/>
        <v>3.0744036483058086E+17</v>
      </c>
      <c r="G36">
        <f t="shared" si="7"/>
        <v>8.2201461151886776E+18</v>
      </c>
      <c r="H36">
        <f t="shared" si="8"/>
        <v>8.2892803728383738E+19</v>
      </c>
      <c r="I36">
        <f t="shared" si="9"/>
        <v>3.9267822628136197E+20</v>
      </c>
      <c r="J36">
        <f t="shared" si="10"/>
        <v>1.0066982913384326E+21</v>
      </c>
      <c r="K36">
        <f t="shared" si="11"/>
        <v>1.5385339783747779E+21</v>
      </c>
    </row>
    <row r="37" spans="1:11" x14ac:dyDescent="0.4">
      <c r="A37" s="8">
        <f t="shared" si="13"/>
        <v>29</v>
      </c>
      <c r="B37" s="5">
        <v>1</v>
      </c>
      <c r="C37">
        <f t="shared" si="3"/>
        <v>268435455</v>
      </c>
      <c r="D37">
        <f t="shared" si="4"/>
        <v>11438127792025</v>
      </c>
      <c r="E37">
        <f t="shared" si="5"/>
        <v>1.199816074431157E+16</v>
      </c>
      <c r="F37">
        <f t="shared" si="6"/>
        <v>1.5402004111728509E+18</v>
      </c>
      <c r="G37">
        <f t="shared" si="7"/>
        <v>4.9628317055962644E+19</v>
      </c>
      <c r="H37">
        <f t="shared" si="8"/>
        <v>5.8846977221387485E+20</v>
      </c>
      <c r="I37">
        <f t="shared" si="9"/>
        <v>3.2243186139792797E+21</v>
      </c>
      <c r="J37">
        <f t="shared" si="10"/>
        <v>9.4529628483272562E+21</v>
      </c>
      <c r="K37">
        <f t="shared" si="11"/>
        <v>1.6392038075086211E+22</v>
      </c>
    </row>
    <row r="38" spans="1:11" x14ac:dyDescent="0.4">
      <c r="A38" s="8">
        <f t="shared" si="13"/>
        <v>30</v>
      </c>
      <c r="B38" s="5">
        <v>1</v>
      </c>
      <c r="C38">
        <f t="shared" si="3"/>
        <v>536870911</v>
      </c>
      <c r="D38">
        <f t="shared" si="4"/>
        <v>34314651811530</v>
      </c>
      <c r="E38">
        <f t="shared" si="5"/>
        <v>4.8004081105038304E+16</v>
      </c>
      <c r="F38">
        <f t="shared" si="6"/>
        <v>7.7130002166085663E+18</v>
      </c>
      <c r="G38">
        <f t="shared" si="7"/>
        <v>2.993101027469487E+20</v>
      </c>
      <c r="H38">
        <f t="shared" si="8"/>
        <v>4.1689167225530865E+21</v>
      </c>
      <c r="I38">
        <f t="shared" si="9"/>
        <v>2.6383018684048111E+22</v>
      </c>
      <c r="J38">
        <f t="shared" si="10"/>
        <v>8.8300984248924591E+22</v>
      </c>
      <c r="K38">
        <f t="shared" si="11"/>
        <v>1.7337334359918936E+23</v>
      </c>
    </row>
    <row r="39" spans="1:11" x14ac:dyDescent="0.4">
      <c r="A39" s="8">
        <f t="shared" ref="A39:A45" si="14">A38+1</f>
        <v>31</v>
      </c>
      <c r="B39" s="5">
        <v>1</v>
      </c>
      <c r="C39">
        <f t="shared" si="3"/>
        <v>1073741823</v>
      </c>
      <c r="D39">
        <f t="shared" si="4"/>
        <v>102944492305501</v>
      </c>
      <c r="E39">
        <f t="shared" si="5"/>
        <v>1.9205063907196474E+17</v>
      </c>
      <c r="F39">
        <f t="shared" si="6"/>
        <v>3.8613005164147868E+19</v>
      </c>
      <c r="G39">
        <f t="shared" si="7"/>
        <v>1.8035736166983008E+21</v>
      </c>
      <c r="H39">
        <f t="shared" si="8"/>
        <v>2.9481727160618553E+22</v>
      </c>
      <c r="I39">
        <f t="shared" si="9"/>
        <v>2.1523306619493797E+23</v>
      </c>
      <c r="J39">
        <f t="shared" si="10"/>
        <v>8.2109187692436946E+23</v>
      </c>
      <c r="K39">
        <f t="shared" si="11"/>
        <v>1.8220344202408182E+24</v>
      </c>
    </row>
    <row r="40" spans="1:11" x14ac:dyDescent="0.4">
      <c r="A40" s="8">
        <f t="shared" si="14"/>
        <v>32</v>
      </c>
      <c r="B40" s="5">
        <v>1</v>
      </c>
      <c r="C40">
        <f t="shared" si="3"/>
        <v>2147483647</v>
      </c>
      <c r="D40">
        <f t="shared" si="4"/>
        <v>308834550658326</v>
      </c>
      <c r="E40">
        <f t="shared" si="5"/>
        <v>7.6830550078016448E+17</v>
      </c>
      <c r="F40">
        <f t="shared" si="6"/>
        <v>1.9325707645981131E+20</v>
      </c>
      <c r="G40">
        <f t="shared" si="7"/>
        <v>1.0860054705353953E+22</v>
      </c>
      <c r="H40">
        <f t="shared" si="8"/>
        <v>2.0817566374102817E+23</v>
      </c>
      <c r="I40">
        <f t="shared" si="9"/>
        <v>1.7513462567201222E+24</v>
      </c>
      <c r="J40">
        <f t="shared" si="10"/>
        <v>7.6050599585142623E+24</v>
      </c>
      <c r="K40">
        <f t="shared" si="11"/>
        <v>1.9041436079332553E+25</v>
      </c>
    </row>
    <row r="41" spans="1:11" x14ac:dyDescent="0.4">
      <c r="A41" s="8">
        <f t="shared" si="14"/>
        <v>33</v>
      </c>
      <c r="B41" s="5">
        <v>1</v>
      </c>
      <c r="C41">
        <f t="shared" si="3"/>
        <v>4294967295</v>
      </c>
      <c r="D41">
        <f t="shared" si="4"/>
        <v>926505799458625</v>
      </c>
      <c r="E41">
        <f t="shared" si="5"/>
        <v>3.0735308376713165E+18</v>
      </c>
      <c r="F41">
        <f t="shared" si="6"/>
        <v>9.670536877998367E+20</v>
      </c>
      <c r="G41">
        <f t="shared" si="7"/>
        <v>6.5353585308583525E+22</v>
      </c>
      <c r="H41">
        <f t="shared" si="8"/>
        <v>1.4680897008925511E+24</v>
      </c>
      <c r="I41">
        <f t="shared" si="9"/>
        <v>1.4218945717502005E+25</v>
      </c>
      <c r="J41">
        <f t="shared" si="10"/>
        <v>7.0196885883348483E+25</v>
      </c>
      <c r="K41">
        <f t="shared" si="11"/>
        <v>1.9801942075183979E+26</v>
      </c>
    </row>
    <row r="42" spans="1:11" x14ac:dyDescent="0.4">
      <c r="A42" s="8">
        <f t="shared" si="14"/>
        <v>34</v>
      </c>
      <c r="B42" s="5">
        <v>1</v>
      </c>
      <c r="C42">
        <f t="shared" si="3"/>
        <v>8589934591</v>
      </c>
      <c r="D42">
        <f t="shared" si="4"/>
        <v>2779521693343170</v>
      </c>
      <c r="E42">
        <f t="shared" si="5"/>
        <v>1.2295049856484725E+19</v>
      </c>
      <c r="F42">
        <f t="shared" si="6"/>
        <v>4.8383419698368553E+21</v>
      </c>
      <c r="G42">
        <f t="shared" si="7"/>
        <v>3.9308856553930099E+23</v>
      </c>
      <c r="H42">
        <f t="shared" si="8"/>
        <v>1.0341981491556442E+25</v>
      </c>
      <c r="I42">
        <f t="shared" si="9"/>
        <v>1.1521965544090859E+26</v>
      </c>
      <c r="J42">
        <f t="shared" si="10"/>
        <v>6.4599091866763842E+26</v>
      </c>
      <c r="K42">
        <f t="shared" si="11"/>
        <v>2.0503910934017463E+27</v>
      </c>
    </row>
    <row r="43" spans="1:11" x14ac:dyDescent="0.4">
      <c r="A43" s="8">
        <f t="shared" si="14"/>
        <v>35</v>
      </c>
      <c r="B43" s="5">
        <v>1</v>
      </c>
      <c r="C43">
        <f t="shared" si="3"/>
        <v>17179869183</v>
      </c>
      <c r="D43">
        <f t="shared" si="4"/>
        <v>8338573669964101</v>
      </c>
      <c r="E43">
        <f t="shared" si="5"/>
        <v>4.9182978947632243E+19</v>
      </c>
      <c r="F43">
        <f t="shared" si="6"/>
        <v>2.4204004899040761E+22</v>
      </c>
      <c r="G43">
        <f t="shared" si="7"/>
        <v>2.3633697352056428E+24</v>
      </c>
      <c r="H43">
        <f t="shared" si="8"/>
        <v>7.2786959006434398E+25</v>
      </c>
      <c r="I43">
        <f t="shared" si="9"/>
        <v>9.3209922501882511E+26</v>
      </c>
      <c r="J43">
        <f t="shared" si="10"/>
        <v>5.929137923449655E+27</v>
      </c>
      <c r="K43">
        <f t="shared" si="11"/>
        <v>2.1149901852685103E+28</v>
      </c>
    </row>
    <row r="44" spans="1:11" x14ac:dyDescent="0.4">
      <c r="A44" s="8">
        <f t="shared" si="14"/>
        <v>36</v>
      </c>
      <c r="B44" s="5">
        <v>1</v>
      </c>
      <c r="C44">
        <f t="shared" si="3"/>
        <v>34359738367</v>
      </c>
      <c r="D44">
        <f t="shared" si="4"/>
        <v>2.5015738189761488E+16</v>
      </c>
      <c r="E44">
        <f t="shared" si="5"/>
        <v>1.9674025436419893E+20</v>
      </c>
      <c r="F44">
        <f t="shared" si="6"/>
        <v>1.2106920747415144E+23</v>
      </c>
      <c r="G44">
        <f t="shared" si="7"/>
        <v>1.4204422416132897E+25</v>
      </c>
      <c r="H44">
        <f t="shared" si="8"/>
        <v>5.1187208278024644E+26</v>
      </c>
      <c r="I44">
        <f t="shared" si="9"/>
        <v>7.5295807591570348E+27</v>
      </c>
      <c r="J44">
        <f t="shared" si="10"/>
        <v>5.4294340536065715E+28</v>
      </c>
      <c r="K44">
        <f t="shared" si="11"/>
        <v>2.1742815645030069E+29</v>
      </c>
    </row>
    <row r="45" spans="1:11" x14ac:dyDescent="0.4">
      <c r="A45" s="8">
        <f t="shared" si="14"/>
        <v>37</v>
      </c>
      <c r="B45" s="5">
        <v>1</v>
      </c>
      <c r="C45">
        <f t="shared" si="3"/>
        <v>68719476735</v>
      </c>
      <c r="D45">
        <f t="shared" si="4"/>
        <v>7.5047248929022832E+16</v>
      </c>
      <c r="E45">
        <f t="shared" si="5"/>
        <v>7.8698603319498546E+20</v>
      </c>
      <c r="F45">
        <f t="shared" si="6"/>
        <v>6.0554277762512141E+23</v>
      </c>
      <c r="G45">
        <f t="shared" si="7"/>
        <v>8.5347603704271547E+25</v>
      </c>
      <c r="H45">
        <f t="shared" si="8"/>
        <v>3.5973090018778579E+27</v>
      </c>
      <c r="I45">
        <f t="shared" si="9"/>
        <v>6.0748518156036521E+28</v>
      </c>
      <c r="J45">
        <f t="shared" si="10"/>
        <v>4.9617864558374848E+29</v>
      </c>
      <c r="K45">
        <f t="shared" si="11"/>
        <v>2.2285759050390725E+30</v>
      </c>
    </row>
    <row r="46" spans="1:11" x14ac:dyDescent="0.4">
      <c r="A46" s="8">
        <f t="shared" ref="A46:A108" si="15">A45+1</f>
        <v>38</v>
      </c>
      <c r="B46" s="5">
        <v>1</v>
      </c>
      <c r="C46">
        <f t="shared" si="3"/>
        <v>137438953471</v>
      </c>
      <c r="D46">
        <f t="shared" si="4"/>
        <v>2.2514181550654522E+17</v>
      </c>
      <c r="E46">
        <f t="shared" si="5"/>
        <v>3.1480191800288708E+21</v>
      </c>
      <c r="F46">
        <f t="shared" si="6"/>
        <v>3.0285008741588017E+24</v>
      </c>
      <c r="G46">
        <f t="shared" si="7"/>
        <v>5.1269116500325447E+26</v>
      </c>
      <c r="H46">
        <f t="shared" si="8"/>
        <v>2.5266510616849279E+28</v>
      </c>
      <c r="I46">
        <f t="shared" si="9"/>
        <v>4.8958545425017006E+29</v>
      </c>
      <c r="J46">
        <f t="shared" si="10"/>
        <v>4.5263563284097727E+30</v>
      </c>
      <c r="K46">
        <f t="shared" si="11"/>
        <v>2.2781937695974474E+31</v>
      </c>
    </row>
    <row r="47" spans="1:11" x14ac:dyDescent="0.4">
      <c r="A47" s="8">
        <f t="shared" si="15"/>
        <v>39</v>
      </c>
      <c r="B47" s="5">
        <v>1</v>
      </c>
      <c r="C47">
        <f t="shared" si="3"/>
        <v>274877906943</v>
      </c>
      <c r="D47">
        <f t="shared" si="4"/>
        <v>6.7542558395858918E+17</v>
      </c>
      <c r="E47">
        <f t="shared" si="5"/>
        <v>1.259230186193099E+22</v>
      </c>
      <c r="F47">
        <f t="shared" si="6"/>
        <v>1.5145652389974037E+25</v>
      </c>
      <c r="G47">
        <f t="shared" si="7"/>
        <v>3.0791754908936856E+27</v>
      </c>
      <c r="H47">
        <f t="shared" si="8"/>
        <v>1.7737826548294822E+29</v>
      </c>
      <c r="I47">
        <f t="shared" si="9"/>
        <v>3.9419501446182096E+30</v>
      </c>
      <c r="J47">
        <f t="shared" si="10"/>
        <v>4.1226792409938132E+31</v>
      </c>
      <c r="K47">
        <f t="shared" si="11"/>
        <v>2.3234573328815449E+32</v>
      </c>
    </row>
    <row r="48" spans="1:11" x14ac:dyDescent="0.4">
      <c r="A48" s="8">
        <f t="shared" si="15"/>
        <v>40</v>
      </c>
      <c r="B48" s="5">
        <v>1</v>
      </c>
      <c r="C48">
        <f t="shared" si="3"/>
        <v>549755813887</v>
      </c>
      <c r="D48">
        <f t="shared" si="4"/>
        <v>2.0262770267536745E+18</v>
      </c>
      <c r="E48">
        <f t="shared" si="5"/>
        <v>5.0369882873307918E+22</v>
      </c>
      <c r="F48">
        <f t="shared" si="6"/>
        <v>7.5740854251732122E+25</v>
      </c>
      <c r="G48">
        <f t="shared" si="7"/>
        <v>1.8490198597752089E+28</v>
      </c>
      <c r="H48">
        <f t="shared" si="8"/>
        <v>1.2447270338715311E+30</v>
      </c>
      <c r="I48">
        <f t="shared" si="9"/>
        <v>3.1712979422428627E+31</v>
      </c>
      <c r="J48">
        <f t="shared" si="10"/>
        <v>3.749830818340614E+32</v>
      </c>
      <c r="K48">
        <f t="shared" si="11"/>
        <v>2.364684125291483E+33</v>
      </c>
    </row>
    <row r="49" spans="1:11" x14ac:dyDescent="0.4">
      <c r="A49" s="8">
        <f t="shared" si="15"/>
        <v>41</v>
      </c>
      <c r="B49" s="5">
        <v>1</v>
      </c>
      <c r="C49">
        <f t="shared" si="3"/>
        <v>1099511627775</v>
      </c>
      <c r="D49">
        <f t="shared" si="4"/>
        <v>6.0788316300168376E+18</v>
      </c>
      <c r="E49">
        <f t="shared" si="5"/>
        <v>2.0148155777025842E+23</v>
      </c>
      <c r="F49">
        <f t="shared" si="6"/>
        <v>3.7875464114153388E+26</v>
      </c>
      <c r="G49">
        <f t="shared" si="7"/>
        <v>1.1101693244076427E+29</v>
      </c>
      <c r="H49">
        <f t="shared" si="8"/>
        <v>8.7315794356984696E+30</v>
      </c>
      <c r="I49">
        <f t="shared" si="9"/>
        <v>2.5494856241330055E+32</v>
      </c>
      <c r="J49">
        <f t="shared" si="10"/>
        <v>3.4065607159289807E+33</v>
      </c>
      <c r="K49">
        <f t="shared" si="11"/>
        <v>2.4021824334748891E+34</v>
      </c>
    </row>
    <row r="50" spans="1:11" x14ac:dyDescent="0.4">
      <c r="A50" s="8">
        <f t="shared" si="15"/>
        <v>42</v>
      </c>
      <c r="B50" s="5">
        <v>1</v>
      </c>
      <c r="C50">
        <f t="shared" si="3"/>
        <v>2199023255551</v>
      </c>
      <c r="D50">
        <f t="shared" si="4"/>
        <v>1.8236495989562141E+19</v>
      </c>
      <c r="E50">
        <f t="shared" si="5"/>
        <v>8.0593230991266376E+23</v>
      </c>
      <c r="F50">
        <f t="shared" si="6"/>
        <v>1.8939746872654396E+27</v>
      </c>
      <c r="G50">
        <f t="shared" si="7"/>
        <v>6.6648034928572715E+29</v>
      </c>
      <c r="H50">
        <f t="shared" si="8"/>
        <v>6.1232072982330052E+31</v>
      </c>
      <c r="I50">
        <f t="shared" si="9"/>
        <v>2.0483200787421029E+33</v>
      </c>
      <c r="J50">
        <f t="shared" si="10"/>
        <v>3.0913995005774125E+34</v>
      </c>
      <c r="K50">
        <f t="shared" si="11"/>
        <v>2.4362480406341787E+35</v>
      </c>
    </row>
    <row r="51" spans="1:11" x14ac:dyDescent="0.4">
      <c r="A51" s="8">
        <f t="shared" si="15"/>
        <v>43</v>
      </c>
      <c r="B51" s="5">
        <v>1</v>
      </c>
      <c r="C51">
        <f t="shared" si="3"/>
        <v>4398046511103</v>
      </c>
      <c r="D51">
        <f t="shared" si="4"/>
        <v>5.470949016770968E+19</v>
      </c>
      <c r="E51">
        <f t="shared" si="5"/>
        <v>3.2237474761466446E+24</v>
      </c>
      <c r="F51">
        <f t="shared" si="6"/>
        <v>9.4706793686371104E+27</v>
      </c>
      <c r="G51">
        <f t="shared" si="7"/>
        <v>4.0007760704016286E+30</v>
      </c>
      <c r="H51">
        <f t="shared" si="8"/>
        <v>4.2929099122559606E+32</v>
      </c>
      <c r="I51">
        <f t="shared" si="9"/>
        <v>1.6447792702919153E+34</v>
      </c>
      <c r="J51">
        <f t="shared" si="10"/>
        <v>2.8027427513070922E+35</v>
      </c>
      <c r="K51">
        <f t="shared" si="11"/>
        <v>2.4671620356399526E+36</v>
      </c>
    </row>
    <row r="52" spans="1:11" x14ac:dyDescent="0.4">
      <c r="A52" s="8">
        <f t="shared" si="15"/>
        <v>44</v>
      </c>
      <c r="B52" s="5">
        <v>1</v>
      </c>
      <c r="C52">
        <f t="shared" si="3"/>
        <v>8796093022207</v>
      </c>
      <c r="D52">
        <f t="shared" si="4"/>
        <v>1.6412847490117553E+20</v>
      </c>
      <c r="E52">
        <f t="shared" si="5"/>
        <v>1.2895044614076745E+25</v>
      </c>
      <c r="F52">
        <f t="shared" si="6"/>
        <v>4.7356620590661701E+28</v>
      </c>
      <c r="G52">
        <f t="shared" si="7"/>
        <v>2.4014127101778409E+31</v>
      </c>
      <c r="H52">
        <f t="shared" si="8"/>
        <v>3.0090377146495741E+33</v>
      </c>
      <c r="I52">
        <f t="shared" si="9"/>
        <v>1.3201163261457881E+35</v>
      </c>
      <c r="J52">
        <f t="shared" si="10"/>
        <v>2.5389162688793022E+36</v>
      </c>
      <c r="K52">
        <f t="shared" si="11"/>
        <v>2.4951894631530238E+37</v>
      </c>
    </row>
    <row r="53" spans="1:11" x14ac:dyDescent="0.4">
      <c r="A53" s="8">
        <f t="shared" si="15"/>
        <v>45</v>
      </c>
      <c r="B53" s="5">
        <v>1</v>
      </c>
      <c r="C53">
        <f t="shared" si="3"/>
        <v>17592186044415</v>
      </c>
      <c r="D53">
        <f t="shared" si="4"/>
        <v>4.9238543349961962E+20</v>
      </c>
      <c r="E53">
        <f t="shared" si="5"/>
        <v>5.1580342584781886E+25</v>
      </c>
      <c r="F53">
        <f t="shared" si="6"/>
        <v>2.3679599799792256E+29</v>
      </c>
      <c r="G53">
        <f t="shared" si="7"/>
        <v>1.4413211923126113E+32</v>
      </c>
      <c r="H53">
        <f t="shared" si="8"/>
        <v>2.1087278129648797E+34</v>
      </c>
      <c r="I53">
        <f t="shared" si="9"/>
        <v>1.0591020986312801E+36</v>
      </c>
      <c r="J53">
        <f t="shared" si="10"/>
        <v>2.2982258052528301E+37</v>
      </c>
      <c r="K53">
        <f t="shared" si="11"/>
        <v>2.5205786258418168E+38</v>
      </c>
    </row>
    <row r="54" spans="1:11" x14ac:dyDescent="0.4">
      <c r="A54" s="8">
        <f t="shared" si="15"/>
        <v>46</v>
      </c>
      <c r="B54" s="5">
        <v>1</v>
      </c>
      <c r="C54">
        <f t="shared" si="3"/>
        <v>35184372088831</v>
      </c>
      <c r="D54">
        <f t="shared" si="4"/>
        <v>1.477156318091045E+21</v>
      </c>
      <c r="E54">
        <f t="shared" si="5"/>
        <v>2.0632186272456105E+26</v>
      </c>
      <c r="F54">
        <f t="shared" si="6"/>
        <v>1.1840315703321975E+30</v>
      </c>
      <c r="G54">
        <f t="shared" si="7"/>
        <v>8.6502951138556466E+32</v>
      </c>
      <c r="H54">
        <f t="shared" si="8"/>
        <v>1.4775507902677285E+35</v>
      </c>
      <c r="I54">
        <f t="shared" si="9"/>
        <v>8.4939040671798901E+36</v>
      </c>
      <c r="J54">
        <f t="shared" si="10"/>
        <v>2.0789942457138602E+38</v>
      </c>
      <c r="K54">
        <f t="shared" si="11"/>
        <v>2.5435608838943449E+39</v>
      </c>
    </row>
    <row r="55" spans="1:11" x14ac:dyDescent="0.4">
      <c r="A55" s="8">
        <f t="shared" si="15"/>
        <v>47</v>
      </c>
      <c r="B55" s="5">
        <v>1</v>
      </c>
      <c r="C55">
        <f t="shared" si="3"/>
        <v>70368744177663</v>
      </c>
      <c r="D55">
        <f t="shared" si="4"/>
        <v>4.431468989457507E+21</v>
      </c>
      <c r="E55">
        <f t="shared" si="5"/>
        <v>8.2528892805456228E+26</v>
      </c>
      <c r="F55">
        <f t="shared" si="6"/>
        <v>5.9203641735237114E+30</v>
      </c>
      <c r="G55">
        <f t="shared" si="7"/>
        <v>5.1913610998837199E+33</v>
      </c>
      <c r="H55">
        <f t="shared" si="8"/>
        <v>1.0351505826987955E+36</v>
      </c>
      <c r="I55">
        <f t="shared" si="9"/>
        <v>6.8098987616465895E+37</v>
      </c>
      <c r="J55">
        <f t="shared" si="10"/>
        <v>1.879588725209654E+39</v>
      </c>
      <c r="K55">
        <f t="shared" si="11"/>
        <v>2.5643508263514835E+40</v>
      </c>
    </row>
    <row r="56" spans="1:11" x14ac:dyDescent="0.4">
      <c r="A56" s="8">
        <f t="shared" si="15"/>
        <v>48</v>
      </c>
      <c r="B56" s="5">
        <v>1</v>
      </c>
      <c r="C56">
        <f t="shared" si="3"/>
        <v>140737488355327</v>
      </c>
      <c r="D56">
        <f t="shared" si="4"/>
        <v>1.3294407038741265E+22</v>
      </c>
      <c r="E56">
        <f t="shared" si="5"/>
        <v>3.3011601436872386E+27</v>
      </c>
      <c r="F56">
        <f t="shared" si="6"/>
        <v>2.9602646156546612E+31</v>
      </c>
      <c r="G56">
        <f t="shared" si="7"/>
        <v>3.1154086963475842E+34</v>
      </c>
      <c r="H56">
        <f t="shared" si="8"/>
        <v>7.2512454399914527E+36</v>
      </c>
      <c r="I56">
        <f t="shared" si="9"/>
        <v>5.4582705151442598E+38</v>
      </c>
      <c r="J56">
        <f t="shared" si="10"/>
        <v>1.6984397514503353E+40</v>
      </c>
      <c r="K56">
        <f t="shared" si="11"/>
        <v>2.5831467136035801E+41</v>
      </c>
    </row>
    <row r="57" spans="1:11" x14ac:dyDescent="0.4">
      <c r="A57" s="8">
        <f t="shared" si="15"/>
        <v>49</v>
      </c>
      <c r="B57" s="5">
        <v>1</v>
      </c>
      <c r="C57">
        <f t="shared" si="3"/>
        <v>281474976710655</v>
      </c>
      <c r="D57">
        <f t="shared" si="4"/>
        <v>3.988322125696128E+22</v>
      </c>
      <c r="E57">
        <f t="shared" si="5"/>
        <v>1.3204653869155992E+28</v>
      </c>
      <c r="F57">
        <f t="shared" si="6"/>
        <v>1.4801653194287675E+32</v>
      </c>
      <c r="G57">
        <f t="shared" si="7"/>
        <v>1.8695412442701159E+35</v>
      </c>
      <c r="H57">
        <f t="shared" si="8"/>
        <v>5.0789872166903645E+37</v>
      </c>
      <c r="I57">
        <f t="shared" si="9"/>
        <v>4.3738676575553993E+39</v>
      </c>
      <c r="J57">
        <f t="shared" si="10"/>
        <v>1.534054046820446E+41</v>
      </c>
      <c r="K57">
        <f t="shared" si="11"/>
        <v>2.6001311111180834E+42</v>
      </c>
    </row>
    <row r="58" spans="1:11" x14ac:dyDescent="0.4">
      <c r="A58" s="8">
        <f t="shared" si="15"/>
        <v>50</v>
      </c>
      <c r="B58" s="5">
        <v>1</v>
      </c>
      <c r="C58">
        <f t="shared" si="3"/>
        <v>562949953421311</v>
      </c>
      <c r="D58">
        <f t="shared" si="4"/>
        <v>1.1964966405235881E+23</v>
      </c>
      <c r="E58">
        <f t="shared" si="5"/>
        <v>5.2818655359845227E+28</v>
      </c>
      <c r="F58">
        <f t="shared" si="6"/>
        <v>7.4009586436825291E+32</v>
      </c>
      <c r="G58">
        <f t="shared" si="7"/>
        <v>1.1218727630940124E+36</v>
      </c>
      <c r="H58">
        <f t="shared" si="8"/>
        <v>3.5571605929275258E+38</v>
      </c>
      <c r="I58">
        <f t="shared" si="9"/>
        <v>3.5041731132610097E+40</v>
      </c>
      <c r="J58">
        <f t="shared" si="10"/>
        <v>1.3850225097959567E+42</v>
      </c>
      <c r="K58">
        <f t="shared" si="11"/>
        <v>2.6154716515862879E+43</v>
      </c>
    </row>
    <row r="59" spans="1:11" x14ac:dyDescent="0.4">
      <c r="A59" s="8">
        <f t="shared" si="15"/>
        <v>51</v>
      </c>
      <c r="B59" s="5">
        <v>1</v>
      </c>
      <c r="C59">
        <f t="shared" si="3"/>
        <v>1125899906842623</v>
      </c>
      <c r="D59">
        <f t="shared" si="4"/>
        <v>3.5894899272002638E+23</v>
      </c>
      <c r="E59">
        <f t="shared" si="5"/>
        <v>2.1127474108904495E+29</v>
      </c>
      <c r="F59">
        <f t="shared" si="6"/>
        <v>3.7005321404966241E+33</v>
      </c>
      <c r="G59">
        <f t="shared" si="7"/>
        <v>6.7319766744284423E+36</v>
      </c>
      <c r="H59">
        <f t="shared" si="8"/>
        <v>2.4911342878123621E+39</v>
      </c>
      <c r="I59">
        <f t="shared" si="9"/>
        <v>2.8068956512017354E+41</v>
      </c>
      <c r="J59">
        <f t="shared" si="10"/>
        <v>1.2500244319296219E+43</v>
      </c>
      <c r="K59">
        <f t="shared" si="11"/>
        <v>2.6293218766842474E+44</v>
      </c>
    </row>
    <row r="60" spans="1:11" x14ac:dyDescent="0.4">
      <c r="A60" s="8">
        <f t="shared" si="15"/>
        <v>52</v>
      </c>
      <c r="B60" s="5">
        <v>1</v>
      </c>
      <c r="C60">
        <f t="shared" si="3"/>
        <v>2251799813685247</v>
      </c>
      <c r="D60">
        <f t="shared" si="4"/>
        <v>1.0768469792859791E+24</v>
      </c>
      <c r="E60">
        <f t="shared" si="5"/>
        <v>8.4509932330517256E+29</v>
      </c>
      <c r="F60">
        <f t="shared" si="6"/>
        <v>1.8502871977224211E+34</v>
      </c>
      <c r="G60">
        <f t="shared" si="7"/>
        <v>4.039556057871115E+37</v>
      </c>
      <c r="H60">
        <f t="shared" si="8"/>
        <v>1.7444671991360962E+40</v>
      </c>
      <c r="I60">
        <f t="shared" si="9"/>
        <v>2.2480076552492007E+42</v>
      </c>
      <c r="J60">
        <f t="shared" si="10"/>
        <v>1.1278288843878616E+44</v>
      </c>
      <c r="K60">
        <f t="shared" si="11"/>
        <v>2.6418221210035436E+45</v>
      </c>
    </row>
    <row r="61" spans="1:11" x14ac:dyDescent="0.4">
      <c r="A61" s="8">
        <f t="shared" si="15"/>
        <v>53</v>
      </c>
      <c r="B61" s="5">
        <v>1</v>
      </c>
      <c r="C61">
        <f t="shared" si="3"/>
        <v>4503599627370495</v>
      </c>
      <c r="D61">
        <f t="shared" si="4"/>
        <v>3.2305409401097368E+24</v>
      </c>
      <c r="E61">
        <f t="shared" si="5"/>
        <v>3.3803983700676697E+30</v>
      </c>
      <c r="F61">
        <f t="shared" si="6"/>
        <v>9.2515204985444355E+34</v>
      </c>
      <c r="G61">
        <f t="shared" si="7"/>
        <v>2.4239186634424416E+38</v>
      </c>
      <c r="H61">
        <f t="shared" si="8"/>
        <v>1.2215309950010544E+41</v>
      </c>
      <c r="I61">
        <f t="shared" si="9"/>
        <v>1.8001505913984966E+43</v>
      </c>
      <c r="J61">
        <f t="shared" si="10"/>
        <v>1.0172940036043246E+45</v>
      </c>
      <c r="K61">
        <f t="shared" si="11"/>
        <v>2.6531004098474221E+46</v>
      </c>
    </row>
    <row r="62" spans="1:11" x14ac:dyDescent="0.4">
      <c r="A62" s="8">
        <f t="shared" si="15"/>
        <v>54</v>
      </c>
      <c r="B62" s="5">
        <v>1</v>
      </c>
      <c r="C62">
        <f t="shared" si="3"/>
        <v>9007199254740991</v>
      </c>
      <c r="D62">
        <f t="shared" si="4"/>
        <v>9.6916228248328107E+24</v>
      </c>
      <c r="E62">
        <f t="shared" si="5"/>
        <v>1.3521596710811618E+31</v>
      </c>
      <c r="F62">
        <f t="shared" si="6"/>
        <v>4.6257940532559188E+35</v>
      </c>
      <c r="G62">
        <f t="shared" si="7"/>
        <v>1.4544437132704503E+39</v>
      </c>
      <c r="H62">
        <f t="shared" si="8"/>
        <v>8.5531408836708229E+41</v>
      </c>
      <c r="I62">
        <f t="shared" si="9"/>
        <v>1.4413420041137983E+44</v>
      </c>
      <c r="J62">
        <f t="shared" si="10"/>
        <v>9.1736475383529072E+45</v>
      </c>
      <c r="K62">
        <f t="shared" si="11"/>
        <v>2.6632733498834652E+47</v>
      </c>
    </row>
    <row r="63" spans="1:11" x14ac:dyDescent="0.4">
      <c r="A63" s="8">
        <f t="shared" si="15"/>
        <v>55</v>
      </c>
      <c r="B63" s="5">
        <v>1</v>
      </c>
      <c r="C63">
        <f t="shared" si="3"/>
        <v>1.8014398509481984E+16</v>
      </c>
      <c r="D63">
        <f t="shared" si="4"/>
        <v>2.9074868483505629E+25</v>
      </c>
      <c r="E63">
        <f t="shared" si="5"/>
        <v>5.40863965348693E+31</v>
      </c>
      <c r="F63">
        <f t="shared" si="6"/>
        <v>2.3129105482246703E+36</v>
      </c>
      <c r="G63">
        <f t="shared" si="7"/>
        <v>8.7271248590280286E+39</v>
      </c>
      <c r="H63">
        <f t="shared" si="8"/>
        <v>5.988653062282846E+42</v>
      </c>
      <c r="I63">
        <f t="shared" si="9"/>
        <v>1.1539289173794057E+45</v>
      </c>
      <c r="J63">
        <f t="shared" si="10"/>
        <v>8.2706962045587544E+46</v>
      </c>
      <c r="K63">
        <f t="shared" si="11"/>
        <v>2.6724469974218181E+48</v>
      </c>
    </row>
    <row r="64" spans="1:11" x14ac:dyDescent="0.4">
      <c r="A64" s="8">
        <f t="shared" si="15"/>
        <v>56</v>
      </c>
      <c r="B64" s="5">
        <v>1</v>
      </c>
      <c r="C64">
        <f t="shared" si="3"/>
        <v>3.6028797018963968E+16</v>
      </c>
      <c r="D64">
        <f t="shared" si="4"/>
        <v>8.7224605468531286E+25</v>
      </c>
      <c r="E64">
        <f t="shared" si="5"/>
        <v>2.1634561521434569E+32</v>
      </c>
      <c r="F64">
        <f t="shared" si="6"/>
        <v>1.1564606827519887E+37</v>
      </c>
      <c r="G64">
        <f t="shared" si="7"/>
        <v>5.23650620647164E+40</v>
      </c>
      <c r="H64">
        <f t="shared" si="8"/>
        <v>4.1929298560838949E+43</v>
      </c>
      <c r="I64">
        <f t="shared" si="9"/>
        <v>9.2374199920975284E+45</v>
      </c>
      <c r="J64">
        <f t="shared" si="10"/>
        <v>7.4551658732766735E+47</v>
      </c>
      <c r="K64">
        <f t="shared" si="11"/>
        <v>2.6807176936263773E+49</v>
      </c>
    </row>
    <row r="65" spans="1:11" x14ac:dyDescent="0.4">
      <c r="A65" s="8">
        <f t="shared" si="15"/>
        <v>57</v>
      </c>
      <c r="B65" s="5">
        <v>1</v>
      </c>
      <c r="C65">
        <f t="shared" si="3"/>
        <v>7.2057594037927936E+16</v>
      </c>
      <c r="D65">
        <f t="shared" si="4"/>
        <v>2.6167381644162266E+26</v>
      </c>
      <c r="E65">
        <f t="shared" si="5"/>
        <v>8.6538254808198822E+32</v>
      </c>
      <c r="F65">
        <f t="shared" si="6"/>
        <v>5.7823250483214651E+37</v>
      </c>
      <c r="G65">
        <f t="shared" si="7"/>
        <v>3.1420193699512592E+41</v>
      </c>
      <c r="H65">
        <f t="shared" si="8"/>
        <v>2.9355745498793735E+44</v>
      </c>
      <c r="I65">
        <f t="shared" si="9"/>
        <v>7.3941289235341065E+46</v>
      </c>
      <c r="J65">
        <f t="shared" si="10"/>
        <v>6.7188867059411034E+48</v>
      </c>
      <c r="K65">
        <f t="shared" si="11"/>
        <v>2.6881728594996541E+50</v>
      </c>
    </row>
    <row r="66" spans="1:11" x14ac:dyDescent="0.4">
      <c r="A66" s="8">
        <f t="shared" si="15"/>
        <v>58</v>
      </c>
      <c r="B66" s="5">
        <v>1</v>
      </c>
      <c r="C66">
        <f t="shared" si="3"/>
        <v>1.4411518807585587E+17</v>
      </c>
      <c r="D66">
        <f t="shared" si="4"/>
        <v>7.8502144939692563E+26</v>
      </c>
      <c r="E66">
        <f t="shared" si="5"/>
        <v>3.4615304540017691E+33</v>
      </c>
      <c r="F66">
        <f t="shared" si="6"/>
        <v>2.8911711779862135E+38</v>
      </c>
      <c r="G66">
        <f t="shared" si="7"/>
        <v>1.8852694452212385E+42</v>
      </c>
      <c r="H66">
        <f t="shared" si="8"/>
        <v>2.0552163868525566E+45</v>
      </c>
      <c r="I66">
        <f t="shared" si="9"/>
        <v>5.9182387133771645E+47</v>
      </c>
      <c r="J66">
        <f t="shared" si="10"/>
        <v>6.0543921642705267E+49</v>
      </c>
      <c r="K66">
        <f t="shared" si="11"/>
        <v>2.6948917462055954E+51</v>
      </c>
    </row>
    <row r="67" spans="1:11" x14ac:dyDescent="0.4">
      <c r="A67" s="8">
        <f t="shared" si="15"/>
        <v>59</v>
      </c>
      <c r="B67" s="5">
        <v>1</v>
      </c>
      <c r="C67">
        <f t="shared" si="3"/>
        <v>2.8823037615171174E+17</v>
      </c>
      <c r="D67">
        <f t="shared" si="4"/>
        <v>2.3550643483348921E+27</v>
      </c>
      <c r="E67">
        <f t="shared" si="5"/>
        <v>1.3846122601028525E+34</v>
      </c>
      <c r="F67">
        <f t="shared" si="6"/>
        <v>1.4455890505235606E+39</v>
      </c>
      <c r="G67">
        <f t="shared" si="7"/>
        <v>1.131190578844523E+43</v>
      </c>
      <c r="H67">
        <f t="shared" si="8"/>
        <v>1.4388399977413118E+46</v>
      </c>
      <c r="I67">
        <f t="shared" si="9"/>
        <v>4.7366461870885843E+48</v>
      </c>
      <c r="J67">
        <f t="shared" si="10"/>
        <v>5.4548711865568509E+50</v>
      </c>
      <c r="K67">
        <f t="shared" si="11"/>
        <v>2.7009461383698655E+52</v>
      </c>
    </row>
    <row r="68" spans="1:11" x14ac:dyDescent="0.4">
      <c r="A68" s="8">
        <f t="shared" si="15"/>
        <v>60</v>
      </c>
      <c r="B68" s="5">
        <v>1</v>
      </c>
      <c r="C68">
        <f t="shared" si="3"/>
        <v>5.7646075230342349E+17</v>
      </c>
      <c r="D68">
        <f t="shared" si="4"/>
        <v>7.0651930452929069E+27</v>
      </c>
      <c r="E68">
        <f t="shared" si="5"/>
        <v>5.5384492759178445E+34</v>
      </c>
      <c r="F68">
        <f t="shared" si="6"/>
        <v>7.2279590987404037E+39</v>
      </c>
      <c r="G68">
        <f t="shared" si="7"/>
        <v>6.7872880319721904E+43</v>
      </c>
      <c r="H68">
        <f t="shared" si="8"/>
        <v>1.0073011174768027E+47</v>
      </c>
      <c r="I68">
        <f t="shared" si="9"/>
        <v>3.7907557896686088E+49</v>
      </c>
      <c r="J68">
        <f t="shared" si="10"/>
        <v>4.9141207140882541E+51</v>
      </c>
      <c r="K68">
        <f t="shared" si="11"/>
        <v>2.7064010095564226E+53</v>
      </c>
    </row>
    <row r="69" spans="1:11" x14ac:dyDescent="0.4">
      <c r="A69" s="8">
        <f t="shared" si="15"/>
        <v>61</v>
      </c>
      <c r="B69" s="5">
        <v>1</v>
      </c>
      <c r="C69">
        <f t="shared" si="3"/>
        <v>1.152921504606847E+18</v>
      </c>
      <c r="D69">
        <f t="shared" si="4"/>
        <v>2.119557913645518E+28</v>
      </c>
      <c r="E69">
        <f t="shared" si="5"/>
        <v>2.2153797810190682E+35</v>
      </c>
      <c r="F69">
        <f t="shared" si="6"/>
        <v>3.6139850878194778E+40</v>
      </c>
      <c r="G69">
        <f t="shared" si="7"/>
        <v>4.0724450987743021E+44</v>
      </c>
      <c r="H69">
        <f t="shared" si="8"/>
        <v>7.0517865511408158E+47</v>
      </c>
      <c r="I69">
        <f t="shared" si="9"/>
        <v>3.0336119328523638E+50</v>
      </c>
      <c r="J69">
        <f t="shared" si="10"/>
        <v>4.4264993984690971E+52</v>
      </c>
      <c r="K69">
        <f t="shared" si="11"/>
        <v>2.7113151302705108E+54</v>
      </c>
    </row>
    <row r="70" spans="1:11" x14ac:dyDescent="0.4">
      <c r="A70" s="8">
        <f t="shared" si="15"/>
        <v>62</v>
      </c>
      <c r="B70" s="5">
        <v>1</v>
      </c>
      <c r="C70">
        <f t="shared" si="3"/>
        <v>2.305843009213694E+18</v>
      </c>
      <c r="D70">
        <f t="shared" si="4"/>
        <v>6.3586737410518467E+28</v>
      </c>
      <c r="E70">
        <f t="shared" si="5"/>
        <v>8.8615193360320642E+35</v>
      </c>
      <c r="F70">
        <f t="shared" si="6"/>
        <v>1.8069947592895197E+41</v>
      </c>
      <c r="G70">
        <f t="shared" si="7"/>
        <v>2.4435031991154593E+45</v>
      </c>
      <c r="H70">
        <f t="shared" si="8"/>
        <v>4.9366578303084484E+48</v>
      </c>
      <c r="I70">
        <f t="shared" si="9"/>
        <v>2.4275947249370051E+51</v>
      </c>
      <c r="J70">
        <f t="shared" si="10"/>
        <v>3.98688307055504E+53</v>
      </c>
      <c r="K70">
        <f t="shared" si="11"/>
        <v>2.71574162966898E+55</v>
      </c>
    </row>
    <row r="71" spans="1:11" x14ac:dyDescent="0.4">
      <c r="A71" s="8">
        <f t="shared" si="15"/>
        <v>63</v>
      </c>
      <c r="B71" s="5">
        <v>1</v>
      </c>
      <c r="C71">
        <f t="shared" si="3"/>
        <v>4.6116860184273879E+18</v>
      </c>
      <c r="D71">
        <f t="shared" si="4"/>
        <v>1.9076021223386124E+29</v>
      </c>
      <c r="E71">
        <f t="shared" si="5"/>
        <v>3.544607797999563E+36</v>
      </c>
      <c r="F71">
        <f t="shared" si="6"/>
        <v>9.0349826579669342E+41</v>
      </c>
      <c r="G71">
        <f t="shared" si="7"/>
        <v>1.4661199894168683E+46</v>
      </c>
      <c r="H71">
        <f t="shared" si="8"/>
        <v>3.4559048315358255E+49</v>
      </c>
      <c r="I71">
        <f t="shared" si="9"/>
        <v>1.9425694457326348E+52</v>
      </c>
      <c r="J71">
        <f t="shared" si="10"/>
        <v>3.590622358224473E+54</v>
      </c>
      <c r="K71">
        <f t="shared" si="11"/>
        <v>2.719728512739535E+56</v>
      </c>
    </row>
    <row r="72" spans="1:11" x14ac:dyDescent="0.4">
      <c r="A72" s="8">
        <f t="shared" si="15"/>
        <v>64</v>
      </c>
      <c r="B72" s="5">
        <v>1</v>
      </c>
      <c r="C72">
        <f t="shared" si="3"/>
        <v>9.2233720368547758E+18</v>
      </c>
      <c r="D72">
        <f t="shared" si="4"/>
        <v>5.7228063670619542E+29</v>
      </c>
      <c r="E72">
        <f t="shared" si="5"/>
        <v>1.4178431382758463E+37</v>
      </c>
      <c r="F72">
        <f t="shared" si="6"/>
        <v>4.5174948735912653E+42</v>
      </c>
      <c r="G72">
        <f t="shared" si="7"/>
        <v>8.7968102863277894E+46</v>
      </c>
      <c r="H72">
        <f t="shared" si="8"/>
        <v>2.4192799940740192E+50</v>
      </c>
      <c r="I72">
        <f t="shared" si="9"/>
        <v>1.5544011470692614E+53</v>
      </c>
      <c r="J72">
        <f t="shared" si="10"/>
        <v>3.2335026918477583E+55</v>
      </c>
      <c r="K72">
        <f t="shared" si="11"/>
        <v>2.7233191350977595E+57</v>
      </c>
    </row>
    <row r="73" spans="1:11" x14ac:dyDescent="0.4">
      <c r="A73" s="8">
        <f t="shared" si="15"/>
        <v>65</v>
      </c>
      <c r="B73" s="5">
        <v>1</v>
      </c>
      <c r="C73">
        <f t="shared" si="3"/>
        <v>1.8446744073709552E+19</v>
      </c>
      <c r="D73">
        <f t="shared" si="4"/>
        <v>1.7168419101278098E+30</v>
      </c>
      <c r="E73">
        <f t="shared" si="5"/>
        <v>5.6713726103314487E+37</v>
      </c>
      <c r="F73">
        <f t="shared" si="6"/>
        <v>2.2587488546387709E+43</v>
      </c>
      <c r="G73">
        <f t="shared" si="7"/>
        <v>5.2781313467454093E+47</v>
      </c>
      <c r="H73">
        <f t="shared" si="8"/>
        <v>1.6935839639546767E+51</v>
      </c>
      <c r="I73">
        <f t="shared" si="9"/>
        <v>1.2437628456548166E+54</v>
      </c>
      <c r="J73">
        <f t="shared" si="10"/>
        <v>2.9117068238100517E+56</v>
      </c>
      <c r="K73">
        <f t="shared" si="11"/>
        <v>2.7265526377896075E+58</v>
      </c>
    </row>
    <row r="74" spans="1:11" x14ac:dyDescent="0.4">
      <c r="A74" s="8">
        <f t="shared" si="15"/>
        <v>66</v>
      </c>
      <c r="B74" s="5">
        <v>1</v>
      </c>
      <c r="C74">
        <f t="shared" ref="C74:C108" si="16">B73+C$7*C73</f>
        <v>3.6893488147419103E+19</v>
      </c>
      <c r="D74">
        <f t="shared" ref="D74:D108" si="17">C73+D$7*D73</f>
        <v>5.1505257304018766E+30</v>
      </c>
      <c r="E74">
        <f t="shared" ref="E74:E108" si="18">D73+E$7*E73</f>
        <v>2.2685490613009986E+38</v>
      </c>
      <c r="F74">
        <f t="shared" ref="F74:F108" si="19">E73+F$7*F73</f>
        <v>1.1293749944566465E+44</v>
      </c>
      <c r="G74">
        <f t="shared" ref="G74:G108" si="20">F73+G$7*G73</f>
        <v>3.166901395535792E+48</v>
      </c>
      <c r="H74">
        <f t="shared" ref="H74:H108" si="21">G73+H$7*H73</f>
        <v>1.1855615560817412E+52</v>
      </c>
      <c r="I74">
        <f t="shared" ref="I74:I108" si="22">H73+I$7*I73</f>
        <v>9.9517963492024874E+54</v>
      </c>
      <c r="J74">
        <f t="shared" ref="J74:J108" si="23">I73+J$7*J73</f>
        <v>2.6217799042747015E+57</v>
      </c>
      <c r="K74">
        <f t="shared" ref="K74:K108" si="24">J73+K$7*K73</f>
        <v>2.7294643446134178E+59</v>
      </c>
    </row>
    <row r="75" spans="1:11" x14ac:dyDescent="0.4">
      <c r="A75" s="8">
        <f t="shared" si="15"/>
        <v>67</v>
      </c>
      <c r="B75" s="5">
        <v>1</v>
      </c>
      <c r="C75">
        <f t="shared" si="16"/>
        <v>7.3786976294838206E+19</v>
      </c>
      <c r="D75">
        <f t="shared" si="17"/>
        <v>1.5451577191242523E+31</v>
      </c>
      <c r="E75">
        <f t="shared" si="18"/>
        <v>9.0741962967092513E+38</v>
      </c>
      <c r="F75">
        <f t="shared" si="19"/>
        <v>5.6468772408322935E+44</v>
      </c>
      <c r="G75">
        <f t="shared" si="20"/>
        <v>1.9001521310714197E+49</v>
      </c>
      <c r="H75">
        <f t="shared" si="21"/>
        <v>8.2992475827117416E+52</v>
      </c>
      <c r="I75">
        <f t="shared" si="22"/>
        <v>7.9626226409180716E+55</v>
      </c>
      <c r="J75">
        <f t="shared" si="23"/>
        <v>2.3605970934821516E+58</v>
      </c>
      <c r="K75">
        <f t="shared" si="24"/>
        <v>2.7320861245176925E+60</v>
      </c>
    </row>
    <row r="76" spans="1:11" x14ac:dyDescent="0.4">
      <c r="A76" s="8">
        <f t="shared" si="15"/>
        <v>68</v>
      </c>
      <c r="B76" s="5">
        <v>1</v>
      </c>
      <c r="C76">
        <f t="shared" si="16"/>
        <v>1.4757395258967641E+20</v>
      </c>
      <c r="D76">
        <f t="shared" si="17"/>
        <v>4.6354731573801352E+31</v>
      </c>
      <c r="E76">
        <f t="shared" si="18"/>
        <v>3.6296785341352776E+39</v>
      </c>
      <c r="F76">
        <f t="shared" si="19"/>
        <v>2.8234395278357764E+45</v>
      </c>
      <c r="G76">
        <f t="shared" si="20"/>
        <v>1.1400969255200925E+50</v>
      </c>
      <c r="H76">
        <f t="shared" si="21"/>
        <v>5.8096633231113262E+53</v>
      </c>
      <c r="I76">
        <f t="shared" si="22"/>
        <v>6.3709280374927281E+56</v>
      </c>
      <c r="J76">
        <f t="shared" si="23"/>
        <v>2.1253336463980281E+59</v>
      </c>
      <c r="K76">
        <f t="shared" si="24"/>
        <v>2.7344467216111746E+61</v>
      </c>
    </row>
    <row r="77" spans="1:11" x14ac:dyDescent="0.4">
      <c r="A77" s="8">
        <f t="shared" si="15"/>
        <v>69</v>
      </c>
      <c r="B77" s="5">
        <v>1</v>
      </c>
      <c r="C77">
        <f t="shared" si="16"/>
        <v>2.9514790517935283E+20</v>
      </c>
      <c r="D77">
        <f t="shared" si="17"/>
        <v>1.3906419472155163E+32</v>
      </c>
      <c r="E77">
        <f t="shared" si="18"/>
        <v>1.4518714182895843E+40</v>
      </c>
      <c r="F77">
        <f t="shared" si="19"/>
        <v>1.4117201268857416E+46</v>
      </c>
      <c r="G77">
        <f t="shared" si="20"/>
        <v>6.8406097875158335E+50</v>
      </c>
      <c r="H77">
        <f t="shared" si="21"/>
        <v>4.0668783358704803E+54</v>
      </c>
      <c r="I77">
        <f t="shared" si="22"/>
        <v>5.0973233963264936E+57</v>
      </c>
      <c r="J77">
        <f t="shared" si="23"/>
        <v>1.9134373745619744E+60</v>
      </c>
      <c r="K77">
        <f t="shared" si="24"/>
        <v>2.7365720552575727E+62</v>
      </c>
    </row>
    <row r="78" spans="1:11" x14ac:dyDescent="0.4">
      <c r="A78" s="8">
        <f t="shared" si="15"/>
        <v>70</v>
      </c>
      <c r="B78" s="5">
        <v>1</v>
      </c>
      <c r="C78">
        <f t="shared" si="16"/>
        <v>5.9029581035870565E+20</v>
      </c>
      <c r="D78">
        <f t="shared" si="17"/>
        <v>4.1719258416495002E+32</v>
      </c>
      <c r="E78">
        <f t="shared" si="18"/>
        <v>5.8074856870647569E+40</v>
      </c>
      <c r="F78">
        <f t="shared" si="19"/>
        <v>7.0586020863001272E+46</v>
      </c>
      <c r="G78">
        <f t="shared" si="20"/>
        <v>4.1043799897107685E+51</v>
      </c>
      <c r="H78">
        <f t="shared" si="21"/>
        <v>2.8468832412072116E+55</v>
      </c>
      <c r="I78">
        <f t="shared" si="22"/>
        <v>4.0782654048947817E+58</v>
      </c>
      <c r="J78">
        <f t="shared" si="23"/>
        <v>1.7226033694454096E+61</v>
      </c>
      <c r="K78">
        <f t="shared" si="24"/>
        <v>2.7384854926321348E+63</v>
      </c>
    </row>
    <row r="79" spans="1:11" x14ac:dyDescent="0.4">
      <c r="A79" s="8">
        <f t="shared" si="15"/>
        <v>71</v>
      </c>
      <c r="B79" s="5">
        <v>1</v>
      </c>
      <c r="C79">
        <f t="shared" si="16"/>
        <v>1.1805916207174113E+21</v>
      </c>
      <c r="D79">
        <f t="shared" si="17"/>
        <v>1.2515777524954404E+33</v>
      </c>
      <c r="E79">
        <f t="shared" si="18"/>
        <v>2.3229942789978288E+41</v>
      </c>
      <c r="F79">
        <f t="shared" si="19"/>
        <v>3.5293016238986324E+47</v>
      </c>
      <c r="G79">
        <f t="shared" si="20"/>
        <v>2.4626350524285472E+52</v>
      </c>
      <c r="H79">
        <f t="shared" si="21"/>
        <v>1.9928593126449453E+56</v>
      </c>
      <c r="I79">
        <f t="shared" si="22"/>
        <v>3.2628970122399463E+59</v>
      </c>
      <c r="J79">
        <f t="shared" si="23"/>
        <v>1.5507508590413582E+62</v>
      </c>
      <c r="K79">
        <f t="shared" si="24"/>
        <v>2.7402080960015799E+64</v>
      </c>
    </row>
    <row r="80" spans="1:11" x14ac:dyDescent="0.4">
      <c r="A80" s="8">
        <f t="shared" si="15"/>
        <v>72</v>
      </c>
      <c r="B80" s="5">
        <v>1</v>
      </c>
      <c r="C80">
        <f t="shared" si="16"/>
        <v>2.3611832414348226E+21</v>
      </c>
      <c r="D80">
        <f t="shared" si="17"/>
        <v>3.7547332574875018E+33</v>
      </c>
      <c r="E80">
        <f t="shared" si="18"/>
        <v>9.2919771285070932E+41</v>
      </c>
      <c r="F80">
        <f t="shared" si="19"/>
        <v>1.764651044248744E+48</v>
      </c>
      <c r="G80">
        <f t="shared" si="20"/>
        <v>1.4775845607587522E+53</v>
      </c>
      <c r="H80">
        <f t="shared" si="21"/>
        <v>1.395026145201986E+57</v>
      </c>
      <c r="I80">
        <f t="shared" si="22"/>
        <v>2.6105168957232216E+60</v>
      </c>
      <c r="J80">
        <f t="shared" si="23"/>
        <v>1.3960020628384464E+63</v>
      </c>
      <c r="K80">
        <f t="shared" si="24"/>
        <v>2.7417588468606213E+65</v>
      </c>
    </row>
    <row r="81" spans="1:11" x14ac:dyDescent="0.4">
      <c r="A81" s="8">
        <f t="shared" si="15"/>
        <v>73</v>
      </c>
      <c r="B81" s="5">
        <v>1</v>
      </c>
      <c r="C81">
        <f t="shared" si="16"/>
        <v>4.7223664828696452E+21</v>
      </c>
      <c r="D81">
        <f t="shared" si="17"/>
        <v>1.1264199772464866E+34</v>
      </c>
      <c r="E81">
        <f t="shared" si="18"/>
        <v>3.7167908551575707E+42</v>
      </c>
      <c r="F81">
        <f t="shared" si="19"/>
        <v>8.8232561504414326E+48</v>
      </c>
      <c r="G81">
        <f t="shared" si="20"/>
        <v>8.8655250110629554E+53</v>
      </c>
      <c r="H81">
        <f t="shared" si="21"/>
        <v>9.7653307748699778E+57</v>
      </c>
      <c r="I81">
        <f t="shared" si="22"/>
        <v>2.0885530191930974E+61</v>
      </c>
      <c r="J81">
        <f t="shared" si="23"/>
        <v>1.2566629082441741E+64</v>
      </c>
      <c r="K81">
        <f t="shared" si="24"/>
        <v>2.7431548489234599E+66</v>
      </c>
    </row>
    <row r="82" spans="1:11" x14ac:dyDescent="0.4">
      <c r="A82" s="8">
        <f t="shared" si="15"/>
        <v>74</v>
      </c>
      <c r="B82" s="5">
        <v>1</v>
      </c>
      <c r="C82">
        <f t="shared" si="16"/>
        <v>9.4447329657392904E+21</v>
      </c>
      <c r="D82">
        <f t="shared" si="17"/>
        <v>3.3792599317399323E+34</v>
      </c>
      <c r="E82">
        <f t="shared" si="18"/>
        <v>1.4867163431894482E+43</v>
      </c>
      <c r="F82">
        <f t="shared" si="19"/>
        <v>4.4116284468998013E+49</v>
      </c>
      <c r="G82">
        <f t="shared" si="20"/>
        <v>5.3193238298939241E+54</v>
      </c>
      <c r="H82">
        <f t="shared" si="21"/>
        <v>6.8358201976590954E+58</v>
      </c>
      <c r="I82">
        <f t="shared" si="22"/>
        <v>1.6709400686622267E+62</v>
      </c>
      <c r="J82">
        <f t="shared" si="23"/>
        <v>1.1312054727216761E+65</v>
      </c>
      <c r="K82">
        <f t="shared" si="24"/>
        <v>2.744411511831704E+67</v>
      </c>
    </row>
    <row r="83" spans="1:11" x14ac:dyDescent="0.4">
      <c r="A83" s="8">
        <f t="shared" si="15"/>
        <v>75</v>
      </c>
      <c r="B83" s="5">
        <v>1</v>
      </c>
      <c r="C83">
        <f t="shared" si="16"/>
        <v>1.8889465931478581E+22</v>
      </c>
      <c r="D83">
        <f t="shared" si="17"/>
        <v>1.0137779795220741E+35</v>
      </c>
      <c r="E83">
        <f t="shared" si="18"/>
        <v>5.9468653761370533E+43</v>
      </c>
      <c r="F83">
        <f t="shared" si="19"/>
        <v>2.2058143721215351E+50</v>
      </c>
      <c r="G83">
        <f t="shared" si="20"/>
        <v>3.1915987095648016E+55</v>
      </c>
      <c r="H83">
        <f t="shared" si="21"/>
        <v>4.7851273315996657E+59</v>
      </c>
      <c r="I83">
        <f t="shared" si="22"/>
        <v>1.3368204131317579E+63</v>
      </c>
      <c r="J83">
        <f t="shared" si="23"/>
        <v>1.0182520194563747E+66</v>
      </c>
      <c r="K83">
        <f t="shared" si="24"/>
        <v>2.7455427173044256E+68</v>
      </c>
    </row>
    <row r="84" spans="1:11" x14ac:dyDescent="0.4">
      <c r="A84" s="8">
        <f t="shared" si="15"/>
        <v>76</v>
      </c>
      <c r="B84" s="5">
        <v>1</v>
      </c>
      <c r="C84">
        <f t="shared" si="16"/>
        <v>3.7778931862957162E+22</v>
      </c>
      <c r="D84">
        <f t="shared" si="17"/>
        <v>3.0413339385664113E+35</v>
      </c>
      <c r="E84">
        <f t="shared" si="18"/>
        <v>2.3787461514685992E+44</v>
      </c>
      <c r="F84">
        <f t="shared" si="19"/>
        <v>1.1029072455294214E+51</v>
      </c>
      <c r="G84">
        <f t="shared" si="20"/>
        <v>1.9149614315532533E+56</v>
      </c>
      <c r="H84">
        <f t="shared" si="21"/>
        <v>3.3496210481068621E+60</v>
      </c>
      <c r="I84">
        <f t="shared" si="22"/>
        <v>1.0695041817787223E+64</v>
      </c>
      <c r="J84">
        <f t="shared" si="23"/>
        <v>9.165604995520504E+66</v>
      </c>
      <c r="K84">
        <f t="shared" si="24"/>
        <v>2.7465609693238819E+69</v>
      </c>
    </row>
    <row r="85" spans="1:11" x14ac:dyDescent="0.4">
      <c r="A85" s="8">
        <f t="shared" si="15"/>
        <v>77</v>
      </c>
      <c r="B85" s="5">
        <v>1</v>
      </c>
      <c r="C85">
        <f t="shared" si="16"/>
        <v>7.5557863725914323E+22</v>
      </c>
      <c r="D85">
        <f t="shared" si="17"/>
        <v>9.124001815699612E+35</v>
      </c>
      <c r="E85">
        <f t="shared" si="18"/>
        <v>9.5149846089157313E+44</v>
      </c>
      <c r="F85">
        <f t="shared" si="19"/>
        <v>5.5145364655217225E+51</v>
      </c>
      <c r="G85">
        <f t="shared" si="20"/>
        <v>1.1489779618391975E+57</v>
      </c>
      <c r="H85">
        <f t="shared" si="21"/>
        <v>2.3447538832891188E+61</v>
      </c>
      <c r="I85">
        <f t="shared" si="22"/>
        <v>8.5563684163345892E+64</v>
      </c>
      <c r="J85">
        <f t="shared" si="23"/>
        <v>8.2501140001502325E+67</v>
      </c>
      <c r="K85">
        <f t="shared" si="24"/>
        <v>2.7474775298234338E+70</v>
      </c>
    </row>
    <row r="86" spans="1:11" x14ac:dyDescent="0.4">
      <c r="A86" s="8">
        <f t="shared" si="15"/>
        <v>78</v>
      </c>
      <c r="B86" s="5">
        <v>1</v>
      </c>
      <c r="C86">
        <f t="shared" si="16"/>
        <v>1.5111572745182865E+23</v>
      </c>
      <c r="D86">
        <f t="shared" si="17"/>
        <v>2.7372005447099592E+36</v>
      </c>
      <c r="E86">
        <f t="shared" si="18"/>
        <v>3.8059938444786929E+45</v>
      </c>
      <c r="F86">
        <f t="shared" si="19"/>
        <v>2.7572683279107069E+52</v>
      </c>
      <c r="G86">
        <f t="shared" si="20"/>
        <v>6.8938732855716495E+57</v>
      </c>
      <c r="H86">
        <f t="shared" si="21"/>
        <v>1.6413392080820016E+62</v>
      </c>
      <c r="I86">
        <f t="shared" si="22"/>
        <v>6.845329208456E+65</v>
      </c>
      <c r="J86">
        <f t="shared" si="23"/>
        <v>7.4259582369768427E+68</v>
      </c>
      <c r="K86">
        <f t="shared" si="24"/>
        <v>2.7483025412234492E+71</v>
      </c>
    </row>
    <row r="87" spans="1:11" x14ac:dyDescent="0.4">
      <c r="A87" s="8">
        <f t="shared" si="15"/>
        <v>79</v>
      </c>
      <c r="B87" s="5">
        <v>1</v>
      </c>
      <c r="C87">
        <f t="shared" si="16"/>
        <v>3.0223145490365729E+23</v>
      </c>
      <c r="D87">
        <f t="shared" si="17"/>
        <v>8.2116016341300286E+36</v>
      </c>
      <c r="E87">
        <f t="shared" si="18"/>
        <v>1.5223975380651971E+46</v>
      </c>
      <c r="F87">
        <f t="shared" si="19"/>
        <v>1.378634202015292E+53</v>
      </c>
      <c r="G87">
        <f t="shared" si="20"/>
        <v>4.1363267286113175E+58</v>
      </c>
      <c r="H87">
        <f t="shared" si="21"/>
        <v>1.1489443395306866E+63</v>
      </c>
      <c r="I87">
        <f t="shared" si="22"/>
        <v>5.4764275006856085E+66</v>
      </c>
      <c r="J87">
        <f t="shared" si="23"/>
        <v>6.6840469462000041E+69</v>
      </c>
      <c r="K87">
        <f t="shared" si="24"/>
        <v>2.7490451370471471E+72</v>
      </c>
    </row>
    <row r="88" spans="1:11" x14ac:dyDescent="0.4">
      <c r="A88" s="8">
        <f t="shared" si="15"/>
        <v>80</v>
      </c>
      <c r="B88" s="5">
        <v>1</v>
      </c>
      <c r="C88">
        <f t="shared" si="16"/>
        <v>6.0446290980731459E+23</v>
      </c>
      <c r="D88">
        <f t="shared" si="17"/>
        <v>2.4634804902390387E+37</v>
      </c>
      <c r="E88">
        <f t="shared" si="18"/>
        <v>6.0895901530819483E+46</v>
      </c>
      <c r="F88">
        <f t="shared" si="19"/>
        <v>6.893171162316214E+53</v>
      </c>
      <c r="G88">
        <f t="shared" si="20"/>
        <v>2.4817974158009923E+59</v>
      </c>
      <c r="H88">
        <f t="shared" si="21"/>
        <v>8.0426517399820925E+63</v>
      </c>
      <c r="I88">
        <f t="shared" si="22"/>
        <v>4.38125689498244E+67</v>
      </c>
      <c r="J88">
        <f t="shared" si="23"/>
        <v>6.0161898943300723E+70</v>
      </c>
      <c r="K88">
        <f t="shared" si="24"/>
        <v>2.7497135417417672E+73</v>
      </c>
    </row>
    <row r="89" spans="1:11" x14ac:dyDescent="0.4">
      <c r="A89" s="8">
        <f t="shared" si="15"/>
        <v>81</v>
      </c>
      <c r="B89" s="5">
        <v>1</v>
      </c>
      <c r="C89">
        <f t="shared" si="16"/>
        <v>1.2089258196146292E+24</v>
      </c>
      <c r="D89">
        <f t="shared" si="17"/>
        <v>7.3904414707171765E+37</v>
      </c>
      <c r="E89">
        <f t="shared" si="18"/>
        <v>2.4358360614791274E+47</v>
      </c>
      <c r="F89">
        <f t="shared" si="19"/>
        <v>3.4465856420540084E+54</v>
      </c>
      <c r="G89">
        <f t="shared" si="20"/>
        <v>1.4890791387977117E+60</v>
      </c>
      <c r="H89">
        <f t="shared" si="21"/>
        <v>5.6298810359616235E+64</v>
      </c>
      <c r="I89">
        <f t="shared" si="22"/>
        <v>3.5050859425033518E+68</v>
      </c>
      <c r="J89">
        <f t="shared" si="23"/>
        <v>5.4150090305865634E+71</v>
      </c>
      <c r="K89">
        <f t="shared" si="24"/>
        <v>2.7503151607312003E+74</v>
      </c>
    </row>
    <row r="90" spans="1:11" x14ac:dyDescent="0.4">
      <c r="A90" s="8">
        <f t="shared" si="15"/>
        <v>82</v>
      </c>
      <c r="B90" s="5">
        <v>1</v>
      </c>
      <c r="C90">
        <f t="shared" si="16"/>
        <v>2.4178516392292583E+24</v>
      </c>
      <c r="D90">
        <f t="shared" si="17"/>
        <v>2.2171324412151652E+38</v>
      </c>
      <c r="E90">
        <f t="shared" si="18"/>
        <v>9.7433442466555537E+47</v>
      </c>
      <c r="F90">
        <f t="shared" si="19"/>
        <v>1.7232928453853647E+55</v>
      </c>
      <c r="G90">
        <f t="shared" si="20"/>
        <v>8.9344782793719133E+60</v>
      </c>
      <c r="H90">
        <f t="shared" si="21"/>
        <v>3.9409316159645243E+65</v>
      </c>
      <c r="I90">
        <f t="shared" si="22"/>
        <v>2.804125052813041E+69</v>
      </c>
      <c r="J90">
        <f t="shared" si="23"/>
        <v>4.8738586361221574E+72</v>
      </c>
      <c r="K90">
        <f t="shared" si="24"/>
        <v>2.7508566616342588E+75</v>
      </c>
    </row>
    <row r="91" spans="1:11" x14ac:dyDescent="0.4">
      <c r="A91" s="8">
        <f t="shared" si="15"/>
        <v>83</v>
      </c>
      <c r="B91" s="5">
        <v>1</v>
      </c>
      <c r="C91">
        <f t="shared" si="16"/>
        <v>4.8357032784585167E+24</v>
      </c>
      <c r="D91">
        <f t="shared" si="17"/>
        <v>6.6513973236455199E+38</v>
      </c>
      <c r="E91">
        <f t="shared" si="18"/>
        <v>3.8973376988839345E+48</v>
      </c>
      <c r="F91">
        <f t="shared" si="19"/>
        <v>8.6164643243602655E+55</v>
      </c>
      <c r="G91">
        <f t="shared" si="20"/>
        <v>5.3606886909159932E+61</v>
      </c>
      <c r="H91">
        <f t="shared" si="21"/>
        <v>2.7586610656534463E+66</v>
      </c>
      <c r="I91">
        <f t="shared" si="22"/>
        <v>2.2433394515665926E+70</v>
      </c>
      <c r="J91">
        <f t="shared" si="23"/>
        <v>4.3867531850152232E+73</v>
      </c>
      <c r="K91">
        <f t="shared" si="24"/>
        <v>2.751344047497871E+76</v>
      </c>
    </row>
    <row r="92" spans="1:11" x14ac:dyDescent="0.4">
      <c r="A92" s="8">
        <f t="shared" si="15"/>
        <v>84</v>
      </c>
      <c r="B92" s="5">
        <v>1</v>
      </c>
      <c r="C92">
        <f t="shared" si="16"/>
        <v>9.6714065569170334E+24</v>
      </c>
      <c r="D92">
        <f t="shared" si="17"/>
        <v>1.9954191970936608E+39</v>
      </c>
      <c r="E92">
        <f t="shared" si="18"/>
        <v>1.5589350796200879E+49</v>
      </c>
      <c r="F92">
        <f t="shared" si="19"/>
        <v>4.3082322011535101E+56</v>
      </c>
      <c r="G92">
        <f t="shared" si="20"/>
        <v>3.2164140761960287E+62</v>
      </c>
      <c r="H92">
        <f t="shared" si="21"/>
        <v>1.9310681066461034E+67</v>
      </c>
      <c r="I92">
        <f t="shared" si="22"/>
        <v>1.7946991478639306E+71</v>
      </c>
      <c r="J92">
        <f t="shared" si="23"/>
        <v>3.9483022004588575E+74</v>
      </c>
      <c r="K92">
        <f t="shared" si="24"/>
        <v>2.7517827228163725E+77</v>
      </c>
    </row>
    <row r="93" spans="1:11" x14ac:dyDescent="0.4">
      <c r="A93" s="8">
        <f t="shared" si="15"/>
        <v>85</v>
      </c>
      <c r="B93" s="5">
        <v>1</v>
      </c>
      <c r="C93">
        <f t="shared" si="16"/>
        <v>1.9342813113834067E+25</v>
      </c>
      <c r="D93">
        <f t="shared" si="17"/>
        <v>5.9862575912809921E+39</v>
      </c>
      <c r="E93">
        <f t="shared" si="18"/>
        <v>6.2357403186798937E+49</v>
      </c>
      <c r="F93">
        <f t="shared" si="19"/>
        <v>2.1541161161661062E+57</v>
      </c>
      <c r="G93">
        <f t="shared" si="20"/>
        <v>1.9298488765408371E+63</v>
      </c>
      <c r="H93">
        <f t="shared" si="21"/>
        <v>1.3517508910663486E+68</v>
      </c>
      <c r="I93">
        <f t="shared" si="22"/>
        <v>1.4357786289722109E+72</v>
      </c>
      <c r="J93">
        <f t="shared" si="23"/>
        <v>3.5536514503277581E+75</v>
      </c>
      <c r="K93">
        <f t="shared" si="24"/>
        <v>2.7521775530364184E+78</v>
      </c>
    </row>
    <row r="94" spans="1:11" x14ac:dyDescent="0.4">
      <c r="A94" s="8">
        <f t="shared" si="15"/>
        <v>86</v>
      </c>
      <c r="B94" s="5">
        <v>1</v>
      </c>
      <c r="C94">
        <f t="shared" si="16"/>
        <v>3.8685626227668134E+25</v>
      </c>
      <c r="D94">
        <f t="shared" si="17"/>
        <v>1.7958772773842994E+40</v>
      </c>
      <c r="E94">
        <f t="shared" si="18"/>
        <v>2.4942961275318201E+50</v>
      </c>
      <c r="F94">
        <f t="shared" si="19"/>
        <v>1.0770580643187935E+58</v>
      </c>
      <c r="G94">
        <f t="shared" si="20"/>
        <v>1.1579095413361138E+64</v>
      </c>
      <c r="H94">
        <f t="shared" si="21"/>
        <v>9.4622755359532059E+68</v>
      </c>
      <c r="I94">
        <f t="shared" si="22"/>
        <v>1.1486364206866794E+73</v>
      </c>
      <c r="J94">
        <f t="shared" si="23"/>
        <v>3.1984298831578797E+76</v>
      </c>
      <c r="K94">
        <f t="shared" si="24"/>
        <v>2.7525329181814513E+79</v>
      </c>
    </row>
    <row r="95" spans="1:11" x14ac:dyDescent="0.4">
      <c r="A95" s="8">
        <f t="shared" si="15"/>
        <v>87</v>
      </c>
      <c r="B95" s="5">
        <v>1</v>
      </c>
      <c r="C95">
        <f t="shared" si="16"/>
        <v>7.7371252455336267E+25</v>
      </c>
      <c r="D95">
        <f t="shared" si="17"/>
        <v>5.3876318321529027E+40</v>
      </c>
      <c r="E95">
        <f t="shared" si="18"/>
        <v>9.9771845103068673E+50</v>
      </c>
      <c r="F95">
        <f t="shared" si="19"/>
        <v>5.3852903465369282E+58</v>
      </c>
      <c r="G95">
        <f t="shared" si="20"/>
        <v>6.9474583250747464E+64</v>
      </c>
      <c r="H95">
        <f t="shared" si="21"/>
        <v>6.6236044542626571E+69</v>
      </c>
      <c r="I95">
        <f t="shared" si="22"/>
        <v>9.1891859882487944E+73</v>
      </c>
      <c r="J95">
        <f t="shared" si="23"/>
        <v>2.8787017584841605E+77</v>
      </c>
      <c r="K95">
        <f t="shared" si="24"/>
        <v>2.7528527611697673E+80</v>
      </c>
    </row>
    <row r="96" spans="1:11" x14ac:dyDescent="0.4">
      <c r="A96" s="8">
        <f t="shared" si="15"/>
        <v>88</v>
      </c>
      <c r="B96" s="5">
        <v>1</v>
      </c>
      <c r="C96">
        <f t="shared" si="16"/>
        <v>1.5474250491067253E+26</v>
      </c>
      <c r="D96">
        <f t="shared" si="17"/>
        <v>1.6162895496458716E+41</v>
      </c>
      <c r="E96">
        <f t="shared" si="18"/>
        <v>3.9908738041766232E+51</v>
      </c>
      <c r="F96">
        <f t="shared" si="19"/>
        <v>2.6926451832456487E+59</v>
      </c>
      <c r="G96">
        <f t="shared" si="20"/>
        <v>4.1684755335738825E+65</v>
      </c>
      <c r="H96">
        <f t="shared" si="21"/>
        <v>4.6365300654421848E+70</v>
      </c>
      <c r="I96">
        <f t="shared" si="22"/>
        <v>7.3514150266435777E+74</v>
      </c>
      <c r="J96">
        <f t="shared" si="23"/>
        <v>2.590923474495627E+78</v>
      </c>
      <c r="K96">
        <f t="shared" si="24"/>
        <v>2.7531406313456156E+81</v>
      </c>
    </row>
    <row r="97" spans="1:11" x14ac:dyDescent="0.4">
      <c r="A97" s="8">
        <f t="shared" si="15"/>
        <v>89</v>
      </c>
      <c r="B97" s="5">
        <v>1</v>
      </c>
      <c r="C97">
        <f t="shared" si="16"/>
        <v>3.0948500982134507E+26</v>
      </c>
      <c r="D97">
        <f t="shared" si="17"/>
        <v>4.8488686489376159E+41</v>
      </c>
      <c r="E97">
        <f t="shared" si="18"/>
        <v>1.5963495216868122E+52</v>
      </c>
      <c r="F97">
        <f t="shared" si="19"/>
        <v>1.346322595613698E+60</v>
      </c>
      <c r="G97">
        <f t="shared" si="20"/>
        <v>2.5010855894088477E+66</v>
      </c>
      <c r="H97">
        <f t="shared" si="21"/>
        <v>3.2455752142850625E+71</v>
      </c>
      <c r="I97">
        <f t="shared" si="22"/>
        <v>5.8811783866155166E+75</v>
      </c>
      <c r="J97">
        <f t="shared" si="23"/>
        <v>2.3319046411963309E+79</v>
      </c>
      <c r="K97">
        <f t="shared" si="24"/>
        <v>2.7533997236930651E+82</v>
      </c>
    </row>
    <row r="98" spans="1:11" x14ac:dyDescent="0.4">
      <c r="A98" s="8">
        <f t="shared" si="15"/>
        <v>90</v>
      </c>
      <c r="B98" s="5">
        <v>1</v>
      </c>
      <c r="C98">
        <f t="shared" si="16"/>
        <v>6.1897001964269014E+26</v>
      </c>
      <c r="D98">
        <f t="shared" si="17"/>
        <v>1.4546605946812852E+42</v>
      </c>
      <c r="E98">
        <f t="shared" si="18"/>
        <v>6.3853980867957378E+52</v>
      </c>
      <c r="F98">
        <f t="shared" si="19"/>
        <v>6.731612994031986E+60</v>
      </c>
      <c r="G98">
        <f t="shared" si="20"/>
        <v>1.500651488277568E+67</v>
      </c>
      <c r="H98">
        <f t="shared" si="21"/>
        <v>2.2719051510851331E+72</v>
      </c>
      <c r="I98">
        <f t="shared" si="22"/>
        <v>4.7049751650445562E+76</v>
      </c>
      <c r="J98">
        <f t="shared" si="23"/>
        <v>2.0987729888605639E+80</v>
      </c>
      <c r="K98">
        <f t="shared" si="24"/>
        <v>2.7536329141571848E+83</v>
      </c>
    </row>
    <row r="99" spans="1:11" x14ac:dyDescent="0.4">
      <c r="A99" s="8">
        <f t="shared" si="15"/>
        <v>91</v>
      </c>
      <c r="B99" s="5">
        <v>1</v>
      </c>
      <c r="C99">
        <f t="shared" si="16"/>
        <v>1.2379400392853803E+27</v>
      </c>
      <c r="D99">
        <f t="shared" si="17"/>
        <v>4.363981784043856E+42</v>
      </c>
      <c r="E99">
        <f t="shared" si="18"/>
        <v>2.5541592347328418E+53</v>
      </c>
      <c r="F99">
        <f t="shared" si="19"/>
        <v>3.3658065034013914E+61</v>
      </c>
      <c r="G99">
        <f t="shared" si="20"/>
        <v>9.0039096028267079E+67</v>
      </c>
      <c r="H99">
        <f t="shared" si="21"/>
        <v>1.5903351064110814E+73</v>
      </c>
      <c r="I99">
        <f t="shared" si="22"/>
        <v>3.7640028510871557E+77</v>
      </c>
      <c r="J99">
        <f t="shared" si="23"/>
        <v>1.888942739726158E+81</v>
      </c>
      <c r="K99">
        <f t="shared" si="24"/>
        <v>2.7538427914560711E+84</v>
      </c>
    </row>
    <row r="100" spans="1:11" x14ac:dyDescent="0.4">
      <c r="A100" s="8">
        <f t="shared" si="15"/>
        <v>92</v>
      </c>
      <c r="B100" s="5">
        <v>1</v>
      </c>
      <c r="C100">
        <f t="shared" si="16"/>
        <v>2.4758800785707605E+27</v>
      </c>
      <c r="D100">
        <f t="shared" si="17"/>
        <v>1.3091945352131569E+43</v>
      </c>
      <c r="E100">
        <f t="shared" si="18"/>
        <v>1.0216636938975007E+54</v>
      </c>
      <c r="F100">
        <f t="shared" si="19"/>
        <v>1.682903254254855E+62</v>
      </c>
      <c r="G100">
        <f t="shared" si="20"/>
        <v>5.4023460982766747E+68</v>
      </c>
      <c r="H100">
        <f t="shared" si="21"/>
        <v>1.1132354748787172E+74</v>
      </c>
      <c r="I100">
        <f t="shared" si="22"/>
        <v>3.0112181842207887E+78</v>
      </c>
      <c r="J100">
        <f t="shared" si="23"/>
        <v>1.7000861057820531E+82</v>
      </c>
      <c r="K100">
        <f t="shared" si="24"/>
        <v>2.7540316857300439E+85</v>
      </c>
    </row>
    <row r="101" spans="1:11" x14ac:dyDescent="0.4">
      <c r="A101" s="8">
        <f t="shared" si="15"/>
        <v>93</v>
      </c>
      <c r="B101" s="5">
        <v>1</v>
      </c>
      <c r="C101">
        <f t="shared" si="16"/>
        <v>4.9517601571415211E+27</v>
      </c>
      <c r="D101">
        <f t="shared" si="17"/>
        <v>3.9275836056394711E+43</v>
      </c>
      <c r="E101">
        <f t="shared" si="18"/>
        <v>4.0866547756030947E+54</v>
      </c>
      <c r="F101">
        <f t="shared" si="19"/>
        <v>8.4145162814909119E+62</v>
      </c>
      <c r="G101">
        <f t="shared" si="20"/>
        <v>3.2414078272563304E+69</v>
      </c>
      <c r="H101">
        <f t="shared" si="21"/>
        <v>7.7926537264971181E+74</v>
      </c>
      <c r="I101">
        <f t="shared" si="22"/>
        <v>2.4089856797313798E+79</v>
      </c>
      <c r="J101">
        <f t="shared" si="23"/>
        <v>1.5301076073856901E+83</v>
      </c>
      <c r="K101">
        <f t="shared" si="24"/>
        <v>2.7542016943406221E+86</v>
      </c>
    </row>
    <row r="102" spans="1:11" x14ac:dyDescent="0.4">
      <c r="A102" s="8">
        <f t="shared" si="15"/>
        <v>94</v>
      </c>
      <c r="B102" s="5">
        <v>1</v>
      </c>
      <c r="C102">
        <f t="shared" si="16"/>
        <v>9.9035203142830422E+27</v>
      </c>
      <c r="D102">
        <f t="shared" si="17"/>
        <v>1.1782750816918412E+44</v>
      </c>
      <c r="E102">
        <f t="shared" si="18"/>
        <v>1.6346619102451655E+55</v>
      </c>
      <c r="F102">
        <f t="shared" si="19"/>
        <v>4.2072581448321105E+63</v>
      </c>
      <c r="G102">
        <f t="shared" si="20"/>
        <v>1.944844780498961E+70</v>
      </c>
      <c r="H102">
        <f t="shared" si="21"/>
        <v>5.4548608499558102E+75</v>
      </c>
      <c r="I102">
        <f t="shared" si="22"/>
        <v>1.9271963364388304E+80</v>
      </c>
      <c r="J102">
        <f t="shared" si="23"/>
        <v>1.3771209365039184E+84</v>
      </c>
      <c r="K102">
        <f t="shared" si="24"/>
        <v>2.7543547051013608E+87</v>
      </c>
    </row>
    <row r="103" spans="1:11" x14ac:dyDescent="0.4">
      <c r="A103" s="8">
        <f t="shared" si="15"/>
        <v>95</v>
      </c>
      <c r="B103" s="5">
        <v>1</v>
      </c>
      <c r="C103">
        <f t="shared" si="16"/>
        <v>1.9807040628566084E+28</v>
      </c>
      <c r="D103">
        <f t="shared" si="17"/>
        <v>3.5348252450755237E+44</v>
      </c>
      <c r="E103">
        <f t="shared" si="18"/>
        <v>6.5386476409924452E+55</v>
      </c>
      <c r="F103">
        <f t="shared" si="19"/>
        <v>2.1036290740507171E+64</v>
      </c>
      <c r="G103">
        <f t="shared" si="20"/>
        <v>1.166906910371958E+71</v>
      </c>
      <c r="H103">
        <f t="shared" si="21"/>
        <v>3.8184045398138483E+76</v>
      </c>
      <c r="I103">
        <f t="shared" si="22"/>
        <v>1.5417625240119142E+81</v>
      </c>
      <c r="J103">
        <f t="shared" si="23"/>
        <v>1.2394281148168909E+85</v>
      </c>
      <c r="K103">
        <f t="shared" si="24"/>
        <v>2.7544924171950112E+88</v>
      </c>
    </row>
    <row r="104" spans="1:11" x14ac:dyDescent="0.4">
      <c r="A104" s="8">
        <f t="shared" si="15"/>
        <v>96</v>
      </c>
      <c r="B104" s="5">
        <v>1</v>
      </c>
      <c r="C104">
        <f t="shared" si="16"/>
        <v>3.9614081257132169E+28</v>
      </c>
      <c r="D104">
        <f t="shared" si="17"/>
        <v>1.0604475735226571E+45</v>
      </c>
      <c r="E104">
        <f t="shared" si="18"/>
        <v>2.6154590564005131E+56</v>
      </c>
      <c r="F104">
        <f t="shared" si="19"/>
        <v>1.0518145376792233E+65</v>
      </c>
      <c r="G104">
        <f t="shared" si="20"/>
        <v>7.0014416725946552E+71</v>
      </c>
      <c r="H104">
        <f t="shared" si="21"/>
        <v>2.6728843447766042E+77</v>
      </c>
      <c r="I104">
        <f t="shared" si="22"/>
        <v>1.2334138376140712E+82</v>
      </c>
      <c r="J104">
        <f t="shared" si="23"/>
        <v>1.115500720960442E+86</v>
      </c>
      <c r="K104">
        <f t="shared" si="24"/>
        <v>2.7546163600064929E+89</v>
      </c>
    </row>
    <row r="105" spans="1:11" x14ac:dyDescent="0.4">
      <c r="A105" s="8">
        <f t="shared" si="15"/>
        <v>97</v>
      </c>
      <c r="B105" s="5">
        <v>1</v>
      </c>
      <c r="C105">
        <f t="shared" si="16"/>
        <v>7.9228162514264338E+28</v>
      </c>
      <c r="D105">
        <f t="shared" si="17"/>
        <v>3.181342720567971E+45</v>
      </c>
      <c r="E105">
        <f t="shared" si="18"/>
        <v>1.0461836225612657E+57</v>
      </c>
      <c r="F105">
        <f t="shared" si="19"/>
        <v>5.2590726910115758E+65</v>
      </c>
      <c r="G105">
        <f t="shared" si="20"/>
        <v>4.2008651087382472E+72</v>
      </c>
      <c r="H105">
        <f t="shared" si="21"/>
        <v>1.8710197414877901E+78</v>
      </c>
      <c r="I105">
        <f t="shared" si="22"/>
        <v>9.867337429756017E+82</v>
      </c>
      <c r="J105">
        <f t="shared" si="23"/>
        <v>1.0039629830027739E+87</v>
      </c>
      <c r="K105">
        <f t="shared" si="24"/>
        <v>2.7547279100785889E+90</v>
      </c>
    </row>
    <row r="106" spans="1:11" x14ac:dyDescent="0.4">
      <c r="A106" s="8">
        <f t="shared" si="15"/>
        <v>98</v>
      </c>
      <c r="B106" s="5">
        <v>1</v>
      </c>
      <c r="C106">
        <f t="shared" si="16"/>
        <v>1.5845632502852868E+29</v>
      </c>
      <c r="D106">
        <f t="shared" si="17"/>
        <v>9.5440281617039129E+45</v>
      </c>
      <c r="E106">
        <f t="shared" si="18"/>
        <v>4.1847344902482443E+57</v>
      </c>
      <c r="F106">
        <f t="shared" si="19"/>
        <v>2.6295363465519717E+66</v>
      </c>
      <c r="G106">
        <f t="shared" si="20"/>
        <v>2.5205191178336753E+73</v>
      </c>
      <c r="H106">
        <f t="shared" si="21"/>
        <v>1.309714239127964E+79</v>
      </c>
      <c r="I106">
        <f t="shared" si="22"/>
        <v>7.8938886540022285E+83</v>
      </c>
      <c r="J106">
        <f t="shared" si="23"/>
        <v>9.0357655203992622E+87</v>
      </c>
      <c r="K106">
        <f t="shared" si="24"/>
        <v>2.7548283063768892E+91</v>
      </c>
    </row>
    <row r="107" spans="1:11" x14ac:dyDescent="0.4">
      <c r="A107" s="8">
        <f t="shared" si="15"/>
        <v>99</v>
      </c>
      <c r="B107" s="5">
        <v>1</v>
      </c>
      <c r="C107">
        <f t="shared" si="16"/>
        <v>3.1691265005705735E+29</v>
      </c>
      <c r="D107">
        <f t="shared" si="17"/>
        <v>2.8632084485111741E+46</v>
      </c>
      <c r="E107">
        <f t="shared" si="18"/>
        <v>1.6738937961002522E+58</v>
      </c>
      <c r="F107">
        <f t="shared" si="19"/>
        <v>1.3147681736944594E+67</v>
      </c>
      <c r="G107">
        <f t="shared" si="20"/>
        <v>1.5123114969955687E+74</v>
      </c>
      <c r="H107">
        <f t="shared" si="21"/>
        <v>9.1680021944148665E+79</v>
      </c>
      <c r="I107">
        <f t="shared" si="22"/>
        <v>6.3151240203441739E+84</v>
      </c>
      <c r="J107">
        <f t="shared" si="23"/>
        <v>8.1322679072458768E+88</v>
      </c>
      <c r="K107">
        <f t="shared" si="24"/>
        <v>2.7549186640320932E+92</v>
      </c>
    </row>
    <row r="108" spans="1:11" x14ac:dyDescent="0.4">
      <c r="A108" s="8">
        <f t="shared" si="15"/>
        <v>100</v>
      </c>
      <c r="B108" s="5">
        <v>1</v>
      </c>
      <c r="C108">
        <f t="shared" si="16"/>
        <v>6.338253001141147E+29</v>
      </c>
      <c r="D108">
        <f t="shared" si="17"/>
        <v>8.5896253455335224E+46</v>
      </c>
      <c r="E108">
        <f t="shared" si="18"/>
        <v>6.6955751844038722E+58</v>
      </c>
      <c r="F108">
        <f t="shared" si="19"/>
        <v>6.57384087014619E+67</v>
      </c>
      <c r="G108">
        <f t="shared" si="20"/>
        <v>9.0738691134502297E+74</v>
      </c>
      <c r="H108">
        <f t="shared" si="21"/>
        <v>6.4176030484019029E+80</v>
      </c>
      <c r="I108">
        <f t="shared" si="22"/>
        <v>5.0521083842775338E+85</v>
      </c>
      <c r="J108">
        <f t="shared" si="23"/>
        <v>7.3191042677614929E+89</v>
      </c>
      <c r="K108">
        <f t="shared" si="24"/>
        <v>2.7549999867111655E+93</v>
      </c>
    </row>
  </sheetData>
  <mergeCells count="1">
    <mergeCell ref="I5:K5"/>
  </mergeCells>
  <phoneticPr fontId="1"/>
  <hyperlinks>
    <hyperlink ref="I5" r:id="rId1" xr:uid="{74567AD5-898C-4BFB-98D6-B1F87AF16F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B94E-6A9C-4A53-AA84-7BDFA79AB3F4}">
  <dimension ref="A1:J109"/>
  <sheetViews>
    <sheetView workbookViewId="0">
      <selection activeCell="B10" sqref="B10"/>
    </sheetView>
  </sheetViews>
  <sheetFormatPr defaultRowHeight="18.75" x14ac:dyDescent="0.4"/>
  <cols>
    <col min="1" max="1" width="5.5" bestFit="1" customWidth="1"/>
    <col min="2" max="4" width="9" style="4"/>
  </cols>
  <sheetData>
    <row r="1" spans="1:10" x14ac:dyDescent="0.4">
      <c r="A1" t="s">
        <v>6</v>
      </c>
    </row>
    <row r="2" spans="1:10" x14ac:dyDescent="0.4">
      <c r="A2" t="s">
        <v>7</v>
      </c>
    </row>
    <row r="3" spans="1:10" x14ac:dyDescent="0.4">
      <c r="A3" t="s">
        <v>4</v>
      </c>
    </row>
    <row r="4" spans="1:10" x14ac:dyDescent="0.4">
      <c r="A4" t="s">
        <v>5</v>
      </c>
    </row>
    <row r="6" spans="1:10" x14ac:dyDescent="0.4">
      <c r="D6" s="2" t="s">
        <v>15</v>
      </c>
      <c r="E6" s="22" t="s">
        <v>16</v>
      </c>
      <c r="F6" s="22"/>
      <c r="G6" s="22"/>
      <c r="H6" s="22"/>
      <c r="I6" s="22"/>
      <c r="J6" s="22"/>
    </row>
    <row r="8" spans="1:10" ht="19.5" thickBot="1" x14ac:dyDescent="0.45">
      <c r="A8" s="5"/>
      <c r="B8" s="6">
        <v>2</v>
      </c>
      <c r="C8" s="6">
        <f>B8+1</f>
        <v>3</v>
      </c>
      <c r="D8" s="6">
        <f t="shared" ref="D8:F8" si="0">C8+1</f>
        <v>4</v>
      </c>
      <c r="E8" s="6">
        <f t="shared" si="0"/>
        <v>5</v>
      </c>
      <c r="F8" s="6">
        <f t="shared" si="0"/>
        <v>6</v>
      </c>
      <c r="G8" s="6">
        <f t="shared" ref="G8:J8" si="1">F8+1</f>
        <v>7</v>
      </c>
      <c r="H8" s="6">
        <f t="shared" si="1"/>
        <v>8</v>
      </c>
      <c r="I8" s="6">
        <f t="shared" si="1"/>
        <v>9</v>
      </c>
      <c r="J8" s="6">
        <f t="shared" si="1"/>
        <v>10</v>
      </c>
    </row>
    <row r="9" spans="1:10" s="3" customFormat="1" ht="19.5" thickBot="1" x14ac:dyDescent="0.45">
      <c r="A9" s="9" t="s">
        <v>3</v>
      </c>
      <c r="B9" s="13" t="str">
        <f>"k="&amp;B8</f>
        <v>k=2</v>
      </c>
      <c r="C9" s="11" t="str">
        <f t="shared" ref="C9:J9" si="2">"k="&amp;C8</f>
        <v>k=3</v>
      </c>
      <c r="D9" s="11" t="str">
        <f t="shared" si="2"/>
        <v>k=4</v>
      </c>
      <c r="E9" s="11" t="str">
        <f t="shared" si="2"/>
        <v>k=5</v>
      </c>
      <c r="F9" s="11" t="str">
        <f t="shared" si="2"/>
        <v>k=6</v>
      </c>
      <c r="G9" s="11" t="str">
        <f t="shared" si="2"/>
        <v>k=7</v>
      </c>
      <c r="H9" s="11" t="str">
        <f t="shared" si="2"/>
        <v>k=8</v>
      </c>
      <c r="I9" s="11" t="str">
        <f t="shared" si="2"/>
        <v>k=9</v>
      </c>
      <c r="J9" s="11" t="str">
        <f t="shared" si="2"/>
        <v>k=10</v>
      </c>
    </row>
    <row r="10" spans="1:10" s="4" customFormat="1" ht="19.5" thickBot="1" x14ac:dyDescent="0.45">
      <c r="A10" s="12">
        <v>1</v>
      </c>
      <c r="B10" s="14">
        <f t="shared" ref="B10:J19" ca="1" si="3">FACT(B$8)*OFFSET(S, $A10-1, B$8-1)/B$8^$A10</f>
        <v>0</v>
      </c>
      <c r="C10" s="4">
        <f t="shared" ca="1" si="3"/>
        <v>0</v>
      </c>
      <c r="D10" s="4">
        <f t="shared" ca="1" si="3"/>
        <v>0</v>
      </c>
      <c r="E10" s="4">
        <f t="shared" ca="1" si="3"/>
        <v>0</v>
      </c>
      <c r="F10" s="4">
        <f t="shared" ca="1" si="3"/>
        <v>0</v>
      </c>
      <c r="G10" s="4">
        <f t="shared" ca="1" si="3"/>
        <v>0</v>
      </c>
      <c r="H10" s="4">
        <f t="shared" ca="1" si="3"/>
        <v>0</v>
      </c>
      <c r="I10" s="4">
        <f t="shared" ca="1" si="3"/>
        <v>0</v>
      </c>
      <c r="J10" s="4">
        <f t="shared" ca="1" si="3"/>
        <v>0</v>
      </c>
    </row>
    <row r="11" spans="1:10" x14ac:dyDescent="0.4">
      <c r="A11" s="8">
        <v>2</v>
      </c>
      <c r="B11" s="4">
        <f t="shared" ca="1" si="3"/>
        <v>0.5</v>
      </c>
      <c r="C11" s="4">
        <f t="shared" ca="1" si="3"/>
        <v>0</v>
      </c>
      <c r="D11" s="4">
        <f t="shared" ca="1" si="3"/>
        <v>0</v>
      </c>
      <c r="E11" s="4">
        <f t="shared" ca="1" si="3"/>
        <v>0</v>
      </c>
      <c r="F11" s="4">
        <f t="shared" ca="1" si="3"/>
        <v>0</v>
      </c>
      <c r="G11" s="4">
        <f t="shared" ca="1" si="3"/>
        <v>0</v>
      </c>
      <c r="H11" s="4">
        <f t="shared" ca="1" si="3"/>
        <v>0</v>
      </c>
      <c r="I11" s="4">
        <f t="shared" ca="1" si="3"/>
        <v>0</v>
      </c>
      <c r="J11" s="4">
        <f t="shared" ca="1" si="3"/>
        <v>0</v>
      </c>
    </row>
    <row r="12" spans="1:10" x14ac:dyDescent="0.4">
      <c r="A12" s="8">
        <f>A11+1</f>
        <v>3</v>
      </c>
      <c r="B12" s="4">
        <f t="shared" ca="1" si="3"/>
        <v>0.25</v>
      </c>
      <c r="C12" s="4">
        <f t="shared" ca="1" si="3"/>
        <v>0.22222222222222221</v>
      </c>
      <c r="D12" s="4">
        <f t="shared" ca="1" si="3"/>
        <v>0</v>
      </c>
      <c r="E12" s="4">
        <f t="shared" ca="1" si="3"/>
        <v>0</v>
      </c>
      <c r="F12" s="4">
        <f t="shared" ca="1" si="3"/>
        <v>0</v>
      </c>
      <c r="G12" s="4">
        <f t="shared" ca="1" si="3"/>
        <v>0</v>
      </c>
      <c r="H12" s="4">
        <f t="shared" ca="1" si="3"/>
        <v>0</v>
      </c>
      <c r="I12" s="4">
        <f t="shared" ca="1" si="3"/>
        <v>0</v>
      </c>
      <c r="J12" s="4">
        <f t="shared" ca="1" si="3"/>
        <v>0</v>
      </c>
    </row>
    <row r="13" spans="1:10" x14ac:dyDescent="0.4">
      <c r="A13" s="8">
        <f t="shared" ref="A13:A39" si="4">A12+1</f>
        <v>4</v>
      </c>
      <c r="B13" s="4">
        <f t="shared" ca="1" si="3"/>
        <v>0.125</v>
      </c>
      <c r="C13" s="4">
        <f t="shared" ca="1" si="3"/>
        <v>0.22222222222222221</v>
      </c>
      <c r="D13" s="4">
        <f t="shared" ca="1" si="3"/>
        <v>9.375E-2</v>
      </c>
      <c r="E13" s="4">
        <f t="shared" ca="1" si="3"/>
        <v>0</v>
      </c>
      <c r="F13" s="4">
        <f t="shared" ca="1" si="3"/>
        <v>0</v>
      </c>
      <c r="G13" s="4">
        <f t="shared" ca="1" si="3"/>
        <v>0</v>
      </c>
      <c r="H13" s="4">
        <f t="shared" ca="1" si="3"/>
        <v>0</v>
      </c>
      <c r="I13" s="4">
        <f t="shared" ca="1" si="3"/>
        <v>0</v>
      </c>
      <c r="J13" s="4">
        <f t="shared" ca="1" si="3"/>
        <v>0</v>
      </c>
    </row>
    <row r="14" spans="1:10" x14ac:dyDescent="0.4">
      <c r="A14" s="8">
        <f t="shared" si="4"/>
        <v>5</v>
      </c>
      <c r="B14" s="4">
        <f t="shared" ca="1" si="3"/>
        <v>6.25E-2</v>
      </c>
      <c r="C14" s="4">
        <f t="shared" ca="1" si="3"/>
        <v>0.1728395061728395</v>
      </c>
      <c r="D14" s="4">
        <f t="shared" ca="1" si="3"/>
        <v>0.140625</v>
      </c>
      <c r="E14" s="4">
        <f t="shared" ca="1" si="3"/>
        <v>3.8399999999999997E-2</v>
      </c>
      <c r="F14" s="4">
        <f t="shared" ca="1" si="3"/>
        <v>0</v>
      </c>
      <c r="G14" s="4">
        <f t="shared" ca="1" si="3"/>
        <v>0</v>
      </c>
      <c r="H14" s="4">
        <f t="shared" ca="1" si="3"/>
        <v>0</v>
      </c>
      <c r="I14" s="4">
        <f t="shared" ca="1" si="3"/>
        <v>0</v>
      </c>
      <c r="J14" s="4">
        <f t="shared" ca="1" si="3"/>
        <v>0</v>
      </c>
    </row>
    <row r="15" spans="1:10" x14ac:dyDescent="0.4">
      <c r="A15" s="8">
        <f>A14+1</f>
        <v>6</v>
      </c>
      <c r="B15" s="4">
        <f t="shared" ca="1" si="3"/>
        <v>3.125E-2</v>
      </c>
      <c r="C15" s="4">
        <f t="shared" ca="1" si="3"/>
        <v>0.12345679012345678</v>
      </c>
      <c r="D15" s="4">
        <f t="shared" ca="1" si="3"/>
        <v>0.146484375</v>
      </c>
      <c r="E15" s="4">
        <f t="shared" ca="1" si="3"/>
        <v>7.6799999999999993E-2</v>
      </c>
      <c r="F15" s="4">
        <f t="shared" ca="1" si="3"/>
        <v>1.5432098765432098E-2</v>
      </c>
      <c r="G15" s="4">
        <f t="shared" ca="1" si="3"/>
        <v>0</v>
      </c>
      <c r="H15" s="4">
        <f t="shared" ca="1" si="3"/>
        <v>0</v>
      </c>
      <c r="I15" s="4">
        <f t="shared" ca="1" si="3"/>
        <v>0</v>
      </c>
      <c r="J15" s="4">
        <f t="shared" ca="1" si="3"/>
        <v>0</v>
      </c>
    </row>
    <row r="16" spans="1:10" x14ac:dyDescent="0.4">
      <c r="A16" s="8">
        <f t="shared" si="4"/>
        <v>7</v>
      </c>
      <c r="B16" s="4">
        <f t="shared" ca="1" si="3"/>
        <v>1.5625E-2</v>
      </c>
      <c r="C16" s="4">
        <f t="shared" ca="1" si="3"/>
        <v>8.5048010973936897E-2</v>
      </c>
      <c r="D16" s="4">
        <f t="shared" ca="1" si="3"/>
        <v>0.1318359375</v>
      </c>
      <c r="E16" s="4">
        <f t="shared" ca="1" si="3"/>
        <v>9.9839999999999998E-2</v>
      </c>
      <c r="F16" s="4">
        <f t="shared" ca="1" si="3"/>
        <v>3.8580246913580245E-2</v>
      </c>
      <c r="G16" s="4">
        <f t="shared" ca="1" si="3"/>
        <v>6.1198990216661427E-3</v>
      </c>
      <c r="H16" s="4">
        <f t="shared" ca="1" si="3"/>
        <v>0</v>
      </c>
      <c r="I16" s="4">
        <f t="shared" ca="1" si="3"/>
        <v>0</v>
      </c>
      <c r="J16" s="4">
        <f t="shared" ca="1" si="3"/>
        <v>0</v>
      </c>
    </row>
    <row r="17" spans="1:10" x14ac:dyDescent="0.4">
      <c r="A17" s="8">
        <f t="shared" si="4"/>
        <v>8</v>
      </c>
      <c r="B17" s="4">
        <f t="shared" ca="1" si="3"/>
        <v>7.8125E-3</v>
      </c>
      <c r="C17" s="4">
        <f t="shared" ca="1" si="3"/>
        <v>5.7613168724279837E-2</v>
      </c>
      <c r="D17" s="4">
        <f t="shared" ca="1" si="3"/>
        <v>0.1102294921875</v>
      </c>
      <c r="E17" s="4">
        <f t="shared" ca="1" si="3"/>
        <v>0.10752</v>
      </c>
      <c r="F17" s="4">
        <f t="shared" ca="1" si="3"/>
        <v>6.0013717421124831E-2</v>
      </c>
      <c r="G17" s="4">
        <f t="shared" ca="1" si="3"/>
        <v>1.8359697064998428E-2</v>
      </c>
      <c r="H17" s="4">
        <f t="shared" ca="1" si="3"/>
        <v>2.40325927734375E-3</v>
      </c>
      <c r="I17" s="4">
        <f t="shared" ca="1" si="3"/>
        <v>0</v>
      </c>
      <c r="J17" s="4">
        <f t="shared" ca="1" si="3"/>
        <v>0</v>
      </c>
    </row>
    <row r="18" spans="1:10" x14ac:dyDescent="0.4">
      <c r="A18" s="8">
        <f t="shared" si="4"/>
        <v>9</v>
      </c>
      <c r="B18" s="4">
        <f t="shared" ca="1" si="3"/>
        <v>3.90625E-3</v>
      </c>
      <c r="C18" s="4">
        <f t="shared" ca="1" si="3"/>
        <v>3.8713610730071638E-2</v>
      </c>
      <c r="D18" s="4">
        <f t="shared" ca="1" si="3"/>
        <v>8.843994140625E-2</v>
      </c>
      <c r="E18" s="4">
        <f t="shared" ca="1" si="3"/>
        <v>0.10450944</v>
      </c>
      <c r="F18" s="4">
        <f t="shared" ca="1" si="3"/>
        <v>7.501714677640603E-2</v>
      </c>
      <c r="G18" s="4">
        <f t="shared" ca="1" si="3"/>
        <v>3.3222308974759057E-2</v>
      </c>
      <c r="H18" s="4">
        <f t="shared" ca="1" si="3"/>
        <v>8.411407470703125E-3</v>
      </c>
      <c r="I18" s="4">
        <f t="shared" ca="1" si="3"/>
        <v>9.3665670841688495E-4</v>
      </c>
      <c r="J18" s="4">
        <f t="shared" ca="1" si="3"/>
        <v>0</v>
      </c>
    </row>
    <row r="19" spans="1:10" x14ac:dyDescent="0.4">
      <c r="A19" s="8">
        <f t="shared" si="4"/>
        <v>10</v>
      </c>
      <c r="B19" s="4">
        <f t="shared" ca="1" si="3"/>
        <v>1.953125E-3</v>
      </c>
      <c r="C19" s="4">
        <f t="shared" ca="1" si="3"/>
        <v>2.591068434689834E-2</v>
      </c>
      <c r="D19" s="4">
        <f t="shared" ca="1" si="3"/>
        <v>6.923675537109375E-2</v>
      </c>
      <c r="E19" s="4">
        <f t="shared" ca="1" si="3"/>
        <v>9.5477759999999995E-2</v>
      </c>
      <c r="F19" s="4">
        <f t="shared" ca="1" si="3"/>
        <v>8.276891860996799E-2</v>
      </c>
      <c r="G19" s="4">
        <f t="shared" ca="1" si="3"/>
        <v>4.7210649595710245E-2</v>
      </c>
      <c r="H19" s="4">
        <f t="shared" ca="1" si="3"/>
        <v>1.7348527908325195E-2</v>
      </c>
      <c r="I19" s="4">
        <f t="shared" ca="1" si="3"/>
        <v>3.7466268336675398E-3</v>
      </c>
      <c r="J19" s="4">
        <f t="shared" ca="1" si="3"/>
        <v>3.6288E-4</v>
      </c>
    </row>
    <row r="20" spans="1:10" x14ac:dyDescent="0.4">
      <c r="A20" s="8">
        <f t="shared" si="4"/>
        <v>11</v>
      </c>
      <c r="B20" s="4">
        <f t="shared" ref="B20:J29" ca="1" si="5">FACT(B$8)*OFFSET(S, $A20-1, B$8-1)/B$8^$A20</f>
        <v>9.765625E-4</v>
      </c>
      <c r="C20" s="4">
        <f t="shared" ca="1" si="5"/>
        <v>1.7307659740215753E-2</v>
      </c>
      <c r="D20" s="4">
        <f t="shared" ca="1" si="5"/>
        <v>5.3386688232421875E-2</v>
      </c>
      <c r="E20" s="4">
        <f t="shared" ca="1" si="5"/>
        <v>8.3816448000000002E-2</v>
      </c>
      <c r="F20" s="4">
        <f t="shared" ca="1" si="5"/>
        <v>8.4394290123456783E-2</v>
      </c>
      <c r="G20" s="4">
        <f t="shared" ca="1" si="5"/>
        <v>5.8183646383828835E-2</v>
      </c>
      <c r="H20" s="4">
        <f t="shared" ca="1" si="5"/>
        <v>2.7599930763244629E-2</v>
      </c>
      <c r="I20" s="4">
        <f t="shared" ca="1" si="5"/>
        <v>8.6727473001563422E-3</v>
      </c>
      <c r="J20" s="4">
        <f t="shared" ca="1" si="5"/>
        <v>1.6329599999999999E-3</v>
      </c>
    </row>
    <row r="21" spans="1:10" x14ac:dyDescent="0.4">
      <c r="A21" s="8">
        <f t="shared" si="4"/>
        <v>12</v>
      </c>
      <c r="B21" s="4">
        <f t="shared" ca="1" si="5"/>
        <v>4.8828125E-4</v>
      </c>
      <c r="C21" s="4">
        <f t="shared" ca="1" si="5"/>
        <v>1.1549729885349455E-2</v>
      </c>
      <c r="D21" s="4">
        <f t="shared" ca="1" si="5"/>
        <v>4.0771007537841797E-2</v>
      </c>
      <c r="E21" s="4">
        <f t="shared" ca="1" si="5"/>
        <v>7.1639040000000001E-2</v>
      </c>
      <c r="F21" s="4">
        <f t="shared" ca="1" si="5"/>
        <v>8.1609262011211034E-2</v>
      </c>
      <c r="G21" s="4">
        <f t="shared" ca="1" si="5"/>
        <v>6.535623940630636E-2</v>
      </c>
      <c r="H21" s="4">
        <f t="shared" ca="1" si="5"/>
        <v>3.7543298676609993E-2</v>
      </c>
      <c r="I21" s="4">
        <f t="shared" ca="1" si="5"/>
        <v>1.5264035248275163E-2</v>
      </c>
      <c r="J21" s="4">
        <f t="shared" ca="1" si="5"/>
        <v>4.1912640000000001E-3</v>
      </c>
    </row>
    <row r="22" spans="1:10" x14ac:dyDescent="0.4">
      <c r="A22" s="8">
        <f t="shared" si="4"/>
        <v>13</v>
      </c>
      <c r="B22" s="4">
        <f t="shared" ca="1" si="5"/>
        <v>2.44140625E-4</v>
      </c>
      <c r="C22" s="4">
        <f t="shared" ca="1" si="5"/>
        <v>7.7035832764126219E-3</v>
      </c>
      <c r="D22" s="4">
        <f t="shared" ca="1" si="5"/>
        <v>3.0944108963012695E-2</v>
      </c>
      <c r="E22" s="4">
        <f t="shared" ca="1" si="5"/>
        <v>6.0112994304000002E-2</v>
      </c>
      <c r="F22" s="4">
        <f t="shared" ca="1" si="5"/>
        <v>7.6042513421057084E-2</v>
      </c>
      <c r="G22" s="4">
        <f t="shared" ca="1" si="5"/>
        <v>6.8854104835794891E-2</v>
      </c>
      <c r="H22" s="4">
        <f t="shared" ca="1" si="5"/>
        <v>4.6014259569346905E-2</v>
      </c>
      <c r="I22" s="4">
        <f t="shared" ca="1" si="5"/>
        <v>2.2702896870814202E-2</v>
      </c>
      <c r="J22" s="4">
        <f t="shared" ca="1" si="5"/>
        <v>8.0831519999999997E-3</v>
      </c>
    </row>
    <row r="23" spans="1:10" x14ac:dyDescent="0.4">
      <c r="A23" s="8">
        <f t="shared" si="4"/>
        <v>14</v>
      </c>
      <c r="B23" s="4">
        <f t="shared" ca="1" si="5"/>
        <v>1.220703125E-4</v>
      </c>
      <c r="C23" s="4">
        <f t="shared" ca="1" si="5"/>
        <v>5.1369766352238532E-3</v>
      </c>
      <c r="D23" s="4">
        <f t="shared" ca="1" si="5"/>
        <v>2.3391097784042358E-2</v>
      </c>
      <c r="E23" s="4">
        <f t="shared" ca="1" si="5"/>
        <v>4.9791565824000003E-2</v>
      </c>
      <c r="F23" s="4">
        <f t="shared" ca="1" si="5"/>
        <v>6.8987154809400292E-2</v>
      </c>
      <c r="G23" s="4">
        <f t="shared" ca="1" si="5"/>
        <v>6.9268378444653014E-2</v>
      </c>
      <c r="H23" s="4">
        <f t="shared" ca="1" si="5"/>
        <v>5.2397330291569233E-2</v>
      </c>
      <c r="I23" s="4">
        <f t="shared" ca="1" si="5"/>
        <v>3.013233624937282E-2</v>
      </c>
      <c r="J23" s="4">
        <f t="shared" ca="1" si="5"/>
        <v>1.3045608576E-2</v>
      </c>
    </row>
    <row r="24" spans="1:10" x14ac:dyDescent="0.4">
      <c r="A24" s="8">
        <f t="shared" si="4"/>
        <v>15</v>
      </c>
      <c r="B24" s="4">
        <f t="shared" ca="1" si="5"/>
        <v>6.103515625E-5</v>
      </c>
      <c r="C24" s="4">
        <f t="shared" ca="1" si="5"/>
        <v>3.4250692404654932E-3</v>
      </c>
      <c r="D24" s="4">
        <f t="shared" ca="1" si="5"/>
        <v>1.7634853720664978E-2</v>
      </c>
      <c r="E24" s="4">
        <f t="shared" ca="1" si="5"/>
        <v>4.0862004019200003E-2</v>
      </c>
      <c r="F24" s="4">
        <f t="shared" ca="1" si="5"/>
        <v>6.1367389743464E-2</v>
      </c>
      <c r="G24" s="4">
        <f t="shared" ca="1" si="5"/>
        <v>6.7343902601451205E-2</v>
      </c>
      <c r="H24" s="4">
        <f t="shared" ca="1" si="5"/>
        <v>5.6529545690864325E-2</v>
      </c>
      <c r="I24" s="4">
        <f t="shared" ca="1" si="5"/>
        <v>3.6857647070061575E-2</v>
      </c>
      <c r="J24" s="4">
        <f t="shared" ca="1" si="5"/>
        <v>1.8634359744E-2</v>
      </c>
    </row>
    <row r="25" spans="1:10" x14ac:dyDescent="0.4">
      <c r="A25" s="8">
        <f t="shared" si="4"/>
        <v>16</v>
      </c>
      <c r="B25" s="4">
        <f t="shared" ca="1" si="5"/>
        <v>3.0517578125E-5</v>
      </c>
      <c r="C25" s="4">
        <f t="shared" ca="1" si="5"/>
        <v>2.2835188770824145E-3</v>
      </c>
      <c r="D25" s="4">
        <f t="shared" ca="1" si="5"/>
        <v>1.3271911069750786E-2</v>
      </c>
      <c r="E25" s="4">
        <f t="shared" ca="1" si="5"/>
        <v>3.3310074470399999E-2</v>
      </c>
      <c r="F25" s="4">
        <f t="shared" ca="1" si="5"/>
        <v>5.3791659090958982E-2</v>
      </c>
      <c r="G25" s="4">
        <f t="shared" ca="1" si="5"/>
        <v>6.3800996769736773E-2</v>
      </c>
      <c r="H25" s="4">
        <f t="shared" ca="1" si="5"/>
        <v>5.8550322089558904E-2</v>
      </c>
      <c r="I25" s="4">
        <f t="shared" ca="1" si="5"/>
        <v>4.2422587218495379E-2</v>
      </c>
      <c r="J25" s="4">
        <f t="shared" ca="1" si="5"/>
        <v>2.43595864512E-2</v>
      </c>
    </row>
    <row r="26" spans="1:10" x14ac:dyDescent="0.4">
      <c r="A26" s="8">
        <f t="shared" si="4"/>
        <v>17</v>
      </c>
      <c r="B26" s="4">
        <f t="shared" ca="1" si="5"/>
        <v>1.52587890625E-5</v>
      </c>
      <c r="C26" s="4">
        <f t="shared" ca="1" si="5"/>
        <v>1.5223923792011939E-3</v>
      </c>
      <c r="D26" s="4">
        <f t="shared" ca="1" si="5"/>
        <v>9.9768200889229774E-3</v>
      </c>
      <c r="E26" s="4">
        <f t="shared" ca="1" si="5"/>
        <v>2.7021630662246401E-2</v>
      </c>
      <c r="F26" s="4">
        <f t="shared" ca="1" si="5"/>
        <v>4.6628054317324266E-2</v>
      </c>
      <c r="G26" s="4">
        <f t="shared" ca="1" si="5"/>
        <v>5.9252888265027961E-2</v>
      </c>
      <c r="H26" s="4">
        <f t="shared" ca="1" si="5"/>
        <v>5.8764329666018966E-2</v>
      </c>
      <c r="I26" s="4">
        <f t="shared" ca="1" si="5"/>
        <v>4.6602798575264004E-2</v>
      </c>
      <c r="J26" s="4">
        <f t="shared" ca="1" si="5"/>
        <v>2.9784618863999999E-2</v>
      </c>
    </row>
    <row r="27" spans="1:10" x14ac:dyDescent="0.4">
      <c r="A27" s="8">
        <f t="shared" si="4"/>
        <v>18</v>
      </c>
      <c r="B27" s="4">
        <f t="shared" ca="1" si="5"/>
        <v>7.62939453125E-6</v>
      </c>
      <c r="C27" s="4">
        <f t="shared" ca="1" si="5"/>
        <v>1.0149437398495463E-3</v>
      </c>
      <c r="D27" s="4">
        <f t="shared" ca="1" si="5"/>
        <v>7.4940588092431426E-3</v>
      </c>
      <c r="E27" s="4">
        <f t="shared" ca="1" si="5"/>
        <v>2.1841962545971198E-2</v>
      </c>
      <c r="F27" s="4">
        <f t="shared" ca="1" si="5"/>
        <v>4.0074664486202151E-2</v>
      </c>
      <c r="G27" s="4">
        <f t="shared" ca="1" si="5"/>
        <v>5.4180940026006805E-2</v>
      </c>
      <c r="H27" s="4">
        <f t="shared" ca="1" si="5"/>
        <v>5.754012738343306E-2</v>
      </c>
      <c r="I27" s="4">
        <f t="shared" ca="1" si="5"/>
        <v>4.9359234333065868E-2</v>
      </c>
      <c r="J27" s="4">
        <f t="shared" ca="1" si="5"/>
        <v>3.45781903731264E-2</v>
      </c>
    </row>
    <row r="28" spans="1:10" x14ac:dyDescent="0.4">
      <c r="A28" s="8">
        <f t="shared" si="4"/>
        <v>19</v>
      </c>
      <c r="B28" s="4">
        <f t="shared" ca="1" si="5"/>
        <v>3.814697265625E-6</v>
      </c>
      <c r="C28" s="4">
        <f t="shared" ca="1" si="5"/>
        <v>6.7663432224928093E-4</v>
      </c>
      <c r="D28" s="4">
        <f t="shared" ca="1" si="5"/>
        <v>5.6262660655193031E-3</v>
      </c>
      <c r="E28" s="4">
        <f t="shared" ca="1" si="5"/>
        <v>1.7608570998620159E-2</v>
      </c>
      <c r="F28" s="4">
        <f t="shared" ca="1" si="5"/>
        <v>3.4215960496571156E-2</v>
      </c>
      <c r="G28" s="4">
        <f t="shared" ca="1" si="5"/>
        <v>4.8940159214061432E-2</v>
      </c>
      <c r="H28" s="4">
        <f t="shared" ca="1" si="5"/>
        <v>5.5245303683726377E-2</v>
      </c>
      <c r="I28" s="4">
        <f t="shared" ca="1" si="5"/>
        <v>5.0780856531756319E-2</v>
      </c>
      <c r="J28" s="4">
        <f t="shared" ca="1" si="5"/>
        <v>3.85289276115744E-2</v>
      </c>
    </row>
    <row r="29" spans="1:10" x14ac:dyDescent="0.4">
      <c r="A29" s="8">
        <f t="shared" si="4"/>
        <v>20</v>
      </c>
      <c r="B29" s="4">
        <f t="shared" ca="1" si="5"/>
        <v>1.9073486328125E-6</v>
      </c>
      <c r="C29" s="4">
        <f t="shared" ca="1" si="5"/>
        <v>4.5109126894938179E-4</v>
      </c>
      <c r="D29" s="4">
        <f t="shared" ca="1" si="5"/>
        <v>4.2225605502608232E-3</v>
      </c>
      <c r="E29" s="4">
        <f t="shared" ca="1" si="5"/>
        <v>1.416793983811584E-2</v>
      </c>
      <c r="F29" s="4">
        <f t="shared" ca="1" si="5"/>
        <v>2.9064463899264068E-2</v>
      </c>
      <c r="G29" s="4">
        <f t="shared" ca="1" si="5"/>
        <v>4.3777817513508843E-2</v>
      </c>
      <c r="H29" s="4">
        <f t="shared" ca="1" si="5"/>
        <v>5.2210598064293401E-2</v>
      </c>
      <c r="I29" s="4">
        <f t="shared" ca="1" si="5"/>
        <v>5.1032366882625961E-2</v>
      </c>
      <c r="J29" s="4">
        <f t="shared" ca="1" si="5"/>
        <v>4.1535775577499844E-2</v>
      </c>
    </row>
    <row r="30" spans="1:10" x14ac:dyDescent="0.4">
      <c r="A30" s="8">
        <f t="shared" si="4"/>
        <v>21</v>
      </c>
      <c r="B30" s="4">
        <f t="shared" ref="B30:J39" ca="1" si="6">FACT(B$8)*OFFSET(S, $A30-1, B$8-1)/B$8^$A30</f>
        <v>9.5367431640625E-7</v>
      </c>
      <c r="C30" s="4">
        <f t="shared" ca="1" si="6"/>
        <v>3.0072808622731934E-4</v>
      </c>
      <c r="D30" s="4">
        <f t="shared" ca="1" si="6"/>
        <v>3.1683509187132586E-3</v>
      </c>
      <c r="E30" s="4">
        <f t="shared" ca="1" si="6"/>
        <v>1.1383034679121674E-2</v>
      </c>
      <c r="F30" s="4">
        <f t="shared" ca="1" si="6"/>
        <v>2.4589943880673679E-2</v>
      </c>
      <c r="G30" s="4">
        <f t="shared" ca="1" si="6"/>
        <v>3.8855605292780947E-2</v>
      </c>
      <c r="H30" s="4">
        <f t="shared" ca="1" si="6"/>
        <v>4.8714081718198299E-2</v>
      </c>
      <c r="I30" s="4">
        <f t="shared" ca="1" si="6"/>
        <v>5.0313278237437725E-2</v>
      </c>
      <c r="J30" s="4">
        <f t="shared" ca="1" si="6"/>
        <v>4.3586542461178074E-2</v>
      </c>
    </row>
    <row r="31" spans="1:10" x14ac:dyDescent="0.4">
      <c r="A31" s="8">
        <f t="shared" si="4"/>
        <v>22</v>
      </c>
      <c r="B31" s="4">
        <f t="shared" ca="1" si="6"/>
        <v>4.76837158203125E-7</v>
      </c>
      <c r="C31" s="4">
        <f t="shared" ca="1" si="6"/>
        <v>2.004855820163456E-4</v>
      </c>
      <c r="D31" s="4">
        <f t="shared" ca="1" si="6"/>
        <v>2.3769784434080066E-3</v>
      </c>
      <c r="E31" s="4">
        <f t="shared" ca="1" si="6"/>
        <v>9.1356506225639417E-3</v>
      </c>
      <c r="F31" s="4">
        <f t="shared" ca="1" si="6"/>
        <v>2.0739049636676561E-2</v>
      </c>
      <c r="G31" s="4">
        <f t="shared" ca="1" si="6"/>
        <v>3.4270577304578678E-2</v>
      </c>
      <c r="H31" s="4">
        <f t="shared" ca="1" si="6"/>
        <v>4.4977826190431246E-2</v>
      </c>
      <c r="I31" s="4">
        <f t="shared" ca="1" si="6"/>
        <v>4.8829222251110194E-2</v>
      </c>
      <c r="J31" s="4">
        <f t="shared" ca="1" si="6"/>
        <v>4.4733116259693229E-2</v>
      </c>
    </row>
    <row r="32" spans="1:10" x14ac:dyDescent="0.4">
      <c r="A32" s="8">
        <f t="shared" si="4"/>
        <v>23</v>
      </c>
      <c r="B32" s="4">
        <f t="shared" ca="1" si="6"/>
        <v>2.384185791015625E-7</v>
      </c>
      <c r="C32" s="4">
        <f t="shared" ca="1" si="6"/>
        <v>1.3365711841027464E-4</v>
      </c>
      <c r="D32" s="4">
        <f t="shared" ca="1" si="6"/>
        <v>1.7830914600835968E-3</v>
      </c>
      <c r="E32" s="4">
        <f t="shared" ca="1" si="6"/>
        <v>7.3260595032568635E-3</v>
      </c>
      <c r="F32" s="4">
        <f t="shared" ca="1" si="6"/>
        <v>1.7448023862377034E-2</v>
      </c>
      <c r="G32" s="4">
        <f t="shared" ca="1" si="6"/>
        <v>3.0072947806952886E-2</v>
      </c>
      <c r="H32" s="4">
        <f t="shared" ca="1" si="6"/>
        <v>4.1171525756753591E-2</v>
      </c>
      <c r="I32" s="4">
        <f t="shared" ca="1" si="6"/>
        <v>4.6773854510857506E-2</v>
      </c>
      <c r="J32" s="4">
        <f t="shared" ca="1" si="6"/>
        <v>4.5068364358638896E-2</v>
      </c>
    </row>
    <row r="33" spans="1:10" x14ac:dyDescent="0.4">
      <c r="A33" s="8">
        <f t="shared" si="4"/>
        <v>24</v>
      </c>
      <c r="B33" s="4">
        <f t="shared" ca="1" si="6"/>
        <v>1.1920928955078125E-7</v>
      </c>
      <c r="C33" s="4">
        <f t="shared" ca="1" si="6"/>
        <v>8.9104766851086733E-5</v>
      </c>
      <c r="D33" s="4">
        <f t="shared" ca="1" si="6"/>
        <v>1.3374974089117586E-3</v>
      </c>
      <c r="E33" s="4">
        <f t="shared" ca="1" si="6"/>
        <v>5.8713731167892276E-3</v>
      </c>
      <c r="F33" s="4">
        <f t="shared" ca="1" si="6"/>
        <v>1.4650606301168097E-2</v>
      </c>
      <c r="G33" s="4">
        <f t="shared" ca="1" si="6"/>
        <v>2.6280278333919722E-2</v>
      </c>
      <c r="H33" s="4">
        <f t="shared" ca="1" si="6"/>
        <v>3.7419401066269918E-2</v>
      </c>
      <c r="I33" s="4">
        <f t="shared" ca="1" si="6"/>
        <v>4.4318895280494736E-2</v>
      </c>
      <c r="J33" s="4">
        <f t="shared" ca="1" si="6"/>
        <v>4.4707065704248587E-2</v>
      </c>
    </row>
    <row r="34" spans="1:10" x14ac:dyDescent="0.4">
      <c r="A34" s="8">
        <f t="shared" si="4"/>
        <v>25</v>
      </c>
      <c r="B34" s="4">
        <f t="shared" ca="1" si="6"/>
        <v>5.9604644775390625E-8</v>
      </c>
      <c r="C34" s="4">
        <f t="shared" ca="1" si="6"/>
        <v>5.9403184982136813E-5</v>
      </c>
      <c r="D34" s="4">
        <f t="shared" ca="1" si="6"/>
        <v>1.0032124636296658E-3</v>
      </c>
      <c r="E34" s="4">
        <f t="shared" ca="1" si="6"/>
        <v>4.7034146463661511E-3</v>
      </c>
      <c r="F34" s="4">
        <f t="shared" ca="1" si="6"/>
        <v>1.2282695263198268E-2</v>
      </c>
      <c r="G34" s="4">
        <f t="shared" ca="1" si="6"/>
        <v>2.2888306513023402E-2</v>
      </c>
      <c r="H34" s="4">
        <f t="shared" ca="1" si="6"/>
        <v>3.3808138015598808E-2</v>
      </c>
      <c r="I34" s="4">
        <f t="shared" ca="1" si="6"/>
        <v>4.1609892689145306E-2</v>
      </c>
      <c r="J34" s="4">
        <f t="shared" ca="1" si="6"/>
        <v>4.3771519771445187E-2</v>
      </c>
    </row>
    <row r="35" spans="1:10" x14ac:dyDescent="0.4">
      <c r="A35" s="8">
        <f t="shared" si="4"/>
        <v>26</v>
      </c>
      <c r="B35" s="4">
        <f t="shared" ca="1" si="6"/>
        <v>2.9802322387695313E-8</v>
      </c>
      <c r="C35" s="4">
        <f t="shared" ca="1" si="6"/>
        <v>3.9602125681895316E-5</v>
      </c>
      <c r="D35" s="4">
        <f t="shared" ca="1" si="6"/>
        <v>7.5245405120050179E-4</v>
      </c>
      <c r="E35" s="4">
        <f t="shared" ca="1" si="6"/>
        <v>3.7665217466236749E-3</v>
      </c>
      <c r="F35" s="4">
        <f t="shared" ca="1" si="6"/>
        <v>1.0284883381605794E-2</v>
      </c>
      <c r="G35" s="4">
        <f t="shared" ca="1" si="6"/>
        <v>1.9878938220686853E-2</v>
      </c>
      <c r="H35" s="4">
        <f t="shared" ca="1" si="6"/>
        <v>3.0394605079860203E-2</v>
      </c>
      <c r="I35" s="4">
        <f t="shared" ca="1" si="6"/>
        <v>3.8765703362631763E-2</v>
      </c>
      <c r="J35" s="4">
        <f t="shared" ca="1" si="6"/>
        <v>4.2381533617261803E-2</v>
      </c>
    </row>
    <row r="36" spans="1:10" x14ac:dyDescent="0.4">
      <c r="A36" s="8">
        <f t="shared" si="4"/>
        <v>27</v>
      </c>
      <c r="B36" s="4">
        <f t="shared" ca="1" si="6"/>
        <v>1.4901161193847656E-8</v>
      </c>
      <c r="C36" s="4">
        <f t="shared" ca="1" si="6"/>
        <v>2.6401417908087134E-5</v>
      </c>
      <c r="D36" s="4">
        <f t="shared" ca="1" si="6"/>
        <v>5.6436289014083485E-4</v>
      </c>
      <c r="E36" s="4">
        <f t="shared" ca="1" si="6"/>
        <v>3.0154915501253649E-3</v>
      </c>
      <c r="F36" s="4">
        <f t="shared" ca="1" si="6"/>
        <v>8.6036385895333512E-3</v>
      </c>
      <c r="G36" s="4">
        <f t="shared" ca="1" si="6"/>
        <v>1.7225978516604807E-2</v>
      </c>
      <c r="H36" s="4">
        <f t="shared" ca="1" si="6"/>
        <v>2.7212730536258944E-2</v>
      </c>
      <c r="I36" s="4">
        <f t="shared" ca="1" si="6"/>
        <v>3.5880178145551458E-2</v>
      </c>
      <c r="J36" s="4">
        <f t="shared" ca="1" si="6"/>
        <v>4.0648064094729958E-2</v>
      </c>
    </row>
    <row r="37" spans="1:10" x14ac:dyDescent="0.4">
      <c r="A37" s="8">
        <f t="shared" si="4"/>
        <v>28</v>
      </c>
      <c r="B37" s="4">
        <f t="shared" ca="1" si="6"/>
        <v>7.4505805969238281E-9</v>
      </c>
      <c r="C37" s="4">
        <f t="shared" ca="1" si="6"/>
        <v>1.7600945534332621E-5</v>
      </c>
      <c r="D37" s="4">
        <f t="shared" ca="1" si="6"/>
        <v>4.2328334347618846E-4</v>
      </c>
      <c r="E37" s="4">
        <f t="shared" ca="1" si="6"/>
        <v>2.4137577858393392E-3</v>
      </c>
      <c r="F37" s="4">
        <f t="shared" ca="1" si="6"/>
        <v>7.1916503382866313E-3</v>
      </c>
      <c r="G37" s="4">
        <f t="shared" ca="1" si="6"/>
        <v>1.4899128774998046E-2</v>
      </c>
      <c r="H37" s="4">
        <f t="shared" ca="1" si="6"/>
        <v>2.427930679575763E-2</v>
      </c>
      <c r="I37" s="4">
        <f t="shared" ca="1" si="6"/>
        <v>3.3024990269899135E-2</v>
      </c>
      <c r="J37" s="4">
        <f t="shared" ca="1" si="6"/>
        <v>3.866968060804301E-2</v>
      </c>
    </row>
    <row r="38" spans="1:10" x14ac:dyDescent="0.4">
      <c r="A38" s="8">
        <f t="shared" si="4"/>
        <v>29</v>
      </c>
      <c r="B38" s="4">
        <f t="shared" ca="1" si="6"/>
        <v>3.7252902984619141E-9</v>
      </c>
      <c r="C38" s="4">
        <f t="shared" ca="1" si="6"/>
        <v>1.1733963776979924E-5</v>
      </c>
      <c r="D38" s="4">
        <f t="shared" ca="1" si="6"/>
        <v>3.1746809554250577E-4</v>
      </c>
      <c r="E38" s="4">
        <f t="shared" ca="1" si="6"/>
        <v>1.9318249777321771E-3</v>
      </c>
      <c r="F38" s="4">
        <f t="shared" ca="1" si="6"/>
        <v>6.0076845687897298E-3</v>
      </c>
      <c r="G38" s="4">
        <f t="shared" ca="1" si="6"/>
        <v>1.2866692245807053E-2</v>
      </c>
      <c r="H38" s="4">
        <f t="shared" ca="1" si="6"/>
        <v>2.1598705851748942E-2</v>
      </c>
      <c r="I38" s="4">
        <f t="shared" ca="1" si="6"/>
        <v>3.0252904731942826E-2</v>
      </c>
      <c r="J38" s="4">
        <f t="shared" ca="1" si="6"/>
        <v>3.6531067596089047E-2</v>
      </c>
    </row>
    <row r="39" spans="1:10" x14ac:dyDescent="0.4">
      <c r="A39" s="8">
        <f t="shared" si="4"/>
        <v>30</v>
      </c>
      <c r="B39" s="4">
        <f t="shared" ca="1" si="6"/>
        <v>1.862645149230957E-9</v>
      </c>
      <c r="C39" s="4">
        <f t="shared" ca="1" si="6"/>
        <v>7.8226425471282303E-6</v>
      </c>
      <c r="D39" s="4">
        <f t="shared" ca="1" si="6"/>
        <v>2.3810386562458236E-4</v>
      </c>
      <c r="E39" s="4">
        <f t="shared" ca="1" si="6"/>
        <v>1.5459512402690762E-3</v>
      </c>
      <c r="F39" s="4">
        <f t="shared" ca="1" si="6"/>
        <v>5.0161696931293456E-3</v>
      </c>
      <c r="G39" s="4">
        <f t="shared" ca="1" si="6"/>
        <v>1.1097339795049056E-2</v>
      </c>
      <c r="H39" s="4">
        <f t="shared" ca="1" si="6"/>
        <v>1.9166599724297038E-2</v>
      </c>
      <c r="I39" s="4">
        <f t="shared" ca="1" si="6"/>
        <v>2.7601056122235283E-2</v>
      </c>
      <c r="J39" s="4">
        <f t="shared" ca="1" si="6"/>
        <v>3.4302911584009943E-2</v>
      </c>
    </row>
    <row r="40" spans="1:10" x14ac:dyDescent="0.4">
      <c r="A40" s="8">
        <f t="shared" ref="A40:A103" si="7">A39+1</f>
        <v>31</v>
      </c>
      <c r="B40" s="4">
        <f t="shared" ref="B40:J49" ca="1" si="8">FACT(B$8)*OFFSET(S, $A40-1, B$8-1)/B$8^$A40</f>
        <v>9.3132257461547852E-10</v>
      </c>
      <c r="C40" s="4">
        <f t="shared" ca="1" si="8"/>
        <v>5.2150950411326915E-6</v>
      </c>
      <c r="D40" s="4">
        <f t="shared" ca="1" si="8"/>
        <v>1.7857929620229349E-4</v>
      </c>
      <c r="E40" s="4">
        <f t="shared" ca="1" si="8"/>
        <v>1.2370557505240263E-3</v>
      </c>
      <c r="F40" s="4">
        <f t="shared" ca="1" si="8"/>
        <v>4.1866540710103692E-3</v>
      </c>
      <c r="G40" s="4">
        <f t="shared" ca="1" si="8"/>
        <v>9.5612059269896323E-3</v>
      </c>
      <c r="H40" s="4">
        <f t="shared" ca="1" si="8"/>
        <v>1.6972825512451047E-2</v>
      </c>
      <c r="I40" s="4">
        <f t="shared" ca="1" si="8"/>
        <v>2.5093990271144447E-2</v>
      </c>
      <c r="J40" s="4">
        <f t="shared" ca="1" si="8"/>
        <v>3.204266116424976E-2</v>
      </c>
    </row>
    <row r="41" spans="1:10" x14ac:dyDescent="0.4">
      <c r="A41" s="8">
        <f t="shared" si="7"/>
        <v>32</v>
      </c>
      <c r="B41" s="4">
        <f t="shared" ca="1" si="8"/>
        <v>4.6566128730773926E-10</v>
      </c>
      <c r="C41" s="4">
        <f t="shared" ca="1" si="8"/>
        <v>3.4767300306597518E-6</v>
      </c>
      <c r="D41" s="4">
        <f t="shared" ca="1" si="8"/>
        <v>1.3393517064364978E-4</v>
      </c>
      <c r="E41" s="4">
        <f t="shared" ca="1" si="8"/>
        <v>9.8982145678798601E-4</v>
      </c>
      <c r="F41" s="4">
        <f t="shared" ca="1" si="8"/>
        <v>3.4932212006667158E-3</v>
      </c>
      <c r="G41" s="4">
        <f t="shared" ca="1" si="8"/>
        <v>8.2305172535470563E-3</v>
      </c>
      <c r="H41" s="4">
        <f t="shared" ca="1" si="8"/>
        <v>1.5003544211972914E-2</v>
      </c>
      <c r="I41" s="4">
        <f t="shared" ca="1" si="8"/>
        <v>2.2746350318931081E-2</v>
      </c>
      <c r="J41" s="4">
        <f t="shared" ca="1" si="8"/>
        <v>2.9795782029831519E-2</v>
      </c>
    </row>
    <row r="42" spans="1:10" x14ac:dyDescent="0.4">
      <c r="A42" s="8">
        <f t="shared" si="7"/>
        <v>33</v>
      </c>
      <c r="B42" s="4">
        <f t="shared" ca="1" si="8"/>
        <v>2.3283064365386963E-10</v>
      </c>
      <c r="C42" s="4">
        <f t="shared" ca="1" si="8"/>
        <v>2.3178200215191534E-6</v>
      </c>
      <c r="D42" s="4">
        <f t="shared" ca="1" si="8"/>
        <v>1.0045172722870249E-4</v>
      </c>
      <c r="E42" s="4">
        <f t="shared" ca="1" si="8"/>
        <v>7.9196327980505003E-4</v>
      </c>
      <c r="F42" s="4">
        <f t="shared" ca="1" si="8"/>
        <v>2.9139133900543154E-3</v>
      </c>
      <c r="G42" s="4">
        <f t="shared" ca="1" si="8"/>
        <v>7.0799017176093612E-3</v>
      </c>
      <c r="H42" s="4">
        <f t="shared" ca="1" si="8"/>
        <v>1.3242833254726584E-2</v>
      </c>
      <c r="I42" s="4">
        <f t="shared" ca="1" si="8"/>
        <v>2.0565166965472018E-2</v>
      </c>
      <c r="J42" s="4">
        <f t="shared" ca="1" si="8"/>
        <v>2.759724157745656E-2</v>
      </c>
    </row>
    <row r="43" spans="1:10" x14ac:dyDescent="0.4">
      <c r="A43" s="8">
        <f t="shared" si="7"/>
        <v>34</v>
      </c>
      <c r="B43" s="4">
        <f t="shared" ca="1" si="8"/>
        <v>1.1641532182693481E-10</v>
      </c>
      <c r="C43" s="4">
        <f t="shared" ca="1" si="8"/>
        <v>1.5452133480392087E-6</v>
      </c>
      <c r="D43" s="4">
        <f t="shared" ca="1" si="8"/>
        <v>7.5338970044509524E-5</v>
      </c>
      <c r="E43" s="4">
        <f t="shared" ca="1" si="8"/>
        <v>6.3363429269019792E-4</v>
      </c>
      <c r="F43" s="4">
        <f t="shared" ca="1" si="8"/>
        <v>2.4301918989646479E-3</v>
      </c>
      <c r="G43" s="4">
        <f t="shared" ca="1" si="8"/>
        <v>6.0864855318962501E-3</v>
      </c>
      <c r="H43" s="4">
        <f t="shared" ca="1" si="8"/>
        <v>1.1673835189548763E-2</v>
      </c>
      <c r="I43" s="4">
        <f t="shared" ca="1" si="8"/>
        <v>1.8551759611047231E-2</v>
      </c>
      <c r="J43" s="4">
        <f t="shared" ca="1" si="8"/>
        <v>2.5473045949349498E-2</v>
      </c>
    </row>
    <row r="44" spans="1:10" x14ac:dyDescent="0.4">
      <c r="A44" s="8">
        <f t="shared" si="7"/>
        <v>35</v>
      </c>
      <c r="B44" s="4">
        <f t="shared" ca="1" si="8"/>
        <v>5.8207660913467407E-11</v>
      </c>
      <c r="C44" s="4">
        <f t="shared" ca="1" si="8"/>
        <v>1.0301422321460636E-6</v>
      </c>
      <c r="D44" s="4">
        <f t="shared" ca="1" si="8"/>
        <v>5.6504314844873493E-5</v>
      </c>
      <c r="E44" s="4">
        <f t="shared" ca="1" si="8"/>
        <v>5.0694563554839729E-4</v>
      </c>
      <c r="F44" s="4">
        <f t="shared" ca="1" si="8"/>
        <v>2.0264472055440325E-3</v>
      </c>
      <c r="G44" s="4">
        <f t="shared" ca="1" si="8"/>
        <v>5.2298537816837434E-3</v>
      </c>
      <c r="H44" s="4">
        <f t="shared" ca="1" si="8"/>
        <v>1.0279564950322288E-2</v>
      </c>
      <c r="I44" s="4">
        <f t="shared" ca="1" si="8"/>
        <v>1.6703280512534436E-2</v>
      </c>
      <c r="J44" s="4">
        <f t="shared" ca="1" si="8"/>
        <v>2.3441718456611263E-2</v>
      </c>
    </row>
    <row r="45" spans="1:10" x14ac:dyDescent="0.4">
      <c r="A45" s="8">
        <f t="shared" si="7"/>
        <v>36</v>
      </c>
      <c r="B45" s="4">
        <f t="shared" ca="1" si="8"/>
        <v>2.9103830456733704E-11</v>
      </c>
      <c r="C45" s="4">
        <f t="shared" ca="1" si="8"/>
        <v>6.867614881373504E-7</v>
      </c>
      <c r="D45" s="4">
        <f t="shared" ca="1" si="8"/>
        <v>4.2378279789400801E-5</v>
      </c>
      <c r="E45" s="4">
        <f t="shared" ca="1" si="8"/>
        <v>4.05579429311879E-4</v>
      </c>
      <c r="F45" s="4">
        <f t="shared" ca="1" si="8"/>
        <v>1.6895642624550119E-3</v>
      </c>
      <c r="G45" s="4">
        <f t="shared" ca="1" si="8"/>
        <v>4.4919277852179373E-3</v>
      </c>
      <c r="H45" s="4">
        <f t="shared" ca="1" si="8"/>
        <v>9.0434588532908311E-3</v>
      </c>
      <c r="I45" s="4">
        <f t="shared" ca="1" si="8"/>
        <v>1.5013945668893034E-2</v>
      </c>
      <c r="J45" s="4">
        <f t="shared" ca="1" si="8"/>
        <v>2.1515655696614108E-2</v>
      </c>
    </row>
    <row r="46" spans="1:10" x14ac:dyDescent="0.4">
      <c r="A46" s="8">
        <f t="shared" si="7"/>
        <v>37</v>
      </c>
      <c r="B46" s="4">
        <f t="shared" ca="1" si="8"/>
        <v>1.4551915228366852E-11</v>
      </c>
      <c r="C46" s="4">
        <f t="shared" ca="1" si="8"/>
        <v>4.5784099210489188E-7</v>
      </c>
      <c r="D46" s="4">
        <f t="shared" ca="1" si="8"/>
        <v>3.1783731669923444E-5</v>
      </c>
      <c r="E46" s="4">
        <f t="shared" ca="1" si="8"/>
        <v>3.2447729598756697E-4</v>
      </c>
      <c r="F46" s="4">
        <f t="shared" ca="1" si="8"/>
        <v>1.4085424229399895E-3</v>
      </c>
      <c r="G46" s="4">
        <f t="shared" ca="1" si="8"/>
        <v>3.8567957059383144E-3</v>
      </c>
      <c r="H46" s="4">
        <f t="shared" ca="1" si="8"/>
        <v>7.9497312807817379E-3</v>
      </c>
      <c r="I46" s="4">
        <f t="shared" ca="1" si="8"/>
        <v>1.3475999287193542E-2</v>
      </c>
      <c r="J46" s="4">
        <f t="shared" ca="1" si="8"/>
        <v>1.9702330293727529E-2</v>
      </c>
    </row>
    <row r="47" spans="1:10" x14ac:dyDescent="0.4">
      <c r="A47" s="8">
        <f t="shared" si="7"/>
        <v>38</v>
      </c>
      <c r="B47" s="4">
        <f t="shared" ca="1" si="8"/>
        <v>7.2759576141834259E-12</v>
      </c>
      <c r="C47" s="4">
        <f t="shared" ca="1" si="8"/>
        <v>3.0522732807436958E-7</v>
      </c>
      <c r="D47" s="4">
        <f t="shared" ca="1" si="8"/>
        <v>2.3837809666379002E-5</v>
      </c>
      <c r="E47" s="4">
        <f t="shared" ca="1" si="8"/>
        <v>2.5959008831855871E-4</v>
      </c>
      <c r="F47" s="4">
        <f t="shared" ca="1" si="8"/>
        <v>1.1741668381037391E-3</v>
      </c>
      <c r="G47" s="4">
        <f t="shared" ca="1" si="8"/>
        <v>3.3105210057166158E-3</v>
      </c>
      <c r="H47" s="4">
        <f t="shared" ca="1" si="8"/>
        <v>6.9835904469377685E-3</v>
      </c>
      <c r="I47" s="4">
        <f t="shared" ca="1" si="8"/>
        <v>1.2080456971484275E-2</v>
      </c>
      <c r="J47" s="4">
        <f t="shared" ca="1" si="8"/>
        <v>1.8005330690943067E-2</v>
      </c>
    </row>
    <row r="48" spans="1:10" x14ac:dyDescent="0.4">
      <c r="A48" s="8">
        <f t="shared" si="7"/>
        <v>39</v>
      </c>
      <c r="B48" s="4">
        <f t="shared" ca="1" si="8"/>
        <v>3.637978807091713E-12</v>
      </c>
      <c r="C48" s="4">
        <f t="shared" ca="1" si="8"/>
        <v>2.0348488538439359E-7</v>
      </c>
      <c r="D48" s="4">
        <f t="shared" ca="1" si="8"/>
        <v>1.7878362706752464E-5</v>
      </c>
      <c r="E48" s="4">
        <f t="shared" ca="1" si="8"/>
        <v>2.0767702157421672E-4</v>
      </c>
      <c r="F48" s="4">
        <f t="shared" ca="1" si="8"/>
        <v>9.7872669694000058E-4</v>
      </c>
      <c r="G48" s="4">
        <f t="shared" ca="1" si="8"/>
        <v>2.8409448914509241E-3</v>
      </c>
      <c r="H48" s="4">
        <f t="shared" ca="1" si="8"/>
        <v>6.1313527027831724E-3</v>
      </c>
      <c r="I48" s="4">
        <f t="shared" ca="1" si="8"/>
        <v>1.0817668559314941E-2</v>
      </c>
      <c r="J48" s="4">
        <f t="shared" ca="1" si="8"/>
        <v>1.6425241844533384E-2</v>
      </c>
    </row>
    <row r="49" spans="1:10" x14ac:dyDescent="0.4">
      <c r="A49" s="8">
        <f t="shared" si="7"/>
        <v>40</v>
      </c>
      <c r="B49" s="4">
        <f t="shared" ca="1" si="8"/>
        <v>1.8189894035458565E-12</v>
      </c>
      <c r="C49" s="4">
        <f t="shared" ca="1" si="8"/>
        <v>1.3565659025675591E-7</v>
      </c>
      <c r="D49" s="4">
        <f t="shared" ca="1" si="8"/>
        <v>1.3408774758548453E-5</v>
      </c>
      <c r="E49" s="4">
        <f t="shared" ca="1" si="8"/>
        <v>1.6614458781190198E-4</v>
      </c>
      <c r="F49" s="4">
        <f t="shared" ca="1" si="8"/>
        <v>8.1577513939456298E-4</v>
      </c>
      <c r="G49" s="4">
        <f t="shared" ca="1" si="8"/>
        <v>2.4374929999259826E-3</v>
      </c>
      <c r="H49" s="4">
        <f t="shared" ca="1" si="8"/>
        <v>5.3804852793889911E-3</v>
      </c>
      <c r="I49" s="4">
        <f t="shared" ca="1" si="8"/>
        <v>9.6777362634347455E-3</v>
      </c>
      <c r="J49" s="4">
        <f t="shared" ca="1" si="8"/>
        <v>1.4960378429718349E-2</v>
      </c>
    </row>
    <row r="50" spans="1:10" x14ac:dyDescent="0.4">
      <c r="A50" s="8">
        <f t="shared" si="7"/>
        <v>41</v>
      </c>
      <c r="B50" s="4">
        <f t="shared" ref="B50:J59" ca="1" si="9">FACT(B$8)*OFFSET(S, $A50-1, B$8-1)/B$8^$A50</f>
        <v>9.0949470177292824E-13</v>
      </c>
      <c r="C50" s="4">
        <f t="shared" ca="1" si="9"/>
        <v>9.0437726838001767E-8</v>
      </c>
      <c r="D50" s="4">
        <f t="shared" ca="1" si="9"/>
        <v>1.0056582433153393E-5</v>
      </c>
      <c r="E50" s="4">
        <f t="shared" ca="1" si="9"/>
        <v>1.3291745258140139E-4</v>
      </c>
      <c r="F50" s="4">
        <f t="shared" ca="1" si="9"/>
        <v>6.7992565725738681E-4</v>
      </c>
      <c r="G50" s="4">
        <f t="shared" ca="1" si="9"/>
        <v>2.0909924835653747E-3</v>
      </c>
      <c r="H50" s="4">
        <f t="shared" ca="1" si="9"/>
        <v>4.7195998508954276E-3</v>
      </c>
      <c r="I50" s="4">
        <f t="shared" ca="1" si="9"/>
        <v>8.6508183264741977E-3</v>
      </c>
      <c r="J50" s="4">
        <f t="shared" ca="1" si="9"/>
        <v>1.360738607359442E-2</v>
      </c>
    </row>
    <row r="51" spans="1:10" x14ac:dyDescent="0.4">
      <c r="A51" s="8">
        <f t="shared" si="7"/>
        <v>42</v>
      </c>
      <c r="B51" s="4">
        <f t="shared" ca="1" si="9"/>
        <v>4.5474735088646412E-13</v>
      </c>
      <c r="C51" s="4">
        <f t="shared" ca="1" si="9"/>
        <v>6.029181789205601E-8</v>
      </c>
      <c r="D51" s="4">
        <f t="shared" ca="1" si="9"/>
        <v>7.5424375069860712E-6</v>
      </c>
      <c r="E51" s="4">
        <f t="shared" ca="1" si="9"/>
        <v>1.0633503146439408E-4</v>
      </c>
      <c r="F51" s="4">
        <f t="shared" ca="1" si="9"/>
        <v>5.6668007612187211E-4</v>
      </c>
      <c r="G51" s="4">
        <f t="shared" ca="1" si="9"/>
        <v>1.7935028817325069E-3</v>
      </c>
      <c r="H51" s="4">
        <f t="shared" ca="1" si="9"/>
        <v>4.138413471529186E-3</v>
      </c>
      <c r="I51" s="4">
        <f t="shared" ca="1" si="9"/>
        <v>7.7273432455769835E-3</v>
      </c>
      <c r="J51" s="4">
        <f t="shared" ca="1" si="9"/>
        <v>1.2361727525963085E-2</v>
      </c>
    </row>
    <row r="52" spans="1:10" x14ac:dyDescent="0.4">
      <c r="A52" s="8">
        <f t="shared" si="7"/>
        <v>43</v>
      </c>
      <c r="B52" s="4">
        <f t="shared" ca="1" si="9"/>
        <v>2.2737367544323206E-13</v>
      </c>
      <c r="C52" s="4">
        <f t="shared" ca="1" si="9"/>
        <v>4.0194545261388962E-8</v>
      </c>
      <c r="D52" s="4">
        <f t="shared" ca="1" si="9"/>
        <v>5.6568284713000668E-6</v>
      </c>
      <c r="E52" s="4">
        <f t="shared" ca="1" si="9"/>
        <v>8.5068666811137088E-5</v>
      </c>
      <c r="F52" s="4">
        <f t="shared" ca="1" si="9"/>
        <v>4.7228363843397918E-4</v>
      </c>
      <c r="G52" s="4">
        <f t="shared" ca="1" si="9"/>
        <v>1.5381623078081078E-3</v>
      </c>
      <c r="H52" s="4">
        <f t="shared" ca="1" si="9"/>
        <v>3.6276889763452967E-3</v>
      </c>
      <c r="I52" s="4">
        <f t="shared" ca="1" si="9"/>
        <v>6.8981550088298479E-3</v>
      </c>
      <c r="J52" s="4">
        <f t="shared" ca="1" si="9"/>
        <v>1.1218070507695313E-2</v>
      </c>
    </row>
    <row r="53" spans="1:10" x14ac:dyDescent="0.4">
      <c r="A53" s="8">
        <f t="shared" si="7"/>
        <v>44</v>
      </c>
      <c r="B53" s="4">
        <f t="shared" ca="1" si="9"/>
        <v>1.1368683772161603E-13</v>
      </c>
      <c r="C53" s="4">
        <f t="shared" ca="1" si="9"/>
        <v>2.6796363507598732E-8</v>
      </c>
      <c r="D53" s="4">
        <f t="shared" ca="1" si="9"/>
        <v>4.2426215240053062E-6</v>
      </c>
      <c r="E53" s="4">
        <f t="shared" ca="1" si="9"/>
        <v>6.8055318432705969E-5</v>
      </c>
      <c r="F53" s="4">
        <f t="shared" ca="1" si="9"/>
        <v>3.9360319339145494E-4</v>
      </c>
      <c r="G53" s="4">
        <f t="shared" ca="1" si="9"/>
        <v>1.3190492755964865E-3</v>
      </c>
      <c r="H53" s="4">
        <f t="shared" ca="1" si="9"/>
        <v>3.1791635507809066E-3</v>
      </c>
      <c r="I53" s="4">
        <f t="shared" ca="1" si="9"/>
        <v>6.1546057938102845E-3</v>
      </c>
      <c r="J53" s="4">
        <f t="shared" ca="1" si="9"/>
        <v>1.0170592895943176E-2</v>
      </c>
    </row>
    <row r="54" spans="1:10" x14ac:dyDescent="0.4">
      <c r="A54" s="8">
        <f t="shared" si="7"/>
        <v>45</v>
      </c>
      <c r="B54" s="4">
        <f t="shared" ca="1" si="9"/>
        <v>5.6843418860808015E-14</v>
      </c>
      <c r="C54" s="4">
        <f t="shared" ca="1" si="9"/>
        <v>1.7864242338401185E-8</v>
      </c>
      <c r="D54" s="4">
        <f t="shared" ca="1" si="9"/>
        <v>3.181966228269108E-6</v>
      </c>
      <c r="E54" s="4">
        <f t="shared" ca="1" si="9"/>
        <v>5.4444485736451823E-5</v>
      </c>
      <c r="F54" s="4">
        <f t="shared" ca="1" si="9"/>
        <v>3.2802499108351273E-4</v>
      </c>
      <c r="G54" s="4">
        <f t="shared" ca="1" si="9"/>
        <v>1.1310597315650633E-3</v>
      </c>
      <c r="H54" s="4">
        <f t="shared" ca="1" si="9"/>
        <v>2.7854716325481522E-3</v>
      </c>
      <c r="I54" s="4">
        <f t="shared" ca="1" si="9"/>
        <v>5.4886092121571679E-3</v>
      </c>
      <c r="J54" s="4">
        <f t="shared" ca="1" si="9"/>
        <v>9.2132193565092127E-3</v>
      </c>
    </row>
    <row r="55" spans="1:10" x14ac:dyDescent="0.4">
      <c r="A55" s="8">
        <f t="shared" si="7"/>
        <v>46</v>
      </c>
      <c r="B55" s="4">
        <f t="shared" ca="1" si="9"/>
        <v>2.8421709430404007E-14</v>
      </c>
      <c r="C55" s="4">
        <f t="shared" ca="1" si="9"/>
        <v>1.1909494892268134E-8</v>
      </c>
      <c r="D55" s="4">
        <f t="shared" ca="1" si="9"/>
        <v>2.3864747138343952E-6</v>
      </c>
      <c r="E55" s="4">
        <f t="shared" ca="1" si="9"/>
        <v>4.3555727183337423E-5</v>
      </c>
      <c r="F55" s="4">
        <f t="shared" ca="1" si="9"/>
        <v>2.7336904591539782E-4</v>
      </c>
      <c r="G55" s="4">
        <f t="shared" ca="1" si="9"/>
        <v>9.6979841072407185E-4</v>
      </c>
      <c r="H55" s="4">
        <f t="shared" ca="1" si="9"/>
        <v>2.4400664185688964E-3</v>
      </c>
      <c r="I55" s="4">
        <f t="shared" ca="1" si="9"/>
        <v>4.8926643980217021E-3</v>
      </c>
      <c r="J55" s="4">
        <f t="shared" ca="1" si="9"/>
        <v>8.3398018021014712E-3</v>
      </c>
    </row>
    <row r="56" spans="1:10" x14ac:dyDescent="0.4">
      <c r="A56" s="8">
        <f t="shared" si="7"/>
        <v>47</v>
      </c>
      <c r="B56" s="4">
        <f t="shared" ca="1" si="9"/>
        <v>1.4210854715202004E-14</v>
      </c>
      <c r="C56" s="4">
        <f t="shared" ca="1" si="9"/>
        <v>7.9396632615123156E-9</v>
      </c>
      <c r="D56" s="4">
        <f t="shared" ca="1" si="9"/>
        <v>1.7898560566920785E-6</v>
      </c>
      <c r="E56" s="4">
        <f t="shared" ca="1" si="9"/>
        <v>3.4844664903176991E-5</v>
      </c>
      <c r="F56" s="4">
        <f t="shared" ca="1" si="9"/>
        <v>2.2781746274716936E-4</v>
      </c>
      <c r="G56" s="4">
        <f t="shared" ca="1" si="9"/>
        <v>8.3148339359500364E-4</v>
      </c>
      <c r="H56" s="4">
        <f t="shared" ca="1" si="9"/>
        <v>2.1371428562851845E-3</v>
      </c>
      <c r="I56" s="4">
        <f t="shared" ca="1" si="9"/>
        <v>4.3598589664259118E-3</v>
      </c>
      <c r="J56" s="4">
        <f t="shared" ca="1" si="9"/>
        <v>7.5442543188464547E-3</v>
      </c>
    </row>
    <row r="57" spans="1:10" x14ac:dyDescent="0.4">
      <c r="A57" s="8">
        <f t="shared" si="7"/>
        <v>48</v>
      </c>
      <c r="B57" s="4">
        <f t="shared" ca="1" si="9"/>
        <v>7.1054273576010019E-15</v>
      </c>
      <c r="C57" s="4">
        <f t="shared" ca="1" si="9"/>
        <v>5.2931088410082851E-9</v>
      </c>
      <c r="D57" s="4">
        <f t="shared" ca="1" si="9"/>
        <v>1.3423920531771998E-6</v>
      </c>
      <c r="E57" s="4">
        <f t="shared" ca="1" si="9"/>
        <v>2.7875781816446418E-5</v>
      </c>
      <c r="F57" s="4">
        <f t="shared" ca="1" si="9"/>
        <v>1.8985450196132286E-4</v>
      </c>
      <c r="G57" s="4">
        <f t="shared" ca="1" si="9"/>
        <v>7.1286263943170234E-4</v>
      </c>
      <c r="H57" s="4">
        <f t="shared" ca="1" si="9"/>
        <v>1.871563982407434E-3</v>
      </c>
      <c r="I57" s="4">
        <f t="shared" ca="1" si="9"/>
        <v>3.8838570372341573E-3</v>
      </c>
      <c r="J57" s="4">
        <f t="shared" ca="1" si="9"/>
        <v>6.820651566040792E-3</v>
      </c>
    </row>
    <row r="58" spans="1:10" x14ac:dyDescent="0.4">
      <c r="A58" s="8">
        <f t="shared" si="7"/>
        <v>49</v>
      </c>
      <c r="B58" s="4">
        <f t="shared" ca="1" si="9"/>
        <v>3.5527136788005009E-15</v>
      </c>
      <c r="C58" s="4">
        <f t="shared" ca="1" si="9"/>
        <v>3.5287392273388818E-9</v>
      </c>
      <c r="D58" s="4">
        <f t="shared" ca="1" si="9"/>
        <v>1.0067940452119704E-6</v>
      </c>
      <c r="E58" s="4">
        <f t="shared" ca="1" si="9"/>
        <v>2.2300655389500269E-5</v>
      </c>
      <c r="F58" s="4">
        <f t="shared" ca="1" si="9"/>
        <v>1.5821649586811849E-4</v>
      </c>
      <c r="G58" s="4">
        <f t="shared" ca="1" si="9"/>
        <v>6.1114125768799198E-4</v>
      </c>
      <c r="H58" s="4">
        <f t="shared" ca="1" si="9"/>
        <v>1.6387917395677399E-3</v>
      </c>
      <c r="I58" s="4">
        <f t="shared" ca="1" si="9"/>
        <v>3.4588770607419141E-3</v>
      </c>
      <c r="J58" s="4">
        <f t="shared" ca="1" si="9"/>
        <v>6.1632981700629769E-3</v>
      </c>
    </row>
    <row r="59" spans="1:10" x14ac:dyDescent="0.4">
      <c r="A59" s="8">
        <f t="shared" si="7"/>
        <v>50</v>
      </c>
      <c r="B59" s="4">
        <f t="shared" ca="1" si="9"/>
        <v>1.7763568394002505E-15</v>
      </c>
      <c r="C59" s="4">
        <f t="shared" ca="1" si="9"/>
        <v>2.3524928182259298E-9</v>
      </c>
      <c r="D59" s="4">
        <f t="shared" ca="1" si="9"/>
        <v>7.5509553657351297E-7</v>
      </c>
      <c r="E59" s="4">
        <f t="shared" ca="1" si="9"/>
        <v>1.7840542273406187E-5</v>
      </c>
      <c r="F59" s="4">
        <f t="shared" ca="1" si="9"/>
        <v>1.3185002049427913E-4</v>
      </c>
      <c r="G59" s="4">
        <f t="shared" ca="1" si="9"/>
        <v>5.2391832188470602E-4</v>
      </c>
      <c r="H59" s="4">
        <f t="shared" ca="1" si="9"/>
        <v>1.4348228805940346E-3</v>
      </c>
      <c r="I59" s="4">
        <f t="shared" ca="1" si="9"/>
        <v>3.0796630270551084E-3</v>
      </c>
      <c r="J59" s="4">
        <f t="shared" ca="1" si="9"/>
        <v>5.5667753251020342E-3</v>
      </c>
    </row>
    <row r="60" spans="1:10" x14ac:dyDescent="0.4">
      <c r="A60" s="8">
        <f t="shared" si="7"/>
        <v>51</v>
      </c>
      <c r="B60" s="4">
        <f t="shared" ref="B60:J69" ca="1" si="10">FACT(B$8)*OFFSET(S, $A60-1, B$8-1)/B$8^$A60</f>
        <v>8.8817841970012523E-16</v>
      </c>
      <c r="C60" s="4">
        <f t="shared" ca="1" si="10"/>
        <v>1.5683285454839558E-9</v>
      </c>
      <c r="D60" s="4">
        <f t="shared" ca="1" si="10"/>
        <v>5.6632165376240236E-7</v>
      </c>
      <c r="E60" s="4">
        <f t="shared" ca="1" si="10"/>
        <v>1.4272444595808577E-5</v>
      </c>
      <c r="F60" s="4">
        <f t="shared" ca="1" si="10"/>
        <v>1.0987697748332661E-4</v>
      </c>
      <c r="G60" s="4">
        <f t="shared" ca="1" si="10"/>
        <v>4.491321044742972E-4</v>
      </c>
      <c r="H60" s="4">
        <f t="shared" ca="1" si="10"/>
        <v>1.2561302064089765E-3</v>
      </c>
      <c r="I60" s="4">
        <f t="shared" ca="1" si="10"/>
        <v>2.7414517366998572E-3</v>
      </c>
      <c r="J60" s="4">
        <f t="shared" ca="1" si="10"/>
        <v>5.0259696835475674E-3</v>
      </c>
    </row>
    <row r="61" spans="1:10" x14ac:dyDescent="0.4">
      <c r="A61" s="8">
        <f t="shared" si="7"/>
        <v>52</v>
      </c>
      <c r="B61" s="4">
        <f t="shared" ca="1" si="10"/>
        <v>4.4408920985006262E-16</v>
      </c>
      <c r="C61" s="4">
        <f t="shared" ca="1" si="10"/>
        <v>1.0455523636559716E-9</v>
      </c>
      <c r="D61" s="4">
        <f t="shared" ca="1" si="10"/>
        <v>4.2474124098793558E-7</v>
      </c>
      <c r="E61" s="4">
        <f t="shared" ca="1" si="10"/>
        <v>1.1417962142897051E-5</v>
      </c>
      <c r="F61" s="4">
        <f t="shared" ca="1" si="10"/>
        <v>9.1565454840266154E-5</v>
      </c>
      <c r="G61" s="4">
        <f t="shared" ca="1" si="10"/>
        <v>3.8501270255069981E-4</v>
      </c>
      <c r="H61" s="4">
        <f t="shared" ca="1" si="10"/>
        <v>1.0996091353605833E-3</v>
      </c>
      <c r="I61" s="4">
        <f t="shared" ca="1" si="10"/>
        <v>2.4399381058613405E-3</v>
      </c>
      <c r="J61" s="4">
        <f t="shared" ca="1" si="10"/>
        <v>4.5360886585862122E-3</v>
      </c>
    </row>
    <row r="62" spans="1:10" x14ac:dyDescent="0.4">
      <c r="A62" s="8">
        <f t="shared" si="7"/>
        <v>53</v>
      </c>
      <c r="B62" s="4">
        <f t="shared" ca="1" si="10"/>
        <v>2.2204460492503131E-16</v>
      </c>
      <c r="C62" s="4">
        <f t="shared" ca="1" si="10"/>
        <v>6.9703490910398129E-10</v>
      </c>
      <c r="D62" s="4">
        <f t="shared" ca="1" si="10"/>
        <v>3.1855593107401858E-7</v>
      </c>
      <c r="E62" s="4">
        <f t="shared" ca="1" si="10"/>
        <v>9.13437359406776E-6</v>
      </c>
      <c r="F62" s="4">
        <f t="shared" ca="1" si="10"/>
        <v>7.6305416992377879E-5</v>
      </c>
      <c r="G62" s="4">
        <f t="shared" ca="1" si="10"/>
        <v>3.3004112210858089E-4</v>
      </c>
      <c r="H62" s="4">
        <f t="shared" ca="1" si="10"/>
        <v>9.6252943784068043E-4</v>
      </c>
      <c r="I62" s="4">
        <f t="shared" ca="1" si="10"/>
        <v>2.1712399358590718E-3</v>
      </c>
      <c r="J62" s="4">
        <f t="shared" ca="1" si="10"/>
        <v>4.0926654556666725E-3</v>
      </c>
    </row>
    <row r="63" spans="1:10" x14ac:dyDescent="0.4">
      <c r="A63" s="8">
        <f t="shared" si="7"/>
        <v>54</v>
      </c>
      <c r="B63" s="4">
        <f t="shared" ca="1" si="10"/>
        <v>1.1102230246251565E-16</v>
      </c>
      <c r="C63" s="4">
        <f t="shared" ca="1" si="10"/>
        <v>4.6468993940265423E-10</v>
      </c>
      <c r="D63" s="4">
        <f t="shared" ca="1" si="10"/>
        <v>2.389169484720474E-7</v>
      </c>
      <c r="E63" s="4">
        <f t="shared" ca="1" si="10"/>
        <v>7.3075012031042818E-6</v>
      </c>
      <c r="F63" s="4">
        <f t="shared" ca="1" si="10"/>
        <v>6.3588428355332326E-5</v>
      </c>
      <c r="G63" s="4">
        <f t="shared" ca="1" si="10"/>
        <v>2.8291398648822209E-4</v>
      </c>
      <c r="H63" s="4">
        <f t="shared" ca="1" si="10"/>
        <v>8.4249186693335183E-4</v>
      </c>
      <c r="I63" s="4">
        <f t="shared" ca="1" si="10"/>
        <v>1.9318631596481931E-3</v>
      </c>
      <c r="J63" s="4">
        <f t="shared" ca="1" si="10"/>
        <v>3.6915564802793726E-3</v>
      </c>
    </row>
    <row r="64" spans="1:10" x14ac:dyDescent="0.4">
      <c r="A64" s="8">
        <f t="shared" si="7"/>
        <v>55</v>
      </c>
      <c r="B64" s="4">
        <f t="shared" ca="1" si="10"/>
        <v>5.5511151231257827E-17</v>
      </c>
      <c r="C64" s="4">
        <f t="shared" ca="1" si="10"/>
        <v>3.097932929351029E-10</v>
      </c>
      <c r="D64" s="4">
        <f t="shared" ca="1" si="10"/>
        <v>1.7918771143730227E-7</v>
      </c>
      <c r="E64" s="4">
        <f t="shared" ca="1" si="10"/>
        <v>5.846002359193471E-6</v>
      </c>
      <c r="F64" s="4">
        <f t="shared" ca="1" si="10"/>
        <v>5.2990744204023045E-5</v>
      </c>
      <c r="G64" s="4">
        <f t="shared" ca="1" si="10"/>
        <v>2.425131286375578E-4</v>
      </c>
      <c r="H64" s="4">
        <f t="shared" ca="1" si="10"/>
        <v>7.3738935613557532E-4</v>
      </c>
      <c r="I64" s="4">
        <f t="shared" ca="1" si="10"/>
        <v>1.7186682612405127E-3</v>
      </c>
      <c r="J64" s="4">
        <f t="shared" ca="1" si="10"/>
        <v>3.3289332187175029E-3</v>
      </c>
    </row>
    <row r="65" spans="1:10" x14ac:dyDescent="0.4">
      <c r="A65" s="8">
        <f t="shared" si="7"/>
        <v>56</v>
      </c>
      <c r="B65" s="4">
        <f t="shared" ca="1" si="10"/>
        <v>2.7755575615628914E-17</v>
      </c>
      <c r="C65" s="4">
        <f t="shared" ca="1" si="10"/>
        <v>2.0652886195673529E-10</v>
      </c>
      <c r="D65" s="4">
        <f t="shared" ca="1" si="10"/>
        <v>1.3439078361961006E-7</v>
      </c>
      <c r="E65" s="4">
        <f t="shared" ca="1" si="10"/>
        <v>4.6768027253808043E-6</v>
      </c>
      <c r="F65" s="4">
        <f t="shared" ca="1" si="10"/>
        <v>4.4159211664244937E-5</v>
      </c>
      <c r="G65" s="4">
        <f t="shared" ca="1" si="10"/>
        <v>2.0787941457940426E-4</v>
      </c>
      <c r="H65" s="4">
        <f t="shared" ca="1" si="10"/>
        <v>6.4537242601527965E-4</v>
      </c>
      <c r="I65" s="4">
        <f t="shared" ca="1" si="10"/>
        <v>1.528838325183684E-3</v>
      </c>
      <c r="J65" s="4">
        <f t="shared" ca="1" si="10"/>
        <v>3.0012702387102806E-3</v>
      </c>
    </row>
    <row r="66" spans="1:10" x14ac:dyDescent="0.4">
      <c r="A66" s="8">
        <f t="shared" si="7"/>
        <v>57</v>
      </c>
      <c r="B66" s="4">
        <f t="shared" ca="1" si="10"/>
        <v>1.3877787807814457E-17</v>
      </c>
      <c r="C66" s="4">
        <f t="shared" ca="1" si="10"/>
        <v>1.3768590797115687E-10</v>
      </c>
      <c r="D66" s="4">
        <f t="shared" ca="1" si="10"/>
        <v>1.0079308773552423E-7</v>
      </c>
      <c r="E66" s="4">
        <f t="shared" ca="1" si="10"/>
        <v>3.7414426831202598E-6</v>
      </c>
      <c r="F66" s="4">
        <f t="shared" ca="1" si="10"/>
        <v>3.67995151608299E-5</v>
      </c>
      <c r="G66" s="4">
        <f t="shared" ca="1" si="10"/>
        <v>1.7819022583146887E-4</v>
      </c>
      <c r="H66" s="4">
        <f t="shared" ca="1" si="10"/>
        <v>5.6481843354214232E-4</v>
      </c>
      <c r="I66" s="4">
        <f t="shared" ca="1" si="10"/>
        <v>1.3598489952251496E-3</v>
      </c>
      <c r="J66" s="4">
        <f t="shared" ca="1" si="10"/>
        <v>2.7053305920946391E-3</v>
      </c>
    </row>
    <row r="67" spans="1:10" x14ac:dyDescent="0.4">
      <c r="A67" s="8">
        <f t="shared" si="7"/>
        <v>58</v>
      </c>
      <c r="B67" s="4">
        <f t="shared" ca="1" si="10"/>
        <v>6.9388939039072284E-18</v>
      </c>
      <c r="C67" s="4">
        <f t="shared" ca="1" si="10"/>
        <v>9.1790605314104577E-11</v>
      </c>
      <c r="D67" s="4">
        <f t="shared" ca="1" si="10"/>
        <v>7.5594815812051519E-8</v>
      </c>
      <c r="E67" s="4">
        <f t="shared" ca="1" si="10"/>
        <v>2.9931544481855789E-6</v>
      </c>
      <c r="F67" s="4">
        <f t="shared" ca="1" si="10"/>
        <v>3.0666377372235302E-5</v>
      </c>
      <c r="G67" s="4">
        <f t="shared" ca="1" si="10"/>
        <v>1.5274010108019004E-4</v>
      </c>
      <c r="H67" s="4">
        <f t="shared" ca="1" si="10"/>
        <v>4.9430430382802946E-4</v>
      </c>
      <c r="I67" s="4">
        <f t="shared" ca="1" si="10"/>
        <v>1.2094404902180339E-3</v>
      </c>
      <c r="J67" s="4">
        <f t="shared" ca="1" si="10"/>
        <v>2.4381496078519078E-3</v>
      </c>
    </row>
    <row r="68" spans="1:10" x14ac:dyDescent="0.4">
      <c r="A68" s="8">
        <f t="shared" si="7"/>
        <v>59</v>
      </c>
      <c r="B68" s="4">
        <f t="shared" ca="1" si="10"/>
        <v>3.4694469519536142E-18</v>
      </c>
      <c r="C68" s="4">
        <f t="shared" ca="1" si="10"/>
        <v>6.119373687606971E-11</v>
      </c>
      <c r="D68" s="4">
        <f t="shared" ca="1" si="10"/>
        <v>5.669611186424281E-8</v>
      </c>
      <c r="E68" s="4">
        <f t="shared" ca="1" si="10"/>
        <v>2.3945237395620851E-6</v>
      </c>
      <c r="F68" s="4">
        <f t="shared" ca="1" si="10"/>
        <v>2.5555390969010715E-5</v>
      </c>
      <c r="G68" s="4">
        <f t="shared" ca="1" si="10"/>
        <v>1.3092410222381132E-4</v>
      </c>
      <c r="H68" s="4">
        <f t="shared" ca="1" si="10"/>
        <v>4.3258239914263787E-4</v>
      </c>
      <c r="I68" s="4">
        <f t="shared" ca="1" si="10"/>
        <v>1.075591730315242E-3</v>
      </c>
      <c r="J68" s="4">
        <f t="shared" ca="1" si="10"/>
        <v>2.197017828570489E-3</v>
      </c>
    </row>
    <row r="69" spans="1:10" x14ac:dyDescent="0.4">
      <c r="A69" s="8">
        <f t="shared" si="7"/>
        <v>60</v>
      </c>
      <c r="B69" s="4">
        <f t="shared" ca="1" si="10"/>
        <v>1.7347234759768071E-18</v>
      </c>
      <c r="C69" s="4">
        <f t="shared" ca="1" si="10"/>
        <v>4.0795824584046475E-11</v>
      </c>
      <c r="D69" s="4">
        <f t="shared" ca="1" si="10"/>
        <v>4.2522083900784194E-8</v>
      </c>
      <c r="E69" s="4">
        <f t="shared" ca="1" si="10"/>
        <v>1.9156191002578412E-6</v>
      </c>
      <c r="F69" s="4">
        <f t="shared" ca="1" si="10"/>
        <v>2.1296210135611427E-5</v>
      </c>
      <c r="G69" s="4">
        <f t="shared" ca="1" si="10"/>
        <v>1.1222352733160107E-4</v>
      </c>
      <c r="H69" s="4">
        <f t="shared" ca="1" si="10"/>
        <v>3.7855920074097359E-4</v>
      </c>
      <c r="I69" s="4">
        <f t="shared" ca="1" si="10"/>
        <v>9.5649655900834378E-4</v>
      </c>
      <c r="J69" s="4">
        <f t="shared" ca="1" si="10"/>
        <v>1.97946365617775E-3</v>
      </c>
    </row>
    <row r="70" spans="1:10" x14ac:dyDescent="0.4">
      <c r="A70" s="8">
        <f t="shared" si="7"/>
        <v>61</v>
      </c>
      <c r="B70" s="4">
        <f t="shared" ref="B70:J79" ca="1" si="11">FACT(B$8)*OFFSET(S, $A70-1, B$8-1)/B$8^$A70</f>
        <v>8.6736173798840355E-19</v>
      </c>
      <c r="C70" s="4">
        <f t="shared" ca="1" si="11"/>
        <v>2.7197216389364321E-11</v>
      </c>
      <c r="D70" s="4">
        <f t="shared" ca="1" si="11"/>
        <v>3.1891562926889187E-8</v>
      </c>
      <c r="E70" s="4">
        <f t="shared" ca="1" si="11"/>
        <v>1.5324953453711769E-6</v>
      </c>
      <c r="F70" s="4">
        <f t="shared" ca="1" si="11"/>
        <v>1.7746875776190895E-5</v>
      </c>
      <c r="G70" s="4">
        <f t="shared" ca="1" si="11"/>
        <v>9.6193643633863917E-5</v>
      </c>
      <c r="H70" s="4">
        <f t="shared" ca="1" si="11"/>
        <v>3.3127650271756092E-4</v>
      </c>
      <c r="I70" s="4">
        <f t="shared" ca="1" si="11"/>
        <v>8.5054199993576159E-4</v>
      </c>
      <c r="J70" s="4">
        <f t="shared" ca="1" si="11"/>
        <v>1.7832361247283458E-3</v>
      </c>
    </row>
    <row r="71" spans="1:10" x14ac:dyDescent="0.4">
      <c r="A71" s="8">
        <f t="shared" si="7"/>
        <v>62</v>
      </c>
      <c r="B71" s="4">
        <f t="shared" ca="1" si="11"/>
        <v>4.3368086899420177E-19</v>
      </c>
      <c r="C71" s="4">
        <f t="shared" ca="1" si="11"/>
        <v>1.8131477592909543E-11</v>
      </c>
      <c r="D71" s="4">
        <f t="shared" ca="1" si="11"/>
        <v>2.3918672195817413E-8</v>
      </c>
      <c r="E71" s="4">
        <f t="shared" ca="1" si="11"/>
        <v>1.2259963153958836E-6</v>
      </c>
      <c r="F71" s="4">
        <f t="shared" ca="1" si="11"/>
        <v>1.4789085811169844E-5</v>
      </c>
      <c r="G71" s="4">
        <f t="shared" ca="1" si="11"/>
        <v>8.245315795911949E-5</v>
      </c>
      <c r="H71" s="4">
        <f t="shared" ca="1" si="11"/>
        <v>2.8989484202404577E-4</v>
      </c>
      <c r="I71" s="4">
        <f t="shared" ca="1" si="11"/>
        <v>7.5628845643376311E-4</v>
      </c>
      <c r="J71" s="4">
        <f t="shared" ca="1" si="11"/>
        <v>1.606288101716466E-3</v>
      </c>
    </row>
    <row r="72" spans="1:10" x14ac:dyDescent="0.4">
      <c r="A72" s="8">
        <f t="shared" si="7"/>
        <v>63</v>
      </c>
      <c r="B72" s="4">
        <f t="shared" ca="1" si="11"/>
        <v>2.1684043449710089E-19</v>
      </c>
      <c r="C72" s="4">
        <f t="shared" ca="1" si="11"/>
        <v>1.2087651728606365E-11</v>
      </c>
      <c r="D72" s="4">
        <f t="shared" ca="1" si="11"/>
        <v>1.793900414718832E-8</v>
      </c>
      <c r="E72" s="4">
        <f t="shared" ca="1" si="11"/>
        <v>9.8079707577607242E-7</v>
      </c>
      <c r="F72" s="4">
        <f t="shared" ca="1" si="11"/>
        <v>1.2324253285538084E-5</v>
      </c>
      <c r="G72" s="4">
        <f t="shared" ca="1" si="11"/>
        <v>7.0675180692138291E-5</v>
      </c>
      <c r="H72" s="4">
        <f t="shared" ca="1" si="11"/>
        <v>2.5367891375209652E-4</v>
      </c>
      <c r="I72" s="4">
        <f t="shared" ca="1" si="11"/>
        <v>6.7245174253132496E-4</v>
      </c>
      <c r="J72" s="4">
        <f t="shared" ca="1" si="11"/>
        <v>1.4467601286430128E-3</v>
      </c>
    </row>
    <row r="73" spans="1:10" x14ac:dyDescent="0.4">
      <c r="A73" s="8">
        <f t="shared" si="7"/>
        <v>64</v>
      </c>
      <c r="B73" s="4">
        <f t="shared" ca="1" si="11"/>
        <v>1.0842021724855044E-19</v>
      </c>
      <c r="C73" s="4">
        <f t="shared" ca="1" si="11"/>
        <v>8.058434485737576E-12</v>
      </c>
      <c r="D73" s="4">
        <f t="shared" ca="1" si="11"/>
        <v>1.3454253110553871E-8</v>
      </c>
      <c r="E73" s="4">
        <f t="shared" ca="1" si="11"/>
        <v>7.8463767469647713E-7</v>
      </c>
      <c r="F73" s="4">
        <f t="shared" ca="1" si="11"/>
        <v>1.0270221144324121E-5</v>
      </c>
      <c r="G73" s="4">
        <f t="shared" ca="1" si="11"/>
        <v>6.0579472950324849E-5</v>
      </c>
      <c r="H73" s="4">
        <f t="shared" ca="1" si="11"/>
        <v>2.219847450010156E-4</v>
      </c>
      <c r="I73" s="4">
        <f t="shared" ca="1" si="11"/>
        <v>5.9788682341618241E-4</v>
      </c>
      <c r="J73" s="4">
        <f t="shared" ca="1" si="11"/>
        <v>1.3029650413524968E-3</v>
      </c>
    </row>
    <row r="74" spans="1:10" x14ac:dyDescent="0.4">
      <c r="A74" s="8">
        <f t="shared" si="7"/>
        <v>65</v>
      </c>
      <c r="B74" s="4">
        <f t="shared" ca="1" si="11"/>
        <v>5.4210108624275222E-20</v>
      </c>
      <c r="C74" s="4">
        <f t="shared" ca="1" si="11"/>
        <v>5.372289657158384E-12</v>
      </c>
      <c r="D74" s="4">
        <f t="shared" ca="1" si="11"/>
        <v>1.0090689832996719E-8</v>
      </c>
      <c r="E74" s="4">
        <f t="shared" ca="1" si="11"/>
        <v>6.2771014820255311E-7</v>
      </c>
      <c r="F74" s="4">
        <f t="shared" ca="1" si="11"/>
        <v>8.5585243356318114E-6</v>
      </c>
      <c r="G74" s="4">
        <f t="shared" ca="1" si="11"/>
        <v>5.1925795845642766E-5</v>
      </c>
      <c r="H74" s="4">
        <f t="shared" ca="1" si="11"/>
        <v>1.9424842362192392E-4</v>
      </c>
      <c r="I74" s="4">
        <f t="shared" ca="1" si="11"/>
        <v>5.3157313896652928E-4</v>
      </c>
      <c r="J74" s="4">
        <f t="shared" ca="1" si="11"/>
        <v>1.1733734568177146E-3</v>
      </c>
    </row>
    <row r="75" spans="1:10" x14ac:dyDescent="0.4">
      <c r="A75" s="8">
        <f t="shared" si="7"/>
        <v>66</v>
      </c>
      <c r="B75" s="4">
        <f t="shared" ca="1" si="11"/>
        <v>2.7105054312137611E-20</v>
      </c>
      <c r="C75" s="4">
        <f t="shared" ca="1" si="11"/>
        <v>3.5815264381055895E-12</v>
      </c>
      <c r="D75" s="4">
        <f t="shared" ca="1" si="11"/>
        <v>7.5680173747881976E-9</v>
      </c>
      <c r="E75" s="4">
        <f t="shared" ca="1" si="11"/>
        <v>5.0216812362926556E-7</v>
      </c>
      <c r="F75" s="4">
        <f t="shared" ca="1" si="11"/>
        <v>7.1321080899343763E-6</v>
      </c>
      <c r="G75" s="4">
        <f t="shared" ca="1" si="11"/>
        <v>4.4508205951416201E-5</v>
      </c>
      <c r="H75" s="4">
        <f t="shared" ca="1" si="11"/>
        <v>1.6997619956938929E-4</v>
      </c>
      <c r="I75" s="4">
        <f t="shared" ca="1" si="11"/>
        <v>4.7260138395579957E-4</v>
      </c>
      <c r="J75" s="4">
        <f t="shared" ca="1" si="11"/>
        <v>1.0566001722241915E-3</v>
      </c>
    </row>
    <row r="76" spans="1:10" x14ac:dyDescent="0.4">
      <c r="A76" s="8">
        <f t="shared" si="7"/>
        <v>67</v>
      </c>
      <c r="B76" s="4">
        <f t="shared" ca="1" si="11"/>
        <v>1.3552527156068805E-20</v>
      </c>
      <c r="C76" s="4">
        <f t="shared" ca="1" si="11"/>
        <v>2.3876842920703928E-12</v>
      </c>
      <c r="D76" s="4">
        <f t="shared" ca="1" si="11"/>
        <v>5.676013031111477E-9</v>
      </c>
      <c r="E76" s="4">
        <f t="shared" ca="1" si="11"/>
        <v>4.0173450194374617E-7</v>
      </c>
      <c r="F76" s="4">
        <f t="shared" ca="1" si="11"/>
        <v>5.9434263928839218E-6</v>
      </c>
      <c r="G76" s="4">
        <f t="shared" ca="1" si="11"/>
        <v>3.815016291628845E-5</v>
      </c>
      <c r="H76" s="4">
        <f t="shared" ca="1" si="11"/>
        <v>1.4873579635504472E-4</v>
      </c>
      <c r="I76" s="4">
        <f t="shared" ca="1" si="11"/>
        <v>4.2016162163876629E-4</v>
      </c>
      <c r="J76" s="4">
        <f t="shared" ca="1" si="11"/>
        <v>9.5139149166320375E-4</v>
      </c>
    </row>
    <row r="77" spans="1:10" x14ac:dyDescent="0.4">
      <c r="A77" s="8">
        <f t="shared" si="7"/>
        <v>68</v>
      </c>
      <c r="B77" s="4">
        <f t="shared" ca="1" si="11"/>
        <v>6.7762635780344027E-21</v>
      </c>
      <c r="C77" s="4">
        <f t="shared" ca="1" si="11"/>
        <v>1.5917895280469284E-12</v>
      </c>
      <c r="D77" s="4">
        <f t="shared" ca="1" si="11"/>
        <v>4.2570097733437717E-9</v>
      </c>
      <c r="E77" s="4">
        <f t="shared" ca="1" si="11"/>
        <v>3.213876033791971E-7</v>
      </c>
      <c r="F77" s="4">
        <f t="shared" ca="1" si="11"/>
        <v>4.952857317140132E-6</v>
      </c>
      <c r="G77" s="4">
        <f t="shared" ca="1" si="11"/>
        <v>3.2700334000336871E-5</v>
      </c>
      <c r="H77" s="4">
        <f t="shared" ca="1" si="11"/>
        <v>1.3014878814495765E-4</v>
      </c>
      <c r="I77" s="4">
        <f t="shared" ca="1" si="11"/>
        <v>3.7353261259587126E-4</v>
      </c>
      <c r="J77" s="4">
        <f t="shared" ca="1" si="11"/>
        <v>8.5661347328280324E-4</v>
      </c>
    </row>
    <row r="78" spans="1:10" x14ac:dyDescent="0.4">
      <c r="A78" s="8">
        <f t="shared" si="7"/>
        <v>69</v>
      </c>
      <c r="B78" s="4">
        <f t="shared" ca="1" si="11"/>
        <v>3.3881317890172014E-21</v>
      </c>
      <c r="C78" s="4">
        <f t="shared" ca="1" si="11"/>
        <v>1.0611930186979524E-12</v>
      </c>
      <c r="D78" s="4">
        <f t="shared" ca="1" si="11"/>
        <v>3.192757330012911E-9</v>
      </c>
      <c r="E78" s="4">
        <f t="shared" ca="1" si="11"/>
        <v>2.5711008379787792E-7</v>
      </c>
      <c r="F78" s="4">
        <f t="shared" ca="1" si="11"/>
        <v>4.1273824241080283E-6</v>
      </c>
      <c r="G78" s="4">
        <f t="shared" ca="1" si="11"/>
        <v>2.8028996541633027E-5</v>
      </c>
      <c r="H78" s="4">
        <f t="shared" ca="1" si="11"/>
        <v>1.1388391439969663E-4</v>
      </c>
      <c r="I78" s="4">
        <f t="shared" ca="1" si="11"/>
        <v>3.3207224718984269E-4</v>
      </c>
      <c r="J78" s="4">
        <f t="shared" ca="1" si="11"/>
        <v>7.7124107360491642E-4</v>
      </c>
    </row>
    <row r="79" spans="1:10" x14ac:dyDescent="0.4">
      <c r="A79" s="8">
        <f t="shared" si="7"/>
        <v>70</v>
      </c>
      <c r="B79" s="4">
        <f t="shared" ca="1" si="11"/>
        <v>1.6940658945086007E-21</v>
      </c>
      <c r="C79" s="4">
        <f t="shared" ca="1" si="11"/>
        <v>7.0746201246530158E-13</v>
      </c>
      <c r="D79" s="4">
        <f t="shared" ca="1" si="11"/>
        <v>2.3945679975122242E-9</v>
      </c>
      <c r="E79" s="4">
        <f t="shared" ca="1" si="11"/>
        <v>2.056880676950144E-7</v>
      </c>
      <c r="F79" s="4">
        <f t="shared" ca="1" si="11"/>
        <v>3.439486237750861E-6</v>
      </c>
      <c r="G79" s="4">
        <f t="shared" ca="1" si="11"/>
        <v>2.4024953340759158E-5</v>
      </c>
      <c r="H79" s="4">
        <f t="shared" ca="1" si="11"/>
        <v>9.9651218693215201E-5</v>
      </c>
      <c r="I79" s="4">
        <f t="shared" ca="1" si="11"/>
        <v>2.9520897721478444E-4</v>
      </c>
      <c r="J79" s="4">
        <f t="shared" ca="1" si="11"/>
        <v>6.9434815448104928E-4</v>
      </c>
    </row>
    <row r="80" spans="1:10" x14ac:dyDescent="0.4">
      <c r="A80" s="8">
        <f t="shared" si="7"/>
        <v>71</v>
      </c>
      <c r="B80" s="4">
        <f t="shared" ref="B80:J89" ca="1" si="12">FACT(B$8)*OFFSET(S, $A80-1, B$8-1)/B$8^$A80</f>
        <v>8.4703294725430034E-22</v>
      </c>
      <c r="C80" s="4">
        <f t="shared" ca="1" si="12"/>
        <v>4.7164134164353435E-13</v>
      </c>
      <c r="D80" s="4">
        <f t="shared" ca="1" si="12"/>
        <v>1.7959259981354387E-9</v>
      </c>
      <c r="E80" s="4">
        <f t="shared" ca="1" si="12"/>
        <v>1.645504545500388E-7</v>
      </c>
      <c r="F80" s="4">
        <f t="shared" ca="1" si="12"/>
        <v>2.8662391210107223E-6</v>
      </c>
      <c r="G80" s="4">
        <f t="shared" ca="1" si="12"/>
        <v>2.059288797939503E-5</v>
      </c>
      <c r="H80" s="4">
        <f t="shared" ca="1" si="12"/>
        <v>8.7196911560321675E-5</v>
      </c>
      <c r="I80" s="4">
        <f t="shared" ca="1" si="12"/>
        <v>2.6243414988629687E-4</v>
      </c>
      <c r="J80" s="4">
        <f t="shared" ca="1" si="12"/>
        <v>6.250983107043502E-4</v>
      </c>
    </row>
    <row r="81" spans="1:10" x14ac:dyDescent="0.4">
      <c r="A81" s="8">
        <f t="shared" si="7"/>
        <v>72</v>
      </c>
      <c r="B81" s="4">
        <f t="shared" ca="1" si="12"/>
        <v>4.2351647362715017E-22</v>
      </c>
      <c r="C81" s="4">
        <f t="shared" ca="1" si="12"/>
        <v>3.1442756109568962E-13</v>
      </c>
      <c r="D81" s="4">
        <f t="shared" ca="1" si="12"/>
        <v>1.3469444986022144E-9</v>
      </c>
      <c r="E81" s="4">
        <f t="shared" ca="1" si="12"/>
        <v>1.3164036387644741E-7</v>
      </c>
      <c r="F81" s="4">
        <f t="shared" ca="1" si="12"/>
        <v>2.3885329938767174E-6</v>
      </c>
      <c r="G81" s="4">
        <f t="shared" ca="1" si="12"/>
        <v>1.7651097432472502E-5</v>
      </c>
      <c r="H81" s="4">
        <f t="shared" ca="1" si="12"/>
        <v>7.6298869023505168E-5</v>
      </c>
      <c r="I81" s="4">
        <f t="shared" ca="1" si="12"/>
        <v>2.3329515494122474E-4</v>
      </c>
      <c r="J81" s="4">
        <f t="shared" ca="1" si="12"/>
        <v>5.6273647172892804E-4</v>
      </c>
    </row>
    <row r="82" spans="1:10" x14ac:dyDescent="0.4">
      <c r="A82" s="8">
        <f t="shared" si="7"/>
        <v>73</v>
      </c>
      <c r="B82" s="4">
        <f t="shared" ca="1" si="12"/>
        <v>2.1175823681357508E-22</v>
      </c>
      <c r="C82" s="4">
        <f t="shared" ca="1" si="12"/>
        <v>2.0961837406379305E-13</v>
      </c>
      <c r="D82" s="4">
        <f t="shared" ca="1" si="12"/>
        <v>1.0102083739519784E-9</v>
      </c>
      <c r="E82" s="4">
        <f t="shared" ca="1" si="12"/>
        <v>1.0531229124300772E-7</v>
      </c>
      <c r="F82" s="4">
        <f t="shared" ca="1" si="12"/>
        <v>1.9904444235868972E-6</v>
      </c>
      <c r="G82" s="4">
        <f t="shared" ca="1" si="12"/>
        <v>1.5129548222833126E-5</v>
      </c>
      <c r="H82" s="4">
        <f t="shared" ca="1" si="12"/>
        <v>6.6762688955112885E-5</v>
      </c>
      <c r="I82" s="4">
        <f t="shared" ca="1" si="12"/>
        <v>2.0738930308449597E-4</v>
      </c>
      <c r="J82" s="4">
        <f t="shared" ca="1" si="12"/>
        <v>5.0658122856281546E-4</v>
      </c>
    </row>
    <row r="83" spans="1:10" x14ac:dyDescent="0.4">
      <c r="A83" s="8">
        <f t="shared" si="7"/>
        <v>74</v>
      </c>
      <c r="B83" s="4">
        <f t="shared" ca="1" si="12"/>
        <v>1.0587911840678754E-22</v>
      </c>
      <c r="C83" s="4">
        <f t="shared" ca="1" si="12"/>
        <v>1.3974558270919538E-13</v>
      </c>
      <c r="D83" s="4">
        <f t="shared" ca="1" si="12"/>
        <v>7.5765628046414264E-10</v>
      </c>
      <c r="E83" s="4">
        <f t="shared" ca="1" si="12"/>
        <v>8.4249833079516071E-8</v>
      </c>
      <c r="F83" s="4">
        <f t="shared" ca="1" si="12"/>
        <v>1.6587038610043919E-6</v>
      </c>
      <c r="G83" s="4">
        <f t="shared" ca="1" si="12"/>
        <v>1.2968210003758E-5</v>
      </c>
      <c r="H83" s="4">
        <f t="shared" ca="1" si="12"/>
        <v>5.8418236757494471E-5</v>
      </c>
      <c r="I83" s="4">
        <f t="shared" ca="1" si="12"/>
        <v>1.8435836120130942E-4</v>
      </c>
      <c r="J83" s="4">
        <f t="shared" ca="1" si="12"/>
        <v>4.5601783614364593E-4</v>
      </c>
    </row>
    <row r="84" spans="1:10" x14ac:dyDescent="0.4">
      <c r="A84" s="8">
        <f t="shared" si="7"/>
        <v>75</v>
      </c>
      <c r="B84" s="4">
        <f t="shared" ca="1" si="12"/>
        <v>5.2939559203393771E-23</v>
      </c>
      <c r="C84" s="4">
        <f t="shared" ca="1" si="12"/>
        <v>9.3163721806130254E-14</v>
      </c>
      <c r="D84" s="4">
        <f t="shared" ca="1" si="12"/>
        <v>5.6824221034818639E-10</v>
      </c>
      <c r="E84" s="4">
        <f t="shared" ca="1" si="12"/>
        <v>6.739986651467879E-8</v>
      </c>
      <c r="F84" s="4">
        <f t="shared" ca="1" si="12"/>
        <v>1.3822533339583118E-6</v>
      </c>
      <c r="G84" s="4">
        <f t="shared" ca="1" si="12"/>
        <v>1.1115627012336074E-5</v>
      </c>
      <c r="H84" s="4">
        <f t="shared" ca="1" si="12"/>
        <v>5.1116620105455249E-5</v>
      </c>
      <c r="I84" s="4">
        <f t="shared" ca="1" si="12"/>
        <v>1.6388367655782084E-4</v>
      </c>
      <c r="J84" s="4">
        <f t="shared" ca="1" si="12"/>
        <v>4.1049184194124185E-4</v>
      </c>
    </row>
    <row r="85" spans="1:10" x14ac:dyDescent="0.4">
      <c r="A85" s="8">
        <f t="shared" si="7"/>
        <v>76</v>
      </c>
      <c r="B85" s="4">
        <f t="shared" ca="1" si="12"/>
        <v>2.6469779601696886E-23</v>
      </c>
      <c r="C85" s="4">
        <f t="shared" ca="1" si="12"/>
        <v>6.2109147870753498E-14</v>
      </c>
      <c r="D85" s="4">
        <f t="shared" ca="1" si="12"/>
        <v>4.261816577611795E-10</v>
      </c>
      <c r="E85" s="4">
        <f t="shared" ca="1" si="12"/>
        <v>5.3919893242382585E-8</v>
      </c>
      <c r="F85" s="4">
        <f t="shared" ca="1" si="12"/>
        <v>1.1518778559350278E-6</v>
      </c>
      <c r="G85" s="4">
        <f t="shared" ca="1" si="12"/>
        <v>9.5276934660651403E-6</v>
      </c>
      <c r="H85" s="4">
        <f t="shared" ca="1" si="12"/>
        <v>4.4727539800083763E-5</v>
      </c>
      <c r="I85" s="4">
        <f t="shared" ca="1" si="12"/>
        <v>1.4568182859084146E-4</v>
      </c>
      <c r="J85" s="4">
        <f t="shared" ca="1" si="12"/>
        <v>3.6950329282032927E-4</v>
      </c>
    </row>
    <row r="86" spans="1:10" x14ac:dyDescent="0.4">
      <c r="A86" s="8">
        <f t="shared" si="7"/>
        <v>77</v>
      </c>
      <c r="B86" s="4">
        <f t="shared" ca="1" si="12"/>
        <v>1.3234889800848443E-23</v>
      </c>
      <c r="C86" s="4">
        <f t="shared" ca="1" si="12"/>
        <v>4.140609858050233E-14</v>
      </c>
      <c r="D86" s="4">
        <f t="shared" ca="1" si="12"/>
        <v>3.1963624332090449E-10</v>
      </c>
      <c r="E86" s="4">
        <f t="shared" ca="1" si="12"/>
        <v>4.3135914612289812E-8</v>
      </c>
      <c r="F86" s="4">
        <f t="shared" ca="1" si="12"/>
        <v>9.5989826503681297E-7</v>
      </c>
      <c r="G86" s="4">
        <f t="shared" ca="1" si="12"/>
        <v>8.1666038064686687E-6</v>
      </c>
      <c r="H86" s="4">
        <f t="shared" ca="1" si="12"/>
        <v>3.9136970231446562E-5</v>
      </c>
      <c r="I86" s="4">
        <f t="shared" ca="1" si="12"/>
        <v>1.2950075281163898E-4</v>
      </c>
      <c r="J86" s="4">
        <f t="shared" ca="1" si="12"/>
        <v>3.3260147407744806E-4</v>
      </c>
    </row>
    <row r="87" spans="1:10" x14ac:dyDescent="0.4">
      <c r="A87" s="8">
        <f t="shared" si="7"/>
        <v>78</v>
      </c>
      <c r="B87" s="4">
        <f t="shared" ca="1" si="12"/>
        <v>6.6174449004242214E-24</v>
      </c>
      <c r="C87" s="4">
        <f t="shared" ca="1" si="12"/>
        <v>2.7604065720334891E-14</v>
      </c>
      <c r="D87" s="4">
        <f t="shared" ca="1" si="12"/>
        <v>2.3972718249068829E-10</v>
      </c>
      <c r="E87" s="4">
        <f t="shared" ca="1" si="12"/>
        <v>3.4508731700862091E-8</v>
      </c>
      <c r="F87" s="4">
        <f t="shared" ca="1" si="12"/>
        <v>7.9991525536909304E-7</v>
      </c>
      <c r="G87" s="4">
        <f t="shared" ca="1" si="12"/>
        <v>6.9999528391051215E-6</v>
      </c>
      <c r="H87" s="4">
        <f t="shared" ca="1" si="12"/>
        <v>3.4245128632617851E-5</v>
      </c>
      <c r="I87" s="4">
        <f t="shared" ca="1" si="12"/>
        <v>1.151162868143485E-4</v>
      </c>
      <c r="J87" s="4">
        <f t="shared" ca="1" si="12"/>
        <v>2.993801368374516E-4</v>
      </c>
    </row>
    <row r="88" spans="1:10" x14ac:dyDescent="0.4">
      <c r="A88" s="8">
        <f t="shared" si="7"/>
        <v>79</v>
      </c>
      <c r="B88" s="4">
        <f t="shared" ca="1" si="12"/>
        <v>3.3087224502121107E-24</v>
      </c>
      <c r="C88" s="4">
        <f t="shared" ca="1" si="12"/>
        <v>1.8402710480223261E-14</v>
      </c>
      <c r="D88" s="4">
        <f t="shared" ca="1" si="12"/>
        <v>1.7979538686802118E-10</v>
      </c>
      <c r="E88" s="4">
        <f t="shared" ca="1" si="12"/>
        <v>2.7606985367307819E-8</v>
      </c>
      <c r="F88" s="4">
        <f t="shared" ca="1" si="12"/>
        <v>6.6659606914429887E-7</v>
      </c>
      <c r="G88" s="4">
        <f t="shared" ca="1" si="12"/>
        <v>5.9999643758580497E-6</v>
      </c>
      <c r="H88" s="4">
        <f t="shared" ca="1" si="12"/>
        <v>2.9964697313818551E-5</v>
      </c>
      <c r="I88" s="4">
        <f t="shared" ca="1" si="12"/>
        <v>1.0232909339264185E-4</v>
      </c>
      <c r="J88" s="4">
        <f t="shared" ca="1" si="12"/>
        <v>2.6947317250341563E-4</v>
      </c>
    </row>
    <row r="89" spans="1:10" x14ac:dyDescent="0.4">
      <c r="A89" s="8">
        <f t="shared" si="7"/>
        <v>80</v>
      </c>
      <c r="B89" s="4">
        <f t="shared" ca="1" si="12"/>
        <v>1.6543612251060553E-24</v>
      </c>
      <c r="C89" s="4">
        <f t="shared" ca="1" si="12"/>
        <v>1.2268473653482172E-14</v>
      </c>
      <c r="D89" s="4">
        <f t="shared" ca="1" si="12"/>
        <v>1.3484654015101836E-10</v>
      </c>
      <c r="E89" s="4">
        <f t="shared" ca="1" si="12"/>
        <v>2.2085588297817143E-8</v>
      </c>
      <c r="F89" s="4">
        <f t="shared" ca="1" si="12"/>
        <v>5.5549673962250775E-7</v>
      </c>
      <c r="G89" s="4">
        <f t="shared" ca="1" si="12"/>
        <v>5.1428300360800415E-6</v>
      </c>
      <c r="H89" s="4">
        <f t="shared" ca="1" si="12"/>
        <v>2.6219267469925522E-5</v>
      </c>
      <c r="I89" s="4">
        <f t="shared" ca="1" si="12"/>
        <v>9.0961920345048841E-5</v>
      </c>
      <c r="J89" s="4">
        <f t="shared" ca="1" si="12"/>
        <v>2.4255069558370575E-4</v>
      </c>
    </row>
    <row r="90" spans="1:10" x14ac:dyDescent="0.4">
      <c r="A90" s="8">
        <f t="shared" si="7"/>
        <v>81</v>
      </c>
      <c r="B90" s="4">
        <f t="shared" ref="B90:J99" ca="1" si="13">FACT(B$8)*OFFSET(S, $A90-1, B$8-1)/B$8^$A90</f>
        <v>8.2718061255302767E-25</v>
      </c>
      <c r="C90" s="4">
        <f t="shared" ca="1" si="13"/>
        <v>8.178982435654782E-15</v>
      </c>
      <c r="D90" s="4">
        <f t="shared" ca="1" si="13"/>
        <v>1.0113490511326501E-10</v>
      </c>
      <c r="E90" s="4">
        <f t="shared" ca="1" si="13"/>
        <v>1.7668470640636244E-8</v>
      </c>
      <c r="F90" s="4">
        <f t="shared" ca="1" si="13"/>
        <v>4.6291395990915124E-7</v>
      </c>
      <c r="G90" s="4">
        <f t="shared" ca="1" si="13"/>
        <v>4.4081424796413257E-6</v>
      </c>
      <c r="H90" s="4">
        <f t="shared" ca="1" si="13"/>
        <v>2.2941977026514203E-5</v>
      </c>
      <c r="I90" s="4">
        <f t="shared" ca="1" si="13"/>
        <v>8.0857160711409853E-5</v>
      </c>
      <c r="J90" s="4">
        <f t="shared" ca="1" si="13"/>
        <v>2.1831549888544967E-4</v>
      </c>
    </row>
    <row r="91" spans="1:10" x14ac:dyDescent="0.4">
      <c r="A91" s="8">
        <f t="shared" si="7"/>
        <v>82</v>
      </c>
      <c r="B91" s="4">
        <f t="shared" ca="1" si="13"/>
        <v>4.1359030627651384E-25</v>
      </c>
      <c r="C91" s="4">
        <f t="shared" ca="1" si="13"/>
        <v>5.4526549571031874E-15</v>
      </c>
      <c r="D91" s="4">
        <f t="shared" ca="1" si="13"/>
        <v>7.5851178834949386E-11</v>
      </c>
      <c r="E91" s="4">
        <f t="shared" ca="1" si="13"/>
        <v>1.4134776513938515E-8</v>
      </c>
      <c r="F91" s="4">
        <f t="shared" ca="1" si="13"/>
        <v>3.8576164007344469E-7</v>
      </c>
      <c r="G91" s="4">
        <f t="shared" ca="1" si="13"/>
        <v>3.7784095887751581E-6</v>
      </c>
      <c r="H91" s="4">
        <f t="shared" ca="1" si="13"/>
        <v>2.0074318390996119E-5</v>
      </c>
      <c r="I91" s="4">
        <f t="shared" ca="1" si="13"/>
        <v>7.1874680955612668E-5</v>
      </c>
      <c r="J91" s="4">
        <f t="shared" ca="1" si="13"/>
        <v>1.9649984770192522E-4</v>
      </c>
    </row>
    <row r="92" spans="1:10" x14ac:dyDescent="0.4">
      <c r="A92" s="8">
        <f t="shared" si="7"/>
        <v>83</v>
      </c>
      <c r="B92" s="4">
        <f t="shared" ca="1" si="13"/>
        <v>2.0679515313825692E-25</v>
      </c>
      <c r="C92" s="4">
        <f t="shared" ca="1" si="13"/>
        <v>3.6351033047354591E-15</v>
      </c>
      <c r="D92" s="4">
        <f t="shared" ca="1" si="13"/>
        <v>5.688838412621235E-11</v>
      </c>
      <c r="E92" s="4">
        <f t="shared" ca="1" si="13"/>
        <v>1.1307821212008524E-8</v>
      </c>
      <c r="F92" s="4">
        <f t="shared" ca="1" si="13"/>
        <v>3.2146803793841637E-7</v>
      </c>
      <c r="G92" s="4">
        <f t="shared" ca="1" si="13"/>
        <v>3.2386380397234388E-6</v>
      </c>
      <c r="H92" s="4">
        <f t="shared" ca="1" si="13"/>
        <v>1.7565094961749465E-5</v>
      </c>
      <c r="I92" s="4">
        <f t="shared" ca="1" si="13"/>
        <v>6.3889888020083721E-5</v>
      </c>
      <c r="J92" s="4">
        <f t="shared" ca="1" si="13"/>
        <v>1.7686258218760082E-4</v>
      </c>
    </row>
    <row r="93" spans="1:10" x14ac:dyDescent="0.4">
      <c r="A93" s="8">
        <f t="shared" si="7"/>
        <v>84</v>
      </c>
      <c r="B93" s="4">
        <f t="shared" ca="1" si="13"/>
        <v>1.0339757656912846E-25</v>
      </c>
      <c r="C93" s="4">
        <f t="shared" ca="1" si="13"/>
        <v>2.4234022031569723E-15</v>
      </c>
      <c r="D93" s="4">
        <f t="shared" ca="1" si="13"/>
        <v>4.2666288094659417E-11</v>
      </c>
      <c r="E93" s="4">
        <f t="shared" ca="1" si="13"/>
        <v>9.0462569701214434E-9</v>
      </c>
      <c r="F93" s="4">
        <f t="shared" ca="1" si="13"/>
        <v>2.6789003464459966E-7</v>
      </c>
      <c r="G93" s="4">
        <f t="shared" ca="1" si="13"/>
        <v>2.7759763550091972E-6</v>
      </c>
      <c r="H93" s="4">
        <f t="shared" ca="1" si="13"/>
        <v>1.5369507868770881E-5</v>
      </c>
      <c r="I93" s="4">
        <f t="shared" ca="1" si="13"/>
        <v>5.6792009253115311E-5</v>
      </c>
      <c r="J93" s="4">
        <f t="shared" ca="1" si="13"/>
        <v>1.5918649957783241E-4</v>
      </c>
    </row>
    <row r="94" spans="1:10" x14ac:dyDescent="0.4">
      <c r="A94" s="8">
        <f t="shared" si="7"/>
        <v>85</v>
      </c>
      <c r="B94" s="4">
        <f t="shared" ca="1" si="13"/>
        <v>5.169878828456423E-26</v>
      </c>
      <c r="C94" s="4">
        <f t="shared" ca="1" si="13"/>
        <v>1.6156014687713148E-15</v>
      </c>
      <c r="D94" s="4">
        <f t="shared" ca="1" si="13"/>
        <v>3.1999716070994641E-11</v>
      </c>
      <c r="E94" s="4">
        <f t="shared" ca="1" si="13"/>
        <v>7.2370055764059327E-9</v>
      </c>
      <c r="F94" s="4">
        <f t="shared" ca="1" si="13"/>
        <v>2.2324169755666825E-7</v>
      </c>
      <c r="G94" s="4">
        <f t="shared" ca="1" si="13"/>
        <v>2.3794089417143954E-6</v>
      </c>
      <c r="H94" s="4">
        <f t="shared" ca="1" si="13"/>
        <v>1.3448356718116597E-5</v>
      </c>
      <c r="I94" s="4">
        <f t="shared" ca="1" si="13"/>
        <v>5.0482561978388191E-5</v>
      </c>
      <c r="J94" s="4">
        <f t="shared" ca="1" si="13"/>
        <v>1.4327599025025102E-4</v>
      </c>
    </row>
    <row r="95" spans="1:10" x14ac:dyDescent="0.4">
      <c r="A95" s="8">
        <f t="shared" si="7"/>
        <v>86</v>
      </c>
      <c r="B95" s="4">
        <f t="shared" ca="1" si="13"/>
        <v>2.5849394142282115E-26</v>
      </c>
      <c r="C95" s="4">
        <f t="shared" ca="1" si="13"/>
        <v>1.0770676458475433E-15</v>
      </c>
      <c r="D95" s="4">
        <f t="shared" ca="1" si="13"/>
        <v>2.3999787053246018E-11</v>
      </c>
      <c r="E95" s="4">
        <f t="shared" ca="1" si="13"/>
        <v>5.7896044613100121E-9</v>
      </c>
      <c r="F95" s="4">
        <f t="shared" ca="1" si="13"/>
        <v>1.8603474931022481E-7</v>
      </c>
      <c r="G95" s="4">
        <f t="shared" ca="1" si="13"/>
        <v>2.0394938339129123E-6</v>
      </c>
      <c r="H95" s="4">
        <f t="shared" ca="1" si="13"/>
        <v>1.176734012806608E-5</v>
      </c>
      <c r="I95" s="4">
        <f t="shared" ca="1" si="13"/>
        <v>4.4873991963501969E-5</v>
      </c>
      <c r="J95" s="4">
        <f t="shared" ca="1" si="13"/>
        <v>1.2895490382949367E-4</v>
      </c>
    </row>
    <row r="96" spans="1:10" x14ac:dyDescent="0.4">
      <c r="A96" s="8">
        <f t="shared" si="7"/>
        <v>87</v>
      </c>
      <c r="B96" s="4">
        <f t="shared" ca="1" si="13"/>
        <v>1.2924697071141057E-26</v>
      </c>
      <c r="C96" s="4">
        <f t="shared" ca="1" si="13"/>
        <v>7.1804509723169549E-16</v>
      </c>
      <c r="D96" s="4">
        <f t="shared" ca="1" si="13"/>
        <v>1.7999840289934534E-11</v>
      </c>
      <c r="E96" s="4">
        <f t="shared" ca="1" si="13"/>
        <v>4.6316835691591687E-9</v>
      </c>
      <c r="F96" s="4">
        <f t="shared" ca="1" si="13"/>
        <v>1.5502895865607706E-7</v>
      </c>
      <c r="G96" s="4">
        <f t="shared" ca="1" si="13"/>
        <v>1.7481378971400518E-6</v>
      </c>
      <c r="H96" s="4">
        <f t="shared" ca="1" si="13"/>
        <v>1.0296443611848052E-5</v>
      </c>
      <c r="I96" s="4">
        <f t="shared" ca="1" si="13"/>
        <v>3.9888462276216054E-5</v>
      </c>
      <c r="J96" s="4">
        <f t="shared" ca="1" si="13"/>
        <v>1.1606462360003314E-4</v>
      </c>
    </row>
    <row r="97" spans="1:10" x14ac:dyDescent="0.4">
      <c r="A97" s="8">
        <f t="shared" si="7"/>
        <v>88</v>
      </c>
      <c r="B97" s="4">
        <f t="shared" ca="1" si="13"/>
        <v>6.4623485355705287E-27</v>
      </c>
      <c r="C97" s="4">
        <f t="shared" ca="1" si="13"/>
        <v>4.7869673148779696E-16</v>
      </c>
      <c r="D97" s="4">
        <f t="shared" ca="1" si="13"/>
        <v>1.349988021745091E-11</v>
      </c>
      <c r="E97" s="4">
        <f t="shared" ca="1" si="13"/>
        <v>3.7053468553940308E-9</v>
      </c>
      <c r="F97" s="4">
        <f t="shared" ca="1" si="13"/>
        <v>1.2919079947843509E-7</v>
      </c>
      <c r="G97" s="4">
        <f t="shared" ca="1" si="13"/>
        <v>1.498404144130544E-6</v>
      </c>
      <c r="H97" s="4">
        <f t="shared" ca="1" si="13"/>
        <v>9.009403910212649E-6</v>
      </c>
      <c r="I97" s="4">
        <f t="shared" ca="1" si="13"/>
        <v>3.5456776017202131E-5</v>
      </c>
      <c r="J97" s="4">
        <f t="shared" ca="1" si="13"/>
        <v>1.0446232941187323E-4</v>
      </c>
    </row>
    <row r="98" spans="1:10" x14ac:dyDescent="0.4">
      <c r="A98" s="8">
        <f t="shared" si="7"/>
        <v>89</v>
      </c>
      <c r="B98" s="4">
        <f t="shared" ca="1" si="13"/>
        <v>3.2311742677852644E-27</v>
      </c>
      <c r="C98" s="4">
        <f t="shared" ca="1" si="13"/>
        <v>3.1913115432519799E-16</v>
      </c>
      <c r="D98" s="4">
        <f t="shared" ca="1" si="13"/>
        <v>1.0124910163088187E-11</v>
      </c>
      <c r="E98" s="4">
        <f t="shared" ca="1" si="13"/>
        <v>2.9642774843552415E-9</v>
      </c>
      <c r="F98" s="4">
        <f t="shared" ca="1" si="13"/>
        <v>1.0765899996427653E-7</v>
      </c>
      <c r="G98" s="4">
        <f t="shared" ca="1" si="13"/>
        <v>1.2843465751806198E-6</v>
      </c>
      <c r="H98" s="4">
        <f t="shared" ca="1" si="13"/>
        <v>7.8832402338221004E-6</v>
      </c>
      <c r="I98" s="4">
        <f t="shared" ca="1" si="13"/>
        <v>3.1517418208572831E-5</v>
      </c>
      <c r="J98" s="4">
        <f t="shared" ca="1" si="13"/>
        <v>9.4019431042497304E-5</v>
      </c>
    </row>
    <row r="99" spans="1:10" x14ac:dyDescent="0.4">
      <c r="A99" s="8">
        <f t="shared" si="7"/>
        <v>90</v>
      </c>
      <c r="B99" s="4">
        <f t="shared" ca="1" si="13"/>
        <v>1.6155871338926322E-27</v>
      </c>
      <c r="C99" s="4">
        <f t="shared" ca="1" si="13"/>
        <v>2.1275410288346534E-16</v>
      </c>
      <c r="D99" s="4">
        <f t="shared" ca="1" si="13"/>
        <v>7.5936826223161433E-12</v>
      </c>
      <c r="E99" s="4">
        <f t="shared" ca="1" si="13"/>
        <v>2.3714219875082036E-9</v>
      </c>
      <c r="F99" s="4">
        <f t="shared" ca="1" si="13"/>
        <v>8.9715833569506411E-8</v>
      </c>
      <c r="G99" s="4">
        <f t="shared" ca="1" si="13"/>
        <v>1.1008686115304375E-6</v>
      </c>
      <c r="H99" s="4">
        <f t="shared" ca="1" si="13"/>
        <v>6.8978440638850077E-6</v>
      </c>
      <c r="I99" s="4">
        <f t="shared" ca="1" si="13"/>
        <v>2.8015703718775559E-5</v>
      </c>
      <c r="J99" s="4">
        <f t="shared" ca="1" si="13"/>
        <v>8.4620155619732459E-5</v>
      </c>
    </row>
    <row r="100" spans="1:10" x14ac:dyDescent="0.4">
      <c r="A100" s="8">
        <f t="shared" si="7"/>
        <v>91</v>
      </c>
      <c r="B100" s="4">
        <f t="shared" ref="B100:J109" ca="1" si="14">FACT(B$8)*OFFSET(S, $A100-1, B$8-1)/B$8^$A100</f>
        <v>8.0779356694631609E-28</v>
      </c>
      <c r="C100" s="4">
        <f t="shared" ca="1" si="14"/>
        <v>1.4183606858897689E-16</v>
      </c>
      <c r="D100" s="4">
        <f t="shared" ca="1" si="14"/>
        <v>5.6952619667371083E-12</v>
      </c>
      <c r="E100" s="4">
        <f t="shared" ca="1" si="14"/>
        <v>1.8971375900209692E-9</v>
      </c>
      <c r="F100" s="4">
        <f t="shared" ca="1" si="14"/>
        <v>7.4763194818550427E-8</v>
      </c>
      <c r="G100" s="4">
        <f t="shared" ca="1" si="14"/>
        <v>9.4360175168214502E-7</v>
      </c>
      <c r="H100" s="4">
        <f t="shared" ca="1" si="14"/>
        <v>6.0356202003680992E-6</v>
      </c>
      <c r="I100" s="4">
        <f t="shared" ca="1" si="14"/>
        <v>2.4903019535462869E-5</v>
      </c>
      <c r="J100" s="4">
        <f t="shared" ca="1" si="14"/>
        <v>7.6160274219772136E-5</v>
      </c>
    </row>
    <row r="101" spans="1:10" x14ac:dyDescent="0.4">
      <c r="A101" s="8">
        <f t="shared" si="7"/>
        <v>92</v>
      </c>
      <c r="B101" s="4">
        <f t="shared" ca="1" si="14"/>
        <v>4.0389678347315804E-28</v>
      </c>
      <c r="C101" s="4">
        <f t="shared" ca="1" si="14"/>
        <v>9.4557379059317926E-17</v>
      </c>
      <c r="D101" s="4">
        <f t="shared" ca="1" si="14"/>
        <v>4.271446475052832E-12</v>
      </c>
      <c r="E101" s="4">
        <f t="shared" ca="1" si="14"/>
        <v>1.5177100720254194E-9</v>
      </c>
      <c r="F101" s="4">
        <f t="shared" ca="1" si="14"/>
        <v>6.2302662466988762E-8</v>
      </c>
      <c r="G101" s="4">
        <f t="shared" ca="1" si="14"/>
        <v>8.0880156191044982E-7</v>
      </c>
      <c r="H101" s="4">
        <f t="shared" ca="1" si="14"/>
        <v>5.2811726586740723E-6</v>
      </c>
      <c r="I101" s="4">
        <f t="shared" ca="1" si="14"/>
        <v>2.2136150975900872E-5</v>
      </c>
      <c r="J101" s="4">
        <f t="shared" ca="1" si="14"/>
        <v>6.8545954139182812E-5</v>
      </c>
    </row>
    <row r="102" spans="1:10" x14ac:dyDescent="0.4">
      <c r="A102" s="8">
        <f t="shared" si="7"/>
        <v>93</v>
      </c>
      <c r="B102" s="4">
        <f t="shared" ca="1" si="14"/>
        <v>2.0194839173657902E-28</v>
      </c>
      <c r="C102" s="4">
        <f t="shared" ca="1" si="14"/>
        <v>6.3038252706211955E-17</v>
      </c>
      <c r="D102" s="4">
        <f t="shared" ca="1" si="14"/>
        <v>3.203584856289624E-12</v>
      </c>
      <c r="E102" s="4">
        <f t="shared" ca="1" si="14"/>
        <v>1.214168057625522E-9</v>
      </c>
      <c r="F102" s="4">
        <f t="shared" ca="1" si="14"/>
        <v>5.1918885467955114E-8</v>
      </c>
      <c r="G102" s="4">
        <f t="shared" ca="1" si="14"/>
        <v>6.9325852482939369E-7</v>
      </c>
      <c r="H102" s="4">
        <f t="shared" ca="1" si="14"/>
        <v>4.621029813854081E-6</v>
      </c>
      <c r="I102" s="4">
        <f t="shared" ca="1" si="14"/>
        <v>1.9676682565044937E-5</v>
      </c>
      <c r="J102" s="4">
        <f t="shared" ca="1" si="14"/>
        <v>6.1692724606619137E-5</v>
      </c>
    </row>
    <row r="103" spans="1:10" x14ac:dyDescent="0.4">
      <c r="A103" s="8">
        <f t="shared" si="7"/>
        <v>94</v>
      </c>
      <c r="B103" s="4">
        <f t="shared" ca="1" si="14"/>
        <v>1.0097419586828951E-28</v>
      </c>
      <c r="C103" s="4">
        <f t="shared" ca="1" si="14"/>
        <v>4.2025501804141301E-17</v>
      </c>
      <c r="D103" s="4">
        <f t="shared" ca="1" si="14"/>
        <v>2.4026886422172181E-12</v>
      </c>
      <c r="E103" s="4">
        <f t="shared" ca="1" si="14"/>
        <v>9.7133444610352929E-10</v>
      </c>
      <c r="F103" s="4">
        <f t="shared" ca="1" si="14"/>
        <v>4.3265737942494471E-8</v>
      </c>
      <c r="G103" s="4">
        <f t="shared" ca="1" si="14"/>
        <v>5.9422162356224135E-7</v>
      </c>
      <c r="H103" s="4">
        <f t="shared" ca="1" si="14"/>
        <v>4.0434038902581973E-6</v>
      </c>
      <c r="I103" s="4">
        <f t="shared" ca="1" si="14"/>
        <v>1.749046532883843E-5</v>
      </c>
      <c r="J103" s="4">
        <f t="shared" ca="1" si="14"/>
        <v>5.5524544856811916E-5</v>
      </c>
    </row>
    <row r="104" spans="1:10" x14ac:dyDescent="0.4">
      <c r="A104" s="8">
        <f t="shared" ref="A104:A109" si="15">A103+1</f>
        <v>95</v>
      </c>
      <c r="B104" s="4">
        <f t="shared" ca="1" si="14"/>
        <v>5.0487097934144756E-29</v>
      </c>
      <c r="C104" s="4">
        <f t="shared" ca="1" si="14"/>
        <v>2.8017001202760865E-17</v>
      </c>
      <c r="D104" s="4">
        <f t="shared" ca="1" si="14"/>
        <v>1.8020164816629136E-12</v>
      </c>
      <c r="E104" s="4">
        <f t="shared" ca="1" si="14"/>
        <v>7.7706755688469044E-10</v>
      </c>
      <c r="F104" s="4">
        <f t="shared" ca="1" si="14"/>
        <v>3.6054781653766645E-8</v>
      </c>
      <c r="G104" s="4">
        <f t="shared" ca="1" si="14"/>
        <v>5.0933284223287292E-7</v>
      </c>
      <c r="H104" s="4">
        <f t="shared" ca="1" si="14"/>
        <v>3.5379805063279386E-6</v>
      </c>
      <c r="I104" s="4">
        <f t="shared" ca="1" si="14"/>
        <v>1.5547143157459281E-5</v>
      </c>
      <c r="J104" s="4">
        <f t="shared" ca="1" si="14"/>
        <v>4.9972964543854186E-5</v>
      </c>
    </row>
    <row r="105" spans="1:10" x14ac:dyDescent="0.4">
      <c r="A105" s="8">
        <f t="shared" si="15"/>
        <v>96</v>
      </c>
      <c r="B105" s="4">
        <f t="shared" ca="1" si="14"/>
        <v>2.5243548967072378E-29</v>
      </c>
      <c r="C105" s="4">
        <f t="shared" ca="1" si="14"/>
        <v>1.8678000801840581E-17</v>
      </c>
      <c r="D105" s="4">
        <f t="shared" ca="1" si="14"/>
        <v>1.3515123612471852E-12</v>
      </c>
      <c r="E105" s="4">
        <f t="shared" ca="1" si="14"/>
        <v>6.2165404550887267E-10</v>
      </c>
      <c r="F105" s="4">
        <f t="shared" ca="1" si="14"/>
        <v>3.0045651401486372E-8</v>
      </c>
      <c r="G105" s="4">
        <f t="shared" ca="1" si="14"/>
        <v>4.3657102336865246E-7</v>
      </c>
      <c r="H105" s="4">
        <f t="shared" ca="1" si="14"/>
        <v>3.0957345198010274E-6</v>
      </c>
      <c r="I105" s="4">
        <f t="shared" ca="1" si="14"/>
        <v>1.3819731701782771E-5</v>
      </c>
      <c r="J105" s="4">
        <f t="shared" ca="1" si="14"/>
        <v>4.4976367430475339E-5</v>
      </c>
    </row>
    <row r="106" spans="1:10" x14ac:dyDescent="0.4">
      <c r="A106" s="8">
        <f t="shared" si="15"/>
        <v>97</v>
      </c>
      <c r="B106" s="4">
        <f t="shared" ca="1" si="14"/>
        <v>1.2621774483536189E-29</v>
      </c>
      <c r="C106" s="4">
        <f t="shared" ca="1" si="14"/>
        <v>1.2452000534560386E-17</v>
      </c>
      <c r="D106" s="4">
        <f t="shared" ca="1" si="14"/>
        <v>1.0136342709353888E-12</v>
      </c>
      <c r="E106" s="4">
        <f t="shared" ca="1" si="14"/>
        <v>4.9732323640777014E-10</v>
      </c>
      <c r="F106" s="4">
        <f t="shared" ca="1" si="14"/>
        <v>2.5038042850136975E-8</v>
      </c>
      <c r="G106" s="4">
        <f t="shared" ca="1" si="14"/>
        <v>3.7420374555918477E-7</v>
      </c>
      <c r="H106" s="4">
        <f t="shared" ca="1" si="14"/>
        <v>2.7087688873990018E-6</v>
      </c>
      <c r="I106" s="4">
        <f t="shared" ca="1" si="14"/>
        <v>1.2284243986722507E-5</v>
      </c>
      <c r="J106" s="4">
        <f t="shared" ca="1" si="14"/>
        <v>4.0479290162212518E-5</v>
      </c>
    </row>
    <row r="107" spans="1:10" x14ac:dyDescent="0.4">
      <c r="A107" s="8">
        <f t="shared" si="15"/>
        <v>98</v>
      </c>
      <c r="B107" s="4">
        <f t="shared" ca="1" si="14"/>
        <v>6.3108872417680944E-30</v>
      </c>
      <c r="C107" s="4">
        <f t="shared" ca="1" si="14"/>
        <v>8.3013336897069257E-18</v>
      </c>
      <c r="D107" s="4">
        <f t="shared" ca="1" si="14"/>
        <v>7.602257032015416E-13</v>
      </c>
      <c r="E107" s="4">
        <f t="shared" ca="1" si="14"/>
        <v>3.9785858912661947E-10</v>
      </c>
      <c r="F107" s="4">
        <f t="shared" ca="1" si="14"/>
        <v>2.0865035718824151E-8</v>
      </c>
      <c r="G107" s="4">
        <f t="shared" ca="1" si="14"/>
        <v>3.2074607565301345E-7</v>
      </c>
      <c r="H107" s="4">
        <f t="shared" ca="1" si="14"/>
        <v>2.3701736634039806E-6</v>
      </c>
      <c r="I107" s="4">
        <f t="shared" ca="1" si="14"/>
        <v>1.0919357566774682E-5</v>
      </c>
      <c r="J107" s="4">
        <f t="shared" ca="1" si="14"/>
        <v>3.6431808727204661E-5</v>
      </c>
    </row>
    <row r="108" spans="1:10" x14ac:dyDescent="0.4">
      <c r="A108" s="8">
        <f t="shared" si="15"/>
        <v>99</v>
      </c>
      <c r="B108" s="4">
        <f t="shared" ca="1" si="14"/>
        <v>3.1554436208840472E-30</v>
      </c>
      <c r="C108" s="4">
        <f t="shared" ca="1" si="14"/>
        <v>5.5342224598046164E-18</v>
      </c>
      <c r="D108" s="4">
        <f t="shared" ca="1" si="14"/>
        <v>5.7016927740115625E-13</v>
      </c>
      <c r="E108" s="4">
        <f t="shared" ca="1" si="14"/>
        <v>3.1828687130153758E-10</v>
      </c>
      <c r="F108" s="4">
        <f t="shared" ca="1" si="14"/>
        <v>1.7387529772604571E-8</v>
      </c>
      <c r="G108" s="4">
        <f t="shared" ca="1" si="14"/>
        <v>2.7492521343890795E-7</v>
      </c>
      <c r="H108" s="4">
        <f t="shared" ca="1" si="14"/>
        <v>2.0739026206758899E-6</v>
      </c>
      <c r="I108" s="4">
        <f t="shared" ca="1" si="14"/>
        <v>9.7061186204792482E-6</v>
      </c>
      <c r="J108" s="4">
        <f t="shared" ca="1" si="14"/>
        <v>3.2788985920424842E-5</v>
      </c>
    </row>
    <row r="109" spans="1:10" x14ac:dyDescent="0.4">
      <c r="A109" s="8">
        <f t="shared" si="15"/>
        <v>100</v>
      </c>
      <c r="B109" s="4">
        <f t="shared" ca="1" si="14"/>
        <v>1.5777218104420236E-30</v>
      </c>
      <c r="C109" s="4">
        <f t="shared" ca="1" si="14"/>
        <v>3.6894816398697432E-18</v>
      </c>
      <c r="D109" s="4">
        <f t="shared" ca="1" si="14"/>
        <v>4.2762695805086719E-13</v>
      </c>
      <c r="E109" s="4">
        <f t="shared" ca="1" si="14"/>
        <v>2.546294970413752E-10</v>
      </c>
      <c r="F109" s="4">
        <f t="shared" ca="1" si="14"/>
        <v>1.4489608148448991E-8</v>
      </c>
      <c r="G109" s="4">
        <f t="shared" ca="1" si="14"/>
        <v>2.3565018704501039E-7</v>
      </c>
      <c r="H109" s="4">
        <f t="shared" ca="1" si="14"/>
        <v>1.8146652919894695E-6</v>
      </c>
      <c r="I109" s="4">
        <f t="shared" ca="1" si="14"/>
        <v>8.6276788892071736E-6</v>
      </c>
      <c r="J109" s="4">
        <f t="shared" ca="1" si="14"/>
        <v>2.951037378181384E-5</v>
      </c>
    </row>
  </sheetData>
  <mergeCells count="1">
    <mergeCell ref="E6:J6"/>
  </mergeCells>
  <phoneticPr fontId="1"/>
  <hyperlinks>
    <hyperlink ref="E6" r:id="rId1" xr:uid="{68EA8412-E0B0-42A5-8DAD-553955EA7F4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EC96-9740-454D-88E8-22A5AFA399E6}">
  <dimension ref="A1:G109"/>
  <sheetViews>
    <sheetView workbookViewId="0">
      <selection activeCell="B7" sqref="B7"/>
    </sheetView>
  </sheetViews>
  <sheetFormatPr defaultRowHeight="18.75" x14ac:dyDescent="0.4"/>
  <cols>
    <col min="1" max="1" width="5.5" bestFit="1" customWidth="1"/>
    <col min="2" max="3" width="9" style="4"/>
  </cols>
  <sheetData>
    <row r="1" spans="1:7" x14ac:dyDescent="0.4">
      <c r="A1" t="s">
        <v>6</v>
      </c>
    </row>
    <row r="2" spans="1:7" x14ac:dyDescent="0.4">
      <c r="A2" t="s">
        <v>27</v>
      </c>
    </row>
    <row r="3" spans="1:7" x14ac:dyDescent="0.4">
      <c r="A3" t="s">
        <v>4</v>
      </c>
    </row>
    <row r="4" spans="1:7" x14ac:dyDescent="0.4">
      <c r="A4" t="s">
        <v>5</v>
      </c>
    </row>
    <row r="5" spans="1:7" x14ac:dyDescent="0.4">
      <c r="A5" t="s">
        <v>28</v>
      </c>
    </row>
    <row r="7" spans="1:7" x14ac:dyDescent="0.4">
      <c r="A7" s="17" t="s">
        <v>2</v>
      </c>
      <c r="B7" s="18">
        <v>10</v>
      </c>
      <c r="C7" s="18"/>
    </row>
    <row r="9" spans="1:7" s="3" customFormat="1" x14ac:dyDescent="0.4">
      <c r="A9" s="19" t="s">
        <v>3</v>
      </c>
      <c r="B9" s="19" t="str">
        <f>"P(n, "&amp;k&amp;")"</f>
        <v>P(n, 10)</v>
      </c>
      <c r="C9" s="19" t="s">
        <v>26</v>
      </c>
      <c r="D9" s="19" t="str">
        <f>"n*P(n, "&amp;k&amp;")"</f>
        <v>n*P(n, 10)</v>
      </c>
    </row>
    <row r="10" spans="1:7" s="4" customFormat="1" x14ac:dyDescent="0.4">
      <c r="A10" s="20">
        <v>1</v>
      </c>
      <c r="B10" s="20">
        <f t="shared" ref="B10:B41" ca="1" si="0">FACT(B$7)*OFFSET(S, $A10-1, B$7-1)/B$7^$A10</f>
        <v>0</v>
      </c>
      <c r="C10" s="20">
        <f ca="1">B10</f>
        <v>0</v>
      </c>
      <c r="D10" s="20">
        <f ca="1">A10*B10</f>
        <v>0</v>
      </c>
      <c r="F10" s="2" t="s">
        <v>17</v>
      </c>
      <c r="G10" s="20">
        <f ca="1">SUM(D10:D109)</f>
        <v>29.260465963401671</v>
      </c>
    </row>
    <row r="11" spans="1:7" x14ac:dyDescent="0.4">
      <c r="A11" s="21">
        <v>2</v>
      </c>
      <c r="B11" s="20">
        <f t="shared" ca="1" si="0"/>
        <v>0</v>
      </c>
      <c r="C11" s="20">
        <f ca="1">B11+C10</f>
        <v>0</v>
      </c>
      <c r="D11" s="20">
        <f t="shared" ref="D11:D74" ca="1" si="1">A11*B11</f>
        <v>0</v>
      </c>
    </row>
    <row r="12" spans="1:7" x14ac:dyDescent="0.4">
      <c r="A12" s="21">
        <f>A11+1</f>
        <v>3</v>
      </c>
      <c r="B12" s="20">
        <f t="shared" ca="1" si="0"/>
        <v>0</v>
      </c>
      <c r="C12" s="20">
        <f t="shared" ref="C12:C75" ca="1" si="2">B12+C11</f>
        <v>0</v>
      </c>
      <c r="D12" s="20">
        <f t="shared" ca="1" si="1"/>
        <v>0</v>
      </c>
    </row>
    <row r="13" spans="1:7" x14ac:dyDescent="0.4">
      <c r="A13" s="21">
        <f t="shared" ref="A13:A76" si="3">A12+1</f>
        <v>4</v>
      </c>
      <c r="B13" s="20">
        <f t="shared" ca="1" si="0"/>
        <v>0</v>
      </c>
      <c r="C13" s="20">
        <f t="shared" ca="1" si="2"/>
        <v>0</v>
      </c>
      <c r="D13" s="20">
        <f t="shared" ca="1" si="1"/>
        <v>0</v>
      </c>
    </row>
    <row r="14" spans="1:7" x14ac:dyDescent="0.4">
      <c r="A14" s="21">
        <f t="shared" si="3"/>
        <v>5</v>
      </c>
      <c r="B14" s="20">
        <f t="shared" ca="1" si="0"/>
        <v>0</v>
      </c>
      <c r="C14" s="20">
        <f t="shared" ca="1" si="2"/>
        <v>0</v>
      </c>
      <c r="D14" s="20">
        <f t="shared" ca="1" si="1"/>
        <v>0</v>
      </c>
    </row>
    <row r="15" spans="1:7" x14ac:dyDescent="0.4">
      <c r="A15" s="21">
        <f>A14+1</f>
        <v>6</v>
      </c>
      <c r="B15" s="20">
        <f t="shared" ca="1" si="0"/>
        <v>0</v>
      </c>
      <c r="C15" s="20">
        <f t="shared" ca="1" si="2"/>
        <v>0</v>
      </c>
      <c r="D15" s="20">
        <f t="shared" ca="1" si="1"/>
        <v>0</v>
      </c>
    </row>
    <row r="16" spans="1:7" x14ac:dyDescent="0.4">
      <c r="A16" s="21">
        <f t="shared" si="3"/>
        <v>7</v>
      </c>
      <c r="B16" s="20">
        <f t="shared" ca="1" si="0"/>
        <v>0</v>
      </c>
      <c r="C16" s="20">
        <f t="shared" ca="1" si="2"/>
        <v>0</v>
      </c>
      <c r="D16" s="20">
        <f t="shared" ca="1" si="1"/>
        <v>0</v>
      </c>
    </row>
    <row r="17" spans="1:4" x14ac:dyDescent="0.4">
      <c r="A17" s="21">
        <f t="shared" si="3"/>
        <v>8</v>
      </c>
      <c r="B17" s="20">
        <f t="shared" ca="1" si="0"/>
        <v>0</v>
      </c>
      <c r="C17" s="20">
        <f t="shared" ca="1" si="2"/>
        <v>0</v>
      </c>
      <c r="D17" s="20">
        <f t="shared" ca="1" si="1"/>
        <v>0</v>
      </c>
    </row>
    <row r="18" spans="1:4" x14ac:dyDescent="0.4">
      <c r="A18" s="21">
        <f t="shared" si="3"/>
        <v>9</v>
      </c>
      <c r="B18" s="20">
        <f t="shared" ca="1" si="0"/>
        <v>0</v>
      </c>
      <c r="C18" s="20">
        <f t="shared" ca="1" si="2"/>
        <v>0</v>
      </c>
      <c r="D18" s="20">
        <f t="shared" ca="1" si="1"/>
        <v>0</v>
      </c>
    </row>
    <row r="19" spans="1:4" x14ac:dyDescent="0.4">
      <c r="A19" s="21">
        <f t="shared" si="3"/>
        <v>10</v>
      </c>
      <c r="B19" s="20">
        <f t="shared" ca="1" si="0"/>
        <v>3.6288E-4</v>
      </c>
      <c r="C19" s="20">
        <f t="shared" ca="1" si="2"/>
        <v>3.6288E-4</v>
      </c>
      <c r="D19" s="20">
        <f t="shared" ca="1" si="1"/>
        <v>3.6287999999999997E-3</v>
      </c>
    </row>
    <row r="20" spans="1:4" x14ac:dyDescent="0.4">
      <c r="A20" s="21">
        <f t="shared" si="3"/>
        <v>11</v>
      </c>
      <c r="B20" s="20">
        <f t="shared" ca="1" si="0"/>
        <v>1.6329599999999999E-3</v>
      </c>
      <c r="C20" s="20">
        <f t="shared" ca="1" si="2"/>
        <v>1.99584E-3</v>
      </c>
      <c r="D20" s="20">
        <f t="shared" ca="1" si="1"/>
        <v>1.7962559999999999E-2</v>
      </c>
    </row>
    <row r="21" spans="1:4" x14ac:dyDescent="0.4">
      <c r="A21" s="21">
        <f t="shared" si="3"/>
        <v>12</v>
      </c>
      <c r="B21" s="20">
        <f t="shared" ca="1" si="0"/>
        <v>4.1912640000000001E-3</v>
      </c>
      <c r="C21" s="20">
        <f t="shared" ca="1" si="2"/>
        <v>6.1871040000000006E-3</v>
      </c>
      <c r="D21" s="20">
        <f t="shared" ca="1" si="1"/>
        <v>5.0295168000000001E-2</v>
      </c>
    </row>
    <row r="22" spans="1:4" x14ac:dyDescent="0.4">
      <c r="A22" s="21">
        <f t="shared" si="3"/>
        <v>13</v>
      </c>
      <c r="B22" s="20">
        <f t="shared" ca="1" si="0"/>
        <v>8.0831519999999997E-3</v>
      </c>
      <c r="C22" s="20">
        <f t="shared" ca="1" si="2"/>
        <v>1.4270256E-2</v>
      </c>
      <c r="D22" s="20">
        <f t="shared" ca="1" si="1"/>
        <v>0.10508097599999999</v>
      </c>
    </row>
    <row r="23" spans="1:4" x14ac:dyDescent="0.4">
      <c r="A23" s="21">
        <f t="shared" si="3"/>
        <v>14</v>
      </c>
      <c r="B23" s="20">
        <f t="shared" ca="1" si="0"/>
        <v>1.3045608576E-2</v>
      </c>
      <c r="C23" s="20">
        <f t="shared" ca="1" si="2"/>
        <v>2.7315864576E-2</v>
      </c>
      <c r="D23" s="20">
        <f t="shared" ca="1" si="1"/>
        <v>0.182638520064</v>
      </c>
    </row>
    <row r="24" spans="1:4" x14ac:dyDescent="0.4">
      <c r="A24" s="21">
        <f t="shared" si="3"/>
        <v>15</v>
      </c>
      <c r="B24" s="20">
        <f t="shared" ca="1" si="0"/>
        <v>1.8634359744E-2</v>
      </c>
      <c r="C24" s="20">
        <f t="shared" ca="1" si="2"/>
        <v>4.5950224319999997E-2</v>
      </c>
      <c r="D24" s="20">
        <f t="shared" ca="1" si="1"/>
        <v>0.27951539615999998</v>
      </c>
    </row>
    <row r="25" spans="1:4" x14ac:dyDescent="0.4">
      <c r="A25" s="21">
        <f t="shared" si="3"/>
        <v>16</v>
      </c>
      <c r="B25" s="20">
        <f t="shared" ca="1" si="0"/>
        <v>2.43595864512E-2</v>
      </c>
      <c r="C25" s="20">
        <f t="shared" ca="1" si="2"/>
        <v>7.0309810771199993E-2</v>
      </c>
      <c r="D25" s="20">
        <f t="shared" ca="1" si="1"/>
        <v>0.3897533832192</v>
      </c>
    </row>
    <row r="26" spans="1:4" x14ac:dyDescent="0.4">
      <c r="A26" s="21">
        <f t="shared" si="3"/>
        <v>17</v>
      </c>
      <c r="B26" s="20">
        <f t="shared" ca="1" si="0"/>
        <v>2.9784618863999999E-2</v>
      </c>
      <c r="C26" s="20">
        <f t="shared" ca="1" si="2"/>
        <v>0.10009442963519999</v>
      </c>
      <c r="D26" s="20">
        <f t="shared" ca="1" si="1"/>
        <v>0.506338520688</v>
      </c>
    </row>
    <row r="27" spans="1:4" x14ac:dyDescent="0.4">
      <c r="A27" s="21">
        <f t="shared" si="3"/>
        <v>18</v>
      </c>
      <c r="B27" s="20">
        <f t="shared" ca="1" si="0"/>
        <v>3.45781903731264E-2</v>
      </c>
      <c r="C27" s="20">
        <f t="shared" ca="1" si="2"/>
        <v>0.13467262000832639</v>
      </c>
      <c r="D27" s="20">
        <f t="shared" ca="1" si="1"/>
        <v>0.62240742671627514</v>
      </c>
    </row>
    <row r="28" spans="1:4" x14ac:dyDescent="0.4">
      <c r="A28" s="21">
        <f t="shared" si="3"/>
        <v>19</v>
      </c>
      <c r="B28" s="20">
        <f t="shared" ca="1" si="0"/>
        <v>3.85289276115744E-2</v>
      </c>
      <c r="C28" s="20">
        <f t="shared" ca="1" si="2"/>
        <v>0.17320154761990078</v>
      </c>
      <c r="D28" s="20">
        <f t="shared" ca="1" si="1"/>
        <v>0.73204962461991363</v>
      </c>
    </row>
    <row r="29" spans="1:4" x14ac:dyDescent="0.4">
      <c r="A29" s="21">
        <f t="shared" si="3"/>
        <v>20</v>
      </c>
      <c r="B29" s="20">
        <f t="shared" ca="1" si="0"/>
        <v>4.1535775577499844E-2</v>
      </c>
      <c r="C29" s="20">
        <f t="shared" ca="1" si="2"/>
        <v>0.21473732319740063</v>
      </c>
      <c r="D29" s="20">
        <f t="shared" ca="1" si="1"/>
        <v>0.8307155115499969</v>
      </c>
    </row>
    <row r="30" spans="1:4" x14ac:dyDescent="0.4">
      <c r="A30" s="21">
        <f t="shared" si="3"/>
        <v>21</v>
      </c>
      <c r="B30" s="20">
        <f t="shared" ca="1" si="0"/>
        <v>4.3586542461178074E-2</v>
      </c>
      <c r="C30" s="20">
        <f t="shared" ca="1" si="2"/>
        <v>0.25832386565857868</v>
      </c>
      <c r="D30" s="20">
        <f t="shared" ca="1" si="1"/>
        <v>0.91531739168473958</v>
      </c>
    </row>
    <row r="31" spans="1:4" x14ac:dyDescent="0.4">
      <c r="A31" s="21">
        <f t="shared" si="3"/>
        <v>22</v>
      </c>
      <c r="B31" s="20">
        <f t="shared" ca="1" si="0"/>
        <v>4.4733116259693229E-2</v>
      </c>
      <c r="C31" s="20">
        <f t="shared" ca="1" si="2"/>
        <v>0.30305698191827191</v>
      </c>
      <c r="D31" s="20">
        <f t="shared" ca="1" si="1"/>
        <v>0.98412855771325103</v>
      </c>
    </row>
    <row r="32" spans="1:4" x14ac:dyDescent="0.4">
      <c r="A32" s="21">
        <f t="shared" si="3"/>
        <v>23</v>
      </c>
      <c r="B32" s="20">
        <f t="shared" ca="1" si="0"/>
        <v>4.5068364358638896E-2</v>
      </c>
      <c r="C32" s="20">
        <f t="shared" ca="1" si="2"/>
        <v>0.34812534627691083</v>
      </c>
      <c r="D32" s="20">
        <f t="shared" ca="1" si="1"/>
        <v>1.0365723802486946</v>
      </c>
    </row>
    <row r="33" spans="1:4" x14ac:dyDescent="0.4">
      <c r="A33" s="21">
        <f t="shared" si="3"/>
        <v>24</v>
      </c>
      <c r="B33" s="20">
        <f t="shared" ca="1" si="0"/>
        <v>4.4707065704248587E-2</v>
      </c>
      <c r="C33" s="20">
        <f t="shared" ca="1" si="2"/>
        <v>0.39283241198115942</v>
      </c>
      <c r="D33" s="20">
        <f t="shared" ca="1" si="1"/>
        <v>1.072969576901966</v>
      </c>
    </row>
    <row r="34" spans="1:4" x14ac:dyDescent="0.4">
      <c r="A34" s="21">
        <f t="shared" si="3"/>
        <v>25</v>
      </c>
      <c r="B34" s="20">
        <f t="shared" ca="1" si="0"/>
        <v>4.3771519771445187E-2</v>
      </c>
      <c r="C34" s="20">
        <f t="shared" ca="1" si="2"/>
        <v>0.43660393175260459</v>
      </c>
      <c r="D34" s="20">
        <f t="shared" ca="1" si="1"/>
        <v>1.0942879942861297</v>
      </c>
    </row>
    <row r="35" spans="1:4" x14ac:dyDescent="0.4">
      <c r="A35" s="21">
        <f t="shared" si="3"/>
        <v>26</v>
      </c>
      <c r="B35" s="20">
        <f t="shared" ca="1" si="0"/>
        <v>4.2381533617261803E-2</v>
      </c>
      <c r="C35" s="20">
        <f t="shared" ca="1" si="2"/>
        <v>0.47898546536986641</v>
      </c>
      <c r="D35" s="20">
        <f t="shared" ca="1" si="1"/>
        <v>1.101919874048807</v>
      </c>
    </row>
    <row r="36" spans="1:4" x14ac:dyDescent="0.4">
      <c r="A36" s="21">
        <f t="shared" si="3"/>
        <v>27</v>
      </c>
      <c r="B36" s="20">
        <f t="shared" ca="1" si="0"/>
        <v>4.0648064094729958E-2</v>
      </c>
      <c r="C36" s="20">
        <f t="shared" ca="1" si="2"/>
        <v>0.5196335294645964</v>
      </c>
      <c r="D36" s="20">
        <f t="shared" ca="1" si="1"/>
        <v>1.0974977305577089</v>
      </c>
    </row>
    <row r="37" spans="1:4" x14ac:dyDescent="0.4">
      <c r="A37" s="21">
        <f t="shared" si="3"/>
        <v>28</v>
      </c>
      <c r="B37" s="20">
        <f t="shared" ca="1" si="0"/>
        <v>3.866968060804301E-2</v>
      </c>
      <c r="C37" s="20">
        <f t="shared" ca="1" si="2"/>
        <v>0.55830321007263939</v>
      </c>
      <c r="D37" s="20">
        <f t="shared" ca="1" si="1"/>
        <v>1.0827510570252044</v>
      </c>
    </row>
    <row r="38" spans="1:4" x14ac:dyDescent="0.4">
      <c r="A38" s="21">
        <f t="shared" si="3"/>
        <v>29</v>
      </c>
      <c r="B38" s="20">
        <f t="shared" ca="1" si="0"/>
        <v>3.6531067596089047E-2</v>
      </c>
      <c r="C38" s="20">
        <f t="shared" ca="1" si="2"/>
        <v>0.59483427766872843</v>
      </c>
      <c r="D38" s="20">
        <f t="shared" ca="1" si="1"/>
        <v>1.0594009602865824</v>
      </c>
    </row>
    <row r="39" spans="1:4" x14ac:dyDescent="0.4">
      <c r="A39" s="21">
        <f t="shared" si="3"/>
        <v>30</v>
      </c>
      <c r="B39" s="20">
        <f t="shared" ca="1" si="0"/>
        <v>3.4302911584009943E-2</v>
      </c>
      <c r="C39" s="20">
        <f t="shared" ca="1" si="2"/>
        <v>0.62913718925273843</v>
      </c>
      <c r="D39" s="20">
        <f t="shared" ca="1" si="1"/>
        <v>1.0290873475202984</v>
      </c>
    </row>
    <row r="40" spans="1:4" x14ac:dyDescent="0.4">
      <c r="A40" s="21">
        <f t="shared" si="3"/>
        <v>31</v>
      </c>
      <c r="B40" s="20">
        <f t="shared" ca="1" si="0"/>
        <v>3.204266116424976E-2</v>
      </c>
      <c r="C40" s="20">
        <f t="shared" ca="1" si="2"/>
        <v>0.66117985041698824</v>
      </c>
      <c r="D40" s="20">
        <f t="shared" ca="1" si="1"/>
        <v>0.9933224960917425</v>
      </c>
    </row>
    <row r="41" spans="1:4" x14ac:dyDescent="0.4">
      <c r="A41" s="21">
        <f t="shared" si="3"/>
        <v>32</v>
      </c>
      <c r="B41" s="20">
        <f t="shared" ca="1" si="0"/>
        <v>2.9795782029831519E-2</v>
      </c>
      <c r="C41" s="20">
        <f t="shared" ca="1" si="2"/>
        <v>0.6909756324468197</v>
      </c>
      <c r="D41" s="20">
        <f t="shared" ca="1" si="1"/>
        <v>0.95346502495460861</v>
      </c>
    </row>
    <row r="42" spans="1:4" x14ac:dyDescent="0.4">
      <c r="A42" s="21">
        <f t="shared" si="3"/>
        <v>33</v>
      </c>
      <c r="B42" s="20">
        <f t="shared" ref="B42:B73" ca="1" si="4">FACT(B$7)*OFFSET(S, $A42-1, B$7-1)/B$7^$A42</f>
        <v>2.759724157745656E-2</v>
      </c>
      <c r="C42" s="20">
        <f t="shared" ca="1" si="2"/>
        <v>0.71857287402427628</v>
      </c>
      <c r="D42" s="20">
        <f t="shared" ca="1" si="1"/>
        <v>0.91070897205606649</v>
      </c>
    </row>
    <row r="43" spans="1:4" x14ac:dyDescent="0.4">
      <c r="A43" s="21">
        <f t="shared" si="3"/>
        <v>34</v>
      </c>
      <c r="B43" s="20">
        <f t="shared" ca="1" si="4"/>
        <v>2.5473045949349498E-2</v>
      </c>
      <c r="C43" s="20">
        <f t="shared" ca="1" si="2"/>
        <v>0.74404591997362579</v>
      </c>
      <c r="D43" s="20">
        <f t="shared" ca="1" si="1"/>
        <v>0.86608356227788297</v>
      </c>
    </row>
    <row r="44" spans="1:4" x14ac:dyDescent="0.4">
      <c r="A44" s="21">
        <f t="shared" si="3"/>
        <v>35</v>
      </c>
      <c r="B44" s="20">
        <f t="shared" ca="1" si="4"/>
        <v>2.3441718456611263E-2</v>
      </c>
      <c r="C44" s="20">
        <f t="shared" ca="1" si="2"/>
        <v>0.76748763843023704</v>
      </c>
      <c r="D44" s="20">
        <f t="shared" ca="1" si="1"/>
        <v>0.82046014598139416</v>
      </c>
    </row>
    <row r="45" spans="1:4" x14ac:dyDescent="0.4">
      <c r="A45" s="21">
        <f t="shared" si="3"/>
        <v>36</v>
      </c>
      <c r="B45" s="20">
        <f t="shared" ca="1" si="4"/>
        <v>2.1515655696614108E-2</v>
      </c>
      <c r="C45" s="20">
        <f t="shared" ca="1" si="2"/>
        <v>0.78900329412685111</v>
      </c>
      <c r="D45" s="20">
        <f t="shared" ca="1" si="1"/>
        <v>0.77456360507810795</v>
      </c>
    </row>
    <row r="46" spans="1:4" x14ac:dyDescent="0.4">
      <c r="A46" s="21">
        <f t="shared" si="3"/>
        <v>37</v>
      </c>
      <c r="B46" s="20">
        <f t="shared" ca="1" si="4"/>
        <v>1.9702330293727529E-2</v>
      </c>
      <c r="C46" s="20">
        <f t="shared" ca="1" si="2"/>
        <v>0.80870562442057858</v>
      </c>
      <c r="D46" s="20">
        <f t="shared" ca="1" si="1"/>
        <v>0.72898622086791853</v>
      </c>
    </row>
    <row r="47" spans="1:4" x14ac:dyDescent="0.4">
      <c r="A47" s="21">
        <f t="shared" si="3"/>
        <v>38</v>
      </c>
      <c r="B47" s="20">
        <f t="shared" ca="1" si="4"/>
        <v>1.8005330690943067E-2</v>
      </c>
      <c r="C47" s="20">
        <f t="shared" ca="1" si="2"/>
        <v>0.82671095511152171</v>
      </c>
      <c r="D47" s="20">
        <f t="shared" ca="1" si="1"/>
        <v>0.68420256625583653</v>
      </c>
    </row>
    <row r="48" spans="1:4" x14ac:dyDescent="0.4">
      <c r="A48" s="21">
        <f t="shared" si="3"/>
        <v>39</v>
      </c>
      <c r="B48" s="20">
        <f t="shared" ca="1" si="4"/>
        <v>1.6425241844533384E-2</v>
      </c>
      <c r="C48" s="20">
        <f t="shared" ca="1" si="2"/>
        <v>0.84313619695605513</v>
      </c>
      <c r="D48" s="20">
        <f t="shared" ca="1" si="1"/>
        <v>0.64058443193680203</v>
      </c>
    </row>
    <row r="49" spans="1:4" x14ac:dyDescent="0.4">
      <c r="A49" s="21">
        <f t="shared" si="3"/>
        <v>40</v>
      </c>
      <c r="B49" s="20">
        <f t="shared" ca="1" si="4"/>
        <v>1.4960378429718349E-2</v>
      </c>
      <c r="C49" s="20">
        <f t="shared" ca="1" si="2"/>
        <v>0.85809657538577344</v>
      </c>
      <c r="D49" s="20">
        <f t="shared" ca="1" si="1"/>
        <v>0.59841513718873396</v>
      </c>
    </row>
    <row r="50" spans="1:4" x14ac:dyDescent="0.4">
      <c r="A50" s="21">
        <f t="shared" si="3"/>
        <v>41</v>
      </c>
      <c r="B50" s="20">
        <f t="shared" ca="1" si="4"/>
        <v>1.360738607359442E-2</v>
      </c>
      <c r="C50" s="20">
        <f t="shared" ca="1" si="2"/>
        <v>0.8717039614593679</v>
      </c>
      <c r="D50" s="20">
        <f t="shared" ca="1" si="1"/>
        <v>0.5579028290173712</v>
      </c>
    </row>
    <row r="51" spans="1:4" x14ac:dyDescent="0.4">
      <c r="A51" s="21">
        <f t="shared" si="3"/>
        <v>42</v>
      </c>
      <c r="B51" s="20">
        <f t="shared" ca="1" si="4"/>
        <v>1.2361727525963085E-2</v>
      </c>
      <c r="C51" s="20">
        <f t="shared" ca="1" si="2"/>
        <v>0.884065688985331</v>
      </c>
      <c r="D51" s="20">
        <f t="shared" ca="1" si="1"/>
        <v>0.51919255609044956</v>
      </c>
    </row>
    <row r="52" spans="1:4" x14ac:dyDescent="0.4">
      <c r="A52" s="21">
        <f t="shared" si="3"/>
        <v>43</v>
      </c>
      <c r="B52" s="20">
        <f t="shared" ca="1" si="4"/>
        <v>1.1218070507695313E-2</v>
      </c>
      <c r="C52" s="20">
        <f t="shared" ca="1" si="2"/>
        <v>0.8952837594930263</v>
      </c>
      <c r="D52" s="20">
        <f t="shared" ca="1" si="1"/>
        <v>0.48237703183089847</v>
      </c>
    </row>
    <row r="53" spans="1:4" x14ac:dyDescent="0.4">
      <c r="A53" s="21">
        <f t="shared" si="3"/>
        <v>44</v>
      </c>
      <c r="B53" s="20">
        <f t="shared" ca="1" si="4"/>
        <v>1.0170592895943176E-2</v>
      </c>
      <c r="C53" s="20">
        <f t="shared" ca="1" si="2"/>
        <v>0.90545435238896943</v>
      </c>
      <c r="D53" s="20">
        <f t="shared" ca="1" si="1"/>
        <v>0.44750608742149978</v>
      </c>
    </row>
    <row r="54" spans="1:4" x14ac:dyDescent="0.4">
      <c r="A54" s="21">
        <f t="shared" si="3"/>
        <v>45</v>
      </c>
      <c r="B54" s="20">
        <f t="shared" ca="1" si="4"/>
        <v>9.2132193565092127E-3</v>
      </c>
      <c r="C54" s="20">
        <f t="shared" ca="1" si="2"/>
        <v>0.91466757174547864</v>
      </c>
      <c r="D54" s="20">
        <f t="shared" ca="1" si="1"/>
        <v>0.41459487104291459</v>
      </c>
    </row>
    <row r="55" spans="1:4" x14ac:dyDescent="0.4">
      <c r="A55" s="21">
        <f t="shared" si="3"/>
        <v>46</v>
      </c>
      <c r="B55" s="20">
        <f t="shared" ca="1" si="4"/>
        <v>8.3398018021014712E-3</v>
      </c>
      <c r="C55" s="20">
        <f t="shared" ca="1" si="2"/>
        <v>0.92300737354758011</v>
      </c>
      <c r="D55" s="20">
        <f t="shared" ca="1" si="1"/>
        <v>0.38363088289666769</v>
      </c>
    </row>
    <row r="56" spans="1:4" x14ac:dyDescent="0.4">
      <c r="A56" s="21">
        <f t="shared" si="3"/>
        <v>47</v>
      </c>
      <c r="B56" s="20">
        <f t="shared" ca="1" si="4"/>
        <v>7.5442543188464547E-3</v>
      </c>
      <c r="C56" s="20">
        <f t="shared" ca="1" si="2"/>
        <v>0.93055162786642653</v>
      </c>
      <c r="D56" s="20">
        <f t="shared" ca="1" si="1"/>
        <v>0.35457995298578338</v>
      </c>
    </row>
    <row r="57" spans="1:4" x14ac:dyDescent="0.4">
      <c r="A57" s="21">
        <f t="shared" si="3"/>
        <v>48</v>
      </c>
      <c r="B57" s="20">
        <f t="shared" ca="1" si="4"/>
        <v>6.820651566040792E-3</v>
      </c>
      <c r="C57" s="20">
        <f t="shared" ca="1" si="2"/>
        <v>0.93737227943246737</v>
      </c>
      <c r="D57" s="20">
        <f t="shared" ca="1" si="1"/>
        <v>0.32739127516995803</v>
      </c>
    </row>
    <row r="58" spans="1:4" x14ac:dyDescent="0.4">
      <c r="A58" s="21">
        <f t="shared" si="3"/>
        <v>49</v>
      </c>
      <c r="B58" s="20">
        <f t="shared" ca="1" si="4"/>
        <v>6.1632981700629769E-3</v>
      </c>
      <c r="C58" s="20">
        <f t="shared" ca="1" si="2"/>
        <v>0.94353557760253037</v>
      </c>
      <c r="D58" s="20">
        <f t="shared" ca="1" si="1"/>
        <v>0.30200161033308587</v>
      </c>
    </row>
    <row r="59" spans="1:4" x14ac:dyDescent="0.4">
      <c r="A59" s="21">
        <f t="shared" si="3"/>
        <v>50</v>
      </c>
      <c r="B59" s="20">
        <f t="shared" ca="1" si="4"/>
        <v>5.5667753251020342E-3</v>
      </c>
      <c r="C59" s="20">
        <f t="shared" ca="1" si="2"/>
        <v>0.94910235292763245</v>
      </c>
      <c r="D59" s="20">
        <f t="shared" ca="1" si="1"/>
        <v>0.27833876625510173</v>
      </c>
    </row>
    <row r="60" spans="1:4" x14ac:dyDescent="0.4">
      <c r="A60" s="21">
        <f t="shared" si="3"/>
        <v>51</v>
      </c>
      <c r="B60" s="20">
        <f t="shared" ca="1" si="4"/>
        <v>5.0259696835475674E-3</v>
      </c>
      <c r="C60" s="20">
        <f t="shared" ca="1" si="2"/>
        <v>0.95412832261117997</v>
      </c>
      <c r="D60" s="20">
        <f t="shared" ca="1" si="1"/>
        <v>0.25632445386092595</v>
      </c>
    </row>
    <row r="61" spans="1:4" x14ac:dyDescent="0.4">
      <c r="A61" s="21">
        <f t="shared" si="3"/>
        <v>52</v>
      </c>
      <c r="B61" s="20">
        <f t="shared" ca="1" si="4"/>
        <v>4.5360886585862122E-3</v>
      </c>
      <c r="C61" s="20">
        <f t="shared" ca="1" si="2"/>
        <v>0.9586644112697662</v>
      </c>
      <c r="D61" s="20">
        <f t="shared" ca="1" si="1"/>
        <v>0.23587661024648304</v>
      </c>
    </row>
    <row r="62" spans="1:4" x14ac:dyDescent="0.4">
      <c r="A62" s="21">
        <f t="shared" si="3"/>
        <v>53</v>
      </c>
      <c r="B62" s="20">
        <f t="shared" ca="1" si="4"/>
        <v>4.0926654556666725E-3</v>
      </c>
      <c r="C62" s="20">
        <f t="shared" ca="1" si="2"/>
        <v>0.96275707672543287</v>
      </c>
      <c r="D62" s="20">
        <f t="shared" ca="1" si="1"/>
        <v>0.21691126915033365</v>
      </c>
    </row>
    <row r="63" spans="1:4" x14ac:dyDescent="0.4">
      <c r="A63" s="21">
        <f t="shared" si="3"/>
        <v>54</v>
      </c>
      <c r="B63" s="20">
        <f t="shared" ca="1" si="4"/>
        <v>3.6915564802793726E-3</v>
      </c>
      <c r="C63" s="20">
        <f t="shared" ca="1" si="2"/>
        <v>0.96644863320571228</v>
      </c>
      <c r="D63" s="20">
        <f t="shared" ca="1" si="1"/>
        <v>0.19934404993508612</v>
      </c>
    </row>
    <row r="64" spans="1:4" x14ac:dyDescent="0.4">
      <c r="A64" s="21">
        <f t="shared" si="3"/>
        <v>55</v>
      </c>
      <c r="B64" s="20">
        <f t="shared" ca="1" si="4"/>
        <v>3.3289332187175029E-3</v>
      </c>
      <c r="C64" s="20">
        <f t="shared" ca="1" si="2"/>
        <v>0.9697775664244298</v>
      </c>
      <c r="D64" s="20">
        <f t="shared" ca="1" si="1"/>
        <v>0.18309132702946265</v>
      </c>
    </row>
    <row r="65" spans="1:4" x14ac:dyDescent="0.4">
      <c r="A65" s="21">
        <f t="shared" si="3"/>
        <v>56</v>
      </c>
      <c r="B65" s="20">
        <f t="shared" ca="1" si="4"/>
        <v>3.0012702387102806E-3</v>
      </c>
      <c r="C65" s="20">
        <f t="shared" ca="1" si="2"/>
        <v>0.97277883666314013</v>
      </c>
      <c r="D65" s="20">
        <f t="shared" ca="1" si="1"/>
        <v>0.16807113336777571</v>
      </c>
    </row>
    <row r="66" spans="1:4" x14ac:dyDescent="0.4">
      <c r="A66" s="21">
        <f t="shared" si="3"/>
        <v>57</v>
      </c>
      <c r="B66" s="20">
        <f t="shared" ca="1" si="4"/>
        <v>2.7053305920946391E-3</v>
      </c>
      <c r="C66" s="20">
        <f t="shared" ca="1" si="2"/>
        <v>0.97548416725523479</v>
      </c>
      <c r="D66" s="20">
        <f t="shared" ca="1" si="1"/>
        <v>0.15420384374939441</v>
      </c>
    </row>
    <row r="67" spans="1:4" x14ac:dyDescent="0.4">
      <c r="A67" s="21">
        <f t="shared" si="3"/>
        <v>58</v>
      </c>
      <c r="B67" s="20">
        <f t="shared" ca="1" si="4"/>
        <v>2.4381496078519078E-3</v>
      </c>
      <c r="C67" s="20">
        <f t="shared" ca="1" si="2"/>
        <v>0.97792231686308673</v>
      </c>
      <c r="D67" s="20">
        <f t="shared" ca="1" si="1"/>
        <v>0.14141267725541065</v>
      </c>
    </row>
    <row r="68" spans="1:4" x14ac:dyDescent="0.4">
      <c r="A68" s="21">
        <f t="shared" si="3"/>
        <v>59</v>
      </c>
      <c r="B68" s="20">
        <f t="shared" ca="1" si="4"/>
        <v>2.197017828570489E-3</v>
      </c>
      <c r="C68" s="20">
        <f t="shared" ca="1" si="2"/>
        <v>0.98011933469165724</v>
      </c>
      <c r="D68" s="20">
        <f t="shared" ca="1" si="1"/>
        <v>0.12962405188565884</v>
      </c>
    </row>
    <row r="69" spans="1:4" x14ac:dyDescent="0.4">
      <c r="A69" s="21">
        <f t="shared" si="3"/>
        <v>60</v>
      </c>
      <c r="B69" s="20">
        <f t="shared" ca="1" si="4"/>
        <v>1.97946365617775E-3</v>
      </c>
      <c r="C69" s="20">
        <f t="shared" ca="1" si="2"/>
        <v>0.98209879834783498</v>
      </c>
      <c r="D69" s="20">
        <f t="shared" ca="1" si="1"/>
        <v>0.118767819370665</v>
      </c>
    </row>
    <row r="70" spans="1:4" x14ac:dyDescent="0.4">
      <c r="A70" s="21">
        <f t="shared" si="3"/>
        <v>61</v>
      </c>
      <c r="B70" s="20">
        <f t="shared" ca="1" si="4"/>
        <v>1.7832361247283458E-3</v>
      </c>
      <c r="C70" s="20">
        <f t="shared" ca="1" si="2"/>
        <v>0.98388203447256328</v>
      </c>
      <c r="D70" s="20">
        <f t="shared" ca="1" si="1"/>
        <v>0.10877740360842909</v>
      </c>
    </row>
    <row r="71" spans="1:4" x14ac:dyDescent="0.4">
      <c r="A71" s="21">
        <f t="shared" si="3"/>
        <v>62</v>
      </c>
      <c r="B71" s="20">
        <f t="shared" ca="1" si="4"/>
        <v>1.606288101716466E-3</v>
      </c>
      <c r="C71" s="20">
        <f t="shared" ca="1" si="2"/>
        <v>0.98548832257427976</v>
      </c>
      <c r="D71" s="20">
        <f t="shared" ca="1" si="1"/>
        <v>9.958986230642089E-2</v>
      </c>
    </row>
    <row r="72" spans="1:4" x14ac:dyDescent="0.4">
      <c r="A72" s="21">
        <f t="shared" si="3"/>
        <v>63</v>
      </c>
      <c r="B72" s="20">
        <f t="shared" ca="1" si="4"/>
        <v>1.4467601286430128E-3</v>
      </c>
      <c r="C72" s="20">
        <f t="shared" ca="1" si="2"/>
        <v>0.98693508270292274</v>
      </c>
      <c r="D72" s="20">
        <f t="shared" ca="1" si="1"/>
        <v>9.1145888104509798E-2</v>
      </c>
    </row>
    <row r="73" spans="1:4" x14ac:dyDescent="0.4">
      <c r="A73" s="21">
        <f t="shared" si="3"/>
        <v>64</v>
      </c>
      <c r="B73" s="20">
        <f t="shared" ca="1" si="4"/>
        <v>1.3029650413524968E-3</v>
      </c>
      <c r="C73" s="20">
        <f t="shared" ca="1" si="2"/>
        <v>0.98823804774427526</v>
      </c>
      <c r="D73" s="20">
        <f t="shared" ca="1" si="1"/>
        <v>8.3389762646559798E-2</v>
      </c>
    </row>
    <row r="74" spans="1:4" x14ac:dyDescent="0.4">
      <c r="A74" s="21">
        <f t="shared" si="3"/>
        <v>65</v>
      </c>
      <c r="B74" s="20">
        <f t="shared" ref="B74:B109" ca="1" si="5">FACT(B$7)*OFFSET(S, $A74-1, B$7-1)/B$7^$A74</f>
        <v>1.1733734568177146E-3</v>
      </c>
      <c r="C74" s="20">
        <f t="shared" ca="1" si="2"/>
        <v>0.98941142120109293</v>
      </c>
      <c r="D74" s="20">
        <f t="shared" ca="1" si="1"/>
        <v>7.6269274693151451E-2</v>
      </c>
    </row>
    <row r="75" spans="1:4" x14ac:dyDescent="0.4">
      <c r="A75" s="21">
        <f t="shared" si="3"/>
        <v>66</v>
      </c>
      <c r="B75" s="20">
        <f t="shared" ca="1" si="5"/>
        <v>1.0566001722241915E-3</v>
      </c>
      <c r="C75" s="20">
        <f t="shared" ca="1" si="2"/>
        <v>0.99046802137331713</v>
      </c>
      <c r="D75" s="20">
        <f t="shared" ref="D75:D109" ca="1" si="6">A75*B75</f>
        <v>6.9735611366796638E-2</v>
      </c>
    </row>
    <row r="76" spans="1:4" x14ac:dyDescent="0.4">
      <c r="A76" s="21">
        <f t="shared" si="3"/>
        <v>67</v>
      </c>
      <c r="B76" s="20">
        <f t="shared" ca="1" si="5"/>
        <v>9.5139149166320375E-4</v>
      </c>
      <c r="C76" s="20">
        <f t="shared" ref="C76:C109" ca="1" si="7">B76+C75</f>
        <v>0.99141941286498037</v>
      </c>
      <c r="D76" s="20">
        <f t="shared" ca="1" si="6"/>
        <v>6.3743229941434651E-2</v>
      </c>
    </row>
    <row r="77" spans="1:4" x14ac:dyDescent="0.4">
      <c r="A77" s="21">
        <f t="shared" ref="A77:A109" si="8">A76+1</f>
        <v>68</v>
      </c>
      <c r="B77" s="20">
        <f t="shared" ca="1" si="5"/>
        <v>8.5661347328280324E-4</v>
      </c>
      <c r="C77" s="20">
        <f t="shared" ca="1" si="7"/>
        <v>0.99227602633826317</v>
      </c>
      <c r="D77" s="20">
        <f t="shared" ca="1" si="6"/>
        <v>5.8249716183230618E-2</v>
      </c>
    </row>
    <row r="78" spans="1:4" x14ac:dyDescent="0.4">
      <c r="A78" s="21">
        <f t="shared" si="8"/>
        <v>69</v>
      </c>
      <c r="B78" s="20">
        <f t="shared" ca="1" si="5"/>
        <v>7.7124107360491642E-4</v>
      </c>
      <c r="C78" s="20">
        <f t="shared" ca="1" si="7"/>
        <v>0.99304726741186811</v>
      </c>
      <c r="D78" s="20">
        <f t="shared" ca="1" si="6"/>
        <v>5.3215634078739235E-2</v>
      </c>
    </row>
    <row r="79" spans="1:4" x14ac:dyDescent="0.4">
      <c r="A79" s="21">
        <f t="shared" si="8"/>
        <v>70</v>
      </c>
      <c r="B79" s="20">
        <f t="shared" ca="1" si="5"/>
        <v>6.9434815448104928E-4</v>
      </c>
      <c r="C79" s="20">
        <f t="shared" ca="1" si="7"/>
        <v>0.9937416155663491</v>
      </c>
      <c r="D79" s="20">
        <f t="shared" ca="1" si="6"/>
        <v>4.8604370813673449E-2</v>
      </c>
    </row>
    <row r="80" spans="1:4" x14ac:dyDescent="0.4">
      <c r="A80" s="21">
        <f t="shared" si="8"/>
        <v>71</v>
      </c>
      <c r="B80" s="20">
        <f t="shared" ca="1" si="5"/>
        <v>6.250983107043502E-4</v>
      </c>
      <c r="C80" s="20">
        <f t="shared" ca="1" si="7"/>
        <v>0.99436671387705344</v>
      </c>
      <c r="D80" s="20">
        <f t="shared" ca="1" si="6"/>
        <v>4.4381980060008867E-2</v>
      </c>
    </row>
    <row r="81" spans="1:4" x14ac:dyDescent="0.4">
      <c r="A81" s="21">
        <f t="shared" si="8"/>
        <v>72</v>
      </c>
      <c r="B81" s="20">
        <f t="shared" ca="1" si="5"/>
        <v>5.6273647172892804E-4</v>
      </c>
      <c r="C81" s="20">
        <f t="shared" ca="1" si="7"/>
        <v>0.99492945034878233</v>
      </c>
      <c r="D81" s="20">
        <f t="shared" ca="1" si="6"/>
        <v>4.0517025964482818E-2</v>
      </c>
    </row>
    <row r="82" spans="1:4" x14ac:dyDescent="0.4">
      <c r="A82" s="21">
        <f t="shared" si="8"/>
        <v>73</v>
      </c>
      <c r="B82" s="20">
        <f t="shared" ca="1" si="5"/>
        <v>5.0658122856281546E-4</v>
      </c>
      <c r="C82" s="20">
        <f t="shared" ca="1" si="7"/>
        <v>0.99543603157734517</v>
      </c>
      <c r="D82" s="20">
        <f t="shared" ca="1" si="6"/>
        <v>3.6980429685085532E-2</v>
      </c>
    </row>
    <row r="83" spans="1:4" x14ac:dyDescent="0.4">
      <c r="A83" s="21">
        <f t="shared" si="8"/>
        <v>74</v>
      </c>
      <c r="B83" s="20">
        <f t="shared" ca="1" si="5"/>
        <v>4.5601783614364593E-4</v>
      </c>
      <c r="C83" s="20">
        <f t="shared" ca="1" si="7"/>
        <v>0.99589204941348886</v>
      </c>
      <c r="D83" s="20">
        <f t="shared" ca="1" si="6"/>
        <v>3.3745319874629802E-2</v>
      </c>
    </row>
    <row r="84" spans="1:4" x14ac:dyDescent="0.4">
      <c r="A84" s="21">
        <f t="shared" si="8"/>
        <v>75</v>
      </c>
      <c r="B84" s="20">
        <f t="shared" ca="1" si="5"/>
        <v>4.1049184194124185E-4</v>
      </c>
      <c r="C84" s="20">
        <f t="shared" ca="1" si="7"/>
        <v>0.99630254125543005</v>
      </c>
      <c r="D84" s="20">
        <f t="shared" ca="1" si="6"/>
        <v>3.078688814559314E-2</v>
      </c>
    </row>
    <row r="85" spans="1:4" x14ac:dyDescent="0.4">
      <c r="A85" s="21">
        <f t="shared" si="8"/>
        <v>76</v>
      </c>
      <c r="B85" s="20">
        <f t="shared" ca="1" si="5"/>
        <v>3.6950329282032927E-4</v>
      </c>
      <c r="C85" s="20">
        <f t="shared" ca="1" si="7"/>
        <v>0.99667204454825042</v>
      </c>
      <c r="D85" s="20">
        <f t="shared" ca="1" si="6"/>
        <v>2.8082250254345024E-2</v>
      </c>
    </row>
    <row r="86" spans="1:4" x14ac:dyDescent="0.4">
      <c r="A86" s="21">
        <f t="shared" si="8"/>
        <v>77</v>
      </c>
      <c r="B86" s="20">
        <f t="shared" ca="1" si="5"/>
        <v>3.3260147407744806E-4</v>
      </c>
      <c r="C86" s="20">
        <f t="shared" ca="1" si="7"/>
        <v>0.99700464602232786</v>
      </c>
      <c r="D86" s="20">
        <f t="shared" ca="1" si="6"/>
        <v>2.5610313503963502E-2</v>
      </c>
    </row>
    <row r="87" spans="1:4" x14ac:dyDescent="0.4">
      <c r="A87" s="21">
        <f t="shared" si="8"/>
        <v>78</v>
      </c>
      <c r="B87" s="20">
        <f t="shared" ca="1" si="5"/>
        <v>2.993801368374516E-4</v>
      </c>
      <c r="C87" s="20">
        <f t="shared" ca="1" si="7"/>
        <v>0.99730402615916536</v>
      </c>
      <c r="D87" s="20">
        <f t="shared" ca="1" si="6"/>
        <v>2.3351650673321227E-2</v>
      </c>
    </row>
    <row r="88" spans="1:4" x14ac:dyDescent="0.4">
      <c r="A88" s="21">
        <f t="shared" si="8"/>
        <v>79</v>
      </c>
      <c r="B88" s="20">
        <f t="shared" ca="1" si="5"/>
        <v>2.6947317250341563E-4</v>
      </c>
      <c r="C88" s="20">
        <f t="shared" ca="1" si="7"/>
        <v>0.99757349933166872</v>
      </c>
      <c r="D88" s="20">
        <f t="shared" ca="1" si="6"/>
        <v>2.1288380627769835E-2</v>
      </c>
    </row>
    <row r="89" spans="1:4" x14ac:dyDescent="0.4">
      <c r="A89" s="21">
        <f t="shared" si="8"/>
        <v>80</v>
      </c>
      <c r="B89" s="20">
        <f t="shared" ca="1" si="5"/>
        <v>2.4255069558370575E-4</v>
      </c>
      <c r="C89" s="20">
        <f t="shared" ca="1" si="7"/>
        <v>0.99781605002725238</v>
      </c>
      <c r="D89" s="20">
        <f t="shared" ca="1" si="6"/>
        <v>1.940405564669646E-2</v>
      </c>
    </row>
    <row r="90" spans="1:4" x14ac:dyDescent="0.4">
      <c r="A90" s="21">
        <f t="shared" si="8"/>
        <v>81</v>
      </c>
      <c r="B90" s="20">
        <f t="shared" ca="1" si="5"/>
        <v>2.1831549888544967E-4</v>
      </c>
      <c r="C90" s="20">
        <f t="shared" ca="1" si="7"/>
        <v>0.99803436552613778</v>
      </c>
      <c r="D90" s="20">
        <f t="shared" ca="1" si="6"/>
        <v>1.7683555409721424E-2</v>
      </c>
    </row>
    <row r="91" spans="1:4" x14ac:dyDescent="0.4">
      <c r="A91" s="21">
        <f t="shared" si="8"/>
        <v>82</v>
      </c>
      <c r="B91" s="20">
        <f t="shared" ca="1" si="5"/>
        <v>1.9649984770192522E-4</v>
      </c>
      <c r="C91" s="20">
        <f t="shared" ca="1" si="7"/>
        <v>0.99823086537383965</v>
      </c>
      <c r="D91" s="20">
        <f t="shared" ca="1" si="6"/>
        <v>1.6112987511557868E-2</v>
      </c>
    </row>
    <row r="92" spans="1:4" x14ac:dyDescent="0.4">
      <c r="A92" s="21">
        <f t="shared" si="8"/>
        <v>83</v>
      </c>
      <c r="B92" s="20">
        <f t="shared" ca="1" si="5"/>
        <v>1.7686258218760082E-4</v>
      </c>
      <c r="C92" s="20">
        <f t="shared" ca="1" si="7"/>
        <v>0.99840772795602728</v>
      </c>
      <c r="D92" s="20">
        <f t="shared" ca="1" si="6"/>
        <v>1.4679594321570868E-2</v>
      </c>
    </row>
    <row r="93" spans="1:4" x14ac:dyDescent="0.4">
      <c r="A93" s="21">
        <f t="shared" si="8"/>
        <v>84</v>
      </c>
      <c r="B93" s="20">
        <f t="shared" ca="1" si="5"/>
        <v>1.5918649957783241E-4</v>
      </c>
      <c r="C93" s="20">
        <f t="shared" ca="1" si="7"/>
        <v>0.99856691445560508</v>
      </c>
      <c r="D93" s="20">
        <f t="shared" ca="1" si="6"/>
        <v>1.3371665964537923E-2</v>
      </c>
    </row>
    <row r="94" spans="1:4" x14ac:dyDescent="0.4">
      <c r="A94" s="21">
        <f t="shared" si="8"/>
        <v>85</v>
      </c>
      <c r="B94" s="20">
        <f t="shared" ca="1" si="5"/>
        <v>1.4327599025025102E-4</v>
      </c>
      <c r="C94" s="20">
        <f t="shared" ca="1" si="7"/>
        <v>0.99871019044585529</v>
      </c>
      <c r="D94" s="20">
        <f t="shared" ca="1" si="6"/>
        <v>1.2178459171271337E-2</v>
      </c>
    </row>
    <row r="95" spans="1:4" x14ac:dyDescent="0.4">
      <c r="A95" s="21">
        <f t="shared" si="8"/>
        <v>86</v>
      </c>
      <c r="B95" s="20">
        <f t="shared" ca="1" si="5"/>
        <v>1.2895490382949367E-4</v>
      </c>
      <c r="C95" s="20">
        <f t="shared" ca="1" si="7"/>
        <v>0.99883914534968476</v>
      </c>
      <c r="D95" s="20">
        <f t="shared" ca="1" si="6"/>
        <v>1.1090121729336455E-2</v>
      </c>
    </row>
    <row r="96" spans="1:4" x14ac:dyDescent="0.4">
      <c r="A96" s="21">
        <f t="shared" si="8"/>
        <v>87</v>
      </c>
      <c r="B96" s="20">
        <f t="shared" ca="1" si="5"/>
        <v>1.1606462360003314E-4</v>
      </c>
      <c r="C96" s="20">
        <f t="shared" ca="1" si="7"/>
        <v>0.9989552099732848</v>
      </c>
      <c r="D96" s="20">
        <f t="shared" ca="1" si="6"/>
        <v>1.0097622253202883E-2</v>
      </c>
    </row>
    <row r="97" spans="1:4" x14ac:dyDescent="0.4">
      <c r="A97" s="21">
        <f t="shared" si="8"/>
        <v>88</v>
      </c>
      <c r="B97" s="20">
        <f t="shared" ca="1" si="5"/>
        <v>1.0446232941187323E-4</v>
      </c>
      <c r="C97" s="20">
        <f t="shared" ca="1" si="7"/>
        <v>0.99905967230269666</v>
      </c>
      <c r="D97" s="20">
        <f t="shared" ca="1" si="6"/>
        <v>9.1926849882448449E-3</v>
      </c>
    </row>
    <row r="98" spans="1:4" x14ac:dyDescent="0.4">
      <c r="A98" s="21">
        <f t="shared" si="8"/>
        <v>89</v>
      </c>
      <c r="B98" s="20">
        <f t="shared" ca="1" si="5"/>
        <v>9.4019431042497304E-5</v>
      </c>
      <c r="C98" s="20">
        <f t="shared" ca="1" si="7"/>
        <v>0.99915369173373914</v>
      </c>
      <c r="D98" s="20">
        <f t="shared" ca="1" si="6"/>
        <v>8.3677293627822599E-3</v>
      </c>
    </row>
    <row r="99" spans="1:4" x14ac:dyDescent="0.4">
      <c r="A99" s="21">
        <f t="shared" si="8"/>
        <v>90</v>
      </c>
      <c r="B99" s="20">
        <f t="shared" ca="1" si="5"/>
        <v>8.4620155619732459E-5</v>
      </c>
      <c r="C99" s="20">
        <f t="shared" ca="1" si="7"/>
        <v>0.99923831188935885</v>
      </c>
      <c r="D99" s="20">
        <f t="shared" ca="1" si="6"/>
        <v>7.6158140057759217E-3</v>
      </c>
    </row>
    <row r="100" spans="1:4" x14ac:dyDescent="0.4">
      <c r="A100" s="21">
        <f t="shared" si="8"/>
        <v>91</v>
      </c>
      <c r="B100" s="20">
        <f t="shared" ca="1" si="5"/>
        <v>7.6160274219772136E-5</v>
      </c>
      <c r="C100" s="20">
        <f t="shared" ca="1" si="7"/>
        <v>0.9993144721635786</v>
      </c>
      <c r="D100" s="20">
        <f t="shared" ca="1" si="6"/>
        <v>6.9305849539992642E-3</v>
      </c>
    </row>
    <row r="101" spans="1:4" x14ac:dyDescent="0.4">
      <c r="A101" s="21">
        <f t="shared" si="8"/>
        <v>92</v>
      </c>
      <c r="B101" s="20">
        <f t="shared" ca="1" si="5"/>
        <v>6.8545954139182812E-5</v>
      </c>
      <c r="C101" s="20">
        <f t="shared" ca="1" si="7"/>
        <v>0.99938301811771779</v>
      </c>
      <c r="D101" s="20">
        <f t="shared" ca="1" si="6"/>
        <v>6.3062277808048186E-3</v>
      </c>
    </row>
    <row r="102" spans="1:4" x14ac:dyDescent="0.4">
      <c r="A102" s="21">
        <f t="shared" si="8"/>
        <v>93</v>
      </c>
      <c r="B102" s="20">
        <f t="shared" ca="1" si="5"/>
        <v>6.1692724606619137E-5</v>
      </c>
      <c r="C102" s="20">
        <f t="shared" ca="1" si="7"/>
        <v>0.99944471084232445</v>
      </c>
      <c r="D102" s="20">
        <f t="shared" ca="1" si="6"/>
        <v>5.7374233884155794E-3</v>
      </c>
    </row>
    <row r="103" spans="1:4" x14ac:dyDescent="0.4">
      <c r="A103" s="21">
        <f t="shared" si="8"/>
        <v>94</v>
      </c>
      <c r="B103" s="20">
        <f t="shared" ca="1" si="5"/>
        <v>5.5524544856811916E-5</v>
      </c>
      <c r="C103" s="20">
        <f t="shared" ca="1" si="7"/>
        <v>0.99950023538718125</v>
      </c>
      <c r="D103" s="20">
        <f t="shared" ca="1" si="6"/>
        <v>5.2193072165403198E-3</v>
      </c>
    </row>
    <row r="104" spans="1:4" x14ac:dyDescent="0.4">
      <c r="A104" s="21">
        <f t="shared" si="8"/>
        <v>95</v>
      </c>
      <c r="B104" s="20">
        <f t="shared" ca="1" si="5"/>
        <v>4.9972964543854186E-5</v>
      </c>
      <c r="C104" s="20">
        <f t="shared" ca="1" si="7"/>
        <v>0.99955020835172514</v>
      </c>
      <c r="D104" s="20">
        <f t="shared" ca="1" si="6"/>
        <v>4.7474316316661481E-3</v>
      </c>
    </row>
    <row r="105" spans="1:4" x14ac:dyDescent="0.4">
      <c r="A105" s="21">
        <f t="shared" si="8"/>
        <v>96</v>
      </c>
      <c r="B105" s="20">
        <f t="shared" ca="1" si="5"/>
        <v>4.4976367430475339E-5</v>
      </c>
      <c r="C105" s="20">
        <f t="shared" ca="1" si="7"/>
        <v>0.99959518471915565</v>
      </c>
      <c r="D105" s="20">
        <f t="shared" ca="1" si="6"/>
        <v>4.317731273325633E-3</v>
      </c>
    </row>
    <row r="106" spans="1:4" x14ac:dyDescent="0.4">
      <c r="A106" s="21">
        <f t="shared" si="8"/>
        <v>97</v>
      </c>
      <c r="B106" s="20">
        <f t="shared" ca="1" si="5"/>
        <v>4.0479290162212518E-5</v>
      </c>
      <c r="C106" s="20">
        <f t="shared" ca="1" si="7"/>
        <v>0.99963566400931791</v>
      </c>
      <c r="D106" s="20">
        <f t="shared" ca="1" si="6"/>
        <v>3.9264911457346143E-3</v>
      </c>
    </row>
    <row r="107" spans="1:4" x14ac:dyDescent="0.4">
      <c r="A107" s="21">
        <f t="shared" si="8"/>
        <v>98</v>
      </c>
      <c r="B107" s="20">
        <f t="shared" ca="1" si="5"/>
        <v>3.6431808727204661E-5</v>
      </c>
      <c r="C107" s="20">
        <f t="shared" ca="1" si="7"/>
        <v>0.99967209581804517</v>
      </c>
      <c r="D107" s="20">
        <f t="shared" ca="1" si="6"/>
        <v>3.5703172552660569E-3</v>
      </c>
    </row>
    <row r="108" spans="1:4" x14ac:dyDescent="0.4">
      <c r="A108" s="21">
        <f t="shared" si="8"/>
        <v>99</v>
      </c>
      <c r="B108" s="20">
        <f t="shared" ca="1" si="5"/>
        <v>3.2788985920424842E-5</v>
      </c>
      <c r="C108" s="20">
        <f t="shared" ca="1" si="7"/>
        <v>0.99970488480396558</v>
      </c>
      <c r="D108" s="20">
        <f t="shared" ca="1" si="6"/>
        <v>3.2461096061220593E-3</v>
      </c>
    </row>
    <row r="109" spans="1:4" x14ac:dyDescent="0.4">
      <c r="A109" s="21">
        <f t="shared" si="8"/>
        <v>100</v>
      </c>
      <c r="B109" s="20">
        <f t="shared" ca="1" si="5"/>
        <v>2.951037378181384E-5</v>
      </c>
      <c r="C109" s="20">
        <f t="shared" ca="1" si="7"/>
        <v>0.99973439517774743</v>
      </c>
      <c r="D109" s="20">
        <f t="shared" ca="1" si="6"/>
        <v>2.9510373781813839E-3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F9E9-B932-49DC-A511-60F86B335BFB}">
  <dimension ref="A1:B32"/>
  <sheetViews>
    <sheetView workbookViewId="0">
      <selection activeCell="A33" sqref="A33:XFD37"/>
    </sheetView>
  </sheetViews>
  <sheetFormatPr defaultRowHeight="18.75" x14ac:dyDescent="0.4"/>
  <sheetData>
    <row r="1" spans="1:2" x14ac:dyDescent="0.4">
      <c r="A1" t="s">
        <v>31</v>
      </c>
      <c r="B1" t="s">
        <v>32</v>
      </c>
    </row>
    <row r="2" spans="1:2" x14ac:dyDescent="0.4">
      <c r="A2">
        <v>-3</v>
      </c>
      <c r="B2">
        <f t="shared" ref="B2:B32" si="0">_xlfn.PHI(A2)</f>
        <v>4.4318484119380075E-3</v>
      </c>
    </row>
    <row r="3" spans="1:2" x14ac:dyDescent="0.4">
      <c r="A3">
        <v>-2.8</v>
      </c>
      <c r="B3">
        <f t="shared" si="0"/>
        <v>7.9154515829799686E-3</v>
      </c>
    </row>
    <row r="4" spans="1:2" x14ac:dyDescent="0.4">
      <c r="A4">
        <v>-2.6</v>
      </c>
      <c r="B4">
        <f t="shared" si="0"/>
        <v>1.3582969233685613E-2</v>
      </c>
    </row>
    <row r="5" spans="1:2" x14ac:dyDescent="0.4">
      <c r="A5">
        <v>-2.4</v>
      </c>
      <c r="B5">
        <f t="shared" si="0"/>
        <v>2.2394530294842899E-2</v>
      </c>
    </row>
    <row r="6" spans="1:2" x14ac:dyDescent="0.4">
      <c r="A6">
        <v>-2.2000000000000002</v>
      </c>
      <c r="B6">
        <f t="shared" si="0"/>
        <v>3.5474592846231424E-2</v>
      </c>
    </row>
    <row r="7" spans="1:2" x14ac:dyDescent="0.4">
      <c r="A7">
        <v>-2</v>
      </c>
      <c r="B7">
        <f t="shared" si="0"/>
        <v>5.3990966513188063E-2</v>
      </c>
    </row>
    <row r="8" spans="1:2" x14ac:dyDescent="0.4">
      <c r="A8">
        <v>-1.8</v>
      </c>
      <c r="B8">
        <f t="shared" si="0"/>
        <v>7.8950158300894149E-2</v>
      </c>
    </row>
    <row r="9" spans="1:2" x14ac:dyDescent="0.4">
      <c r="A9">
        <v>-1.6</v>
      </c>
      <c r="B9">
        <f t="shared" si="0"/>
        <v>0.11092083467945554</v>
      </c>
    </row>
    <row r="10" spans="1:2" x14ac:dyDescent="0.4">
      <c r="A10">
        <v>-1.4</v>
      </c>
      <c r="B10">
        <f t="shared" si="0"/>
        <v>0.14972746563574488</v>
      </c>
    </row>
    <row r="11" spans="1:2" x14ac:dyDescent="0.4">
      <c r="A11">
        <v>-1.2</v>
      </c>
      <c r="B11">
        <f t="shared" si="0"/>
        <v>0.19418605498321295</v>
      </c>
    </row>
    <row r="12" spans="1:2" x14ac:dyDescent="0.4">
      <c r="A12">
        <v>-1</v>
      </c>
      <c r="B12">
        <f t="shared" si="0"/>
        <v>0.24197072451914337</v>
      </c>
    </row>
    <row r="13" spans="1:2" x14ac:dyDescent="0.4">
      <c r="A13">
        <v>-0.8</v>
      </c>
      <c r="B13">
        <f t="shared" si="0"/>
        <v>0.28969155276148273</v>
      </c>
    </row>
    <row r="14" spans="1:2" x14ac:dyDescent="0.4">
      <c r="A14">
        <v>-0.6</v>
      </c>
      <c r="B14">
        <f t="shared" si="0"/>
        <v>0.33322460289179967</v>
      </c>
    </row>
    <row r="15" spans="1:2" x14ac:dyDescent="0.4">
      <c r="A15">
        <v>-0.4</v>
      </c>
      <c r="B15">
        <f t="shared" si="0"/>
        <v>0.36827014030332333</v>
      </c>
    </row>
    <row r="16" spans="1:2" x14ac:dyDescent="0.4">
      <c r="A16">
        <v>-0.2</v>
      </c>
      <c r="B16">
        <f t="shared" si="0"/>
        <v>0.39104269397545588</v>
      </c>
    </row>
    <row r="17" spans="1:2" x14ac:dyDescent="0.4">
      <c r="A17">
        <v>0</v>
      </c>
      <c r="B17">
        <f t="shared" si="0"/>
        <v>0.3989422804014327</v>
      </c>
    </row>
    <row r="18" spans="1:2" x14ac:dyDescent="0.4">
      <c r="A18">
        <v>0.2</v>
      </c>
      <c r="B18">
        <f t="shared" si="0"/>
        <v>0.39104269397545588</v>
      </c>
    </row>
    <row r="19" spans="1:2" x14ac:dyDescent="0.4">
      <c r="A19">
        <v>0.4</v>
      </c>
      <c r="B19">
        <f t="shared" si="0"/>
        <v>0.36827014030332333</v>
      </c>
    </row>
    <row r="20" spans="1:2" x14ac:dyDescent="0.4">
      <c r="A20">
        <v>0.6</v>
      </c>
      <c r="B20">
        <f t="shared" si="0"/>
        <v>0.33322460289179967</v>
      </c>
    </row>
    <row r="21" spans="1:2" x14ac:dyDescent="0.4">
      <c r="A21">
        <v>0.8</v>
      </c>
      <c r="B21">
        <f t="shared" si="0"/>
        <v>0.28969155276148273</v>
      </c>
    </row>
    <row r="22" spans="1:2" x14ac:dyDescent="0.4">
      <c r="A22">
        <v>1</v>
      </c>
      <c r="B22">
        <f t="shared" si="0"/>
        <v>0.24197072451914337</v>
      </c>
    </row>
    <row r="23" spans="1:2" x14ac:dyDescent="0.4">
      <c r="A23">
        <v>1.2</v>
      </c>
      <c r="B23">
        <f t="shared" si="0"/>
        <v>0.19418605498321295</v>
      </c>
    </row>
    <row r="24" spans="1:2" x14ac:dyDescent="0.4">
      <c r="A24">
        <v>1.4</v>
      </c>
      <c r="B24">
        <f t="shared" si="0"/>
        <v>0.14972746563574488</v>
      </c>
    </row>
    <row r="25" spans="1:2" x14ac:dyDescent="0.4">
      <c r="A25">
        <v>1.6</v>
      </c>
      <c r="B25">
        <f t="shared" si="0"/>
        <v>0.11092083467945554</v>
      </c>
    </row>
    <row r="26" spans="1:2" x14ac:dyDescent="0.4">
      <c r="A26">
        <v>1.80000000000001</v>
      </c>
      <c r="B26">
        <f t="shared" si="0"/>
        <v>7.8950158300892734E-2</v>
      </c>
    </row>
    <row r="27" spans="1:2" x14ac:dyDescent="0.4">
      <c r="A27">
        <v>2.0000000000000102</v>
      </c>
      <c r="B27">
        <f t="shared" si="0"/>
        <v>5.3990966513186953E-2</v>
      </c>
    </row>
    <row r="28" spans="1:2" x14ac:dyDescent="0.4">
      <c r="A28">
        <v>2.2000000000000099</v>
      </c>
      <c r="B28">
        <f t="shared" si="0"/>
        <v>3.5474592846230668E-2</v>
      </c>
    </row>
    <row r="29" spans="1:2" x14ac:dyDescent="0.4">
      <c r="A29">
        <v>2.4000000000000101</v>
      </c>
      <c r="B29">
        <f t="shared" si="0"/>
        <v>2.2394530294842355E-2</v>
      </c>
    </row>
    <row r="30" spans="1:2" x14ac:dyDescent="0.4">
      <c r="A30">
        <v>2.6000000000000099</v>
      </c>
      <c r="B30">
        <f t="shared" si="0"/>
        <v>1.3582969233685271E-2</v>
      </c>
    </row>
    <row r="31" spans="1:2" x14ac:dyDescent="0.4">
      <c r="A31">
        <v>2.80000000000001</v>
      </c>
      <c r="B31">
        <f t="shared" si="0"/>
        <v>7.915451582979743E-3</v>
      </c>
    </row>
    <row r="32" spans="1:2" x14ac:dyDescent="0.4">
      <c r="A32">
        <v>3.0000000000000102</v>
      </c>
      <c r="B32">
        <f t="shared" si="0"/>
        <v>4.431848411937874E-3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5</vt:i4>
      </vt:variant>
      <vt:variant>
        <vt:lpstr>グラフ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誕生日</vt:lpstr>
      <vt:lpstr>スターリング数</vt:lpstr>
      <vt:lpstr>クーポン収集問題-確率分布</vt:lpstr>
      <vt:lpstr>クーポン収集問題</vt:lpstr>
      <vt:lpstr>Φ(x)</vt:lpstr>
      <vt:lpstr>誕生日グラフ</vt:lpstr>
      <vt:lpstr>グラフ4</vt:lpstr>
      <vt:lpstr>クーポン収集問題!k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2022-10-26T21:40:49Z</dcterms:created>
  <dcterms:modified xsi:type="dcterms:W3CDTF">2022-10-29T07:08:15Z</dcterms:modified>
</cp:coreProperties>
</file>