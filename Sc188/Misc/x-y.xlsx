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8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9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13_ncr:1_{EDB54A02-2870-43BB-93F6-C2E700563CA4}" xr6:coauthVersionLast="36" xr6:coauthVersionMax="36" xr10:uidLastSave="{00000000-0000-0000-0000-000000000000}"/>
  <bookViews>
    <workbookView xWindow="0" yWindow="3870" windowWidth="21570" windowHeight="10395" activeTab="4" xr2:uid="{8BA183BE-6F3A-4EFD-ADD2-28B0977C04B3}"/>
  </bookViews>
  <sheets>
    <sheet name="rand1" sheetId="1" r:id="rId1"/>
    <sheet name="rand2" sheetId="11" r:id="rId2"/>
    <sheet name="oval" sheetId="12" r:id="rId3"/>
    <sheet name="globe" sheetId="13" r:id="rId4"/>
    <sheet name="Sheet2" sheetId="14" r:id="rId5"/>
  </sheets>
  <definedNames>
    <definedName name="_xlchart.v1.0" hidden="1">rand1!$A$4</definedName>
    <definedName name="_xlchart.v1.1" hidden="1">rand1!$A$5:$A$204</definedName>
    <definedName name="_xlchart.v1.10" hidden="1">rand2!$L$1</definedName>
    <definedName name="_xlchart.v1.11" hidden="1">rand2!$L$2:$L$201</definedName>
    <definedName name="_xlchart.v1.12" hidden="1">rand2!$M$1</definedName>
    <definedName name="_xlchart.v1.13" hidden="1">rand2!$M$2:$M$201</definedName>
    <definedName name="_xlchart.v1.14" hidden="1">rand2!$B$8</definedName>
    <definedName name="_xlchart.v1.15" hidden="1">rand2!$B$9:$B$208</definedName>
    <definedName name="_xlchart.v1.16" hidden="1">rand2!$A$8</definedName>
    <definedName name="_xlchart.v1.17" hidden="1">rand2!$A$9:$A$208</definedName>
    <definedName name="_xlchart.v1.18" hidden="1">rand2!$B$8</definedName>
    <definedName name="_xlchart.v1.19" hidden="1">rand2!$B$9:$B$208</definedName>
    <definedName name="_xlchart.v1.2" hidden="1">rand1!$B$4</definedName>
    <definedName name="_xlchart.v1.20" hidden="1">oval!$AA$1</definedName>
    <definedName name="_xlchart.v1.21" hidden="1">oval!$AA$2:$AA$201</definedName>
    <definedName name="_xlchart.v1.22" hidden="1">oval!$AB$1</definedName>
    <definedName name="_xlchart.v1.23" hidden="1">oval!$AB$2:$AB$201</definedName>
    <definedName name="_xlchart.v1.3" hidden="1">rand1!$B$5:$B$204</definedName>
    <definedName name="_xlchart.v1.4" hidden="1">rand2!$L$1</definedName>
    <definedName name="_xlchart.v1.5" hidden="1">rand2!$L$2:$L$201</definedName>
    <definedName name="_xlchart.v1.6" hidden="1">rand2!$M$1</definedName>
    <definedName name="_xlchart.v1.7" hidden="1">rand2!$M$2:$M$201</definedName>
    <definedName name="_xlchart.v1.8" hidden="1">rand2!$A$8</definedName>
    <definedName name="_xlchart.v1.9" hidden="1">rand2!$A$9:$A$208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rand2!$L$1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3" l="1"/>
  <c r="C100" i="13"/>
  <c r="D100" i="13"/>
  <c r="H100" i="13" s="1"/>
  <c r="C101" i="13"/>
  <c r="D101" i="13"/>
  <c r="H101" i="13" s="1"/>
  <c r="C102" i="13"/>
  <c r="D102" i="13"/>
  <c r="H102" i="13" s="1"/>
  <c r="C103" i="13"/>
  <c r="D103" i="13"/>
  <c r="H103" i="13" s="1"/>
  <c r="C104" i="13"/>
  <c r="D104" i="13"/>
  <c r="H104" i="13" s="1"/>
  <c r="C105" i="13"/>
  <c r="D105" i="13"/>
  <c r="H105" i="13" s="1"/>
  <c r="C106" i="13"/>
  <c r="D106" i="13"/>
  <c r="H106" i="13" s="1"/>
  <c r="C107" i="13"/>
  <c r="D107" i="13"/>
  <c r="H107" i="13" s="1"/>
  <c r="C108" i="13"/>
  <c r="D108" i="13"/>
  <c r="H108" i="13" s="1"/>
  <c r="C109" i="13"/>
  <c r="D109" i="13"/>
  <c r="H109" i="13" s="1"/>
  <c r="C110" i="13"/>
  <c r="D110" i="13"/>
  <c r="H110" i="13" s="1"/>
  <c r="C111" i="13"/>
  <c r="D111" i="13"/>
  <c r="H111" i="13" s="1"/>
  <c r="C112" i="13"/>
  <c r="D112" i="13"/>
  <c r="H112" i="13" s="1"/>
  <c r="C113" i="13"/>
  <c r="D113" i="13"/>
  <c r="H113" i="13" s="1"/>
  <c r="C114" i="13"/>
  <c r="D114" i="13"/>
  <c r="H114" i="13" s="1"/>
  <c r="C115" i="13"/>
  <c r="D115" i="13"/>
  <c r="H115" i="13" s="1"/>
  <c r="C116" i="13"/>
  <c r="D116" i="13"/>
  <c r="H116" i="13" s="1"/>
  <c r="C117" i="13"/>
  <c r="D117" i="13"/>
  <c r="H117" i="13" s="1"/>
  <c r="C118" i="13"/>
  <c r="D118" i="13"/>
  <c r="H118" i="13" s="1"/>
  <c r="C119" i="13"/>
  <c r="D119" i="13"/>
  <c r="H119" i="13" s="1"/>
  <c r="C120" i="13"/>
  <c r="D120" i="13"/>
  <c r="H120" i="13" s="1"/>
  <c r="C121" i="13"/>
  <c r="D121" i="13"/>
  <c r="H121" i="13" s="1"/>
  <c r="C122" i="13"/>
  <c r="D122" i="13"/>
  <c r="H122" i="13" s="1"/>
  <c r="C123" i="13"/>
  <c r="D123" i="13"/>
  <c r="H123" i="13" s="1"/>
  <c r="C124" i="13"/>
  <c r="D124" i="13"/>
  <c r="H124" i="13" s="1"/>
  <c r="C125" i="13"/>
  <c r="D125" i="13"/>
  <c r="H125" i="13" s="1"/>
  <c r="C126" i="13"/>
  <c r="D126" i="13"/>
  <c r="H126" i="13" s="1"/>
  <c r="C127" i="13"/>
  <c r="D127" i="13"/>
  <c r="H127" i="13" s="1"/>
  <c r="C128" i="13"/>
  <c r="D128" i="13"/>
  <c r="H128" i="13" s="1"/>
  <c r="C129" i="13"/>
  <c r="D129" i="13"/>
  <c r="H129" i="13" s="1"/>
  <c r="C130" i="13"/>
  <c r="D130" i="13"/>
  <c r="H130" i="13" s="1"/>
  <c r="C131" i="13"/>
  <c r="D131" i="13"/>
  <c r="H131" i="13" s="1"/>
  <c r="C132" i="13"/>
  <c r="D132" i="13"/>
  <c r="H132" i="13" s="1"/>
  <c r="C133" i="13"/>
  <c r="D133" i="13"/>
  <c r="H133" i="13" s="1"/>
  <c r="C134" i="13"/>
  <c r="D134" i="13"/>
  <c r="H134" i="13" s="1"/>
  <c r="C135" i="13"/>
  <c r="D135" i="13"/>
  <c r="H135" i="13" s="1"/>
  <c r="C136" i="13"/>
  <c r="D136" i="13"/>
  <c r="H136" i="13" s="1"/>
  <c r="C137" i="13"/>
  <c r="D137" i="13"/>
  <c r="H137" i="13" s="1"/>
  <c r="C138" i="13"/>
  <c r="D138" i="13"/>
  <c r="H138" i="13" s="1"/>
  <c r="C139" i="13"/>
  <c r="D139" i="13"/>
  <c r="H139" i="13" s="1"/>
  <c r="C140" i="13"/>
  <c r="D140" i="13"/>
  <c r="H140" i="13" s="1"/>
  <c r="C141" i="13"/>
  <c r="D141" i="13"/>
  <c r="H141" i="13" s="1"/>
  <c r="C142" i="13"/>
  <c r="D142" i="13"/>
  <c r="H142" i="13" s="1"/>
  <c r="C143" i="13"/>
  <c r="D143" i="13"/>
  <c r="H143" i="13" s="1"/>
  <c r="C144" i="13"/>
  <c r="D144" i="13"/>
  <c r="H144" i="13" s="1"/>
  <c r="C145" i="13"/>
  <c r="D145" i="13"/>
  <c r="H145" i="13" s="1"/>
  <c r="C146" i="13"/>
  <c r="D146" i="13"/>
  <c r="H146" i="13" s="1"/>
  <c r="C147" i="13"/>
  <c r="D147" i="13"/>
  <c r="H147" i="13" s="1"/>
  <c r="C148" i="13"/>
  <c r="D148" i="13"/>
  <c r="H148" i="13" s="1"/>
  <c r="C149" i="13"/>
  <c r="D149" i="13"/>
  <c r="H149" i="13" s="1"/>
  <c r="C150" i="13"/>
  <c r="D150" i="13"/>
  <c r="H150" i="13" s="1"/>
  <c r="C151" i="13"/>
  <c r="D151" i="13"/>
  <c r="H151" i="13" s="1"/>
  <c r="C152" i="13"/>
  <c r="D152" i="13"/>
  <c r="H152" i="13" s="1"/>
  <c r="C153" i="13"/>
  <c r="D153" i="13"/>
  <c r="H153" i="13" s="1"/>
  <c r="C154" i="13"/>
  <c r="D154" i="13"/>
  <c r="H154" i="13" s="1"/>
  <c r="C155" i="13"/>
  <c r="D155" i="13"/>
  <c r="H155" i="13" s="1"/>
  <c r="C156" i="13"/>
  <c r="D156" i="13"/>
  <c r="H156" i="13" s="1"/>
  <c r="C157" i="13"/>
  <c r="D157" i="13"/>
  <c r="H157" i="13" s="1"/>
  <c r="C158" i="13"/>
  <c r="D158" i="13"/>
  <c r="H158" i="13" s="1"/>
  <c r="C159" i="13"/>
  <c r="D159" i="13"/>
  <c r="H159" i="13" s="1"/>
  <c r="C160" i="13"/>
  <c r="D160" i="13"/>
  <c r="H160" i="13" s="1"/>
  <c r="C161" i="13"/>
  <c r="D161" i="13"/>
  <c r="H161" i="13" s="1"/>
  <c r="C162" i="13"/>
  <c r="D162" i="13"/>
  <c r="H162" i="13" s="1"/>
  <c r="C163" i="13"/>
  <c r="D163" i="13"/>
  <c r="H163" i="13" s="1"/>
  <c r="C164" i="13"/>
  <c r="D164" i="13"/>
  <c r="H164" i="13" s="1"/>
  <c r="C165" i="13"/>
  <c r="D165" i="13"/>
  <c r="H165" i="13" s="1"/>
  <c r="C166" i="13"/>
  <c r="D166" i="13"/>
  <c r="H166" i="13" s="1"/>
  <c r="C167" i="13"/>
  <c r="D167" i="13"/>
  <c r="H167" i="13" s="1"/>
  <c r="C168" i="13"/>
  <c r="D168" i="13"/>
  <c r="H168" i="13" s="1"/>
  <c r="C169" i="13"/>
  <c r="D169" i="13"/>
  <c r="H169" i="13" s="1"/>
  <c r="C170" i="13"/>
  <c r="D170" i="13"/>
  <c r="C171" i="13"/>
  <c r="D171" i="13"/>
  <c r="H171" i="13" s="1"/>
  <c r="C172" i="13"/>
  <c r="D172" i="13"/>
  <c r="H172" i="13" s="1"/>
  <c r="C173" i="13"/>
  <c r="D173" i="13"/>
  <c r="H173" i="13" s="1"/>
  <c r="C174" i="13"/>
  <c r="D174" i="13"/>
  <c r="C175" i="13"/>
  <c r="D175" i="13"/>
  <c r="H175" i="13" s="1"/>
  <c r="C176" i="13"/>
  <c r="D176" i="13"/>
  <c r="H176" i="13" s="1"/>
  <c r="C177" i="13"/>
  <c r="D177" i="13"/>
  <c r="H177" i="13" s="1"/>
  <c r="C178" i="13"/>
  <c r="D178" i="13"/>
  <c r="C179" i="13"/>
  <c r="D179" i="13"/>
  <c r="H179" i="13" s="1"/>
  <c r="C180" i="13"/>
  <c r="D180" i="13"/>
  <c r="H180" i="13" s="1"/>
  <c r="C181" i="13"/>
  <c r="D181" i="13"/>
  <c r="H181" i="13" s="1"/>
  <c r="C182" i="13"/>
  <c r="D182" i="13"/>
  <c r="C183" i="13"/>
  <c r="D183" i="13"/>
  <c r="H183" i="13" s="1"/>
  <c r="C184" i="13"/>
  <c r="D184" i="13"/>
  <c r="H184" i="13" s="1"/>
  <c r="C185" i="13"/>
  <c r="D185" i="13"/>
  <c r="H185" i="13" s="1"/>
  <c r="C186" i="13"/>
  <c r="D186" i="13"/>
  <c r="C187" i="13"/>
  <c r="D187" i="13"/>
  <c r="H187" i="13" s="1"/>
  <c r="C188" i="13"/>
  <c r="D188" i="13"/>
  <c r="H188" i="13" s="1"/>
  <c r="C189" i="13"/>
  <c r="D189" i="13"/>
  <c r="H189" i="13" s="1"/>
  <c r="C190" i="13"/>
  <c r="D190" i="13"/>
  <c r="C191" i="13"/>
  <c r="D191" i="13"/>
  <c r="H191" i="13" s="1"/>
  <c r="C192" i="13"/>
  <c r="D192" i="13"/>
  <c r="H192" i="13" s="1"/>
  <c r="C193" i="13"/>
  <c r="D193" i="13"/>
  <c r="H193" i="13" s="1"/>
  <c r="C194" i="13"/>
  <c r="D194" i="13"/>
  <c r="C195" i="13"/>
  <c r="D195" i="13"/>
  <c r="H195" i="13" s="1"/>
  <c r="C196" i="13"/>
  <c r="D196" i="13"/>
  <c r="H196" i="13" s="1"/>
  <c r="C197" i="13"/>
  <c r="D197" i="13"/>
  <c r="H197" i="13" s="1"/>
  <c r="C198" i="13"/>
  <c r="D198" i="13"/>
  <c r="C199" i="13"/>
  <c r="D199" i="13"/>
  <c r="H199" i="13" s="1"/>
  <c r="C200" i="13"/>
  <c r="D200" i="13"/>
  <c r="H200" i="13" s="1"/>
  <c r="C201" i="13"/>
  <c r="D201" i="13"/>
  <c r="H201" i="13" s="1"/>
  <c r="C202" i="13"/>
  <c r="D202" i="13"/>
  <c r="C203" i="13"/>
  <c r="D203" i="13"/>
  <c r="H203" i="13" s="1"/>
  <c r="C204" i="13"/>
  <c r="D204" i="13"/>
  <c r="H204" i="13" s="1"/>
  <c r="D6" i="13"/>
  <c r="H6" i="13" s="1"/>
  <c r="D7" i="13"/>
  <c r="H7" i="13" s="1"/>
  <c r="D8" i="13"/>
  <c r="H8" i="13" s="1"/>
  <c r="D9" i="13"/>
  <c r="D10" i="13"/>
  <c r="H10" i="13" s="1"/>
  <c r="D11" i="13"/>
  <c r="H11" i="13" s="1"/>
  <c r="D12" i="13"/>
  <c r="H12" i="13" s="1"/>
  <c r="D13" i="13"/>
  <c r="D14" i="13"/>
  <c r="H14" i="13" s="1"/>
  <c r="D15" i="13"/>
  <c r="H15" i="13" s="1"/>
  <c r="D16" i="13"/>
  <c r="H16" i="13" s="1"/>
  <c r="D17" i="13"/>
  <c r="D18" i="13"/>
  <c r="H18" i="13" s="1"/>
  <c r="D19" i="13"/>
  <c r="H19" i="13" s="1"/>
  <c r="D20" i="13"/>
  <c r="H20" i="13" s="1"/>
  <c r="D21" i="13"/>
  <c r="D22" i="13"/>
  <c r="H22" i="13" s="1"/>
  <c r="D23" i="13"/>
  <c r="H23" i="13" s="1"/>
  <c r="D24" i="13"/>
  <c r="H24" i="13" s="1"/>
  <c r="D25" i="13"/>
  <c r="D26" i="13"/>
  <c r="H26" i="13" s="1"/>
  <c r="D27" i="13"/>
  <c r="H27" i="13" s="1"/>
  <c r="D28" i="13"/>
  <c r="H28" i="13" s="1"/>
  <c r="D29" i="13"/>
  <c r="D30" i="13"/>
  <c r="H30" i="13" s="1"/>
  <c r="D31" i="13"/>
  <c r="H31" i="13" s="1"/>
  <c r="D32" i="13"/>
  <c r="H32" i="13" s="1"/>
  <c r="D33" i="13"/>
  <c r="D34" i="13"/>
  <c r="H34" i="13" s="1"/>
  <c r="D35" i="13"/>
  <c r="H35" i="13" s="1"/>
  <c r="D36" i="13"/>
  <c r="H36" i="13" s="1"/>
  <c r="D37" i="13"/>
  <c r="D38" i="13"/>
  <c r="H38" i="13" s="1"/>
  <c r="D39" i="13"/>
  <c r="H39" i="13" s="1"/>
  <c r="D40" i="13"/>
  <c r="H40" i="13" s="1"/>
  <c r="D41" i="13"/>
  <c r="D42" i="13"/>
  <c r="H42" i="13" s="1"/>
  <c r="D43" i="13"/>
  <c r="H43" i="13" s="1"/>
  <c r="D44" i="13"/>
  <c r="H44" i="13" s="1"/>
  <c r="D45" i="13"/>
  <c r="D46" i="13"/>
  <c r="H46" i="13" s="1"/>
  <c r="D47" i="13"/>
  <c r="H47" i="13" s="1"/>
  <c r="D48" i="13"/>
  <c r="H48" i="13" s="1"/>
  <c r="D49" i="13"/>
  <c r="D50" i="13"/>
  <c r="H50" i="13" s="1"/>
  <c r="D51" i="13"/>
  <c r="H51" i="13" s="1"/>
  <c r="D52" i="13"/>
  <c r="H52" i="13" s="1"/>
  <c r="D53" i="13"/>
  <c r="D54" i="13"/>
  <c r="H54" i="13" s="1"/>
  <c r="D55" i="13"/>
  <c r="H55" i="13" s="1"/>
  <c r="D56" i="13"/>
  <c r="H56" i="13" s="1"/>
  <c r="D57" i="13"/>
  <c r="D58" i="13"/>
  <c r="H58" i="13" s="1"/>
  <c r="D59" i="13"/>
  <c r="H59" i="13" s="1"/>
  <c r="D60" i="13"/>
  <c r="H60" i="13" s="1"/>
  <c r="D61" i="13"/>
  <c r="D62" i="13"/>
  <c r="H62" i="13" s="1"/>
  <c r="D63" i="13"/>
  <c r="H63" i="13" s="1"/>
  <c r="D64" i="13"/>
  <c r="H64" i="13" s="1"/>
  <c r="D65" i="13"/>
  <c r="D66" i="13"/>
  <c r="H66" i="13" s="1"/>
  <c r="D67" i="13"/>
  <c r="H67" i="13" s="1"/>
  <c r="D68" i="13"/>
  <c r="H68" i="13" s="1"/>
  <c r="D69" i="13"/>
  <c r="D70" i="13"/>
  <c r="H70" i="13" s="1"/>
  <c r="D71" i="13"/>
  <c r="H71" i="13" s="1"/>
  <c r="D72" i="13"/>
  <c r="H72" i="13" s="1"/>
  <c r="D73" i="13"/>
  <c r="D74" i="13"/>
  <c r="H74" i="13" s="1"/>
  <c r="D75" i="13"/>
  <c r="H75" i="13" s="1"/>
  <c r="D76" i="13"/>
  <c r="H76" i="13" s="1"/>
  <c r="D77" i="13"/>
  <c r="D78" i="13"/>
  <c r="H78" i="13" s="1"/>
  <c r="D79" i="13"/>
  <c r="H79" i="13" s="1"/>
  <c r="D80" i="13"/>
  <c r="H80" i="13" s="1"/>
  <c r="D81" i="13"/>
  <c r="D82" i="13"/>
  <c r="H82" i="13" s="1"/>
  <c r="D83" i="13"/>
  <c r="H83" i="13" s="1"/>
  <c r="D84" i="13"/>
  <c r="H84" i="13" s="1"/>
  <c r="D85" i="13"/>
  <c r="D86" i="13"/>
  <c r="H86" i="13" s="1"/>
  <c r="D87" i="13"/>
  <c r="H87" i="13" s="1"/>
  <c r="D88" i="13"/>
  <c r="H88" i="13" s="1"/>
  <c r="D89" i="13"/>
  <c r="D90" i="13"/>
  <c r="H90" i="13" s="1"/>
  <c r="D91" i="13"/>
  <c r="H91" i="13" s="1"/>
  <c r="D92" i="13"/>
  <c r="H92" i="13" s="1"/>
  <c r="D93" i="13"/>
  <c r="D94" i="13"/>
  <c r="H94" i="13" s="1"/>
  <c r="D95" i="13"/>
  <c r="H95" i="13" s="1"/>
  <c r="D96" i="13"/>
  <c r="H96" i="13" s="1"/>
  <c r="D97" i="13"/>
  <c r="D98" i="13"/>
  <c r="H98" i="13" s="1"/>
  <c r="D99" i="13"/>
  <c r="H99" i="13" s="1"/>
  <c r="D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5" i="13"/>
  <c r="H202" i="13" l="1"/>
  <c r="H198" i="13"/>
  <c r="H194" i="13"/>
  <c r="H190" i="13"/>
  <c r="H186" i="13"/>
  <c r="H182" i="13"/>
  <c r="H178" i="13"/>
  <c r="H174" i="13"/>
  <c r="H170" i="13"/>
  <c r="H93" i="13"/>
  <c r="H85" i="13"/>
  <c r="H77" i="13"/>
  <c r="H73" i="13"/>
  <c r="H69" i="13"/>
  <c r="H61" i="13"/>
  <c r="H57" i="13"/>
  <c r="H53" i="13"/>
  <c r="H49" i="13"/>
  <c r="H45" i="13"/>
  <c r="H41" i="13"/>
  <c r="H37" i="13"/>
  <c r="H33" i="13"/>
  <c r="H29" i="13"/>
  <c r="H25" i="13"/>
  <c r="H21" i="13"/>
  <c r="H17" i="13"/>
  <c r="H13" i="13"/>
  <c r="H9" i="13"/>
  <c r="H97" i="13"/>
  <c r="H89" i="13"/>
  <c r="H81" i="13"/>
  <c r="H65" i="13"/>
  <c r="H5" i="13"/>
  <c r="F98" i="13"/>
  <c r="F90" i="13"/>
  <c r="F86" i="13"/>
  <c r="F82" i="13"/>
  <c r="F78" i="13"/>
  <c r="F74" i="13"/>
  <c r="F70" i="13"/>
  <c r="F66" i="13"/>
  <c r="F62" i="13"/>
  <c r="F58" i="13"/>
  <c r="F54" i="13"/>
  <c r="F50" i="13"/>
  <c r="F46" i="13"/>
  <c r="F42" i="13"/>
  <c r="F38" i="13"/>
  <c r="F34" i="13"/>
  <c r="F30" i="13"/>
  <c r="F26" i="13"/>
  <c r="F22" i="13"/>
  <c r="F18" i="13"/>
  <c r="F14" i="13"/>
  <c r="F10" i="13"/>
  <c r="F6" i="13"/>
  <c r="F94" i="13"/>
  <c r="F5" i="13"/>
  <c r="F96" i="13"/>
  <c r="F92" i="13"/>
  <c r="F88" i="13"/>
  <c r="F84" i="13"/>
  <c r="F80" i="13"/>
  <c r="F76" i="13"/>
  <c r="F72" i="13"/>
  <c r="F68" i="13"/>
  <c r="F64" i="13"/>
  <c r="F60" i="13"/>
  <c r="F56" i="13"/>
  <c r="F52" i="13"/>
  <c r="F48" i="13"/>
  <c r="F44" i="13"/>
  <c r="F40" i="13"/>
  <c r="F36" i="13"/>
  <c r="F32" i="13"/>
  <c r="F28" i="13"/>
  <c r="F24" i="13"/>
  <c r="F20" i="13"/>
  <c r="F16" i="13"/>
  <c r="F12" i="13"/>
  <c r="F8" i="13"/>
  <c r="F201" i="13"/>
  <c r="F197" i="13"/>
  <c r="F193" i="13"/>
  <c r="F189" i="13"/>
  <c r="F185" i="13"/>
  <c r="F181" i="13"/>
  <c r="F177" i="13"/>
  <c r="F173" i="13"/>
  <c r="F169" i="13"/>
  <c r="F165" i="13"/>
  <c r="F161" i="13"/>
  <c r="F157" i="13"/>
  <c r="F153" i="13"/>
  <c r="F149" i="13"/>
  <c r="F145" i="13"/>
  <c r="F141" i="13"/>
  <c r="F137" i="13"/>
  <c r="F133" i="13"/>
  <c r="F129" i="13"/>
  <c r="F125" i="13"/>
  <c r="F121" i="13"/>
  <c r="F117" i="13"/>
  <c r="F113" i="13"/>
  <c r="F109" i="13"/>
  <c r="F105" i="13"/>
  <c r="F101" i="13"/>
  <c r="F93" i="13"/>
  <c r="F85" i="13"/>
  <c r="F77" i="13"/>
  <c r="F69" i="13"/>
  <c r="F61" i="13"/>
  <c r="F53" i="13"/>
  <c r="F45" i="13"/>
  <c r="F41" i="13"/>
  <c r="F33" i="13"/>
  <c r="F25" i="13"/>
  <c r="F17" i="13"/>
  <c r="F204" i="13"/>
  <c r="F200" i="13"/>
  <c r="F196" i="13"/>
  <c r="F192" i="13"/>
  <c r="F188" i="13"/>
  <c r="F184" i="13"/>
  <c r="F180" i="13"/>
  <c r="F176" i="13"/>
  <c r="F172" i="13"/>
  <c r="F168" i="13"/>
  <c r="F164" i="13"/>
  <c r="F160" i="13"/>
  <c r="F156" i="13"/>
  <c r="F152" i="13"/>
  <c r="F148" i="13"/>
  <c r="F144" i="13"/>
  <c r="F140" i="13"/>
  <c r="F136" i="13"/>
  <c r="F132" i="13"/>
  <c r="F128" i="13"/>
  <c r="F124" i="13"/>
  <c r="F120" i="13"/>
  <c r="F116" i="13"/>
  <c r="F112" i="13"/>
  <c r="F108" i="13"/>
  <c r="F104" i="13"/>
  <c r="F100" i="13"/>
  <c r="F97" i="13"/>
  <c r="F89" i="13"/>
  <c r="F81" i="13"/>
  <c r="F73" i="13"/>
  <c r="F65" i="13"/>
  <c r="F57" i="13"/>
  <c r="F49" i="13"/>
  <c r="F37" i="13"/>
  <c r="F29" i="13"/>
  <c r="F21" i="13"/>
  <c r="F13" i="13"/>
  <c r="F9" i="13"/>
  <c r="F99" i="13"/>
  <c r="F95" i="13"/>
  <c r="F91" i="13"/>
  <c r="F87" i="13"/>
  <c r="F83" i="13"/>
  <c r="F79" i="13"/>
  <c r="F75" i="13"/>
  <c r="F71" i="13"/>
  <c r="F67" i="13"/>
  <c r="F63" i="13"/>
  <c r="F59" i="13"/>
  <c r="F55" i="13"/>
  <c r="F51" i="13"/>
  <c r="F47" i="13"/>
  <c r="F43" i="13"/>
  <c r="F39" i="13"/>
  <c r="F35" i="13"/>
  <c r="F31" i="13"/>
  <c r="F27" i="13"/>
  <c r="F23" i="13"/>
  <c r="F19" i="13"/>
  <c r="F15" i="13"/>
  <c r="F11" i="13"/>
  <c r="F7" i="13"/>
  <c r="F202" i="13"/>
  <c r="F198" i="13"/>
  <c r="F194" i="13"/>
  <c r="F190" i="13"/>
  <c r="F186" i="13"/>
  <c r="F182" i="13"/>
  <c r="F178" i="13"/>
  <c r="F174" i="13"/>
  <c r="F170" i="13"/>
  <c r="F166" i="13"/>
  <c r="F162" i="13"/>
  <c r="F158" i="13"/>
  <c r="F154" i="13"/>
  <c r="F150" i="13"/>
  <c r="F146" i="13"/>
  <c r="F142" i="13"/>
  <c r="F138" i="13"/>
  <c r="F134" i="13"/>
  <c r="F130" i="13"/>
  <c r="F126" i="13"/>
  <c r="F122" i="13"/>
  <c r="F118" i="13"/>
  <c r="F114" i="13"/>
  <c r="F110" i="13"/>
  <c r="F106" i="13"/>
  <c r="F102" i="13"/>
  <c r="F203" i="13"/>
  <c r="F199" i="13"/>
  <c r="F195" i="13"/>
  <c r="F191" i="13"/>
  <c r="F187" i="13"/>
  <c r="F183" i="13"/>
  <c r="F179" i="13"/>
  <c r="F175" i="13"/>
  <c r="F171" i="13"/>
  <c r="F167" i="13"/>
  <c r="F163" i="13"/>
  <c r="F159" i="13"/>
  <c r="F155" i="13"/>
  <c r="F151" i="13"/>
  <c r="F147" i="13"/>
  <c r="F143" i="13"/>
  <c r="F139" i="13"/>
  <c r="F135" i="13"/>
  <c r="F131" i="13"/>
  <c r="F127" i="13"/>
  <c r="F123" i="13"/>
  <c r="F119" i="13"/>
  <c r="F115" i="13"/>
  <c r="F111" i="13"/>
  <c r="F107" i="13"/>
  <c r="F103" i="13"/>
  <c r="G132" i="13"/>
  <c r="G199" i="13"/>
  <c r="G191" i="13"/>
  <c r="G173" i="13"/>
  <c r="G170" i="13"/>
  <c r="G162" i="13"/>
  <c r="G138" i="13"/>
  <c r="G130" i="13"/>
  <c r="G127" i="13"/>
  <c r="G139" i="13"/>
  <c r="G135" i="13"/>
  <c r="G134" i="13"/>
  <c r="G128" i="13"/>
  <c r="G124" i="13"/>
  <c r="G120" i="13"/>
  <c r="G112" i="13"/>
  <c r="G183" i="13"/>
  <c r="G201" i="13"/>
  <c r="G193" i="13"/>
  <c r="G185" i="13"/>
  <c r="G108" i="13"/>
  <c r="G126" i="13"/>
  <c r="G175" i="13"/>
  <c r="G165" i="13"/>
  <c r="G167" i="13"/>
  <c r="G157" i="13"/>
  <c r="G154" i="13"/>
  <c r="G142" i="13"/>
  <c r="G116" i="13"/>
  <c r="G114" i="13"/>
  <c r="G106" i="13"/>
  <c r="G181" i="13"/>
  <c r="G178" i="13"/>
  <c r="G159" i="13"/>
  <c r="G150" i="13"/>
  <c r="G146" i="13"/>
  <c r="G143" i="13"/>
  <c r="G122" i="13"/>
  <c r="G119" i="13"/>
  <c r="G118" i="13"/>
  <c r="G197" i="13"/>
  <c r="G189" i="13"/>
  <c r="G182" i="13"/>
  <c r="G179" i="13"/>
  <c r="G174" i="13"/>
  <c r="G171" i="13"/>
  <c r="G166" i="13"/>
  <c r="G163" i="13"/>
  <c r="G158" i="13"/>
  <c r="G155" i="13"/>
  <c r="G151" i="13"/>
  <c r="G148" i="13"/>
  <c r="G147" i="13"/>
  <c r="G131" i="13"/>
  <c r="G123" i="13"/>
  <c r="G115" i="13"/>
  <c r="G107" i="13"/>
  <c r="G203" i="13"/>
  <c r="G195" i="13"/>
  <c r="G187" i="13"/>
  <c r="G177" i="13"/>
  <c r="G169" i="13"/>
  <c r="G161" i="13"/>
  <c r="G153" i="13"/>
  <c r="G110" i="13"/>
  <c r="G104" i="13"/>
  <c r="G102" i="13"/>
  <c r="G100" i="13"/>
  <c r="G111" i="13"/>
  <c r="G105" i="13"/>
  <c r="G103" i="13"/>
  <c r="G101" i="13"/>
  <c r="G140" i="13"/>
  <c r="G180" i="13"/>
  <c r="G172" i="13"/>
  <c r="G160" i="13"/>
  <c r="G136" i="13"/>
  <c r="G204" i="13"/>
  <c r="G202" i="13"/>
  <c r="G200" i="13"/>
  <c r="G198" i="13"/>
  <c r="G196" i="13"/>
  <c r="G194" i="13"/>
  <c r="G192" i="13"/>
  <c r="G190" i="13"/>
  <c r="G188" i="13"/>
  <c r="G186" i="13"/>
  <c r="G145" i="13"/>
  <c r="G137" i="13"/>
  <c r="G129" i="13"/>
  <c r="G121" i="13"/>
  <c r="G113" i="13"/>
  <c r="G184" i="13"/>
  <c r="G176" i="13"/>
  <c r="G168" i="13"/>
  <c r="G156" i="13"/>
  <c r="G164" i="13"/>
  <c r="G152" i="13"/>
  <c r="G144" i="13"/>
  <c r="G149" i="13"/>
  <c r="G141" i="13"/>
  <c r="G133" i="13"/>
  <c r="G125" i="13"/>
  <c r="G117" i="13"/>
  <c r="G109" i="13"/>
  <c r="G97" i="13"/>
  <c r="G81" i="13"/>
  <c r="G65" i="13"/>
  <c r="G49" i="13"/>
  <c r="G33" i="13"/>
  <c r="G17" i="13"/>
  <c r="G99" i="13"/>
  <c r="G95" i="13"/>
  <c r="G91" i="13"/>
  <c r="G87" i="13"/>
  <c r="G83" i="13"/>
  <c r="G79" i="13"/>
  <c r="G75" i="13"/>
  <c r="G71" i="13"/>
  <c r="G67" i="13"/>
  <c r="G63" i="13"/>
  <c r="G59" i="13"/>
  <c r="G55" i="13"/>
  <c r="G51" i="13"/>
  <c r="G47" i="13"/>
  <c r="G43" i="13"/>
  <c r="G39" i="13"/>
  <c r="G35" i="13"/>
  <c r="G31" i="13"/>
  <c r="G27" i="13"/>
  <c r="G23" i="13"/>
  <c r="G19" i="13"/>
  <c r="G15" i="13"/>
  <c r="G11" i="13"/>
  <c r="G7" i="13"/>
  <c r="G93" i="13"/>
  <c r="G77" i="13"/>
  <c r="G61" i="13"/>
  <c r="G45" i="13"/>
  <c r="G29" i="13"/>
  <c r="G13" i="13"/>
  <c r="G89" i="13"/>
  <c r="G73" i="13"/>
  <c r="G57" i="13"/>
  <c r="G41" i="13"/>
  <c r="G25" i="13"/>
  <c r="G9" i="13"/>
  <c r="G85" i="13"/>
  <c r="G69" i="13"/>
  <c r="G53" i="13"/>
  <c r="G37" i="13"/>
  <c r="G21" i="13"/>
  <c r="G98" i="13"/>
  <c r="G96" i="13"/>
  <c r="G94" i="13"/>
  <c r="G92" i="13"/>
  <c r="G90" i="13"/>
  <c r="G88" i="13"/>
  <c r="G86" i="13"/>
  <c r="G84" i="13"/>
  <c r="G82" i="13"/>
  <c r="G80" i="13"/>
  <c r="G78" i="13"/>
  <c r="G76" i="13"/>
  <c r="G74" i="13"/>
  <c r="G72" i="13"/>
  <c r="G70" i="13"/>
  <c r="G68" i="13"/>
  <c r="G66" i="13"/>
  <c r="G64" i="13"/>
  <c r="G62" i="13"/>
  <c r="G60" i="13"/>
  <c r="G58" i="13"/>
  <c r="G56" i="13"/>
  <c r="G54" i="13"/>
  <c r="G52" i="13"/>
  <c r="G50" i="13"/>
  <c r="G48" i="13"/>
  <c r="G46" i="13"/>
  <c r="G44" i="13"/>
  <c r="G42" i="13"/>
  <c r="G40" i="13"/>
  <c r="G38" i="13"/>
  <c r="G36" i="13"/>
  <c r="G34" i="13"/>
  <c r="G32" i="13"/>
  <c r="G30" i="13"/>
  <c r="G28" i="13"/>
  <c r="G26" i="13"/>
  <c r="G24" i="13"/>
  <c r="G22" i="13"/>
  <c r="G20" i="13"/>
  <c r="G18" i="13"/>
  <c r="G16" i="13"/>
  <c r="G14" i="13"/>
  <c r="G12" i="13"/>
  <c r="G10" i="13"/>
  <c r="G8" i="13"/>
  <c r="G6" i="13"/>
  <c r="G5" i="13"/>
  <c r="AI55" i="12"/>
  <c r="AI54" i="12"/>
  <c r="AF54" i="12" l="1"/>
  <c r="AF55" i="12"/>
  <c r="AF56" i="12"/>
  <c r="AF57" i="12"/>
  <c r="AF58" i="12"/>
  <c r="AF59" i="12"/>
  <c r="AE58" i="12"/>
  <c r="AE55" i="12"/>
  <c r="AE59" i="12"/>
  <c r="AE57" i="12"/>
  <c r="AE56" i="12"/>
  <c r="AE54" i="12"/>
  <c r="AA82" i="12"/>
  <c r="AB82" i="12"/>
  <c r="AA83" i="12"/>
  <c r="AB83" i="12"/>
  <c r="AA84" i="12"/>
  <c r="AB84" i="12"/>
  <c r="AA85" i="12"/>
  <c r="AB85" i="12"/>
  <c r="AA86" i="12"/>
  <c r="AB86" i="12"/>
  <c r="AA87" i="12"/>
  <c r="AB87" i="12"/>
  <c r="AA88" i="12"/>
  <c r="AB88" i="12"/>
  <c r="AA89" i="12"/>
  <c r="AB89" i="12"/>
  <c r="AA90" i="12"/>
  <c r="AB90" i="12"/>
  <c r="AA91" i="12"/>
  <c r="AB91" i="12"/>
  <c r="AA92" i="12"/>
  <c r="AB92" i="12"/>
  <c r="AA93" i="12"/>
  <c r="AB93" i="12"/>
  <c r="AA94" i="12"/>
  <c r="AB94" i="12"/>
  <c r="AA95" i="12"/>
  <c r="AB95" i="12"/>
  <c r="AA96" i="12"/>
  <c r="AB96" i="12"/>
  <c r="AA97" i="12"/>
  <c r="AB97" i="12"/>
  <c r="AA98" i="12"/>
  <c r="AB98" i="12"/>
  <c r="AA99" i="12"/>
  <c r="AB99" i="12"/>
  <c r="AA100" i="12"/>
  <c r="AB100" i="12"/>
  <c r="AA101" i="12"/>
  <c r="AB101" i="12"/>
  <c r="AA104" i="12"/>
  <c r="AA105" i="12"/>
  <c r="AA108" i="12"/>
  <c r="AA109" i="12"/>
  <c r="AA112" i="12"/>
  <c r="AA120" i="12"/>
  <c r="AA121" i="12"/>
  <c r="AA124" i="12"/>
  <c r="AA125" i="12"/>
  <c r="AA128" i="12"/>
  <c r="AA136" i="12"/>
  <c r="AA137" i="12"/>
  <c r="AA140" i="12"/>
  <c r="AA141" i="12"/>
  <c r="AA144" i="12"/>
  <c r="AA152" i="12"/>
  <c r="AA153" i="12"/>
  <c r="AA156" i="12"/>
  <c r="AA157" i="12"/>
  <c r="AA160" i="12"/>
  <c r="AA168" i="12"/>
  <c r="AA169" i="12"/>
  <c r="AA172" i="12"/>
  <c r="AA173" i="12"/>
  <c r="AA176" i="12"/>
  <c r="AA184" i="12"/>
  <c r="AA185" i="12"/>
  <c r="AA188" i="12"/>
  <c r="AA189" i="12"/>
  <c r="AA192" i="12"/>
  <c r="AA200" i="12"/>
  <c r="AA201" i="12"/>
  <c r="AA2" i="12"/>
  <c r="AB2" i="12"/>
  <c r="AA3" i="12"/>
  <c r="AA4" i="12"/>
  <c r="AA5" i="12"/>
  <c r="AA6" i="12"/>
  <c r="AB6" i="12"/>
  <c r="AA7" i="12"/>
  <c r="AA8" i="12"/>
  <c r="AA9" i="12"/>
  <c r="AA10" i="12"/>
  <c r="AB10" i="12"/>
  <c r="AA11" i="12"/>
  <c r="AA12" i="12"/>
  <c r="AA13" i="12"/>
  <c r="AA14" i="12"/>
  <c r="AA15" i="12"/>
  <c r="AA16" i="12"/>
  <c r="AA17" i="12"/>
  <c r="AA18" i="12"/>
  <c r="AB18" i="12"/>
  <c r="AA19" i="12"/>
  <c r="AA20" i="12"/>
  <c r="AA21" i="12"/>
  <c r="AA22" i="12"/>
  <c r="AB22" i="12"/>
  <c r="AA23" i="12"/>
  <c r="AA24" i="12"/>
  <c r="AA25" i="12"/>
  <c r="AA26" i="12"/>
  <c r="AB26" i="12"/>
  <c r="AA27" i="12"/>
  <c r="AA28" i="12"/>
  <c r="AA29" i="12"/>
  <c r="AA30" i="12"/>
  <c r="AA31" i="12"/>
  <c r="AA32" i="12"/>
  <c r="AA33" i="12"/>
  <c r="AA34" i="12"/>
  <c r="AB34" i="12"/>
  <c r="AA35" i="12"/>
  <c r="AA36" i="12"/>
  <c r="AA37" i="12"/>
  <c r="AA38" i="12"/>
  <c r="AB38" i="12"/>
  <c r="AA39" i="12"/>
  <c r="AA40" i="12"/>
  <c r="AA41" i="12"/>
  <c r="AA42" i="12"/>
  <c r="AB42" i="12"/>
  <c r="AA43" i="12"/>
  <c r="AA44" i="12"/>
  <c r="AA45" i="12"/>
  <c r="AA46" i="12"/>
  <c r="AA47" i="12"/>
  <c r="AA48" i="12"/>
  <c r="AA49" i="12"/>
  <c r="AA50" i="12"/>
  <c r="AB50" i="12"/>
  <c r="AA51" i="12"/>
  <c r="AA52" i="12"/>
  <c r="AA53" i="12"/>
  <c r="AA54" i="12"/>
  <c r="AB54" i="12"/>
  <c r="AA55" i="12"/>
  <c r="AA56" i="12"/>
  <c r="AA57" i="12"/>
  <c r="AA58" i="12"/>
  <c r="AB58" i="12"/>
  <c r="AA59" i="12"/>
  <c r="AA60" i="12"/>
  <c r="AA61" i="12"/>
  <c r="AA62" i="12"/>
  <c r="AA63" i="12"/>
  <c r="AA64" i="12"/>
  <c r="AA65" i="12"/>
  <c r="AA66" i="12"/>
  <c r="AB66" i="12"/>
  <c r="AA67" i="12"/>
  <c r="AA68" i="12"/>
  <c r="AA69" i="12"/>
  <c r="AA70" i="12"/>
  <c r="AB70" i="12"/>
  <c r="AA71" i="12"/>
  <c r="AA72" i="12"/>
  <c r="AA73" i="12"/>
  <c r="AA74" i="12"/>
  <c r="AB74" i="12"/>
  <c r="AA75" i="12"/>
  <c r="AA76" i="12"/>
  <c r="AA77" i="12"/>
  <c r="AA78" i="12"/>
  <c r="AA79" i="12"/>
  <c r="AA80" i="12"/>
  <c r="AA81" i="12"/>
  <c r="R111" i="12"/>
  <c r="R110" i="12"/>
  <c r="R109" i="12"/>
  <c r="R108" i="12"/>
  <c r="R107" i="12"/>
  <c r="R106" i="12"/>
  <c r="R105" i="12"/>
  <c r="R104" i="12"/>
  <c r="R103" i="12"/>
  <c r="R102" i="12"/>
  <c r="R101" i="12"/>
  <c r="R100" i="12"/>
  <c r="R99" i="12"/>
  <c r="R98" i="12"/>
  <c r="R97" i="12"/>
  <c r="R9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R75" i="12"/>
  <c r="R74" i="12"/>
  <c r="R73" i="12"/>
  <c r="R72" i="12"/>
  <c r="R71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X13" i="12"/>
  <c r="AB103" i="12" s="1"/>
  <c r="X14" i="12"/>
  <c r="AB104" i="12" s="1"/>
  <c r="X15" i="12"/>
  <c r="AB105" i="12" s="1"/>
  <c r="X16" i="12"/>
  <c r="AB106" i="12" s="1"/>
  <c r="X17" i="12"/>
  <c r="AB107" i="12" s="1"/>
  <c r="X18" i="12"/>
  <c r="AB108" i="12" s="1"/>
  <c r="X19" i="12"/>
  <c r="AB109" i="12" s="1"/>
  <c r="X20" i="12"/>
  <c r="AB110" i="12" s="1"/>
  <c r="X21" i="12"/>
  <c r="AB111" i="12" s="1"/>
  <c r="X22" i="12"/>
  <c r="AB112" i="12" s="1"/>
  <c r="X23" i="12"/>
  <c r="AB113" i="12" s="1"/>
  <c r="X24" i="12"/>
  <c r="AB114" i="12" s="1"/>
  <c r="X25" i="12"/>
  <c r="AB115" i="12" s="1"/>
  <c r="X26" i="12"/>
  <c r="AB116" i="12" s="1"/>
  <c r="X27" i="12"/>
  <c r="AB117" i="12" s="1"/>
  <c r="X28" i="12"/>
  <c r="AB118" i="12" s="1"/>
  <c r="X29" i="12"/>
  <c r="AB119" i="12" s="1"/>
  <c r="X30" i="12"/>
  <c r="AB120" i="12" s="1"/>
  <c r="X31" i="12"/>
  <c r="AB121" i="12" s="1"/>
  <c r="X32" i="12"/>
  <c r="AB122" i="12" s="1"/>
  <c r="X33" i="12"/>
  <c r="AB123" i="12" s="1"/>
  <c r="X34" i="12"/>
  <c r="AB124" i="12" s="1"/>
  <c r="X35" i="12"/>
  <c r="AB125" i="12" s="1"/>
  <c r="X36" i="12"/>
  <c r="AB126" i="12" s="1"/>
  <c r="X37" i="12"/>
  <c r="AB127" i="12" s="1"/>
  <c r="X38" i="12"/>
  <c r="AB128" i="12" s="1"/>
  <c r="X39" i="12"/>
  <c r="AB129" i="12" s="1"/>
  <c r="X40" i="12"/>
  <c r="AB130" i="12" s="1"/>
  <c r="X41" i="12"/>
  <c r="AB131" i="12" s="1"/>
  <c r="X42" i="12"/>
  <c r="AB132" i="12" s="1"/>
  <c r="X43" i="12"/>
  <c r="AB133" i="12" s="1"/>
  <c r="X44" i="12"/>
  <c r="AB134" i="12" s="1"/>
  <c r="X45" i="12"/>
  <c r="AB135" i="12" s="1"/>
  <c r="X46" i="12"/>
  <c r="AB136" i="12" s="1"/>
  <c r="X47" i="12"/>
  <c r="AB137" i="12" s="1"/>
  <c r="X48" i="12"/>
  <c r="AB138" i="12" s="1"/>
  <c r="X49" i="12"/>
  <c r="AB139" i="12" s="1"/>
  <c r="X50" i="12"/>
  <c r="AB140" i="12" s="1"/>
  <c r="X51" i="12"/>
  <c r="AB141" i="12" s="1"/>
  <c r="X52" i="12"/>
  <c r="AB142" i="12" s="1"/>
  <c r="X53" i="12"/>
  <c r="AB143" i="12" s="1"/>
  <c r="X54" i="12"/>
  <c r="AB144" i="12" s="1"/>
  <c r="X55" i="12"/>
  <c r="AB145" i="12" s="1"/>
  <c r="X56" i="12"/>
  <c r="AB146" i="12" s="1"/>
  <c r="X57" i="12"/>
  <c r="AB147" i="12" s="1"/>
  <c r="X58" i="12"/>
  <c r="AB148" i="12" s="1"/>
  <c r="X59" i="12"/>
  <c r="AB149" i="12" s="1"/>
  <c r="X60" i="12"/>
  <c r="AB150" i="12" s="1"/>
  <c r="X61" i="12"/>
  <c r="AB151" i="12" s="1"/>
  <c r="X62" i="12"/>
  <c r="AB152" i="12" s="1"/>
  <c r="X63" i="12"/>
  <c r="AB153" i="12" s="1"/>
  <c r="X64" i="12"/>
  <c r="AB154" i="12" s="1"/>
  <c r="X65" i="12"/>
  <c r="AB155" i="12" s="1"/>
  <c r="X66" i="12"/>
  <c r="AB156" i="12" s="1"/>
  <c r="X67" i="12"/>
  <c r="AB157" i="12" s="1"/>
  <c r="X68" i="12"/>
  <c r="AB158" i="12" s="1"/>
  <c r="X69" i="12"/>
  <c r="AB159" i="12" s="1"/>
  <c r="X70" i="12"/>
  <c r="AB160" i="12" s="1"/>
  <c r="X71" i="12"/>
  <c r="AB161" i="12" s="1"/>
  <c r="X72" i="12"/>
  <c r="AB162" i="12" s="1"/>
  <c r="X73" i="12"/>
  <c r="AB163" i="12" s="1"/>
  <c r="X74" i="12"/>
  <c r="AB164" i="12" s="1"/>
  <c r="X75" i="12"/>
  <c r="AB165" i="12" s="1"/>
  <c r="X76" i="12"/>
  <c r="AB166" i="12" s="1"/>
  <c r="X77" i="12"/>
  <c r="AB167" i="12" s="1"/>
  <c r="X78" i="12"/>
  <c r="AB168" i="12" s="1"/>
  <c r="X79" i="12"/>
  <c r="AB169" i="12" s="1"/>
  <c r="X80" i="12"/>
  <c r="AB170" i="12" s="1"/>
  <c r="X81" i="12"/>
  <c r="AB171" i="12" s="1"/>
  <c r="X82" i="12"/>
  <c r="AB172" i="12" s="1"/>
  <c r="X83" i="12"/>
  <c r="AB173" i="12" s="1"/>
  <c r="X84" i="12"/>
  <c r="AB174" i="12" s="1"/>
  <c r="X85" i="12"/>
  <c r="AB175" i="12" s="1"/>
  <c r="X86" i="12"/>
  <c r="AB176" i="12" s="1"/>
  <c r="X87" i="12"/>
  <c r="AB177" i="12" s="1"/>
  <c r="X88" i="12"/>
  <c r="AB178" i="12" s="1"/>
  <c r="X89" i="12"/>
  <c r="AB179" i="12" s="1"/>
  <c r="X90" i="12"/>
  <c r="AB180" i="12" s="1"/>
  <c r="X91" i="12"/>
  <c r="AB181" i="12" s="1"/>
  <c r="X92" i="12"/>
  <c r="AB182" i="12" s="1"/>
  <c r="X93" i="12"/>
  <c r="AB183" i="12" s="1"/>
  <c r="X94" i="12"/>
  <c r="AB184" i="12" s="1"/>
  <c r="X95" i="12"/>
  <c r="AB185" i="12" s="1"/>
  <c r="X96" i="12"/>
  <c r="AB186" i="12" s="1"/>
  <c r="X97" i="12"/>
  <c r="AB187" i="12" s="1"/>
  <c r="X98" i="12"/>
  <c r="AB188" i="12" s="1"/>
  <c r="X99" i="12"/>
  <c r="AB189" i="12" s="1"/>
  <c r="X100" i="12"/>
  <c r="AB190" i="12" s="1"/>
  <c r="X101" i="12"/>
  <c r="AB191" i="12" s="1"/>
  <c r="X102" i="12"/>
  <c r="AB192" i="12" s="1"/>
  <c r="X103" i="12"/>
  <c r="AB193" i="12" s="1"/>
  <c r="X104" i="12"/>
  <c r="AB194" i="12" s="1"/>
  <c r="X105" i="12"/>
  <c r="AB195" i="12" s="1"/>
  <c r="X106" i="12"/>
  <c r="AB196" i="12" s="1"/>
  <c r="X107" i="12"/>
  <c r="AB197" i="12" s="1"/>
  <c r="X108" i="12"/>
  <c r="AB198" i="12" s="1"/>
  <c r="X109" i="12"/>
  <c r="AB199" i="12" s="1"/>
  <c r="X110" i="12"/>
  <c r="AB200" i="12" s="1"/>
  <c r="X111" i="12"/>
  <c r="AB201" i="12" s="1"/>
  <c r="X12" i="12"/>
  <c r="AB102" i="12" s="1"/>
  <c r="W13" i="12"/>
  <c r="AA103" i="12" s="1"/>
  <c r="W14" i="12"/>
  <c r="W15" i="12"/>
  <c r="W16" i="12"/>
  <c r="AA106" i="12" s="1"/>
  <c r="W17" i="12"/>
  <c r="AA107" i="12" s="1"/>
  <c r="W18" i="12"/>
  <c r="W19" i="12"/>
  <c r="W20" i="12"/>
  <c r="AA110" i="12" s="1"/>
  <c r="W21" i="12"/>
  <c r="AA111" i="12" s="1"/>
  <c r="W22" i="12"/>
  <c r="W23" i="12"/>
  <c r="AA113" i="12" s="1"/>
  <c r="W24" i="12"/>
  <c r="AA114" i="12" s="1"/>
  <c r="W25" i="12"/>
  <c r="AA115" i="12" s="1"/>
  <c r="W26" i="12"/>
  <c r="AA116" i="12" s="1"/>
  <c r="W27" i="12"/>
  <c r="AA117" i="12" s="1"/>
  <c r="W28" i="12"/>
  <c r="AA118" i="12" s="1"/>
  <c r="W29" i="12"/>
  <c r="AA119" i="12" s="1"/>
  <c r="W30" i="12"/>
  <c r="W31" i="12"/>
  <c r="W32" i="12"/>
  <c r="AA122" i="12" s="1"/>
  <c r="W33" i="12"/>
  <c r="AA123" i="12" s="1"/>
  <c r="W34" i="12"/>
  <c r="W35" i="12"/>
  <c r="W36" i="12"/>
  <c r="AA126" i="12" s="1"/>
  <c r="W37" i="12"/>
  <c r="AA127" i="12" s="1"/>
  <c r="W38" i="12"/>
  <c r="W39" i="12"/>
  <c r="AA129" i="12" s="1"/>
  <c r="W40" i="12"/>
  <c r="AA130" i="12" s="1"/>
  <c r="W41" i="12"/>
  <c r="AA131" i="12" s="1"/>
  <c r="W42" i="12"/>
  <c r="AA132" i="12" s="1"/>
  <c r="W43" i="12"/>
  <c r="AA133" i="12" s="1"/>
  <c r="W44" i="12"/>
  <c r="AA134" i="12" s="1"/>
  <c r="W45" i="12"/>
  <c r="AA135" i="12" s="1"/>
  <c r="W46" i="12"/>
  <c r="W47" i="12"/>
  <c r="W48" i="12"/>
  <c r="AA138" i="12" s="1"/>
  <c r="W49" i="12"/>
  <c r="AA139" i="12" s="1"/>
  <c r="W50" i="12"/>
  <c r="W51" i="12"/>
  <c r="W52" i="12"/>
  <c r="AA142" i="12" s="1"/>
  <c r="W53" i="12"/>
  <c r="AA143" i="12" s="1"/>
  <c r="W54" i="12"/>
  <c r="W55" i="12"/>
  <c r="AA145" i="12" s="1"/>
  <c r="W56" i="12"/>
  <c r="AA146" i="12" s="1"/>
  <c r="W57" i="12"/>
  <c r="AA147" i="12" s="1"/>
  <c r="W58" i="12"/>
  <c r="AA148" i="12" s="1"/>
  <c r="W59" i="12"/>
  <c r="AA149" i="12" s="1"/>
  <c r="W60" i="12"/>
  <c r="AA150" i="12" s="1"/>
  <c r="W61" i="12"/>
  <c r="AA151" i="12" s="1"/>
  <c r="W62" i="12"/>
  <c r="W63" i="12"/>
  <c r="W64" i="12"/>
  <c r="AA154" i="12" s="1"/>
  <c r="W65" i="12"/>
  <c r="AA155" i="12" s="1"/>
  <c r="W66" i="12"/>
  <c r="W67" i="12"/>
  <c r="W68" i="12"/>
  <c r="AA158" i="12" s="1"/>
  <c r="W69" i="12"/>
  <c r="AA159" i="12" s="1"/>
  <c r="W70" i="12"/>
  <c r="W71" i="12"/>
  <c r="AA161" i="12" s="1"/>
  <c r="W72" i="12"/>
  <c r="AA162" i="12" s="1"/>
  <c r="W73" i="12"/>
  <c r="AA163" i="12" s="1"/>
  <c r="W74" i="12"/>
  <c r="AA164" i="12" s="1"/>
  <c r="W75" i="12"/>
  <c r="AA165" i="12" s="1"/>
  <c r="W76" i="12"/>
  <c r="AA166" i="12" s="1"/>
  <c r="W77" i="12"/>
  <c r="AA167" i="12" s="1"/>
  <c r="W78" i="12"/>
  <c r="W79" i="12"/>
  <c r="W80" i="12"/>
  <c r="AA170" i="12" s="1"/>
  <c r="W81" i="12"/>
  <c r="AA171" i="12" s="1"/>
  <c r="W82" i="12"/>
  <c r="W83" i="12"/>
  <c r="W84" i="12"/>
  <c r="AA174" i="12" s="1"/>
  <c r="W85" i="12"/>
  <c r="AA175" i="12" s="1"/>
  <c r="W86" i="12"/>
  <c r="W87" i="12"/>
  <c r="AA177" i="12" s="1"/>
  <c r="W88" i="12"/>
  <c r="AA178" i="12" s="1"/>
  <c r="W89" i="12"/>
  <c r="AA179" i="12" s="1"/>
  <c r="W90" i="12"/>
  <c r="AA180" i="12" s="1"/>
  <c r="W91" i="12"/>
  <c r="AA181" i="12" s="1"/>
  <c r="W92" i="12"/>
  <c r="AA182" i="12" s="1"/>
  <c r="W93" i="12"/>
  <c r="AA183" i="12" s="1"/>
  <c r="W94" i="12"/>
  <c r="W95" i="12"/>
  <c r="W96" i="12"/>
  <c r="AA186" i="12" s="1"/>
  <c r="W97" i="12"/>
  <c r="AA187" i="12" s="1"/>
  <c r="W98" i="12"/>
  <c r="W99" i="12"/>
  <c r="W100" i="12"/>
  <c r="AA190" i="12" s="1"/>
  <c r="W101" i="12"/>
  <c r="AA191" i="12" s="1"/>
  <c r="W102" i="12"/>
  <c r="W103" i="12"/>
  <c r="AA193" i="12" s="1"/>
  <c r="W104" i="12"/>
  <c r="AA194" i="12" s="1"/>
  <c r="W105" i="12"/>
  <c r="AA195" i="12" s="1"/>
  <c r="W106" i="12"/>
  <c r="AA196" i="12" s="1"/>
  <c r="W107" i="12"/>
  <c r="AA197" i="12" s="1"/>
  <c r="W108" i="12"/>
  <c r="AA198" i="12" s="1"/>
  <c r="W109" i="12"/>
  <c r="AA199" i="12" s="1"/>
  <c r="W110" i="12"/>
  <c r="W111" i="12"/>
  <c r="W12" i="12"/>
  <c r="AA102" i="12" s="1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AB81" i="12" s="1"/>
  <c r="S90" i="12"/>
  <c r="AB80" i="12" s="1"/>
  <c r="S89" i="12"/>
  <c r="AB79" i="12" s="1"/>
  <c r="S88" i="12"/>
  <c r="AB78" i="12" s="1"/>
  <c r="S87" i="12"/>
  <c r="AB77" i="12" s="1"/>
  <c r="S86" i="12"/>
  <c r="AB76" i="12" s="1"/>
  <c r="S85" i="12"/>
  <c r="AB75" i="12" s="1"/>
  <c r="S84" i="12"/>
  <c r="S83" i="12"/>
  <c r="AB73" i="12" s="1"/>
  <c r="S82" i="12"/>
  <c r="AB72" i="12" s="1"/>
  <c r="S81" i="12"/>
  <c r="AB71" i="12" s="1"/>
  <c r="S80" i="12"/>
  <c r="S79" i="12"/>
  <c r="AB69" i="12" s="1"/>
  <c r="S78" i="12"/>
  <c r="AB68" i="12" s="1"/>
  <c r="S77" i="12"/>
  <c r="AB67" i="12" s="1"/>
  <c r="S76" i="12"/>
  <c r="S75" i="12"/>
  <c r="AB65" i="12" s="1"/>
  <c r="S74" i="12"/>
  <c r="AB64" i="12" s="1"/>
  <c r="S73" i="12"/>
  <c r="AB63" i="12" s="1"/>
  <c r="S72" i="12"/>
  <c r="AB62" i="12" s="1"/>
  <c r="S71" i="12"/>
  <c r="AB61" i="12" s="1"/>
  <c r="S70" i="12"/>
  <c r="AB60" i="12" s="1"/>
  <c r="S69" i="12"/>
  <c r="AB59" i="12" s="1"/>
  <c r="S68" i="12"/>
  <c r="S67" i="12"/>
  <c r="AB57" i="12" s="1"/>
  <c r="S66" i="12"/>
  <c r="AB56" i="12" s="1"/>
  <c r="S65" i="12"/>
  <c r="AB55" i="12" s="1"/>
  <c r="S64" i="12"/>
  <c r="S63" i="12"/>
  <c r="AB53" i="12" s="1"/>
  <c r="S62" i="12"/>
  <c r="AB52" i="12" s="1"/>
  <c r="S61" i="12"/>
  <c r="AB51" i="12" s="1"/>
  <c r="S60" i="12"/>
  <c r="S59" i="12"/>
  <c r="AB49" i="12" s="1"/>
  <c r="S58" i="12"/>
  <c r="AB48" i="12" s="1"/>
  <c r="S57" i="12"/>
  <c r="AB47" i="12" s="1"/>
  <c r="S56" i="12"/>
  <c r="AB46" i="12" s="1"/>
  <c r="S55" i="12"/>
  <c r="AB45" i="12" s="1"/>
  <c r="S54" i="12"/>
  <c r="AB44" i="12" s="1"/>
  <c r="S53" i="12"/>
  <c r="AB43" i="12" s="1"/>
  <c r="S52" i="12"/>
  <c r="S51" i="12"/>
  <c r="AB41" i="12" s="1"/>
  <c r="S50" i="12"/>
  <c r="AB40" i="12" s="1"/>
  <c r="S49" i="12"/>
  <c r="AB39" i="12" s="1"/>
  <c r="S48" i="12"/>
  <c r="S47" i="12"/>
  <c r="AB37" i="12" s="1"/>
  <c r="S46" i="12"/>
  <c r="AB36" i="12" s="1"/>
  <c r="S45" i="12"/>
  <c r="AB35" i="12" s="1"/>
  <c r="S44" i="12"/>
  <c r="S43" i="12"/>
  <c r="AB33" i="12" s="1"/>
  <c r="S42" i="12"/>
  <c r="AB32" i="12" s="1"/>
  <c r="S41" i="12"/>
  <c r="AB31" i="12" s="1"/>
  <c r="S40" i="12"/>
  <c r="AB30" i="12" s="1"/>
  <c r="S39" i="12"/>
  <c r="AB29" i="12" s="1"/>
  <c r="S38" i="12"/>
  <c r="AB28" i="12" s="1"/>
  <c r="S37" i="12"/>
  <c r="AB27" i="12" s="1"/>
  <c r="S36" i="12"/>
  <c r="S35" i="12"/>
  <c r="AB25" i="12" s="1"/>
  <c r="S34" i="12"/>
  <c r="AB24" i="12" s="1"/>
  <c r="S33" i="12"/>
  <c r="AB23" i="12" s="1"/>
  <c r="S32" i="12"/>
  <c r="S31" i="12"/>
  <c r="AB21" i="12" s="1"/>
  <c r="S30" i="12"/>
  <c r="AB20" i="12" s="1"/>
  <c r="S29" i="12"/>
  <c r="AB19" i="12" s="1"/>
  <c r="S28" i="12"/>
  <c r="S27" i="12"/>
  <c r="AB17" i="12" s="1"/>
  <c r="S26" i="12"/>
  <c r="AB16" i="12" s="1"/>
  <c r="S25" i="12"/>
  <c r="AB15" i="12" s="1"/>
  <c r="S24" i="12"/>
  <c r="AB14" i="12" s="1"/>
  <c r="S23" i="12"/>
  <c r="AB13" i="12" s="1"/>
  <c r="S22" i="12"/>
  <c r="AB12" i="12" s="1"/>
  <c r="S21" i="12"/>
  <c r="AB11" i="12" s="1"/>
  <c r="S20" i="12"/>
  <c r="S19" i="12"/>
  <c r="AB9" i="12" s="1"/>
  <c r="S18" i="12"/>
  <c r="AB8" i="12" s="1"/>
  <c r="S17" i="12"/>
  <c r="AB7" i="12" s="1"/>
  <c r="S16" i="12"/>
  <c r="S15" i="12"/>
  <c r="AB5" i="12" s="1"/>
  <c r="S14" i="12"/>
  <c r="AB4" i="12" s="1"/>
  <c r="S13" i="12"/>
  <c r="AB3" i="12" s="1"/>
  <c r="S12" i="12"/>
  <c r="AF15" i="12" l="1" a="1"/>
  <c r="AF18" i="12" s="1"/>
  <c r="AE15" i="12" a="1"/>
  <c r="AE16" i="12" s="1"/>
  <c r="L6" i="12"/>
  <c r="K7" i="12"/>
  <c r="L7" i="12"/>
  <c r="K6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A53" i="12"/>
  <c r="B53" i="12"/>
  <c r="A54" i="12"/>
  <c r="B54" i="12"/>
  <c r="A55" i="12"/>
  <c r="B55" i="12"/>
  <c r="A56" i="12"/>
  <c r="B56" i="12"/>
  <c r="A57" i="12"/>
  <c r="B57" i="12"/>
  <c r="A58" i="12"/>
  <c r="B58" i="12"/>
  <c r="A59" i="12"/>
  <c r="B59" i="12"/>
  <c r="A60" i="12"/>
  <c r="B60" i="12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A110" i="12"/>
  <c r="B110" i="12"/>
  <c r="A111" i="12"/>
  <c r="B111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B12" i="12"/>
  <c r="A12" i="12"/>
  <c r="AF20" i="12" l="1"/>
  <c r="AF26" i="12"/>
  <c r="AF27" i="12"/>
  <c r="AF17" i="12"/>
  <c r="AF15" i="12"/>
  <c r="AF16" i="12"/>
  <c r="AF21" i="12"/>
  <c r="AF19" i="12"/>
  <c r="AF25" i="12"/>
  <c r="AF22" i="12"/>
  <c r="AF23" i="12"/>
  <c r="AF24" i="12"/>
  <c r="AE17" i="12"/>
  <c r="AE22" i="12"/>
  <c r="AE23" i="12"/>
  <c r="AE21" i="12"/>
  <c r="AE26" i="12"/>
  <c r="AE27" i="12"/>
  <c r="AE25" i="12"/>
  <c r="AE15" i="12"/>
  <c r="AE20" i="12"/>
  <c r="AE24" i="12"/>
  <c r="AE18" i="12"/>
  <c r="AE19" i="12"/>
  <c r="E25" i="12"/>
  <c r="I25" i="12" s="1"/>
  <c r="D105" i="12"/>
  <c r="H105" i="12" s="1"/>
  <c r="D103" i="12"/>
  <c r="H103" i="12" s="1"/>
  <c r="D101" i="12"/>
  <c r="H101" i="12" s="1"/>
  <c r="D99" i="12"/>
  <c r="H99" i="12" s="1"/>
  <c r="E97" i="12"/>
  <c r="I97" i="12" s="1"/>
  <c r="E65" i="12"/>
  <c r="I65" i="12" s="1"/>
  <c r="D104" i="12"/>
  <c r="H104" i="12" s="1"/>
  <c r="E102" i="12"/>
  <c r="I102" i="12" s="1"/>
  <c r="D100" i="12"/>
  <c r="H100" i="12" s="1"/>
  <c r="E90" i="12"/>
  <c r="I90" i="12" s="1"/>
  <c r="E74" i="12"/>
  <c r="I74" i="12" s="1"/>
  <c r="E66" i="12"/>
  <c r="I66" i="12" s="1"/>
  <c r="E42" i="12"/>
  <c r="I42" i="12" s="1"/>
  <c r="E106" i="12"/>
  <c r="I106" i="12" s="1"/>
  <c r="E58" i="12"/>
  <c r="I58" i="12" s="1"/>
  <c r="E33" i="12"/>
  <c r="I33" i="12" s="1"/>
  <c r="E89" i="12"/>
  <c r="I89" i="12" s="1"/>
  <c r="E57" i="12"/>
  <c r="I57" i="12" s="1"/>
  <c r="E34" i="12"/>
  <c r="I34" i="12" s="1"/>
  <c r="E26" i="12"/>
  <c r="I26" i="12" s="1"/>
  <c r="E81" i="12"/>
  <c r="I81" i="12" s="1"/>
  <c r="E73" i="12"/>
  <c r="I73" i="12" s="1"/>
  <c r="E50" i="12"/>
  <c r="I50" i="12" s="1"/>
  <c r="E105" i="12"/>
  <c r="I105" i="12" s="1"/>
  <c r="E82" i="12"/>
  <c r="I82" i="12" s="1"/>
  <c r="E49" i="12"/>
  <c r="I49" i="12" s="1"/>
  <c r="E41" i="12"/>
  <c r="I41" i="12" s="1"/>
  <c r="D111" i="12"/>
  <c r="H111" i="12" s="1"/>
  <c r="D109" i="12"/>
  <c r="H109" i="12" s="1"/>
  <c r="D107" i="12"/>
  <c r="H107" i="12" s="1"/>
  <c r="D96" i="12"/>
  <c r="H96" i="12" s="1"/>
  <c r="E94" i="12"/>
  <c r="I94" i="12" s="1"/>
  <c r="D85" i="12"/>
  <c r="H85" i="12" s="1"/>
  <c r="D83" i="12"/>
  <c r="H83" i="12" s="1"/>
  <c r="D80" i="12"/>
  <c r="H80" i="12" s="1"/>
  <c r="E78" i="12"/>
  <c r="I78" i="12" s="1"/>
  <c r="D69" i="12"/>
  <c r="H69" i="12" s="1"/>
  <c r="D67" i="12"/>
  <c r="H67" i="12" s="1"/>
  <c r="D64" i="12"/>
  <c r="H64" i="12" s="1"/>
  <c r="E62" i="12"/>
  <c r="I62" i="12" s="1"/>
  <c r="D53" i="12"/>
  <c r="H53" i="12" s="1"/>
  <c r="D51" i="12"/>
  <c r="H51" i="12" s="1"/>
  <c r="D48" i="12"/>
  <c r="H48" i="12" s="1"/>
  <c r="E46" i="12"/>
  <c r="I46" i="12" s="1"/>
  <c r="D37" i="12"/>
  <c r="H37" i="12" s="1"/>
  <c r="D35" i="12"/>
  <c r="H35" i="12" s="1"/>
  <c r="D32" i="12"/>
  <c r="H32" i="12" s="1"/>
  <c r="E30" i="12"/>
  <c r="I30" i="12" s="1"/>
  <c r="D110" i="12"/>
  <c r="H110" i="12" s="1"/>
  <c r="D108" i="12"/>
  <c r="H108" i="12" s="1"/>
  <c r="E98" i="12"/>
  <c r="I98" i="12" s="1"/>
  <c r="D93" i="12"/>
  <c r="H93" i="12" s="1"/>
  <c r="D91" i="12"/>
  <c r="H91" i="12" s="1"/>
  <c r="D88" i="12"/>
  <c r="H88" i="12" s="1"/>
  <c r="E86" i="12"/>
  <c r="I86" i="12" s="1"/>
  <c r="D77" i="12"/>
  <c r="H77" i="12" s="1"/>
  <c r="D75" i="12"/>
  <c r="H75" i="12" s="1"/>
  <c r="D72" i="12"/>
  <c r="H72" i="12" s="1"/>
  <c r="E70" i="12"/>
  <c r="I70" i="12" s="1"/>
  <c r="D61" i="12"/>
  <c r="H61" i="12" s="1"/>
  <c r="D59" i="12"/>
  <c r="H59" i="12" s="1"/>
  <c r="D56" i="12"/>
  <c r="H56" i="12" s="1"/>
  <c r="E54" i="12"/>
  <c r="I54" i="12" s="1"/>
  <c r="D45" i="12"/>
  <c r="H45" i="12" s="1"/>
  <c r="D43" i="12"/>
  <c r="H43" i="12" s="1"/>
  <c r="D40" i="12"/>
  <c r="H40" i="12" s="1"/>
  <c r="E38" i="12"/>
  <c r="I38" i="12" s="1"/>
  <c r="D29" i="12"/>
  <c r="H29" i="12" s="1"/>
  <c r="D27" i="12"/>
  <c r="H27" i="12" s="1"/>
  <c r="D24" i="12"/>
  <c r="H24" i="12" s="1"/>
  <c r="E22" i="12"/>
  <c r="I22" i="12" s="1"/>
  <c r="E101" i="12"/>
  <c r="I101" i="12" s="1"/>
  <c r="D97" i="12"/>
  <c r="H97" i="12" s="1"/>
  <c r="D95" i="12"/>
  <c r="H95" i="12" s="1"/>
  <c r="E93" i="12"/>
  <c r="I93" i="12" s="1"/>
  <c r="D92" i="12"/>
  <c r="H92" i="12" s="1"/>
  <c r="D89" i="12"/>
  <c r="H89" i="12" s="1"/>
  <c r="D87" i="12"/>
  <c r="H87" i="12" s="1"/>
  <c r="E85" i="12"/>
  <c r="I85" i="12" s="1"/>
  <c r="D84" i="12"/>
  <c r="H84" i="12" s="1"/>
  <c r="D81" i="12"/>
  <c r="H81" i="12" s="1"/>
  <c r="D79" i="12"/>
  <c r="H79" i="12" s="1"/>
  <c r="E77" i="12"/>
  <c r="I77" i="12" s="1"/>
  <c r="D76" i="12"/>
  <c r="H76" i="12" s="1"/>
  <c r="D73" i="12"/>
  <c r="H73" i="12" s="1"/>
  <c r="D71" i="12"/>
  <c r="H71" i="12" s="1"/>
  <c r="E69" i="12"/>
  <c r="I69" i="12" s="1"/>
  <c r="D68" i="12"/>
  <c r="H68" i="12" s="1"/>
  <c r="D65" i="12"/>
  <c r="H65" i="12" s="1"/>
  <c r="D63" i="12"/>
  <c r="H63" i="12" s="1"/>
  <c r="E61" i="12"/>
  <c r="I61" i="12" s="1"/>
  <c r="D60" i="12"/>
  <c r="H60" i="12" s="1"/>
  <c r="D57" i="12"/>
  <c r="H57" i="12" s="1"/>
  <c r="D55" i="12"/>
  <c r="H55" i="12" s="1"/>
  <c r="E53" i="12"/>
  <c r="I53" i="12" s="1"/>
  <c r="D52" i="12"/>
  <c r="H52" i="12" s="1"/>
  <c r="D49" i="12"/>
  <c r="H49" i="12" s="1"/>
  <c r="D47" i="12"/>
  <c r="H47" i="12" s="1"/>
  <c r="E45" i="12"/>
  <c r="I45" i="12" s="1"/>
  <c r="D44" i="12"/>
  <c r="H44" i="12" s="1"/>
  <c r="D41" i="12"/>
  <c r="H41" i="12" s="1"/>
  <c r="D39" i="12"/>
  <c r="H39" i="12" s="1"/>
  <c r="E37" i="12"/>
  <c r="I37" i="12" s="1"/>
  <c r="D36" i="12"/>
  <c r="H36" i="12" s="1"/>
  <c r="D33" i="12"/>
  <c r="H33" i="12" s="1"/>
  <c r="D31" i="12"/>
  <c r="H31" i="12" s="1"/>
  <c r="E29" i="12"/>
  <c r="I29" i="12" s="1"/>
  <c r="D28" i="12"/>
  <c r="H28" i="12" s="1"/>
  <c r="D25" i="12"/>
  <c r="H25" i="12" s="1"/>
  <c r="D23" i="12"/>
  <c r="H23" i="12" s="1"/>
  <c r="D12" i="12"/>
  <c r="H12" i="12" s="1"/>
  <c r="E20" i="12"/>
  <c r="I20" i="12" s="1"/>
  <c r="E18" i="12"/>
  <c r="I18" i="12" s="1"/>
  <c r="E16" i="12"/>
  <c r="I16" i="12" s="1"/>
  <c r="E14" i="12"/>
  <c r="I14" i="12" s="1"/>
  <c r="D106" i="12"/>
  <c r="H106" i="12" s="1"/>
  <c r="D98" i="12"/>
  <c r="H98" i="12" s="1"/>
  <c r="D90" i="12"/>
  <c r="H90" i="12" s="1"/>
  <c r="D82" i="12"/>
  <c r="H82" i="12" s="1"/>
  <c r="D74" i="12"/>
  <c r="H74" i="12" s="1"/>
  <c r="D66" i="12"/>
  <c r="H66" i="12" s="1"/>
  <c r="D58" i="12"/>
  <c r="H58" i="12" s="1"/>
  <c r="D50" i="12"/>
  <c r="H50" i="12" s="1"/>
  <c r="D42" i="12"/>
  <c r="H42" i="12" s="1"/>
  <c r="D34" i="12"/>
  <c r="H34" i="12" s="1"/>
  <c r="D26" i="12"/>
  <c r="H26" i="12" s="1"/>
  <c r="D102" i="12"/>
  <c r="H102" i="12" s="1"/>
  <c r="D94" i="12"/>
  <c r="H94" i="12" s="1"/>
  <c r="D86" i="12"/>
  <c r="H86" i="12" s="1"/>
  <c r="D78" i="12"/>
  <c r="H78" i="12" s="1"/>
  <c r="D70" i="12"/>
  <c r="H70" i="12" s="1"/>
  <c r="D62" i="12"/>
  <c r="H62" i="12" s="1"/>
  <c r="D54" i="12"/>
  <c r="H54" i="12" s="1"/>
  <c r="D46" i="12"/>
  <c r="H46" i="12" s="1"/>
  <c r="D38" i="12"/>
  <c r="H38" i="12" s="1"/>
  <c r="D30" i="12"/>
  <c r="H30" i="12" s="1"/>
  <c r="D22" i="12"/>
  <c r="H22" i="12" s="1"/>
  <c r="E111" i="12"/>
  <c r="I111" i="12" s="1"/>
  <c r="E107" i="12"/>
  <c r="I107" i="12" s="1"/>
  <c r="E110" i="12"/>
  <c r="I110" i="12" s="1"/>
  <c r="E109" i="12"/>
  <c r="I109" i="12" s="1"/>
  <c r="E108" i="12"/>
  <c r="I108" i="12" s="1"/>
  <c r="E103" i="12"/>
  <c r="I103" i="12" s="1"/>
  <c r="E95" i="12"/>
  <c r="I95" i="12" s="1"/>
  <c r="E91" i="12"/>
  <c r="I91" i="12" s="1"/>
  <c r="E87" i="12"/>
  <c r="I87" i="12" s="1"/>
  <c r="E83" i="12"/>
  <c r="I83" i="12" s="1"/>
  <c r="E79" i="12"/>
  <c r="I79" i="12" s="1"/>
  <c r="E75" i="12"/>
  <c r="I75" i="12" s="1"/>
  <c r="E71" i="12"/>
  <c r="I71" i="12" s="1"/>
  <c r="E67" i="12"/>
  <c r="I67" i="12" s="1"/>
  <c r="E63" i="12"/>
  <c r="I63" i="12" s="1"/>
  <c r="E59" i="12"/>
  <c r="I59" i="12" s="1"/>
  <c r="E55" i="12"/>
  <c r="I55" i="12" s="1"/>
  <c r="E51" i="12"/>
  <c r="I51" i="12" s="1"/>
  <c r="E47" i="12"/>
  <c r="I47" i="12" s="1"/>
  <c r="E43" i="12"/>
  <c r="I43" i="12" s="1"/>
  <c r="E39" i="12"/>
  <c r="I39" i="12" s="1"/>
  <c r="E35" i="12"/>
  <c r="I35" i="12" s="1"/>
  <c r="E31" i="12"/>
  <c r="I31" i="12" s="1"/>
  <c r="E27" i="12"/>
  <c r="I27" i="12" s="1"/>
  <c r="E23" i="12"/>
  <c r="I23" i="12" s="1"/>
  <c r="E99" i="12"/>
  <c r="I99" i="12" s="1"/>
  <c r="E104" i="12"/>
  <c r="I104" i="12" s="1"/>
  <c r="E100" i="12"/>
  <c r="I100" i="12" s="1"/>
  <c r="E96" i="12"/>
  <c r="I96" i="12" s="1"/>
  <c r="E92" i="12"/>
  <c r="I92" i="12" s="1"/>
  <c r="E88" i="12"/>
  <c r="I88" i="12" s="1"/>
  <c r="E84" i="12"/>
  <c r="I84" i="12" s="1"/>
  <c r="E80" i="12"/>
  <c r="I80" i="12" s="1"/>
  <c r="E76" i="12"/>
  <c r="I76" i="12" s="1"/>
  <c r="E72" i="12"/>
  <c r="I72" i="12" s="1"/>
  <c r="E68" i="12"/>
  <c r="I68" i="12" s="1"/>
  <c r="E64" i="12"/>
  <c r="I64" i="12" s="1"/>
  <c r="E60" i="12"/>
  <c r="I60" i="12" s="1"/>
  <c r="E56" i="12"/>
  <c r="I56" i="12" s="1"/>
  <c r="E52" i="12"/>
  <c r="I52" i="12" s="1"/>
  <c r="E48" i="12"/>
  <c r="I48" i="12" s="1"/>
  <c r="E44" i="12"/>
  <c r="I44" i="12" s="1"/>
  <c r="E40" i="12"/>
  <c r="I40" i="12" s="1"/>
  <c r="E36" i="12"/>
  <c r="I36" i="12" s="1"/>
  <c r="E32" i="12"/>
  <c r="I32" i="12" s="1"/>
  <c r="E28" i="12"/>
  <c r="I28" i="12" s="1"/>
  <c r="E24" i="12"/>
  <c r="I24" i="12" s="1"/>
  <c r="D21" i="12"/>
  <c r="H21" i="12" s="1"/>
  <c r="D19" i="12"/>
  <c r="H19" i="12" s="1"/>
  <c r="D17" i="12"/>
  <c r="H17" i="12" s="1"/>
  <c r="D15" i="12"/>
  <c r="H15" i="12" s="1"/>
  <c r="D13" i="12"/>
  <c r="H13" i="12" s="1"/>
  <c r="E19" i="12"/>
  <c r="I19" i="12" s="1"/>
  <c r="D20" i="12"/>
  <c r="H20" i="12" s="1"/>
  <c r="D18" i="12"/>
  <c r="H18" i="12" s="1"/>
  <c r="D16" i="12"/>
  <c r="H16" i="12" s="1"/>
  <c r="D14" i="12"/>
  <c r="H14" i="12" s="1"/>
  <c r="E21" i="12"/>
  <c r="I21" i="12" s="1"/>
  <c r="E17" i="12"/>
  <c r="I17" i="12" s="1"/>
  <c r="E15" i="12"/>
  <c r="I15" i="12" s="1"/>
  <c r="E13" i="12"/>
  <c r="I13" i="12" s="1"/>
  <c r="E12" i="12"/>
  <c r="I12" i="12" s="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A208" i="11"/>
  <c r="A108" i="11"/>
  <c r="A207" i="11"/>
  <c r="A107" i="11"/>
  <c r="A206" i="11"/>
  <c r="A106" i="11"/>
  <c r="A205" i="11"/>
  <c r="A105" i="11"/>
  <c r="A204" i="11"/>
  <c r="A104" i="11"/>
  <c r="A203" i="11"/>
  <c r="A103" i="11"/>
  <c r="A202" i="11"/>
  <c r="A102" i="11"/>
  <c r="A201" i="11"/>
  <c r="A101" i="11"/>
  <c r="A200" i="11"/>
  <c r="A100" i="11"/>
  <c r="A199" i="11"/>
  <c r="A99" i="11"/>
  <c r="A198" i="11"/>
  <c r="A98" i="11"/>
  <c r="A197" i="11"/>
  <c r="A97" i="11"/>
  <c r="A196" i="11"/>
  <c r="A96" i="11"/>
  <c r="A195" i="11"/>
  <c r="A95" i="11"/>
  <c r="A194" i="11"/>
  <c r="A94" i="11"/>
  <c r="A193" i="11"/>
  <c r="A93" i="11"/>
  <c r="A192" i="11"/>
  <c r="A92" i="11"/>
  <c r="A191" i="11"/>
  <c r="A91" i="11"/>
  <c r="A190" i="11"/>
  <c r="A90" i="11"/>
  <c r="A189" i="11"/>
  <c r="A89" i="11"/>
  <c r="A188" i="11"/>
  <c r="A88" i="11"/>
  <c r="A187" i="11"/>
  <c r="A87" i="11"/>
  <c r="A186" i="11"/>
  <c r="A86" i="11"/>
  <c r="A185" i="11"/>
  <c r="A85" i="11"/>
  <c r="A184" i="11"/>
  <c r="A84" i="11"/>
  <c r="A183" i="11"/>
  <c r="A83" i="11"/>
  <c r="A182" i="11"/>
  <c r="A82" i="11"/>
  <c r="A181" i="11"/>
  <c r="A81" i="11"/>
  <c r="A180" i="11"/>
  <c r="A80" i="11"/>
  <c r="A179" i="11"/>
  <c r="A79" i="11"/>
  <c r="A178" i="11"/>
  <c r="A78" i="11"/>
  <c r="A177" i="11"/>
  <c r="A77" i="11"/>
  <c r="A176" i="11"/>
  <c r="A76" i="11"/>
  <c r="A175" i="11"/>
  <c r="A75" i="11"/>
  <c r="A174" i="11"/>
  <c r="A74" i="11"/>
  <c r="A173" i="11"/>
  <c r="A73" i="11"/>
  <c r="A172" i="11"/>
  <c r="A72" i="11"/>
  <c r="A171" i="11"/>
  <c r="A71" i="11"/>
  <c r="A170" i="11"/>
  <c r="A70" i="11"/>
  <c r="A169" i="11"/>
  <c r="A69" i="11"/>
  <c r="A168" i="11"/>
  <c r="A68" i="11"/>
  <c r="A167" i="11"/>
  <c r="A67" i="11"/>
  <c r="A166" i="11"/>
  <c r="A66" i="11"/>
  <c r="A165" i="11"/>
  <c r="A65" i="11"/>
  <c r="A164" i="11"/>
  <c r="A64" i="11"/>
  <c r="A163" i="11"/>
  <c r="A63" i="11"/>
  <c r="A162" i="11"/>
  <c r="A62" i="11"/>
  <c r="A161" i="11"/>
  <c r="A61" i="11"/>
  <c r="A160" i="11"/>
  <c r="A60" i="11"/>
  <c r="A159" i="11"/>
  <c r="A59" i="11"/>
  <c r="A158" i="11"/>
  <c r="A58" i="11"/>
  <c r="A157" i="11"/>
  <c r="A57" i="11"/>
  <c r="A156" i="11"/>
  <c r="A56" i="11"/>
  <c r="A155" i="11"/>
  <c r="A55" i="11"/>
  <c r="A154" i="11"/>
  <c r="A54" i="11"/>
  <c r="A153" i="11"/>
  <c r="A53" i="11"/>
  <c r="A152" i="11"/>
  <c r="A52" i="11"/>
  <c r="A151" i="11"/>
  <c r="A51" i="11"/>
  <c r="A150" i="11"/>
  <c r="A50" i="11"/>
  <c r="A149" i="11"/>
  <c r="A49" i="11"/>
  <c r="A148" i="11"/>
  <c r="A48" i="11"/>
  <c r="A147" i="11"/>
  <c r="A47" i="11"/>
  <c r="A146" i="11"/>
  <c r="A46" i="11"/>
  <c r="A145" i="11"/>
  <c r="A45" i="11"/>
  <c r="A144" i="11"/>
  <c r="A44" i="11"/>
  <c r="A143" i="11"/>
  <c r="A43" i="11"/>
  <c r="A142" i="11"/>
  <c r="A42" i="11"/>
  <c r="A141" i="11"/>
  <c r="A41" i="11"/>
  <c r="A140" i="11"/>
  <c r="A40" i="11"/>
  <c r="A139" i="11"/>
  <c r="A39" i="11"/>
  <c r="A138" i="11"/>
  <c r="A38" i="11"/>
  <c r="A137" i="11"/>
  <c r="A37" i="11"/>
  <c r="A136" i="11"/>
  <c r="A36" i="11"/>
  <c r="A135" i="11"/>
  <c r="A35" i="11"/>
  <c r="A134" i="11"/>
  <c r="A34" i="11"/>
  <c r="A133" i="11"/>
  <c r="A33" i="11"/>
  <c r="A132" i="11"/>
  <c r="A32" i="11"/>
  <c r="A131" i="11"/>
  <c r="A31" i="11"/>
  <c r="A130" i="11"/>
  <c r="A30" i="11"/>
  <c r="A129" i="11"/>
  <c r="A29" i="11"/>
  <c r="A128" i="11"/>
  <c r="A28" i="11"/>
  <c r="A127" i="11"/>
  <c r="A27" i="11"/>
  <c r="A126" i="11"/>
  <c r="A26" i="11"/>
  <c r="A125" i="11"/>
  <c r="A25" i="11"/>
  <c r="A124" i="11"/>
  <c r="A24" i="11"/>
  <c r="A123" i="11"/>
  <c r="A23" i="11"/>
  <c r="A122" i="11"/>
  <c r="A22" i="11"/>
  <c r="A121" i="11"/>
  <c r="A21" i="11"/>
  <c r="A120" i="11"/>
  <c r="A20" i="11"/>
  <c r="A119" i="11"/>
  <c r="A19" i="11"/>
  <c r="A118" i="11"/>
  <c r="A18" i="11"/>
  <c r="A117" i="11"/>
  <c r="A17" i="11"/>
  <c r="A116" i="11"/>
  <c r="A16" i="11"/>
  <c r="A115" i="11"/>
  <c r="A15" i="11"/>
  <c r="A114" i="11"/>
  <c r="A14" i="11"/>
  <c r="A113" i="11"/>
  <c r="A13" i="11"/>
  <c r="A112" i="11"/>
  <c r="A12" i="11"/>
  <c r="A111" i="11"/>
  <c r="A11" i="11"/>
  <c r="A110" i="11"/>
  <c r="A10" i="11"/>
  <c r="A109" i="11"/>
  <c r="A9" i="11"/>
  <c r="A51" i="1"/>
  <c r="B51" i="1"/>
  <c r="D51" i="1"/>
  <c r="A151" i="1" s="1"/>
  <c r="E51" i="1"/>
  <c r="B151" i="1" s="1"/>
  <c r="A52" i="1"/>
  <c r="B52" i="1"/>
  <c r="D52" i="1"/>
  <c r="A152" i="1" s="1"/>
  <c r="E52" i="1"/>
  <c r="B152" i="1" s="1"/>
  <c r="A53" i="1"/>
  <c r="B53" i="1"/>
  <c r="D53" i="1"/>
  <c r="A153" i="1" s="1"/>
  <c r="E53" i="1"/>
  <c r="B153" i="1" s="1"/>
  <c r="A54" i="1"/>
  <c r="B54" i="1"/>
  <c r="D54" i="1"/>
  <c r="A154" i="1" s="1"/>
  <c r="E54" i="1"/>
  <c r="B154" i="1" s="1"/>
  <c r="A55" i="1"/>
  <c r="B55" i="1"/>
  <c r="D55" i="1"/>
  <c r="A155" i="1" s="1"/>
  <c r="E55" i="1"/>
  <c r="B155" i="1" s="1"/>
  <c r="A56" i="1"/>
  <c r="B56" i="1"/>
  <c r="D56" i="1"/>
  <c r="A156" i="1" s="1"/>
  <c r="E56" i="1"/>
  <c r="B156" i="1" s="1"/>
  <c r="A57" i="1"/>
  <c r="B57" i="1"/>
  <c r="D57" i="1"/>
  <c r="A157" i="1" s="1"/>
  <c r="E57" i="1"/>
  <c r="B157" i="1" s="1"/>
  <c r="A58" i="1"/>
  <c r="B58" i="1"/>
  <c r="D58" i="1"/>
  <c r="A158" i="1" s="1"/>
  <c r="E58" i="1"/>
  <c r="B158" i="1" s="1"/>
  <c r="A59" i="1"/>
  <c r="B59" i="1"/>
  <c r="D59" i="1"/>
  <c r="A159" i="1" s="1"/>
  <c r="E59" i="1"/>
  <c r="B159" i="1" s="1"/>
  <c r="A60" i="1"/>
  <c r="B60" i="1"/>
  <c r="D60" i="1"/>
  <c r="A160" i="1" s="1"/>
  <c r="E60" i="1"/>
  <c r="B160" i="1" s="1"/>
  <c r="A61" i="1"/>
  <c r="B61" i="1"/>
  <c r="D61" i="1"/>
  <c r="A161" i="1" s="1"/>
  <c r="E61" i="1"/>
  <c r="B161" i="1" s="1"/>
  <c r="A62" i="1"/>
  <c r="B62" i="1"/>
  <c r="D62" i="1"/>
  <c r="A162" i="1" s="1"/>
  <c r="E62" i="1"/>
  <c r="B162" i="1" s="1"/>
  <c r="A63" i="1"/>
  <c r="B63" i="1"/>
  <c r="D63" i="1"/>
  <c r="A163" i="1" s="1"/>
  <c r="E63" i="1"/>
  <c r="B163" i="1" s="1"/>
  <c r="A64" i="1"/>
  <c r="B64" i="1"/>
  <c r="D64" i="1"/>
  <c r="A164" i="1" s="1"/>
  <c r="E64" i="1"/>
  <c r="B164" i="1" s="1"/>
  <c r="A65" i="1"/>
  <c r="B65" i="1"/>
  <c r="D65" i="1"/>
  <c r="A165" i="1" s="1"/>
  <c r="E65" i="1"/>
  <c r="B165" i="1" s="1"/>
  <c r="A66" i="1"/>
  <c r="B66" i="1"/>
  <c r="D66" i="1"/>
  <c r="A166" i="1" s="1"/>
  <c r="E66" i="1"/>
  <c r="B166" i="1" s="1"/>
  <c r="A67" i="1"/>
  <c r="B67" i="1"/>
  <c r="D67" i="1"/>
  <c r="A167" i="1" s="1"/>
  <c r="E67" i="1"/>
  <c r="B167" i="1" s="1"/>
  <c r="A68" i="1"/>
  <c r="B68" i="1"/>
  <c r="D68" i="1"/>
  <c r="A168" i="1" s="1"/>
  <c r="E68" i="1"/>
  <c r="B168" i="1" s="1"/>
  <c r="A69" i="1"/>
  <c r="B69" i="1"/>
  <c r="D69" i="1"/>
  <c r="A169" i="1" s="1"/>
  <c r="E69" i="1"/>
  <c r="B169" i="1" s="1"/>
  <c r="A70" i="1"/>
  <c r="B70" i="1"/>
  <c r="D70" i="1"/>
  <c r="A170" i="1" s="1"/>
  <c r="E70" i="1"/>
  <c r="B170" i="1" s="1"/>
  <c r="A71" i="1"/>
  <c r="B71" i="1"/>
  <c r="D71" i="1"/>
  <c r="A171" i="1" s="1"/>
  <c r="E71" i="1"/>
  <c r="B171" i="1" s="1"/>
  <c r="A72" i="1"/>
  <c r="B72" i="1"/>
  <c r="D72" i="1"/>
  <c r="A172" i="1" s="1"/>
  <c r="E72" i="1"/>
  <c r="B172" i="1" s="1"/>
  <c r="A73" i="1"/>
  <c r="B73" i="1"/>
  <c r="D73" i="1"/>
  <c r="A173" i="1" s="1"/>
  <c r="E73" i="1"/>
  <c r="B173" i="1" s="1"/>
  <c r="A74" i="1"/>
  <c r="B74" i="1"/>
  <c r="D74" i="1"/>
  <c r="A174" i="1" s="1"/>
  <c r="E74" i="1"/>
  <c r="B174" i="1" s="1"/>
  <c r="A75" i="1"/>
  <c r="B75" i="1"/>
  <c r="D75" i="1"/>
  <c r="A175" i="1" s="1"/>
  <c r="E75" i="1"/>
  <c r="B175" i="1" s="1"/>
  <c r="A76" i="1"/>
  <c r="B76" i="1"/>
  <c r="D76" i="1"/>
  <c r="A176" i="1" s="1"/>
  <c r="E76" i="1"/>
  <c r="B176" i="1" s="1"/>
  <c r="A77" i="1"/>
  <c r="B77" i="1"/>
  <c r="D77" i="1"/>
  <c r="A177" i="1" s="1"/>
  <c r="E77" i="1"/>
  <c r="B177" i="1" s="1"/>
  <c r="A78" i="1"/>
  <c r="B78" i="1"/>
  <c r="D78" i="1"/>
  <c r="A178" i="1" s="1"/>
  <c r="E78" i="1"/>
  <c r="B178" i="1" s="1"/>
  <c r="A79" i="1"/>
  <c r="B79" i="1"/>
  <c r="D79" i="1"/>
  <c r="A179" i="1" s="1"/>
  <c r="E79" i="1"/>
  <c r="B179" i="1" s="1"/>
  <c r="A80" i="1"/>
  <c r="B80" i="1"/>
  <c r="D80" i="1"/>
  <c r="A180" i="1" s="1"/>
  <c r="E80" i="1"/>
  <c r="B180" i="1" s="1"/>
  <c r="A81" i="1"/>
  <c r="B81" i="1"/>
  <c r="D81" i="1"/>
  <c r="A181" i="1" s="1"/>
  <c r="E81" i="1"/>
  <c r="B181" i="1" s="1"/>
  <c r="A82" i="1"/>
  <c r="B82" i="1"/>
  <c r="D82" i="1"/>
  <c r="A182" i="1" s="1"/>
  <c r="E82" i="1"/>
  <c r="B182" i="1" s="1"/>
  <c r="A83" i="1"/>
  <c r="B83" i="1"/>
  <c r="D83" i="1"/>
  <c r="A183" i="1" s="1"/>
  <c r="E83" i="1"/>
  <c r="B183" i="1" s="1"/>
  <c r="A84" i="1"/>
  <c r="B84" i="1"/>
  <c r="D84" i="1"/>
  <c r="A184" i="1" s="1"/>
  <c r="E84" i="1"/>
  <c r="B184" i="1" s="1"/>
  <c r="A85" i="1"/>
  <c r="B85" i="1"/>
  <c r="D85" i="1"/>
  <c r="A185" i="1" s="1"/>
  <c r="E85" i="1"/>
  <c r="B185" i="1" s="1"/>
  <c r="A86" i="1"/>
  <c r="B86" i="1"/>
  <c r="D86" i="1"/>
  <c r="A186" i="1" s="1"/>
  <c r="E86" i="1"/>
  <c r="B186" i="1" s="1"/>
  <c r="A87" i="1"/>
  <c r="B87" i="1"/>
  <c r="D87" i="1"/>
  <c r="A187" i="1" s="1"/>
  <c r="E87" i="1"/>
  <c r="B187" i="1" s="1"/>
  <c r="A88" i="1"/>
  <c r="B88" i="1"/>
  <c r="D88" i="1"/>
  <c r="A188" i="1" s="1"/>
  <c r="E88" i="1"/>
  <c r="B188" i="1" s="1"/>
  <c r="A89" i="1"/>
  <c r="B89" i="1"/>
  <c r="D89" i="1"/>
  <c r="A189" i="1" s="1"/>
  <c r="E89" i="1"/>
  <c r="B189" i="1" s="1"/>
  <c r="A90" i="1"/>
  <c r="B90" i="1"/>
  <c r="D90" i="1"/>
  <c r="A190" i="1" s="1"/>
  <c r="E90" i="1"/>
  <c r="B190" i="1" s="1"/>
  <c r="A91" i="1"/>
  <c r="B91" i="1"/>
  <c r="D91" i="1"/>
  <c r="A191" i="1" s="1"/>
  <c r="E91" i="1"/>
  <c r="B191" i="1" s="1"/>
  <c r="A92" i="1"/>
  <c r="B92" i="1"/>
  <c r="D92" i="1"/>
  <c r="A192" i="1" s="1"/>
  <c r="E92" i="1"/>
  <c r="B192" i="1" s="1"/>
  <c r="A93" i="1"/>
  <c r="B93" i="1"/>
  <c r="D93" i="1"/>
  <c r="A193" i="1" s="1"/>
  <c r="E93" i="1"/>
  <c r="B193" i="1" s="1"/>
  <c r="A94" i="1"/>
  <c r="B94" i="1"/>
  <c r="D94" i="1"/>
  <c r="A194" i="1" s="1"/>
  <c r="E94" i="1"/>
  <c r="B194" i="1" s="1"/>
  <c r="A95" i="1"/>
  <c r="B95" i="1"/>
  <c r="D95" i="1"/>
  <c r="A195" i="1" s="1"/>
  <c r="E95" i="1"/>
  <c r="B195" i="1" s="1"/>
  <c r="A96" i="1"/>
  <c r="B96" i="1"/>
  <c r="D96" i="1"/>
  <c r="A196" i="1" s="1"/>
  <c r="E96" i="1"/>
  <c r="B196" i="1" s="1"/>
  <c r="A97" i="1"/>
  <c r="B97" i="1"/>
  <c r="D97" i="1"/>
  <c r="A197" i="1" s="1"/>
  <c r="E97" i="1"/>
  <c r="B197" i="1" s="1"/>
  <c r="A98" i="1"/>
  <c r="B98" i="1"/>
  <c r="D98" i="1"/>
  <c r="A198" i="1" s="1"/>
  <c r="E98" i="1"/>
  <c r="B198" i="1" s="1"/>
  <c r="A99" i="1"/>
  <c r="B99" i="1"/>
  <c r="D99" i="1"/>
  <c r="A199" i="1" s="1"/>
  <c r="E99" i="1"/>
  <c r="B199" i="1" s="1"/>
  <c r="A100" i="1"/>
  <c r="B100" i="1"/>
  <c r="D100" i="1"/>
  <c r="A200" i="1" s="1"/>
  <c r="E100" i="1"/>
  <c r="B200" i="1" s="1"/>
  <c r="D6" i="1"/>
  <c r="A106" i="1" s="1"/>
  <c r="E6" i="1"/>
  <c r="B106" i="1" s="1"/>
  <c r="D7" i="1"/>
  <c r="A107" i="1" s="1"/>
  <c r="E7" i="1"/>
  <c r="B107" i="1" s="1"/>
  <c r="D8" i="1"/>
  <c r="A108" i="1" s="1"/>
  <c r="E8" i="1"/>
  <c r="B108" i="1" s="1"/>
  <c r="D9" i="1"/>
  <c r="A109" i="1" s="1"/>
  <c r="E9" i="1"/>
  <c r="B109" i="1" s="1"/>
  <c r="D10" i="1"/>
  <c r="A110" i="1" s="1"/>
  <c r="E10" i="1"/>
  <c r="B110" i="1" s="1"/>
  <c r="D11" i="1"/>
  <c r="A111" i="1" s="1"/>
  <c r="E11" i="1"/>
  <c r="B111" i="1" s="1"/>
  <c r="D12" i="1"/>
  <c r="A112" i="1" s="1"/>
  <c r="E12" i="1"/>
  <c r="B112" i="1" s="1"/>
  <c r="D13" i="1"/>
  <c r="A113" i="1" s="1"/>
  <c r="E13" i="1"/>
  <c r="B113" i="1" s="1"/>
  <c r="D14" i="1"/>
  <c r="A114" i="1" s="1"/>
  <c r="E14" i="1"/>
  <c r="B114" i="1" s="1"/>
  <c r="D15" i="1"/>
  <c r="A115" i="1" s="1"/>
  <c r="E15" i="1"/>
  <c r="B115" i="1" s="1"/>
  <c r="D16" i="1"/>
  <c r="A116" i="1" s="1"/>
  <c r="E16" i="1"/>
  <c r="B116" i="1" s="1"/>
  <c r="D17" i="1"/>
  <c r="A117" i="1" s="1"/>
  <c r="E17" i="1"/>
  <c r="B117" i="1" s="1"/>
  <c r="D18" i="1"/>
  <c r="A118" i="1" s="1"/>
  <c r="E18" i="1"/>
  <c r="B118" i="1" s="1"/>
  <c r="D19" i="1"/>
  <c r="A119" i="1" s="1"/>
  <c r="E19" i="1"/>
  <c r="B119" i="1" s="1"/>
  <c r="D20" i="1"/>
  <c r="A120" i="1" s="1"/>
  <c r="E20" i="1"/>
  <c r="B120" i="1" s="1"/>
  <c r="D21" i="1"/>
  <c r="A121" i="1" s="1"/>
  <c r="E21" i="1"/>
  <c r="B121" i="1" s="1"/>
  <c r="D22" i="1"/>
  <c r="A122" i="1" s="1"/>
  <c r="E22" i="1"/>
  <c r="B122" i="1" s="1"/>
  <c r="D23" i="1"/>
  <c r="A123" i="1" s="1"/>
  <c r="E23" i="1"/>
  <c r="B123" i="1" s="1"/>
  <c r="D24" i="1"/>
  <c r="A124" i="1" s="1"/>
  <c r="E24" i="1"/>
  <c r="B124" i="1" s="1"/>
  <c r="D25" i="1"/>
  <c r="A125" i="1" s="1"/>
  <c r="E25" i="1"/>
  <c r="B125" i="1" s="1"/>
  <c r="D26" i="1"/>
  <c r="A126" i="1" s="1"/>
  <c r="E26" i="1"/>
  <c r="B126" i="1" s="1"/>
  <c r="D27" i="1"/>
  <c r="A127" i="1" s="1"/>
  <c r="E27" i="1"/>
  <c r="B127" i="1" s="1"/>
  <c r="D28" i="1"/>
  <c r="A128" i="1" s="1"/>
  <c r="E28" i="1"/>
  <c r="B128" i="1" s="1"/>
  <c r="D29" i="1"/>
  <c r="A129" i="1" s="1"/>
  <c r="E29" i="1"/>
  <c r="B129" i="1" s="1"/>
  <c r="D30" i="1"/>
  <c r="A130" i="1" s="1"/>
  <c r="E30" i="1"/>
  <c r="B130" i="1" s="1"/>
  <c r="D31" i="1"/>
  <c r="A131" i="1" s="1"/>
  <c r="E31" i="1"/>
  <c r="B131" i="1" s="1"/>
  <c r="D32" i="1"/>
  <c r="A132" i="1" s="1"/>
  <c r="E32" i="1"/>
  <c r="B132" i="1" s="1"/>
  <c r="D33" i="1"/>
  <c r="A133" i="1" s="1"/>
  <c r="E33" i="1"/>
  <c r="B133" i="1" s="1"/>
  <c r="D34" i="1"/>
  <c r="A134" i="1" s="1"/>
  <c r="E34" i="1"/>
  <c r="B134" i="1" s="1"/>
  <c r="D35" i="1"/>
  <c r="A135" i="1" s="1"/>
  <c r="E35" i="1"/>
  <c r="B135" i="1" s="1"/>
  <c r="D36" i="1"/>
  <c r="A136" i="1" s="1"/>
  <c r="E36" i="1"/>
  <c r="B136" i="1" s="1"/>
  <c r="D37" i="1"/>
  <c r="A137" i="1" s="1"/>
  <c r="E37" i="1"/>
  <c r="B137" i="1" s="1"/>
  <c r="D38" i="1"/>
  <c r="A138" i="1" s="1"/>
  <c r="E38" i="1"/>
  <c r="B138" i="1" s="1"/>
  <c r="D39" i="1"/>
  <c r="A139" i="1" s="1"/>
  <c r="E39" i="1"/>
  <c r="B139" i="1" s="1"/>
  <c r="D40" i="1"/>
  <c r="A140" i="1" s="1"/>
  <c r="E40" i="1"/>
  <c r="B140" i="1" s="1"/>
  <c r="D41" i="1"/>
  <c r="A141" i="1" s="1"/>
  <c r="E41" i="1"/>
  <c r="B141" i="1" s="1"/>
  <c r="D42" i="1"/>
  <c r="A142" i="1" s="1"/>
  <c r="E42" i="1"/>
  <c r="B142" i="1" s="1"/>
  <c r="D43" i="1"/>
  <c r="A143" i="1" s="1"/>
  <c r="E43" i="1"/>
  <c r="B143" i="1" s="1"/>
  <c r="D44" i="1"/>
  <c r="A144" i="1" s="1"/>
  <c r="E44" i="1"/>
  <c r="B144" i="1" s="1"/>
  <c r="D45" i="1"/>
  <c r="A145" i="1" s="1"/>
  <c r="E45" i="1"/>
  <c r="B145" i="1" s="1"/>
  <c r="D46" i="1"/>
  <c r="A146" i="1" s="1"/>
  <c r="E46" i="1"/>
  <c r="B146" i="1" s="1"/>
  <c r="D47" i="1"/>
  <c r="A147" i="1" s="1"/>
  <c r="E47" i="1"/>
  <c r="B147" i="1" s="1"/>
  <c r="D48" i="1"/>
  <c r="A148" i="1" s="1"/>
  <c r="E48" i="1"/>
  <c r="B148" i="1" s="1"/>
  <c r="D49" i="1"/>
  <c r="A149" i="1" s="1"/>
  <c r="E49" i="1"/>
  <c r="B149" i="1" s="1"/>
  <c r="D50" i="1"/>
  <c r="A150" i="1" s="1"/>
  <c r="E50" i="1"/>
  <c r="B150" i="1" s="1"/>
  <c r="D101" i="1"/>
  <c r="A201" i="1" s="1"/>
  <c r="E101" i="1"/>
  <c r="B201" i="1" s="1"/>
  <c r="D102" i="1"/>
  <c r="A202" i="1" s="1"/>
  <c r="E102" i="1"/>
  <c r="B202" i="1" s="1"/>
  <c r="D103" i="1"/>
  <c r="A203" i="1" s="1"/>
  <c r="E103" i="1"/>
  <c r="B203" i="1" s="1"/>
  <c r="D104" i="1"/>
  <c r="A204" i="1" s="1"/>
  <c r="E104" i="1"/>
  <c r="B204" i="1" s="1"/>
  <c r="D5" i="1"/>
  <c r="A105" i="1" s="1"/>
  <c r="E5" i="1"/>
  <c r="B105" i="1" s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101" i="1"/>
  <c r="B101" i="1"/>
  <c r="A102" i="1"/>
  <c r="B102" i="1"/>
  <c r="A103" i="1"/>
  <c r="B103" i="1"/>
  <c r="A104" i="1"/>
  <c r="B104" i="1"/>
  <c r="B5" i="1"/>
  <c r="A5" i="1"/>
  <c r="K46" i="12" l="1" a="1"/>
  <c r="K46" i="12" s="1"/>
  <c r="K78" i="12" a="1"/>
  <c r="K78" i="12" s="1"/>
  <c r="K26" i="12" a="1"/>
  <c r="K26" i="12" s="1"/>
  <c r="K31" i="12" a="1"/>
  <c r="L31" i="12" s="1"/>
  <c r="K47" i="12" a="1"/>
  <c r="L47" i="12" s="1"/>
  <c r="K63" i="12" a="1"/>
  <c r="L63" i="12" s="1"/>
  <c r="K79" i="12" a="1"/>
  <c r="K79" i="12" s="1"/>
  <c r="K95" i="12" a="1"/>
  <c r="L95" i="12" s="1"/>
  <c r="K102" i="12" a="1"/>
  <c r="K102" i="12" s="1"/>
  <c r="K82" i="12" a="1"/>
  <c r="K82" i="12" s="1"/>
  <c r="K20" i="12" a="1"/>
  <c r="L20" i="12" s="1"/>
  <c r="K17" i="12" a="1"/>
  <c r="L17" i="12" s="1"/>
  <c r="K32" i="12" a="1"/>
  <c r="L32" i="12" s="1"/>
  <c r="K48" i="12" a="1"/>
  <c r="K48" i="12" s="1"/>
  <c r="K64" i="12" a="1"/>
  <c r="K64" i="12" s="1"/>
  <c r="K80" i="12" a="1"/>
  <c r="L80" i="12" s="1"/>
  <c r="K96" i="12" a="1"/>
  <c r="K96" i="12" s="1"/>
  <c r="K104" i="12" a="1"/>
  <c r="L104" i="12" s="1"/>
  <c r="K101" i="12" a="1"/>
  <c r="L101" i="12" s="1"/>
  <c r="K24" i="12" a="1"/>
  <c r="L24" i="12" s="1"/>
  <c r="K40" i="12" a="1"/>
  <c r="L40" i="12" s="1"/>
  <c r="K56" i="12" a="1"/>
  <c r="K56" i="12" s="1"/>
  <c r="K72" i="12" a="1"/>
  <c r="K72" i="12" s="1"/>
  <c r="K88" i="12" a="1"/>
  <c r="L88" i="12" s="1"/>
  <c r="K110" i="12" a="1"/>
  <c r="K110" i="12" s="1"/>
  <c r="K105" i="12" a="1"/>
  <c r="K105" i="12" s="1"/>
  <c r="K22" i="12" a="1"/>
  <c r="K54" i="12" a="1"/>
  <c r="K86" i="12" a="1"/>
  <c r="K34" i="12" a="1"/>
  <c r="K98" i="12" a="1"/>
  <c r="K41" i="12" a="1"/>
  <c r="K27" i="12" a="1"/>
  <c r="K43" i="12" a="1"/>
  <c r="K59" i="12" a="1"/>
  <c r="K75" i="12" a="1"/>
  <c r="K91" i="12" a="1"/>
  <c r="K37" i="12" a="1"/>
  <c r="K53" i="12" a="1"/>
  <c r="K69" i="12" a="1"/>
  <c r="K85" i="12" a="1"/>
  <c r="K109" i="12" a="1"/>
  <c r="K100" i="12" a="1"/>
  <c r="K14" i="12" a="1"/>
  <c r="K19" i="12" a="1"/>
  <c r="K58" i="12" a="1"/>
  <c r="K23" i="12" a="1"/>
  <c r="K39" i="12" a="1"/>
  <c r="K55" i="12" a="1"/>
  <c r="K71" i="12" a="1"/>
  <c r="K87" i="12" a="1"/>
  <c r="K108" i="12" a="1"/>
  <c r="K35" i="12" a="1"/>
  <c r="K51" i="12" a="1"/>
  <c r="K67" i="12" a="1"/>
  <c r="K83" i="12" a="1"/>
  <c r="K107" i="12" a="1"/>
  <c r="K103" i="12" a="1"/>
  <c r="K21" i="12" a="1"/>
  <c r="K18" i="12" a="1"/>
  <c r="K15" i="12" a="1"/>
  <c r="K74" i="12" a="1"/>
  <c r="K106" i="12" a="1"/>
  <c r="K28" i="12" a="1"/>
  <c r="K36" i="12" a="1"/>
  <c r="K44" i="12" a="1"/>
  <c r="K52" i="12" a="1"/>
  <c r="K60" i="12" a="1"/>
  <c r="K68" i="12" a="1"/>
  <c r="K76" i="12" a="1"/>
  <c r="K84" i="12" a="1"/>
  <c r="K92" i="12" a="1"/>
  <c r="K29" i="12" a="1"/>
  <c r="K45" i="12" a="1"/>
  <c r="K61" i="12" a="1"/>
  <c r="K77" i="12" a="1"/>
  <c r="K93" i="12" a="1"/>
  <c r="K111" i="12" a="1"/>
  <c r="K99" i="12" a="1"/>
  <c r="K12" i="12" a="1"/>
  <c r="K38" i="12" a="1"/>
  <c r="K70" i="12" a="1"/>
  <c r="K50" i="12" a="1"/>
  <c r="K90" i="12" a="1"/>
  <c r="K16" i="12" a="1"/>
  <c r="K13" i="12" a="1"/>
  <c r="K66" i="12" a="1"/>
  <c r="K25" i="12" a="1"/>
  <c r="K33" i="12" a="1"/>
  <c r="K49" i="12" a="1"/>
  <c r="K57" i="12" a="1"/>
  <c r="K65" i="12" a="1"/>
  <c r="K73" i="12" a="1"/>
  <c r="K81" i="12" a="1"/>
  <c r="K89" i="12" a="1"/>
  <c r="K97" i="12" a="1"/>
  <c r="K30" i="12" a="1"/>
  <c r="K62" i="12" a="1"/>
  <c r="K94" i="12" a="1"/>
  <c r="K42" i="12" a="1"/>
  <c r="K20" i="12" l="1"/>
  <c r="K40" i="12"/>
  <c r="K47" i="12"/>
  <c r="L78" i="12"/>
  <c r="L72" i="12"/>
  <c r="K101" i="12"/>
  <c r="L110" i="12"/>
  <c r="L48" i="12"/>
  <c r="L46" i="12"/>
  <c r="L102" i="12"/>
  <c r="L56" i="12"/>
  <c r="K63" i="12"/>
  <c r="L79" i="12"/>
  <c r="L26" i="12"/>
  <c r="L64" i="12"/>
  <c r="L105" i="12"/>
  <c r="K104" i="12"/>
  <c r="L82" i="12"/>
  <c r="K95" i="12"/>
  <c r="K31" i="12"/>
  <c r="K80" i="12"/>
  <c r="L96" i="12"/>
  <c r="K88" i="12"/>
  <c r="K24" i="12"/>
  <c r="K32" i="12"/>
  <c r="K17" i="12"/>
  <c r="K62" i="12"/>
  <c r="L62" i="12"/>
  <c r="K13" i="12"/>
  <c r="L13" i="12"/>
  <c r="K45" i="12"/>
  <c r="L45" i="12"/>
  <c r="K74" i="12"/>
  <c r="L74" i="12"/>
  <c r="L39" i="12"/>
  <c r="K39" i="12"/>
  <c r="K109" i="12"/>
  <c r="L109" i="12"/>
  <c r="K54" i="12"/>
  <c r="L54" i="12"/>
  <c r="K33" i="12"/>
  <c r="L33" i="12"/>
  <c r="L107" i="12"/>
  <c r="K107" i="12"/>
  <c r="K81" i="12"/>
  <c r="L81" i="12"/>
  <c r="K70" i="12"/>
  <c r="L70" i="12"/>
  <c r="L76" i="12"/>
  <c r="K76" i="12"/>
  <c r="L103" i="12"/>
  <c r="K103" i="12"/>
  <c r="K58" i="12"/>
  <c r="L58" i="12"/>
  <c r="K37" i="12"/>
  <c r="L37" i="12"/>
  <c r="K41" i="12"/>
  <c r="L41" i="12"/>
  <c r="K30" i="12"/>
  <c r="L30" i="12"/>
  <c r="K73" i="12"/>
  <c r="L73" i="12"/>
  <c r="K38" i="12"/>
  <c r="L38" i="12"/>
  <c r="K93" i="12"/>
  <c r="L93" i="12"/>
  <c r="K29" i="12"/>
  <c r="L29" i="12"/>
  <c r="L68" i="12"/>
  <c r="K68" i="12"/>
  <c r="L36" i="12"/>
  <c r="K36" i="12"/>
  <c r="L15" i="12"/>
  <c r="K15" i="12"/>
  <c r="L35" i="12"/>
  <c r="K35" i="12"/>
  <c r="L55" i="12"/>
  <c r="K55" i="12"/>
  <c r="K85" i="12"/>
  <c r="L85" i="12"/>
  <c r="L59" i="12"/>
  <c r="K59" i="12"/>
  <c r="K98" i="12"/>
  <c r="L98" i="12"/>
  <c r="K22" i="12"/>
  <c r="L22" i="12"/>
  <c r="K42" i="12"/>
  <c r="L42" i="12"/>
  <c r="K97" i="12"/>
  <c r="L97" i="12"/>
  <c r="K65" i="12"/>
  <c r="L65" i="12"/>
  <c r="K25" i="12"/>
  <c r="L25" i="12"/>
  <c r="K90" i="12"/>
  <c r="L90" i="12"/>
  <c r="K77" i="12"/>
  <c r="L77" i="12"/>
  <c r="L92" i="12"/>
  <c r="K92" i="12"/>
  <c r="L60" i="12"/>
  <c r="K60" i="12"/>
  <c r="L28" i="12"/>
  <c r="K28" i="12"/>
  <c r="K18" i="12"/>
  <c r="L18" i="12"/>
  <c r="L83" i="12"/>
  <c r="K83" i="12"/>
  <c r="L108" i="12"/>
  <c r="K108" i="12"/>
  <c r="L71" i="12"/>
  <c r="K71" i="12"/>
  <c r="K69" i="12"/>
  <c r="L69" i="12"/>
  <c r="L43" i="12"/>
  <c r="K43" i="12"/>
  <c r="K34" i="12"/>
  <c r="L34" i="12"/>
  <c r="K49" i="12"/>
  <c r="L49" i="12"/>
  <c r="L111" i="12"/>
  <c r="K111" i="12"/>
  <c r="L44" i="12"/>
  <c r="K44" i="12"/>
  <c r="L51" i="12"/>
  <c r="K51" i="12"/>
  <c r="K14" i="12"/>
  <c r="L14" i="12"/>
  <c r="L75" i="12"/>
  <c r="K75" i="12"/>
  <c r="K16" i="12"/>
  <c r="L16" i="12"/>
  <c r="K94" i="12"/>
  <c r="L94" i="12"/>
  <c r="K89" i="12"/>
  <c r="L89" i="12"/>
  <c r="K57" i="12"/>
  <c r="L57" i="12"/>
  <c r="K66" i="12"/>
  <c r="L66" i="12"/>
  <c r="K50" i="12"/>
  <c r="L50" i="12"/>
  <c r="L99" i="12"/>
  <c r="K99" i="12"/>
  <c r="K61" i="12"/>
  <c r="L61" i="12"/>
  <c r="L84" i="12"/>
  <c r="K84" i="12"/>
  <c r="L52" i="12"/>
  <c r="K52" i="12"/>
  <c r="K106" i="12"/>
  <c r="L106" i="12"/>
  <c r="K21" i="12"/>
  <c r="L21" i="12"/>
  <c r="L67" i="12"/>
  <c r="K67" i="12"/>
  <c r="L87" i="12"/>
  <c r="K87" i="12"/>
  <c r="L23" i="12"/>
  <c r="K23" i="12"/>
  <c r="L19" i="12"/>
  <c r="K19" i="12"/>
  <c r="L100" i="12"/>
  <c r="K100" i="12"/>
  <c r="K53" i="12"/>
  <c r="L53" i="12"/>
  <c r="L91" i="12"/>
  <c r="K91" i="12"/>
  <c r="L27" i="12"/>
  <c r="K27" i="12"/>
  <c r="K86" i="12"/>
  <c r="L86" i="12"/>
  <c r="K12" i="12"/>
  <c r="L12" i="12"/>
</calcChain>
</file>

<file path=xl/sharedStrings.xml><?xml version="1.0" encoding="utf-8"?>
<sst xmlns="http://schemas.openxmlformats.org/spreadsheetml/2006/main" count="60" uniqueCount="43">
  <si>
    <t>x</t>
  </si>
  <si>
    <t>x</t>
    <phoneticPr fontId="1"/>
  </si>
  <si>
    <t>y</t>
  </si>
  <si>
    <t>y</t>
    <phoneticPr fontId="1"/>
  </si>
  <si>
    <t>x2</t>
    <phoneticPr fontId="1"/>
  </si>
  <si>
    <t>y2</t>
    <phoneticPr fontId="1"/>
  </si>
  <si>
    <t>r</t>
    <phoneticPr fontId="1"/>
  </si>
  <si>
    <t>θ</t>
    <phoneticPr fontId="1"/>
  </si>
  <si>
    <t>分布</t>
    <rPh sb="0" eb="2">
      <t>ブンプ</t>
    </rPh>
    <phoneticPr fontId="1"/>
  </si>
  <si>
    <t>x1</t>
    <phoneticPr fontId="1"/>
  </si>
  <si>
    <t>y1</t>
    <phoneticPr fontId="1"/>
  </si>
  <si>
    <t>X</t>
    <phoneticPr fontId="1"/>
  </si>
  <si>
    <t>Y</t>
    <phoneticPr fontId="1"/>
  </si>
  <si>
    <t>x</t>
    <phoneticPr fontId="1"/>
  </si>
  <si>
    <t>y</t>
    <phoneticPr fontId="1"/>
  </si>
  <si>
    <t>n</t>
    <phoneticPr fontId="1"/>
  </si>
  <si>
    <t>x2</t>
  </si>
  <si>
    <t>y2</t>
  </si>
  <si>
    <t>x3</t>
    <phoneticPr fontId="1"/>
  </si>
  <si>
    <t>y3</t>
    <phoneticPr fontId="1"/>
  </si>
  <si>
    <t>α</t>
    <phoneticPr fontId="1"/>
  </si>
  <si>
    <t>x3+α</t>
    <phoneticPr fontId="1"/>
  </si>
  <si>
    <t>β</t>
    <phoneticPr fontId="1"/>
  </si>
  <si>
    <t>y2+β</t>
    <phoneticPr fontId="1"/>
  </si>
  <si>
    <t>y3+β</t>
    <phoneticPr fontId="1"/>
  </si>
  <si>
    <t>x2+α</t>
    <phoneticPr fontId="1"/>
  </si>
  <si>
    <t>x</t>
    <phoneticPr fontId="1"/>
  </si>
  <si>
    <t>y</t>
    <phoneticPr fontId="1"/>
  </si>
  <si>
    <t>3Q</t>
    <phoneticPr fontId="1"/>
  </si>
  <si>
    <t>Med.</t>
    <phoneticPr fontId="1"/>
  </si>
  <si>
    <t>1Q</t>
    <phoneticPr fontId="1"/>
  </si>
  <si>
    <t>Correl</t>
    <phoneticPr fontId="1"/>
  </si>
  <si>
    <t>Max.</t>
    <phoneticPr fontId="1"/>
  </si>
  <si>
    <t>Min.</t>
    <phoneticPr fontId="1"/>
  </si>
  <si>
    <t>Ave.</t>
    <phoneticPr fontId="1"/>
  </si>
  <si>
    <t>Covar</t>
    <phoneticPr fontId="1"/>
  </si>
  <si>
    <t>σ</t>
    <phoneticPr fontId="1"/>
  </si>
  <si>
    <t>半径</t>
    <rPh sb="0" eb="2">
      <t>ハンケイ</t>
    </rPh>
    <phoneticPr fontId="1"/>
  </si>
  <si>
    <t>経度</t>
    <rPh sb="0" eb="2">
      <t>ケイド</t>
    </rPh>
    <phoneticPr fontId="1"/>
  </si>
  <si>
    <t>緯度</t>
    <rPh sb="0" eb="2">
      <t>イド</t>
    </rPh>
    <phoneticPr fontId="1"/>
  </si>
  <si>
    <t>#</t>
    <phoneticPr fontId="1"/>
  </si>
  <si>
    <t>z</t>
    <phoneticPr fontId="1"/>
  </si>
  <si>
    <t>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</si>
</sst>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9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rand1!$B$4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rand1!$A$5:$A$104</c:f>
              <c:numCache>
                <c:formatCode>General</c:formatCode>
                <c:ptCount val="100"/>
                <c:pt idx="0">
                  <c:v>-1.1238026638063161</c:v>
                </c:pt>
                <c:pt idx="1">
                  <c:v>-0.67583403861657843</c:v>
                </c:pt>
                <c:pt idx="2">
                  <c:v>-1.3457193921328197</c:v>
                </c:pt>
                <c:pt idx="3">
                  <c:v>-0.71501389702747986</c:v>
                </c:pt>
                <c:pt idx="4">
                  <c:v>0.70035214062564966</c:v>
                </c:pt>
                <c:pt idx="5">
                  <c:v>-0.97906851615124579</c:v>
                </c:pt>
                <c:pt idx="6">
                  <c:v>-0.63606852006610648</c:v>
                </c:pt>
                <c:pt idx="7">
                  <c:v>-1.5715497375269165</c:v>
                </c:pt>
                <c:pt idx="8">
                  <c:v>-1.1577094587274712</c:v>
                </c:pt>
                <c:pt idx="9">
                  <c:v>0.13512825427392294</c:v>
                </c:pt>
                <c:pt idx="10">
                  <c:v>0.20045876546634811</c:v>
                </c:pt>
                <c:pt idx="11">
                  <c:v>-0.19303455126469271</c:v>
                </c:pt>
                <c:pt idx="12">
                  <c:v>-0.63955377748166065</c:v>
                </c:pt>
                <c:pt idx="13">
                  <c:v>0.37326960279602595</c:v>
                </c:pt>
                <c:pt idx="14">
                  <c:v>-0.52415968992875772</c:v>
                </c:pt>
                <c:pt idx="15">
                  <c:v>-1.0598884802125124</c:v>
                </c:pt>
                <c:pt idx="16">
                  <c:v>-2.5291129729560611</c:v>
                </c:pt>
                <c:pt idx="17">
                  <c:v>-0.8844120776968879</c:v>
                </c:pt>
                <c:pt idx="18">
                  <c:v>1.7144323492666813E-2</c:v>
                </c:pt>
                <c:pt idx="19">
                  <c:v>-0.753079408864471</c:v>
                </c:pt>
                <c:pt idx="20">
                  <c:v>-8.3462408022963508E-2</c:v>
                </c:pt>
                <c:pt idx="21">
                  <c:v>-1.0645964607296783</c:v>
                </c:pt>
                <c:pt idx="22">
                  <c:v>0.78029676880361976</c:v>
                </c:pt>
                <c:pt idx="23">
                  <c:v>-1.4925456681461375</c:v>
                </c:pt>
                <c:pt idx="24">
                  <c:v>-0.38816627031387474</c:v>
                </c:pt>
                <c:pt idx="25">
                  <c:v>-0.1589019098134411</c:v>
                </c:pt>
                <c:pt idx="26">
                  <c:v>0.73202689080555183</c:v>
                </c:pt>
                <c:pt idx="27">
                  <c:v>-0.52144426820377832</c:v>
                </c:pt>
                <c:pt idx="28">
                  <c:v>-4.6620180389790156E-2</c:v>
                </c:pt>
                <c:pt idx="29">
                  <c:v>0.52247132640667293</c:v>
                </c:pt>
                <c:pt idx="30">
                  <c:v>-3.821557652252644E-2</c:v>
                </c:pt>
                <c:pt idx="31">
                  <c:v>0.2160805598211829</c:v>
                </c:pt>
                <c:pt idx="32">
                  <c:v>-1.7616427582273477</c:v>
                </c:pt>
                <c:pt idx="33">
                  <c:v>-0.17510371463729313</c:v>
                </c:pt>
                <c:pt idx="34">
                  <c:v>-1.9573383202022532</c:v>
                </c:pt>
                <c:pt idx="35">
                  <c:v>0.24537807618983587</c:v>
                </c:pt>
                <c:pt idx="36">
                  <c:v>-1.1055194952708969</c:v>
                </c:pt>
                <c:pt idx="37">
                  <c:v>-2.1839188438380734</c:v>
                </c:pt>
                <c:pt idx="38">
                  <c:v>-0.27617533619883761</c:v>
                </c:pt>
                <c:pt idx="39">
                  <c:v>-0.67289874061175325</c:v>
                </c:pt>
                <c:pt idx="40">
                  <c:v>-0.70795591456914764</c:v>
                </c:pt>
                <c:pt idx="41">
                  <c:v>-1.4769666638408652</c:v>
                </c:pt>
                <c:pt idx="42">
                  <c:v>1.3662645301092891</c:v>
                </c:pt>
                <c:pt idx="43">
                  <c:v>-1.2167836185879728</c:v>
                </c:pt>
                <c:pt idx="44">
                  <c:v>-0.58714540871197018</c:v>
                </c:pt>
                <c:pt idx="45">
                  <c:v>-0.28950979631692064</c:v>
                </c:pt>
                <c:pt idx="46">
                  <c:v>-1.5314263683420435</c:v>
                </c:pt>
                <c:pt idx="47">
                  <c:v>-0.53961600914250607</c:v>
                </c:pt>
                <c:pt idx="48">
                  <c:v>-0.29726599609279469</c:v>
                </c:pt>
                <c:pt idx="49">
                  <c:v>-0.29440227305998579</c:v>
                </c:pt>
                <c:pt idx="50">
                  <c:v>-1.2440802950855698</c:v>
                </c:pt>
                <c:pt idx="51">
                  <c:v>0.24437728699977024</c:v>
                </c:pt>
                <c:pt idx="52">
                  <c:v>5.7351005093023377E-2</c:v>
                </c:pt>
                <c:pt idx="53">
                  <c:v>-0.58392377555468356</c:v>
                </c:pt>
                <c:pt idx="54">
                  <c:v>-1.0169511327190637</c:v>
                </c:pt>
                <c:pt idx="55">
                  <c:v>-1.0389031087369331</c:v>
                </c:pt>
                <c:pt idx="56">
                  <c:v>-0.75045998954396098</c:v>
                </c:pt>
                <c:pt idx="57">
                  <c:v>-1.0421435190171198</c:v>
                </c:pt>
                <c:pt idx="58">
                  <c:v>-0.76442131856052908</c:v>
                </c:pt>
                <c:pt idx="59">
                  <c:v>-0.62325407240384711</c:v>
                </c:pt>
                <c:pt idx="60">
                  <c:v>-2.9288887786881102E-2</c:v>
                </c:pt>
                <c:pt idx="61">
                  <c:v>-0.77366998650830077</c:v>
                </c:pt>
                <c:pt idx="62">
                  <c:v>-1.1438364749710708</c:v>
                </c:pt>
                <c:pt idx="63">
                  <c:v>0.13437700347892245</c:v>
                </c:pt>
                <c:pt idx="64">
                  <c:v>-0.5826008080909173</c:v>
                </c:pt>
                <c:pt idx="65">
                  <c:v>0.15021869483375949</c:v>
                </c:pt>
                <c:pt idx="66">
                  <c:v>-1.3326811570359522</c:v>
                </c:pt>
                <c:pt idx="67">
                  <c:v>-0.3531099291760792</c:v>
                </c:pt>
                <c:pt idx="68">
                  <c:v>-1.8544720212171395</c:v>
                </c:pt>
                <c:pt idx="69">
                  <c:v>-1.6957929101236759</c:v>
                </c:pt>
                <c:pt idx="70">
                  <c:v>0.34350232700234029</c:v>
                </c:pt>
                <c:pt idx="71">
                  <c:v>-0.4493153648971549</c:v>
                </c:pt>
                <c:pt idx="72">
                  <c:v>-0.19840518452972988</c:v>
                </c:pt>
                <c:pt idx="73">
                  <c:v>2.0654021946449719E-2</c:v>
                </c:pt>
                <c:pt idx="74">
                  <c:v>1.096834740676764</c:v>
                </c:pt>
                <c:pt idx="75">
                  <c:v>-1.750227181159314</c:v>
                </c:pt>
                <c:pt idx="76">
                  <c:v>-0.89596836573844008</c:v>
                </c:pt>
                <c:pt idx="77">
                  <c:v>-1.3957227691071215</c:v>
                </c:pt>
                <c:pt idx="78">
                  <c:v>-0.71574211934796583</c:v>
                </c:pt>
                <c:pt idx="79">
                  <c:v>-0.38606622973471399</c:v>
                </c:pt>
                <c:pt idx="80">
                  <c:v>-0.65320853989692229</c:v>
                </c:pt>
                <c:pt idx="81">
                  <c:v>1.9076745452484798</c:v>
                </c:pt>
                <c:pt idx="82">
                  <c:v>0.29110829912582392</c:v>
                </c:pt>
                <c:pt idx="83">
                  <c:v>0.55269033658209277</c:v>
                </c:pt>
                <c:pt idx="84">
                  <c:v>-1.5617669589939234</c:v>
                </c:pt>
                <c:pt idx="85">
                  <c:v>-0.37568331938842164</c:v>
                </c:pt>
                <c:pt idx="86">
                  <c:v>0.10077155336718857</c:v>
                </c:pt>
                <c:pt idx="87">
                  <c:v>-0.14207752798746903</c:v>
                </c:pt>
                <c:pt idx="88">
                  <c:v>-0.86170433132829483</c:v>
                </c:pt>
                <c:pt idx="89">
                  <c:v>4.0995016670570927E-2</c:v>
                </c:pt>
                <c:pt idx="90">
                  <c:v>1.2658169461782152</c:v>
                </c:pt>
                <c:pt idx="91">
                  <c:v>-1.1505102571074948</c:v>
                </c:pt>
                <c:pt idx="92">
                  <c:v>0.59827568586067037</c:v>
                </c:pt>
                <c:pt idx="93">
                  <c:v>-2.6578821714218401</c:v>
                </c:pt>
                <c:pt idx="94">
                  <c:v>-0.78878640407184841</c:v>
                </c:pt>
                <c:pt idx="95">
                  <c:v>0.30367641079503549</c:v>
                </c:pt>
                <c:pt idx="96">
                  <c:v>5.9024191994144992E-2</c:v>
                </c:pt>
                <c:pt idx="97">
                  <c:v>0.78701729094735029</c:v>
                </c:pt>
                <c:pt idx="98">
                  <c:v>-0.98930665970561082</c:v>
                </c:pt>
                <c:pt idx="99">
                  <c:v>1.206881134122664</c:v>
                </c:pt>
              </c:numCache>
            </c:numRef>
          </c:xVal>
          <c:yVal>
            <c:numRef>
              <c:f>rand1!$B$5:$B$104</c:f>
              <c:numCache>
                <c:formatCode>General</c:formatCode>
                <c:ptCount val="100"/>
                <c:pt idx="0">
                  <c:v>0.97264575449275181</c:v>
                </c:pt>
                <c:pt idx="1">
                  <c:v>1.2300276551571314</c:v>
                </c:pt>
                <c:pt idx="2">
                  <c:v>0.85771673832969919</c:v>
                </c:pt>
                <c:pt idx="3">
                  <c:v>2.2806485933430847</c:v>
                </c:pt>
                <c:pt idx="4">
                  <c:v>1.4158318188452297</c:v>
                </c:pt>
                <c:pt idx="5">
                  <c:v>1.4033528535583599</c:v>
                </c:pt>
                <c:pt idx="6">
                  <c:v>1.5104862901311489</c:v>
                </c:pt>
                <c:pt idx="7">
                  <c:v>1.373730899901028</c:v>
                </c:pt>
                <c:pt idx="8">
                  <c:v>0.93470895038480328</c:v>
                </c:pt>
                <c:pt idx="9">
                  <c:v>2.2319166646117665</c:v>
                </c:pt>
                <c:pt idx="10">
                  <c:v>2.6513336413600159</c:v>
                </c:pt>
                <c:pt idx="11">
                  <c:v>1.7122193131213985</c:v>
                </c:pt>
                <c:pt idx="12">
                  <c:v>0.91921928919058915</c:v>
                </c:pt>
                <c:pt idx="13">
                  <c:v>2.2388254542255046</c:v>
                </c:pt>
                <c:pt idx="14">
                  <c:v>1.5552843347177134</c:v>
                </c:pt>
                <c:pt idx="15">
                  <c:v>1.656514961521647</c:v>
                </c:pt>
                <c:pt idx="16">
                  <c:v>2.0692672689812586</c:v>
                </c:pt>
                <c:pt idx="17">
                  <c:v>1.2937091803355854</c:v>
                </c:pt>
                <c:pt idx="18">
                  <c:v>0.67788468625373011</c:v>
                </c:pt>
                <c:pt idx="19">
                  <c:v>0.73317798002135326</c:v>
                </c:pt>
                <c:pt idx="20">
                  <c:v>1.1587729652173893</c:v>
                </c:pt>
                <c:pt idx="21">
                  <c:v>1.550847130743916</c:v>
                </c:pt>
                <c:pt idx="22">
                  <c:v>1.1268594159062577</c:v>
                </c:pt>
                <c:pt idx="23">
                  <c:v>2.0604598262301455</c:v>
                </c:pt>
                <c:pt idx="24">
                  <c:v>1.2967361304026594</c:v>
                </c:pt>
                <c:pt idx="25">
                  <c:v>2.0862520611703945</c:v>
                </c:pt>
                <c:pt idx="26">
                  <c:v>1.0854170015730433</c:v>
                </c:pt>
                <c:pt idx="27">
                  <c:v>0.78326245356758772</c:v>
                </c:pt>
                <c:pt idx="28">
                  <c:v>1.8295660494241699</c:v>
                </c:pt>
                <c:pt idx="29">
                  <c:v>1.9393179359685866</c:v>
                </c:pt>
                <c:pt idx="30">
                  <c:v>0.86341011658092237</c:v>
                </c:pt>
                <c:pt idx="31">
                  <c:v>0.77628200316089757</c:v>
                </c:pt>
                <c:pt idx="32">
                  <c:v>1.3225220455803186</c:v>
                </c:pt>
                <c:pt idx="33">
                  <c:v>0.98494093980485931</c:v>
                </c:pt>
                <c:pt idx="34">
                  <c:v>1.7516951074008942</c:v>
                </c:pt>
                <c:pt idx="35">
                  <c:v>1.0828997129717317</c:v>
                </c:pt>
                <c:pt idx="36">
                  <c:v>2.7252690711311844</c:v>
                </c:pt>
                <c:pt idx="37">
                  <c:v>1.1809235373645097</c:v>
                </c:pt>
                <c:pt idx="38">
                  <c:v>1.319539338450705</c:v>
                </c:pt>
                <c:pt idx="39">
                  <c:v>1.389798658379648</c:v>
                </c:pt>
                <c:pt idx="40">
                  <c:v>1.3053354521924545</c:v>
                </c:pt>
                <c:pt idx="41">
                  <c:v>1.3857643538304767</c:v>
                </c:pt>
                <c:pt idx="42">
                  <c:v>2.9063153244065578</c:v>
                </c:pt>
                <c:pt idx="43">
                  <c:v>1.9376397643710572</c:v>
                </c:pt>
                <c:pt idx="44">
                  <c:v>1.4874937704700009</c:v>
                </c:pt>
                <c:pt idx="45">
                  <c:v>1.5343213483433662</c:v>
                </c:pt>
                <c:pt idx="46">
                  <c:v>2.3536410034420725</c:v>
                </c:pt>
                <c:pt idx="47">
                  <c:v>1.3642797932058852</c:v>
                </c:pt>
                <c:pt idx="48">
                  <c:v>1.1941616305952798</c:v>
                </c:pt>
                <c:pt idx="49">
                  <c:v>1.4251400099158658</c:v>
                </c:pt>
                <c:pt idx="50">
                  <c:v>1.2509016502367585</c:v>
                </c:pt>
                <c:pt idx="51">
                  <c:v>2.0566806987970203</c:v>
                </c:pt>
                <c:pt idx="52">
                  <c:v>1.7584861760039558</c:v>
                </c:pt>
                <c:pt idx="53">
                  <c:v>1.3050213720439596</c:v>
                </c:pt>
                <c:pt idx="54">
                  <c:v>0.55631710981300031</c:v>
                </c:pt>
                <c:pt idx="55">
                  <c:v>1.1491120440583931</c:v>
                </c:pt>
                <c:pt idx="56">
                  <c:v>1.2582183602297596</c:v>
                </c:pt>
                <c:pt idx="57">
                  <c:v>0.88688621496159192</c:v>
                </c:pt>
                <c:pt idx="58">
                  <c:v>0.93283422757388068</c:v>
                </c:pt>
                <c:pt idx="59">
                  <c:v>1.9811254899394282E-2</c:v>
                </c:pt>
                <c:pt idx="60">
                  <c:v>-7.9747793513480492E-3</c:v>
                </c:pt>
                <c:pt idx="61">
                  <c:v>1.2537372511459322</c:v>
                </c:pt>
                <c:pt idx="62">
                  <c:v>1.4556073565493333</c:v>
                </c:pt>
                <c:pt idx="63">
                  <c:v>2.5869660773483485</c:v>
                </c:pt>
                <c:pt idx="64">
                  <c:v>2.1860938787698787</c:v>
                </c:pt>
                <c:pt idx="65">
                  <c:v>2.1658696590669644</c:v>
                </c:pt>
                <c:pt idx="66">
                  <c:v>1.2823723385916472</c:v>
                </c:pt>
                <c:pt idx="67">
                  <c:v>1.7295657061201022</c:v>
                </c:pt>
                <c:pt idx="68">
                  <c:v>2.1641686383007386</c:v>
                </c:pt>
                <c:pt idx="69">
                  <c:v>0.84374757113062226</c:v>
                </c:pt>
                <c:pt idx="70">
                  <c:v>1.5531344206235624</c:v>
                </c:pt>
                <c:pt idx="71">
                  <c:v>1.02654546754342</c:v>
                </c:pt>
                <c:pt idx="72">
                  <c:v>2.7329833874652296</c:v>
                </c:pt>
                <c:pt idx="73">
                  <c:v>1.4345033305451598</c:v>
                </c:pt>
                <c:pt idx="74">
                  <c:v>1.2642057960911925</c:v>
                </c:pt>
                <c:pt idx="75">
                  <c:v>2.0342390191568458</c:v>
                </c:pt>
                <c:pt idx="76">
                  <c:v>1.1224891584543861</c:v>
                </c:pt>
                <c:pt idx="77">
                  <c:v>1.1301487260465881</c:v>
                </c:pt>
                <c:pt idx="78">
                  <c:v>0.81880964694294267</c:v>
                </c:pt>
                <c:pt idx="79">
                  <c:v>1.0537401833338098</c:v>
                </c:pt>
                <c:pt idx="80">
                  <c:v>1.7233171230297772</c:v>
                </c:pt>
                <c:pt idx="81">
                  <c:v>1.9802849250175749</c:v>
                </c:pt>
                <c:pt idx="82">
                  <c:v>1.3854662693117403</c:v>
                </c:pt>
                <c:pt idx="83">
                  <c:v>0.73096675535975575</c:v>
                </c:pt>
                <c:pt idx="84">
                  <c:v>0.90586865461114818</c:v>
                </c:pt>
                <c:pt idx="85">
                  <c:v>1.2169486746424383</c:v>
                </c:pt>
                <c:pt idx="86">
                  <c:v>1.7406024646507654</c:v>
                </c:pt>
                <c:pt idx="87">
                  <c:v>1.991061551577459</c:v>
                </c:pt>
                <c:pt idx="88">
                  <c:v>1.5603118135600409</c:v>
                </c:pt>
                <c:pt idx="89">
                  <c:v>1.3176216366174882</c:v>
                </c:pt>
                <c:pt idx="90">
                  <c:v>1.0980824920752461</c:v>
                </c:pt>
                <c:pt idx="91">
                  <c:v>2.3864449821328333</c:v>
                </c:pt>
                <c:pt idx="92">
                  <c:v>1.1585074332626761</c:v>
                </c:pt>
                <c:pt idx="93">
                  <c:v>0.84736396721920881</c:v>
                </c:pt>
                <c:pt idx="94">
                  <c:v>0.2582911669731438</c:v>
                </c:pt>
                <c:pt idx="95">
                  <c:v>1.1652516708879928</c:v>
                </c:pt>
                <c:pt idx="96">
                  <c:v>1.2879798163760383</c:v>
                </c:pt>
                <c:pt idx="97">
                  <c:v>1.6263814176659017</c:v>
                </c:pt>
                <c:pt idx="98">
                  <c:v>1.8637585295677326</c:v>
                </c:pt>
                <c:pt idx="99">
                  <c:v>1.4525331575138998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1-477E-AC7B-32277A38D951}"/>
            </c:ext>
          </c:extLst>
        </c:ser>
        <c:ser>
          <c:idx val="1"/>
          <c:order val="1"/>
          <c:tx>
            <c:v>y2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rand1!$D$5:$D$104</c:f>
              <c:numCache>
                <c:formatCode>General</c:formatCode>
                <c:ptCount val="100"/>
                <c:pt idx="0">
                  <c:v>-8.222684854968243E-3</c:v>
                </c:pt>
                <c:pt idx="1">
                  <c:v>0.57181757675308997</c:v>
                </c:pt>
                <c:pt idx="2">
                  <c:v>0.53439039762845164</c:v>
                </c:pt>
                <c:pt idx="3">
                  <c:v>-4.6384989789299946E-2</c:v>
                </c:pt>
                <c:pt idx="4">
                  <c:v>0.10954734858173648</c:v>
                </c:pt>
                <c:pt idx="5">
                  <c:v>1.0141525325794856</c:v>
                </c:pt>
                <c:pt idx="6">
                  <c:v>-0.331482314297603</c:v>
                </c:pt>
                <c:pt idx="7">
                  <c:v>1.4061533492956544</c:v>
                </c:pt>
                <c:pt idx="8">
                  <c:v>7.2557198587259175E-2</c:v>
                </c:pt>
                <c:pt idx="9">
                  <c:v>0.87331131412881291</c:v>
                </c:pt>
                <c:pt idx="10">
                  <c:v>0.14723552280656371</c:v>
                </c:pt>
                <c:pt idx="11">
                  <c:v>1.2909215149014028</c:v>
                </c:pt>
                <c:pt idx="12">
                  <c:v>0.70613627714229366</c:v>
                </c:pt>
                <c:pt idx="13">
                  <c:v>0.24865096166174211</c:v>
                </c:pt>
                <c:pt idx="14">
                  <c:v>0.50610240768440962</c:v>
                </c:pt>
                <c:pt idx="15">
                  <c:v>6.1010026597740741E-2</c:v>
                </c:pt>
                <c:pt idx="16">
                  <c:v>1.1008155139880693</c:v>
                </c:pt>
                <c:pt idx="17">
                  <c:v>1.2396376212708988</c:v>
                </c:pt>
                <c:pt idx="18">
                  <c:v>0.13188918173076219</c:v>
                </c:pt>
                <c:pt idx="19">
                  <c:v>0.7415341557823405</c:v>
                </c:pt>
                <c:pt idx="20">
                  <c:v>1.2634374697825954</c:v>
                </c:pt>
                <c:pt idx="21">
                  <c:v>0.98840386720010398</c:v>
                </c:pt>
                <c:pt idx="22">
                  <c:v>0.62335337384250911</c:v>
                </c:pt>
                <c:pt idx="23">
                  <c:v>0.46656131886200775</c:v>
                </c:pt>
                <c:pt idx="24">
                  <c:v>0.42281242146765963</c:v>
                </c:pt>
                <c:pt idx="25">
                  <c:v>0.10378837273295133</c:v>
                </c:pt>
                <c:pt idx="26">
                  <c:v>-8.5704457572226889E-2</c:v>
                </c:pt>
                <c:pt idx="27">
                  <c:v>1.1460850177997011</c:v>
                </c:pt>
                <c:pt idx="28">
                  <c:v>0.5097485991707118</c:v>
                </c:pt>
                <c:pt idx="29">
                  <c:v>0.88258659965716435</c:v>
                </c:pt>
                <c:pt idx="30">
                  <c:v>1.4152665315751489E-2</c:v>
                </c:pt>
                <c:pt idx="31">
                  <c:v>0.98411151951357301</c:v>
                </c:pt>
                <c:pt idx="32">
                  <c:v>3.312844022720729E-2</c:v>
                </c:pt>
                <c:pt idx="33">
                  <c:v>0.87605306721693443</c:v>
                </c:pt>
                <c:pt idx="34">
                  <c:v>0.63331957264194694</c:v>
                </c:pt>
                <c:pt idx="35">
                  <c:v>-0.44229526488291571</c:v>
                </c:pt>
                <c:pt idx="36">
                  <c:v>0.31644925540914737</c:v>
                </c:pt>
                <c:pt idx="37">
                  <c:v>0.10244326893198047</c:v>
                </c:pt>
                <c:pt idx="38">
                  <c:v>-0.17569401526015771</c:v>
                </c:pt>
                <c:pt idx="39">
                  <c:v>0.59695089054922823</c:v>
                </c:pt>
                <c:pt idx="40">
                  <c:v>1.543526658914729</c:v>
                </c:pt>
                <c:pt idx="41">
                  <c:v>0.56399967538892726</c:v>
                </c:pt>
                <c:pt idx="42">
                  <c:v>1.1164081413728937</c:v>
                </c:pt>
                <c:pt idx="43">
                  <c:v>0.50133255126179266</c:v>
                </c:pt>
                <c:pt idx="44">
                  <c:v>0.89867688275804247</c:v>
                </c:pt>
                <c:pt idx="45">
                  <c:v>-0.17132758903201684</c:v>
                </c:pt>
                <c:pt idx="46">
                  <c:v>0.59528531871536017</c:v>
                </c:pt>
                <c:pt idx="47">
                  <c:v>-0.27383548702813187</c:v>
                </c:pt>
                <c:pt idx="48">
                  <c:v>0.44595275411699287</c:v>
                </c:pt>
                <c:pt idx="49">
                  <c:v>0.16746719031626017</c:v>
                </c:pt>
                <c:pt idx="50">
                  <c:v>0.65407686031667245</c:v>
                </c:pt>
                <c:pt idx="51">
                  <c:v>0.15401266345113646</c:v>
                </c:pt>
                <c:pt idx="52">
                  <c:v>0.83233408937258413</c:v>
                </c:pt>
                <c:pt idx="53">
                  <c:v>0.60430141739141852</c:v>
                </c:pt>
                <c:pt idx="54">
                  <c:v>0.55911551287267214</c:v>
                </c:pt>
                <c:pt idx="55">
                  <c:v>0.76465323142743769</c:v>
                </c:pt>
                <c:pt idx="56">
                  <c:v>0.60010984521559319</c:v>
                </c:pt>
                <c:pt idx="57">
                  <c:v>1.0274380404639993</c:v>
                </c:pt>
                <c:pt idx="58">
                  <c:v>0.20160705438685317</c:v>
                </c:pt>
                <c:pt idx="59">
                  <c:v>0.47729773506778261</c:v>
                </c:pt>
                <c:pt idx="60">
                  <c:v>-3.0147852637531058E-2</c:v>
                </c:pt>
                <c:pt idx="61">
                  <c:v>5.1861895622158871E-2</c:v>
                </c:pt>
                <c:pt idx="62">
                  <c:v>0.55713878500207847</c:v>
                </c:pt>
                <c:pt idx="63">
                  <c:v>0.47033342499929731</c:v>
                </c:pt>
                <c:pt idx="64">
                  <c:v>0.55256022377321368</c:v>
                </c:pt>
                <c:pt idx="65">
                  <c:v>1.2346918219690011</c:v>
                </c:pt>
                <c:pt idx="66">
                  <c:v>0.32466447074680693</c:v>
                </c:pt>
                <c:pt idx="67">
                  <c:v>0.6282331402225747</c:v>
                </c:pt>
                <c:pt idx="68">
                  <c:v>0.22797665281485646</c:v>
                </c:pt>
                <c:pt idx="69">
                  <c:v>1.1020372933171005</c:v>
                </c:pt>
                <c:pt idx="70">
                  <c:v>-0.60948007385030589</c:v>
                </c:pt>
                <c:pt idx="71">
                  <c:v>0.85040174084121523</c:v>
                </c:pt>
                <c:pt idx="72">
                  <c:v>5.9650841970881885E-4</c:v>
                </c:pt>
                <c:pt idx="73">
                  <c:v>0.56310965964361603</c:v>
                </c:pt>
                <c:pt idx="74">
                  <c:v>0.92085904236531668</c:v>
                </c:pt>
                <c:pt idx="75">
                  <c:v>0.83476301186221047</c:v>
                </c:pt>
                <c:pt idx="76">
                  <c:v>0.24503646152704284</c:v>
                </c:pt>
                <c:pt idx="77">
                  <c:v>1.5803867362916362</c:v>
                </c:pt>
                <c:pt idx="78">
                  <c:v>0.15495969445224278</c:v>
                </c:pt>
                <c:pt idx="79">
                  <c:v>1.3784660894454535</c:v>
                </c:pt>
                <c:pt idx="80">
                  <c:v>0.84545782579104056</c:v>
                </c:pt>
                <c:pt idx="81">
                  <c:v>1.6654807143700936</c:v>
                </c:pt>
                <c:pt idx="82">
                  <c:v>1.3031130687679813</c:v>
                </c:pt>
                <c:pt idx="83">
                  <c:v>-0.23206457735143227</c:v>
                </c:pt>
                <c:pt idx="84">
                  <c:v>0.98903226906930675</c:v>
                </c:pt>
                <c:pt idx="85">
                  <c:v>1.0766748522657674</c:v>
                </c:pt>
                <c:pt idx="86">
                  <c:v>-0.40683192996873396</c:v>
                </c:pt>
                <c:pt idx="87">
                  <c:v>0.39240492258764181</c:v>
                </c:pt>
                <c:pt idx="88">
                  <c:v>4.7229397919826277E-3</c:v>
                </c:pt>
                <c:pt idx="89">
                  <c:v>-0.11026332301212061</c:v>
                </c:pt>
                <c:pt idx="90">
                  <c:v>1.0969040835479658</c:v>
                </c:pt>
                <c:pt idx="91">
                  <c:v>0.61552320439929264</c:v>
                </c:pt>
                <c:pt idx="92">
                  <c:v>0.6128499991993307</c:v>
                </c:pt>
                <c:pt idx="93">
                  <c:v>0.84585571499156054</c:v>
                </c:pt>
                <c:pt idx="94">
                  <c:v>1.5022628286640844</c:v>
                </c:pt>
                <c:pt idx="95">
                  <c:v>0.51219442174919871</c:v>
                </c:pt>
                <c:pt idx="96">
                  <c:v>0.65347334592371653</c:v>
                </c:pt>
                <c:pt idx="97">
                  <c:v>1.0470793711976154</c:v>
                </c:pt>
                <c:pt idx="98">
                  <c:v>0.93002063981948735</c:v>
                </c:pt>
                <c:pt idx="99">
                  <c:v>2.2413651486527797E-2</c:v>
                </c:pt>
              </c:numCache>
            </c:numRef>
          </c:xVal>
          <c:yVal>
            <c:numRef>
              <c:f>rand1!$E$5:$E$104</c:f>
              <c:numCache>
                <c:formatCode>General</c:formatCode>
                <c:ptCount val="100"/>
                <c:pt idx="0">
                  <c:v>-0.77459777306331734</c:v>
                </c:pt>
                <c:pt idx="1">
                  <c:v>-1.989545837878212</c:v>
                </c:pt>
                <c:pt idx="2">
                  <c:v>6.2957461698739836E-2</c:v>
                </c:pt>
                <c:pt idx="3">
                  <c:v>-1.6538350813084652</c:v>
                </c:pt>
                <c:pt idx="4">
                  <c:v>-0.78845750434090733</c:v>
                </c:pt>
                <c:pt idx="5">
                  <c:v>-1.2909757162683664</c:v>
                </c:pt>
                <c:pt idx="6">
                  <c:v>-0.68321414112798351</c:v>
                </c:pt>
                <c:pt idx="7">
                  <c:v>-0.23685426001624643</c:v>
                </c:pt>
                <c:pt idx="8">
                  <c:v>-0.71775450205518943</c:v>
                </c:pt>
                <c:pt idx="9">
                  <c:v>-0.59593311670556171</c:v>
                </c:pt>
                <c:pt idx="10">
                  <c:v>-1.8577076450817871</c:v>
                </c:pt>
                <c:pt idx="11">
                  <c:v>-0.81150537849336246</c:v>
                </c:pt>
                <c:pt idx="12">
                  <c:v>-0.50825069737121198</c:v>
                </c:pt>
                <c:pt idx="13">
                  <c:v>-0.43621359793300196</c:v>
                </c:pt>
                <c:pt idx="14">
                  <c:v>-2.1246601541911514</c:v>
                </c:pt>
                <c:pt idx="15">
                  <c:v>-1.4856962489451675</c:v>
                </c:pt>
                <c:pt idx="16">
                  <c:v>-0.69220559441344731</c:v>
                </c:pt>
                <c:pt idx="17">
                  <c:v>-1.8363832775020525</c:v>
                </c:pt>
                <c:pt idx="18">
                  <c:v>-1.3290185470551452</c:v>
                </c:pt>
                <c:pt idx="19">
                  <c:v>-2.4170048703651266</c:v>
                </c:pt>
                <c:pt idx="20">
                  <c:v>6.2653109307023724E-2</c:v>
                </c:pt>
                <c:pt idx="21">
                  <c:v>-0.33755613420201525</c:v>
                </c:pt>
                <c:pt idx="22">
                  <c:v>-1.900741376458349</c:v>
                </c:pt>
                <c:pt idx="23">
                  <c:v>-1.2920398702124209</c:v>
                </c:pt>
                <c:pt idx="24">
                  <c:v>-1.4505486401041621</c:v>
                </c:pt>
                <c:pt idx="25">
                  <c:v>-1.327362967979544</c:v>
                </c:pt>
                <c:pt idx="26">
                  <c:v>0.50433417398698643</c:v>
                </c:pt>
                <c:pt idx="27">
                  <c:v>-0.99175548110231515</c:v>
                </c:pt>
                <c:pt idx="28">
                  <c:v>-1.3711849791773589</c:v>
                </c:pt>
                <c:pt idx="29">
                  <c:v>0.53746669182785256</c:v>
                </c:pt>
                <c:pt idx="30">
                  <c:v>-1.647667421359964</c:v>
                </c:pt>
                <c:pt idx="31">
                  <c:v>-1.263704259011964</c:v>
                </c:pt>
                <c:pt idx="32">
                  <c:v>-1.4452477333080094</c:v>
                </c:pt>
                <c:pt idx="33">
                  <c:v>0.15068333442371307</c:v>
                </c:pt>
                <c:pt idx="34">
                  <c:v>-1.7921459341355961</c:v>
                </c:pt>
                <c:pt idx="35">
                  <c:v>-1.7057734029373284</c:v>
                </c:pt>
                <c:pt idx="36">
                  <c:v>-2.3868053104728615</c:v>
                </c:pt>
                <c:pt idx="37">
                  <c:v>-0.59367959858037289</c:v>
                </c:pt>
                <c:pt idx="38">
                  <c:v>-1.4349537514969257</c:v>
                </c:pt>
                <c:pt idx="39">
                  <c:v>-0.35098054104975751</c:v>
                </c:pt>
                <c:pt idx="40">
                  <c:v>0.61316223335416642</c:v>
                </c:pt>
                <c:pt idx="41">
                  <c:v>0.3402844781280705</c:v>
                </c:pt>
                <c:pt idx="42">
                  <c:v>-1.1209902945186081</c:v>
                </c:pt>
                <c:pt idx="43">
                  <c:v>-0.77621026742796939</c:v>
                </c:pt>
                <c:pt idx="44">
                  <c:v>-0.82033374436288065</c:v>
                </c:pt>
                <c:pt idx="45">
                  <c:v>-1.4843879694549114</c:v>
                </c:pt>
                <c:pt idx="46">
                  <c:v>-1.7925191845102484</c:v>
                </c:pt>
                <c:pt idx="47">
                  <c:v>-0.60229104207980111</c:v>
                </c:pt>
                <c:pt idx="48">
                  <c:v>-0.52577359299103454</c:v>
                </c:pt>
                <c:pt idx="49">
                  <c:v>-0.40907421913804209</c:v>
                </c:pt>
                <c:pt idx="50">
                  <c:v>-2.0223244131762543</c:v>
                </c:pt>
                <c:pt idx="51">
                  <c:v>-0.7115714876456094</c:v>
                </c:pt>
                <c:pt idx="52">
                  <c:v>-1.8192513226120348</c:v>
                </c:pt>
                <c:pt idx="53">
                  <c:v>-1.6430011948912981</c:v>
                </c:pt>
                <c:pt idx="54">
                  <c:v>-0.52012176810180388</c:v>
                </c:pt>
                <c:pt idx="55">
                  <c:v>-0.76854046903909767</c:v>
                </c:pt>
                <c:pt idx="56">
                  <c:v>0.29051321840562849</c:v>
                </c:pt>
                <c:pt idx="57">
                  <c:v>-0.90581374819637428</c:v>
                </c:pt>
                <c:pt idx="58">
                  <c:v>-0.99550622061138416</c:v>
                </c:pt>
                <c:pt idx="59">
                  <c:v>-2.1064567614829848</c:v>
                </c:pt>
                <c:pt idx="60">
                  <c:v>0.22069210137611206</c:v>
                </c:pt>
                <c:pt idx="61">
                  <c:v>-1.2657190234300251</c:v>
                </c:pt>
                <c:pt idx="62">
                  <c:v>-0.99723254297715613</c:v>
                </c:pt>
                <c:pt idx="63">
                  <c:v>-1.1112725779171184</c:v>
                </c:pt>
                <c:pt idx="64">
                  <c:v>-1.8930452721680224</c:v>
                </c:pt>
                <c:pt idx="65">
                  <c:v>-1.0722131461453959</c:v>
                </c:pt>
                <c:pt idx="66">
                  <c:v>-0.3073929587865597</c:v>
                </c:pt>
                <c:pt idx="67">
                  <c:v>-0.15856802176948748</c:v>
                </c:pt>
                <c:pt idx="68">
                  <c:v>-0.64993526926313439</c:v>
                </c:pt>
                <c:pt idx="69">
                  <c:v>-0.66827953705477317</c:v>
                </c:pt>
                <c:pt idx="70">
                  <c:v>0.62538174362080579</c:v>
                </c:pt>
                <c:pt idx="71">
                  <c:v>-0.33326014431851947</c:v>
                </c:pt>
                <c:pt idx="72">
                  <c:v>5.0121588654870486E-2</c:v>
                </c:pt>
                <c:pt idx="73">
                  <c:v>-0.40899068911201142</c:v>
                </c:pt>
                <c:pt idx="74">
                  <c:v>-0.74396208770833461</c:v>
                </c:pt>
                <c:pt idx="75">
                  <c:v>-7.89059490384314E-2</c:v>
                </c:pt>
                <c:pt idx="76">
                  <c:v>-2.1476847271705575</c:v>
                </c:pt>
                <c:pt idx="77">
                  <c:v>-1.3478514453932862</c:v>
                </c:pt>
                <c:pt idx="78">
                  <c:v>-1.8012145431185891</c:v>
                </c:pt>
                <c:pt idx="79">
                  <c:v>-1.3503897676614058</c:v>
                </c:pt>
                <c:pt idx="80">
                  <c:v>-9.4380517136481767E-2</c:v>
                </c:pt>
                <c:pt idx="81">
                  <c:v>-1.9093765819911326</c:v>
                </c:pt>
                <c:pt idx="82">
                  <c:v>-0.80105459147910252</c:v>
                </c:pt>
                <c:pt idx="83">
                  <c:v>0.63920619783440813</c:v>
                </c:pt>
                <c:pt idx="84">
                  <c:v>0.12857507604546914</c:v>
                </c:pt>
                <c:pt idx="85">
                  <c:v>-0.53114062044300026</c:v>
                </c:pt>
                <c:pt idx="86">
                  <c:v>-2.2253071057290938</c:v>
                </c:pt>
                <c:pt idx="87">
                  <c:v>0.92936766392477388</c:v>
                </c:pt>
                <c:pt idx="88">
                  <c:v>-0.14819028789448507</c:v>
                </c:pt>
                <c:pt idx="89">
                  <c:v>-1.2230668258549158</c:v>
                </c:pt>
                <c:pt idx="90">
                  <c:v>-4.4309102048452065E-2</c:v>
                </c:pt>
                <c:pt idx="91">
                  <c:v>-1.1238210636720747</c:v>
                </c:pt>
                <c:pt idx="92">
                  <c:v>-1.8065755326379946</c:v>
                </c:pt>
                <c:pt idx="93">
                  <c:v>-0.27243887015266566</c:v>
                </c:pt>
                <c:pt idx="94">
                  <c:v>-1.7498542654179641</c:v>
                </c:pt>
                <c:pt idx="95">
                  <c:v>-1.3909405631575185</c:v>
                </c:pt>
                <c:pt idx="96">
                  <c:v>-1.5335609116558784</c:v>
                </c:pt>
                <c:pt idx="97">
                  <c:v>-2.2228480061819602</c:v>
                </c:pt>
                <c:pt idx="98">
                  <c:v>-0.25705548762446162</c:v>
                </c:pt>
                <c:pt idx="99">
                  <c:v>-2.8958323854923926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11-477E-AC7B-32277A38D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161520"/>
        <c:axId val="1706715808"/>
      </c:scatterChart>
      <c:valAx>
        <c:axId val="1705161520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6715808"/>
        <c:crosses val="autoZero"/>
        <c:crossBetween val="midCat"/>
      </c:valAx>
      <c:valAx>
        <c:axId val="170671580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516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rand2!$B$8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rand2!$A$9:$A$108</c:f>
              <c:numCache>
                <c:formatCode>General</c:formatCode>
                <c:ptCount val="100"/>
                <c:pt idx="0">
                  <c:v>2.0501355641369847</c:v>
                </c:pt>
                <c:pt idx="1">
                  <c:v>2.3740000111360269</c:v>
                </c:pt>
                <c:pt idx="2">
                  <c:v>1.2439181335908709</c:v>
                </c:pt>
                <c:pt idx="3">
                  <c:v>2.096495359102426</c:v>
                </c:pt>
                <c:pt idx="4">
                  <c:v>1.3470041722608412</c:v>
                </c:pt>
                <c:pt idx="5">
                  <c:v>2.7185892801227811</c:v>
                </c:pt>
                <c:pt idx="6">
                  <c:v>3.480459956909431</c:v>
                </c:pt>
                <c:pt idx="7">
                  <c:v>2.6853526518190391</c:v>
                </c:pt>
                <c:pt idx="8">
                  <c:v>3.0944828879454889</c:v>
                </c:pt>
                <c:pt idx="9">
                  <c:v>3.1101626892748513</c:v>
                </c:pt>
                <c:pt idx="10">
                  <c:v>2.3188087268572573</c:v>
                </c:pt>
                <c:pt idx="11">
                  <c:v>3.435076372021197</c:v>
                </c:pt>
                <c:pt idx="12">
                  <c:v>3.0714889483671661</c:v>
                </c:pt>
                <c:pt idx="13">
                  <c:v>3.2457336030147355</c:v>
                </c:pt>
                <c:pt idx="14">
                  <c:v>3.6335759265381591</c:v>
                </c:pt>
                <c:pt idx="15">
                  <c:v>2.2224112447442366</c:v>
                </c:pt>
                <c:pt idx="16">
                  <c:v>2.5942876330011435</c:v>
                </c:pt>
                <c:pt idx="17">
                  <c:v>4.8632355896629509</c:v>
                </c:pt>
                <c:pt idx="18">
                  <c:v>2.7814558170284056</c:v>
                </c:pt>
                <c:pt idx="19">
                  <c:v>2.2719743692138303</c:v>
                </c:pt>
                <c:pt idx="20">
                  <c:v>3.0274004468218281</c:v>
                </c:pt>
                <c:pt idx="21">
                  <c:v>2.8569528651279081</c:v>
                </c:pt>
                <c:pt idx="22">
                  <c:v>3.1307457693690193</c:v>
                </c:pt>
                <c:pt idx="23">
                  <c:v>4.2579277506980793</c:v>
                </c:pt>
                <c:pt idx="24">
                  <c:v>0.96911055807730939</c:v>
                </c:pt>
                <c:pt idx="25">
                  <c:v>3.9778247374372215</c:v>
                </c:pt>
                <c:pt idx="26">
                  <c:v>2.982005304467112</c:v>
                </c:pt>
                <c:pt idx="27">
                  <c:v>4.8423591511290294</c:v>
                </c:pt>
                <c:pt idx="28">
                  <c:v>0.93421187002391148</c:v>
                </c:pt>
                <c:pt idx="29">
                  <c:v>4.3365158380018478</c:v>
                </c:pt>
                <c:pt idx="30">
                  <c:v>4.0157580589742672</c:v>
                </c:pt>
                <c:pt idx="31">
                  <c:v>2.6119100807443871</c:v>
                </c:pt>
                <c:pt idx="32">
                  <c:v>1.9652060446308903</c:v>
                </c:pt>
                <c:pt idx="33">
                  <c:v>2.5919770517564387</c:v>
                </c:pt>
                <c:pt idx="34">
                  <c:v>3.4351677587354326</c:v>
                </c:pt>
                <c:pt idx="35">
                  <c:v>2.0670625628666883</c:v>
                </c:pt>
                <c:pt idx="36">
                  <c:v>2.2970929389832491</c:v>
                </c:pt>
                <c:pt idx="37">
                  <c:v>2.7486240876688846</c:v>
                </c:pt>
                <c:pt idx="38">
                  <c:v>3.1181637521732717</c:v>
                </c:pt>
                <c:pt idx="39">
                  <c:v>4.5897559809082722</c:v>
                </c:pt>
                <c:pt idx="40">
                  <c:v>2.8548553265380869</c:v>
                </c:pt>
                <c:pt idx="41">
                  <c:v>3.2696786822916444</c:v>
                </c:pt>
                <c:pt idx="42">
                  <c:v>4.891263995639985</c:v>
                </c:pt>
                <c:pt idx="43">
                  <c:v>3.7549788852507966</c:v>
                </c:pt>
                <c:pt idx="44">
                  <c:v>3.2381831927791223</c:v>
                </c:pt>
                <c:pt idx="45">
                  <c:v>4.1192407714762158</c:v>
                </c:pt>
                <c:pt idx="46">
                  <c:v>3.3435747340418525</c:v>
                </c:pt>
                <c:pt idx="47">
                  <c:v>0.48658161777377895</c:v>
                </c:pt>
                <c:pt idx="48">
                  <c:v>3.0888923775767636</c:v>
                </c:pt>
                <c:pt idx="49">
                  <c:v>3.4653625278655973</c:v>
                </c:pt>
                <c:pt idx="50">
                  <c:v>3.2984007962459208</c:v>
                </c:pt>
                <c:pt idx="51">
                  <c:v>3.2392414150871449</c:v>
                </c:pt>
                <c:pt idx="52">
                  <c:v>1.6407383623483254</c:v>
                </c:pt>
                <c:pt idx="53">
                  <c:v>4.5580199106319546</c:v>
                </c:pt>
                <c:pt idx="54">
                  <c:v>0.77921765768612206</c:v>
                </c:pt>
                <c:pt idx="55">
                  <c:v>2.8378894373372479</c:v>
                </c:pt>
                <c:pt idx="56">
                  <c:v>4.2994148971659794</c:v>
                </c:pt>
                <c:pt idx="57">
                  <c:v>1.8068253262445866</c:v>
                </c:pt>
                <c:pt idx="58">
                  <c:v>2.612468818253463</c:v>
                </c:pt>
                <c:pt idx="59">
                  <c:v>4.0543303431767725</c:v>
                </c:pt>
                <c:pt idx="60">
                  <c:v>4.357696525091888</c:v>
                </c:pt>
                <c:pt idx="61">
                  <c:v>3.9881583431480134</c:v>
                </c:pt>
                <c:pt idx="62">
                  <c:v>2.1727403339439846</c:v>
                </c:pt>
                <c:pt idx="63">
                  <c:v>3.346523525040161</c:v>
                </c:pt>
                <c:pt idx="64">
                  <c:v>3.749529201475724</c:v>
                </c:pt>
                <c:pt idx="65">
                  <c:v>3.0859680398847491</c:v>
                </c:pt>
                <c:pt idx="66">
                  <c:v>1.5389488321465097</c:v>
                </c:pt>
                <c:pt idx="67">
                  <c:v>3.2692784676915951</c:v>
                </c:pt>
                <c:pt idx="68">
                  <c:v>4.0964923118767302</c:v>
                </c:pt>
                <c:pt idx="69">
                  <c:v>4.0388103404393467</c:v>
                </c:pt>
                <c:pt idx="70">
                  <c:v>3.7560965152252805</c:v>
                </c:pt>
                <c:pt idx="71">
                  <c:v>3.3323402845430508</c:v>
                </c:pt>
                <c:pt idx="72">
                  <c:v>4.4574208192573872</c:v>
                </c:pt>
                <c:pt idx="73">
                  <c:v>3.7540740306921991</c:v>
                </c:pt>
                <c:pt idx="74">
                  <c:v>3.0028173974232089</c:v>
                </c:pt>
                <c:pt idx="75">
                  <c:v>4.0125340534081673</c:v>
                </c:pt>
                <c:pt idx="76">
                  <c:v>3.8964641678197918</c:v>
                </c:pt>
                <c:pt idx="77">
                  <c:v>3.7147879144791882</c:v>
                </c:pt>
                <c:pt idx="78">
                  <c:v>1.8240878631693347</c:v>
                </c:pt>
                <c:pt idx="79">
                  <c:v>3.4437038634411401</c:v>
                </c:pt>
                <c:pt idx="80">
                  <c:v>4.1723967078879056</c:v>
                </c:pt>
                <c:pt idx="81">
                  <c:v>3.592262304494461</c:v>
                </c:pt>
                <c:pt idx="82">
                  <c:v>3.8959658188448221</c:v>
                </c:pt>
                <c:pt idx="83">
                  <c:v>3.1497178568136333</c:v>
                </c:pt>
                <c:pt idx="84">
                  <c:v>2.8960231369052174</c:v>
                </c:pt>
                <c:pt idx="85">
                  <c:v>4.5054070564091502</c:v>
                </c:pt>
                <c:pt idx="86">
                  <c:v>2.9112323748789017</c:v>
                </c:pt>
                <c:pt idx="87">
                  <c:v>3.2237541870489048</c:v>
                </c:pt>
                <c:pt idx="88">
                  <c:v>1.1553360637714414</c:v>
                </c:pt>
                <c:pt idx="89">
                  <c:v>2.987800247217399</c:v>
                </c:pt>
                <c:pt idx="90">
                  <c:v>4.1363804314858461</c:v>
                </c:pt>
                <c:pt idx="91">
                  <c:v>2.6550031210698442</c:v>
                </c:pt>
                <c:pt idx="92">
                  <c:v>2.595144613141986</c:v>
                </c:pt>
                <c:pt idx="93">
                  <c:v>1.221673795515146</c:v>
                </c:pt>
                <c:pt idx="94">
                  <c:v>2.0347236581516386</c:v>
                </c:pt>
                <c:pt idx="95">
                  <c:v>2.6902217526112127</c:v>
                </c:pt>
                <c:pt idx="96">
                  <c:v>3.5922309397786281</c:v>
                </c:pt>
                <c:pt idx="97">
                  <c:v>2.2450051628558714</c:v>
                </c:pt>
                <c:pt idx="98">
                  <c:v>2.2700536999701901</c:v>
                </c:pt>
                <c:pt idx="99">
                  <c:v>4.7527199862572083</c:v>
                </c:pt>
              </c:numCache>
            </c:numRef>
          </c:xVal>
          <c:yVal>
            <c:numRef>
              <c:f>rand2!$B$9:$B$108</c:f>
              <c:numCache>
                <c:formatCode>General</c:formatCode>
                <c:ptCount val="100"/>
                <c:pt idx="0">
                  <c:v>4.5694629926952715</c:v>
                </c:pt>
                <c:pt idx="1">
                  <c:v>4.8175058045508532</c:v>
                </c:pt>
                <c:pt idx="2">
                  <c:v>4.440986704869637</c:v>
                </c:pt>
                <c:pt idx="3">
                  <c:v>3.3786600344613431</c:v>
                </c:pt>
                <c:pt idx="4">
                  <c:v>4.5105407583063784</c:v>
                </c:pt>
                <c:pt idx="5">
                  <c:v>4.1366620204812339</c:v>
                </c:pt>
                <c:pt idx="6">
                  <c:v>4.2624436936825276</c:v>
                </c:pt>
                <c:pt idx="7">
                  <c:v>4.5592431997487584</c:v>
                </c:pt>
                <c:pt idx="8">
                  <c:v>3.6238098941664623</c:v>
                </c:pt>
                <c:pt idx="9">
                  <c:v>3.9477473902230056</c:v>
                </c:pt>
                <c:pt idx="10">
                  <c:v>4.3833803379756784</c:v>
                </c:pt>
                <c:pt idx="11">
                  <c:v>4.5048704438823544</c:v>
                </c:pt>
                <c:pt idx="12">
                  <c:v>3.8657623854513297</c:v>
                </c:pt>
                <c:pt idx="13">
                  <c:v>3.8100104632201539</c:v>
                </c:pt>
                <c:pt idx="14">
                  <c:v>5.098232752346</c:v>
                </c:pt>
                <c:pt idx="15">
                  <c:v>4.5596973621107626</c:v>
                </c:pt>
                <c:pt idx="16">
                  <c:v>3.3800240574560503</c:v>
                </c:pt>
                <c:pt idx="17">
                  <c:v>5.5164829057741267</c:v>
                </c:pt>
                <c:pt idx="18">
                  <c:v>4.6349260772117642</c:v>
                </c:pt>
                <c:pt idx="19">
                  <c:v>3.6277490042726983</c:v>
                </c:pt>
                <c:pt idx="20">
                  <c:v>4.8046003856105814</c:v>
                </c:pt>
                <c:pt idx="21">
                  <c:v>4.4508238096241834</c:v>
                </c:pt>
                <c:pt idx="22">
                  <c:v>4.5882886989350267</c:v>
                </c:pt>
                <c:pt idx="23">
                  <c:v>4.9939255129229227</c:v>
                </c:pt>
                <c:pt idx="24">
                  <c:v>4.3695949642839906</c:v>
                </c:pt>
                <c:pt idx="25">
                  <c:v>4.8327352118195659</c:v>
                </c:pt>
                <c:pt idx="26">
                  <c:v>4.3642377330128941</c:v>
                </c:pt>
                <c:pt idx="27">
                  <c:v>4.9304401692549362</c:v>
                </c:pt>
                <c:pt idx="28">
                  <c:v>4.1189181788409384</c:v>
                </c:pt>
                <c:pt idx="29">
                  <c:v>4.9548885410244177</c:v>
                </c:pt>
                <c:pt idx="30">
                  <c:v>4.4765845523376289</c:v>
                </c:pt>
                <c:pt idx="31">
                  <c:v>3.978822549806353</c:v>
                </c:pt>
                <c:pt idx="32">
                  <c:v>4.3606338631876742</c:v>
                </c:pt>
                <c:pt idx="33">
                  <c:v>4.2648763579996842</c:v>
                </c:pt>
                <c:pt idx="34">
                  <c:v>4.9545399453782215</c:v>
                </c:pt>
                <c:pt idx="35">
                  <c:v>4.299448969786134</c:v>
                </c:pt>
                <c:pt idx="36">
                  <c:v>4.041573282700794</c:v>
                </c:pt>
                <c:pt idx="37">
                  <c:v>4.7186585380487465</c:v>
                </c:pt>
                <c:pt idx="38">
                  <c:v>4.2476148477345426</c:v>
                </c:pt>
                <c:pt idx="39">
                  <c:v>4.438611713284466</c:v>
                </c:pt>
                <c:pt idx="40">
                  <c:v>4.4659899995460393</c:v>
                </c:pt>
                <c:pt idx="41">
                  <c:v>4.9164251363153326</c:v>
                </c:pt>
                <c:pt idx="42">
                  <c:v>4.1585853277045191</c:v>
                </c:pt>
                <c:pt idx="43">
                  <c:v>4.885626335288956</c:v>
                </c:pt>
                <c:pt idx="44">
                  <c:v>4.5717505218615049</c:v>
                </c:pt>
                <c:pt idx="45">
                  <c:v>4.2632614879005564</c:v>
                </c:pt>
                <c:pt idx="46">
                  <c:v>4.2041149570620906</c:v>
                </c:pt>
                <c:pt idx="47">
                  <c:v>5.0418438724902801</c:v>
                </c:pt>
                <c:pt idx="48">
                  <c:v>4.4729235540616434</c:v>
                </c:pt>
                <c:pt idx="49">
                  <c:v>4.1765475071821312</c:v>
                </c:pt>
                <c:pt idx="50">
                  <c:v>4.7470766699376643</c:v>
                </c:pt>
                <c:pt idx="51">
                  <c:v>4.4639379429465365</c:v>
                </c:pt>
                <c:pt idx="52">
                  <c:v>4.4962966598092953</c:v>
                </c:pt>
                <c:pt idx="53">
                  <c:v>4.0651607099729992</c:v>
                </c:pt>
                <c:pt idx="54">
                  <c:v>4.3875154756383399</c:v>
                </c:pt>
                <c:pt idx="55">
                  <c:v>4.3302216384845442</c:v>
                </c:pt>
                <c:pt idx="56">
                  <c:v>4.819833304795976</c:v>
                </c:pt>
                <c:pt idx="57">
                  <c:v>4.5884880715194445</c:v>
                </c:pt>
                <c:pt idx="58">
                  <c:v>4.2953646255888795</c:v>
                </c:pt>
                <c:pt idx="59">
                  <c:v>4.3945242534554509</c:v>
                </c:pt>
                <c:pt idx="60">
                  <c:v>4.3740793607434636</c:v>
                </c:pt>
                <c:pt idx="61">
                  <c:v>4.1706693715743386</c:v>
                </c:pt>
                <c:pt idx="62">
                  <c:v>4.4597312386075671</c:v>
                </c:pt>
                <c:pt idx="63">
                  <c:v>4.3345119600417785</c:v>
                </c:pt>
                <c:pt idx="64">
                  <c:v>4.438512395023908</c:v>
                </c:pt>
                <c:pt idx="65">
                  <c:v>4.3716018993754115</c:v>
                </c:pt>
                <c:pt idx="66">
                  <c:v>4.1597124759223618</c:v>
                </c:pt>
                <c:pt idx="67">
                  <c:v>4.4154374484209082</c:v>
                </c:pt>
                <c:pt idx="68">
                  <c:v>4.5455045556617808</c:v>
                </c:pt>
                <c:pt idx="69">
                  <c:v>4.7530333844505988</c:v>
                </c:pt>
                <c:pt idx="70">
                  <c:v>5.0410488121863981</c:v>
                </c:pt>
                <c:pt idx="71">
                  <c:v>4.485700459623299</c:v>
                </c:pt>
                <c:pt idx="72">
                  <c:v>3.052271445337575</c:v>
                </c:pt>
                <c:pt idx="73">
                  <c:v>3.9176774581875891</c:v>
                </c:pt>
                <c:pt idx="74">
                  <c:v>3.736032163065941</c:v>
                </c:pt>
                <c:pt idx="75">
                  <c:v>4.0134770125857626</c:v>
                </c:pt>
                <c:pt idx="76">
                  <c:v>4.6302838540088551</c:v>
                </c:pt>
                <c:pt idx="77">
                  <c:v>4.7397897767541686</c:v>
                </c:pt>
                <c:pt idx="78">
                  <c:v>4.2822206845742947</c:v>
                </c:pt>
                <c:pt idx="79">
                  <c:v>4.3884797432932654</c:v>
                </c:pt>
                <c:pt idx="80">
                  <c:v>4.2811715857187895</c:v>
                </c:pt>
                <c:pt idx="81">
                  <c:v>4.4050218288595016</c:v>
                </c:pt>
                <c:pt idx="82">
                  <c:v>4.9091173045134315</c:v>
                </c:pt>
                <c:pt idx="83">
                  <c:v>4.3450358119271657</c:v>
                </c:pt>
                <c:pt idx="84">
                  <c:v>4.0895656498339381</c:v>
                </c:pt>
                <c:pt idx="85">
                  <c:v>5.18271125467529</c:v>
                </c:pt>
                <c:pt idx="86">
                  <c:v>4.0465779252500544</c:v>
                </c:pt>
                <c:pt idx="87">
                  <c:v>4.6551140901267711</c:v>
                </c:pt>
                <c:pt idx="88">
                  <c:v>4.1639231132507639</c:v>
                </c:pt>
                <c:pt idx="89">
                  <c:v>4.0992866076712051</c:v>
                </c:pt>
                <c:pt idx="90">
                  <c:v>3.6021624254411568</c:v>
                </c:pt>
                <c:pt idx="91">
                  <c:v>4.2823009579973164</c:v>
                </c:pt>
                <c:pt idx="92">
                  <c:v>5.0990233186287313</c:v>
                </c:pt>
                <c:pt idx="93">
                  <c:v>5.0397840335692159</c:v>
                </c:pt>
                <c:pt idx="94">
                  <c:v>4.4437477254624937</c:v>
                </c:pt>
                <c:pt idx="95">
                  <c:v>4.3196004260331247</c:v>
                </c:pt>
                <c:pt idx="96">
                  <c:v>4.8230557964610936</c:v>
                </c:pt>
                <c:pt idx="97">
                  <c:v>4.50045825046349</c:v>
                </c:pt>
                <c:pt idx="98">
                  <c:v>4.4359411531572102</c:v>
                </c:pt>
                <c:pt idx="99">
                  <c:v>4.57017601358279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9C-4549-9A80-3C541EB4573F}"/>
            </c:ext>
          </c:extLst>
        </c:ser>
        <c:ser>
          <c:idx val="1"/>
          <c:order val="1"/>
          <c:tx>
            <c:v>y2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rand2!$A$109:$A$208</c:f>
              <c:numCache>
                <c:formatCode>General</c:formatCode>
                <c:ptCount val="100"/>
                <c:pt idx="0">
                  <c:v>3.2200761155484656</c:v>
                </c:pt>
                <c:pt idx="1">
                  <c:v>3.9105170520271777</c:v>
                </c:pt>
                <c:pt idx="2">
                  <c:v>4.2352788591894495</c:v>
                </c:pt>
                <c:pt idx="3">
                  <c:v>4.6800268762972932</c:v>
                </c:pt>
                <c:pt idx="4">
                  <c:v>4.3234491841900224</c:v>
                </c:pt>
                <c:pt idx="5">
                  <c:v>4.4194747990919216</c:v>
                </c:pt>
                <c:pt idx="6">
                  <c:v>4.1312024258742994</c:v>
                </c:pt>
                <c:pt idx="7">
                  <c:v>4.4428361360912572</c:v>
                </c:pt>
                <c:pt idx="8">
                  <c:v>4.1325928713774074</c:v>
                </c:pt>
                <c:pt idx="9">
                  <c:v>4.8303052270440316</c:v>
                </c:pt>
                <c:pt idx="10">
                  <c:v>2.3156481118714538</c:v>
                </c:pt>
                <c:pt idx="11">
                  <c:v>3.607515318707601</c:v>
                </c:pt>
                <c:pt idx="12">
                  <c:v>4.4444560213426918</c:v>
                </c:pt>
                <c:pt idx="13">
                  <c:v>3.9346918918659806</c:v>
                </c:pt>
                <c:pt idx="14">
                  <c:v>2.9839175138977474</c:v>
                </c:pt>
                <c:pt idx="15">
                  <c:v>4.5793911482997212</c:v>
                </c:pt>
                <c:pt idx="16">
                  <c:v>4.3450419485773795</c:v>
                </c:pt>
                <c:pt idx="17">
                  <c:v>2.4827862369603686</c:v>
                </c:pt>
                <c:pt idx="18">
                  <c:v>4.0059988885010069</c:v>
                </c:pt>
                <c:pt idx="19">
                  <c:v>3.7334653507427054</c:v>
                </c:pt>
                <c:pt idx="20">
                  <c:v>3.5431752533418068</c:v>
                </c:pt>
                <c:pt idx="21">
                  <c:v>3.9562470849947746</c:v>
                </c:pt>
                <c:pt idx="22">
                  <c:v>3.1661360828495164</c:v>
                </c:pt>
                <c:pt idx="23">
                  <c:v>4.3004051242043513</c:v>
                </c:pt>
                <c:pt idx="24">
                  <c:v>3.8691407892789118</c:v>
                </c:pt>
                <c:pt idx="25">
                  <c:v>3.3967688110064005</c:v>
                </c:pt>
                <c:pt idx="26">
                  <c:v>4.5990060139738604</c:v>
                </c:pt>
                <c:pt idx="27">
                  <c:v>4.1298479300921072</c:v>
                </c:pt>
                <c:pt idx="28">
                  <c:v>3.7352898721072529</c:v>
                </c:pt>
                <c:pt idx="29">
                  <c:v>3.3046412772512732</c:v>
                </c:pt>
                <c:pt idx="30">
                  <c:v>3.0628808062730353</c:v>
                </c:pt>
                <c:pt idx="31">
                  <c:v>3.7813987686438426</c:v>
                </c:pt>
                <c:pt idx="32">
                  <c:v>4.0714079102826846</c:v>
                </c:pt>
                <c:pt idx="33">
                  <c:v>5.1536271266000746</c:v>
                </c:pt>
                <c:pt idx="34">
                  <c:v>3.3776448501640104</c:v>
                </c:pt>
                <c:pt idx="35">
                  <c:v>4.4097588499206237</c:v>
                </c:pt>
                <c:pt idx="36">
                  <c:v>4.7480303402487607</c:v>
                </c:pt>
                <c:pt idx="37">
                  <c:v>4.3851856233875335</c:v>
                </c:pt>
                <c:pt idx="38">
                  <c:v>4.1991154676046598</c:v>
                </c:pt>
                <c:pt idx="39">
                  <c:v>3.9635127196475595</c:v>
                </c:pt>
                <c:pt idx="40">
                  <c:v>5.1349705101502803</c:v>
                </c:pt>
                <c:pt idx="41">
                  <c:v>4.8116515263959023</c:v>
                </c:pt>
                <c:pt idx="42">
                  <c:v>4.1698833456588655</c:v>
                </c:pt>
                <c:pt idx="43">
                  <c:v>4.2203201621334205</c:v>
                </c:pt>
                <c:pt idx="44">
                  <c:v>4.354870300334869</c:v>
                </c:pt>
                <c:pt idx="45">
                  <c:v>4.5949633609304037</c:v>
                </c:pt>
                <c:pt idx="46">
                  <c:v>3.7019928857879232</c:v>
                </c:pt>
                <c:pt idx="47">
                  <c:v>4.2484389196536831</c:v>
                </c:pt>
                <c:pt idx="48">
                  <c:v>3.2086443861825762</c:v>
                </c:pt>
                <c:pt idx="49">
                  <c:v>5.2024821854590337</c:v>
                </c:pt>
                <c:pt idx="50">
                  <c:v>4.3739427946446998</c:v>
                </c:pt>
                <c:pt idx="51">
                  <c:v>4.256159852503262</c:v>
                </c:pt>
                <c:pt idx="52">
                  <c:v>3.5357124260096078</c:v>
                </c:pt>
                <c:pt idx="53">
                  <c:v>3.5655578368628076</c:v>
                </c:pt>
                <c:pt idx="54">
                  <c:v>3.9576006850720291</c:v>
                </c:pt>
                <c:pt idx="55">
                  <c:v>3.861290776203218</c:v>
                </c:pt>
                <c:pt idx="56">
                  <c:v>4.2110093450027248</c:v>
                </c:pt>
                <c:pt idx="57">
                  <c:v>3.8793808345972081</c:v>
                </c:pt>
                <c:pt idx="58">
                  <c:v>3.089162372228754</c:v>
                </c:pt>
                <c:pt idx="59">
                  <c:v>3.9854687718918611</c:v>
                </c:pt>
                <c:pt idx="60">
                  <c:v>4.0753627978883555</c:v>
                </c:pt>
                <c:pt idx="61">
                  <c:v>3.9304734090613067</c:v>
                </c:pt>
                <c:pt idx="62">
                  <c:v>4.4789809801626621</c:v>
                </c:pt>
                <c:pt idx="63">
                  <c:v>4.2810637085572321</c:v>
                </c:pt>
                <c:pt idx="64">
                  <c:v>2.9906481721857481</c:v>
                </c:pt>
                <c:pt idx="65">
                  <c:v>4.0672140062894577</c:v>
                </c:pt>
                <c:pt idx="66">
                  <c:v>3.5299624207334248</c:v>
                </c:pt>
                <c:pt idx="67">
                  <c:v>3.7788967659280233</c:v>
                </c:pt>
                <c:pt idx="68">
                  <c:v>4.5573197338437161</c:v>
                </c:pt>
                <c:pt idx="69">
                  <c:v>4.0918522423446708</c:v>
                </c:pt>
                <c:pt idx="70">
                  <c:v>4.3839488845059789</c:v>
                </c:pt>
                <c:pt idx="71">
                  <c:v>4.7358285983369237</c:v>
                </c:pt>
                <c:pt idx="72">
                  <c:v>4.1898738163553588</c:v>
                </c:pt>
                <c:pt idx="73">
                  <c:v>4.5051002244654006</c:v>
                </c:pt>
                <c:pt idx="74">
                  <c:v>4.1301278878850445</c:v>
                </c:pt>
                <c:pt idx="75">
                  <c:v>4.1109031109084526</c:v>
                </c:pt>
                <c:pt idx="76">
                  <c:v>3.6752302364130043</c:v>
                </c:pt>
                <c:pt idx="77">
                  <c:v>3.8354065438492309</c:v>
                </c:pt>
                <c:pt idx="78">
                  <c:v>3.1498316875910368</c:v>
                </c:pt>
                <c:pt idx="79">
                  <c:v>3.1552964233871634</c:v>
                </c:pt>
                <c:pt idx="80">
                  <c:v>3.6864833528699275</c:v>
                </c:pt>
                <c:pt idx="81">
                  <c:v>4.2211394735072414</c:v>
                </c:pt>
                <c:pt idx="82">
                  <c:v>4.4469469935134027</c:v>
                </c:pt>
                <c:pt idx="83">
                  <c:v>4.16755439124133</c:v>
                </c:pt>
                <c:pt idx="84">
                  <c:v>4.1050010063148124</c:v>
                </c:pt>
                <c:pt idx="85">
                  <c:v>4.6134361989160793</c:v>
                </c:pt>
                <c:pt idx="86">
                  <c:v>3.948175193483229</c:v>
                </c:pt>
                <c:pt idx="87">
                  <c:v>3.6248155817330092</c:v>
                </c:pt>
                <c:pt idx="88">
                  <c:v>3.2002443694677849</c:v>
                </c:pt>
                <c:pt idx="89">
                  <c:v>3.4678105427108132</c:v>
                </c:pt>
                <c:pt idx="90">
                  <c:v>4.7623326351314565</c:v>
                </c:pt>
                <c:pt idx="91">
                  <c:v>4.3628926104362176</c:v>
                </c:pt>
                <c:pt idx="92">
                  <c:v>3.6806899807348934</c:v>
                </c:pt>
                <c:pt idx="93">
                  <c:v>4.0691070232176241</c:v>
                </c:pt>
                <c:pt idx="94">
                  <c:v>3.2641452132752251</c:v>
                </c:pt>
                <c:pt idx="95">
                  <c:v>3.3191760216380333</c:v>
                </c:pt>
                <c:pt idx="96">
                  <c:v>2.9089732665185233</c:v>
                </c:pt>
                <c:pt idx="97">
                  <c:v>3.8035296321769447</c:v>
                </c:pt>
                <c:pt idx="98">
                  <c:v>3.6642617058294054</c:v>
                </c:pt>
                <c:pt idx="99">
                  <c:v>4.0801468753391417</c:v>
                </c:pt>
              </c:numCache>
            </c:numRef>
          </c:xVal>
          <c:yVal>
            <c:numRef>
              <c:f>rand2!$B$109:$B$208</c:f>
              <c:numCache>
                <c:formatCode>General</c:formatCode>
                <c:ptCount val="100"/>
                <c:pt idx="0">
                  <c:v>0.76581294265626887</c:v>
                </c:pt>
                <c:pt idx="1">
                  <c:v>0.43205071610583806</c:v>
                </c:pt>
                <c:pt idx="2">
                  <c:v>1.6262986226018639</c:v>
                </c:pt>
                <c:pt idx="3">
                  <c:v>1.796489827342499</c:v>
                </c:pt>
                <c:pt idx="4">
                  <c:v>1.27587920934278</c:v>
                </c:pt>
                <c:pt idx="5">
                  <c:v>1.1380255914238262</c:v>
                </c:pt>
                <c:pt idx="6">
                  <c:v>0.18750884317331606</c:v>
                </c:pt>
                <c:pt idx="7">
                  <c:v>1.890654528078942</c:v>
                </c:pt>
                <c:pt idx="8">
                  <c:v>0.89613971740124565</c:v>
                </c:pt>
                <c:pt idx="9">
                  <c:v>0.71587732393504755</c:v>
                </c:pt>
                <c:pt idx="10">
                  <c:v>0.96974867397340148</c:v>
                </c:pt>
                <c:pt idx="11">
                  <c:v>0.39864134214685482</c:v>
                </c:pt>
                <c:pt idx="12">
                  <c:v>1.0913947285713828</c:v>
                </c:pt>
                <c:pt idx="13">
                  <c:v>2.918051692198159</c:v>
                </c:pt>
                <c:pt idx="14">
                  <c:v>1.5988499751457372</c:v>
                </c:pt>
                <c:pt idx="15">
                  <c:v>0.9477920845775184</c:v>
                </c:pt>
                <c:pt idx="16">
                  <c:v>0.35811355076545931</c:v>
                </c:pt>
                <c:pt idx="17">
                  <c:v>2.3440780408459694</c:v>
                </c:pt>
                <c:pt idx="18">
                  <c:v>3.500550894919201</c:v>
                </c:pt>
                <c:pt idx="19">
                  <c:v>1.9967205419211969</c:v>
                </c:pt>
                <c:pt idx="20">
                  <c:v>2.3259188365518213</c:v>
                </c:pt>
                <c:pt idx="21">
                  <c:v>1.528824306856297</c:v>
                </c:pt>
                <c:pt idx="22">
                  <c:v>1.298938407436429</c:v>
                </c:pt>
                <c:pt idx="23">
                  <c:v>2.1887885911715732</c:v>
                </c:pt>
                <c:pt idx="24">
                  <c:v>1.806098808353797</c:v>
                </c:pt>
                <c:pt idx="25">
                  <c:v>0.53241035303798723</c:v>
                </c:pt>
                <c:pt idx="26">
                  <c:v>1.0627538551932354</c:v>
                </c:pt>
                <c:pt idx="27">
                  <c:v>1.6338565924467174</c:v>
                </c:pt>
                <c:pt idx="28">
                  <c:v>0.39766449085407068</c:v>
                </c:pt>
                <c:pt idx="29">
                  <c:v>0.9573669121101146</c:v>
                </c:pt>
                <c:pt idx="30">
                  <c:v>0.52971644316097188</c:v>
                </c:pt>
                <c:pt idx="31">
                  <c:v>1.488685173042489</c:v>
                </c:pt>
                <c:pt idx="32">
                  <c:v>1.527119867423113</c:v>
                </c:pt>
                <c:pt idx="33">
                  <c:v>1.0684682597511446</c:v>
                </c:pt>
                <c:pt idx="34">
                  <c:v>2.8986941586533206</c:v>
                </c:pt>
                <c:pt idx="35">
                  <c:v>2.5693229177737118</c:v>
                </c:pt>
                <c:pt idx="36">
                  <c:v>0.73984213922080633</c:v>
                </c:pt>
                <c:pt idx="37">
                  <c:v>0.35085309996364167</c:v>
                </c:pt>
                <c:pt idx="38">
                  <c:v>1.6145813637963979</c:v>
                </c:pt>
                <c:pt idx="39">
                  <c:v>1.4198183422147717</c:v>
                </c:pt>
                <c:pt idx="40">
                  <c:v>0.95903824089926604</c:v>
                </c:pt>
                <c:pt idx="41">
                  <c:v>0.97584741988681334</c:v>
                </c:pt>
                <c:pt idx="42">
                  <c:v>0.81618143745001459</c:v>
                </c:pt>
                <c:pt idx="43">
                  <c:v>1.2082027712032146</c:v>
                </c:pt>
                <c:pt idx="44">
                  <c:v>0.72625814147104295</c:v>
                </c:pt>
                <c:pt idx="45">
                  <c:v>1.4237804047394975</c:v>
                </c:pt>
                <c:pt idx="46">
                  <c:v>1.4923386216739256</c:v>
                </c:pt>
                <c:pt idx="47">
                  <c:v>2.7748073324607865</c:v>
                </c:pt>
                <c:pt idx="48">
                  <c:v>0.22570377521884641</c:v>
                </c:pt>
                <c:pt idx="49">
                  <c:v>1.0019168403392953</c:v>
                </c:pt>
                <c:pt idx="50">
                  <c:v>0.97112022970813261</c:v>
                </c:pt>
                <c:pt idx="51">
                  <c:v>0.30400000162485324</c:v>
                </c:pt>
                <c:pt idx="52">
                  <c:v>0.83313259165056941</c:v>
                </c:pt>
                <c:pt idx="53">
                  <c:v>3.1524825402117655</c:v>
                </c:pt>
                <c:pt idx="54">
                  <c:v>0.53846753935113634</c:v>
                </c:pt>
                <c:pt idx="55">
                  <c:v>1.1618309712065653</c:v>
                </c:pt>
                <c:pt idx="56">
                  <c:v>0.95454544977282429</c:v>
                </c:pt>
                <c:pt idx="57">
                  <c:v>3.0996042945724072</c:v>
                </c:pt>
                <c:pt idx="58">
                  <c:v>2.3607860845186281</c:v>
                </c:pt>
                <c:pt idx="59">
                  <c:v>1.474770549258908</c:v>
                </c:pt>
                <c:pt idx="60">
                  <c:v>0.75002794124057948</c:v>
                </c:pt>
                <c:pt idx="61">
                  <c:v>0.50602924806727034</c:v>
                </c:pt>
                <c:pt idx="62">
                  <c:v>0.88576018133048484</c:v>
                </c:pt>
                <c:pt idx="63">
                  <c:v>3.5618106743257916</c:v>
                </c:pt>
                <c:pt idx="64">
                  <c:v>2.0968048039236753</c:v>
                </c:pt>
                <c:pt idx="65">
                  <c:v>1.4010747804871546</c:v>
                </c:pt>
                <c:pt idx="66">
                  <c:v>1.2303046313105044</c:v>
                </c:pt>
                <c:pt idx="67">
                  <c:v>1.017617488393155</c:v>
                </c:pt>
                <c:pt idx="68">
                  <c:v>1.1226348289568724</c:v>
                </c:pt>
                <c:pt idx="69">
                  <c:v>1.474196843024105</c:v>
                </c:pt>
                <c:pt idx="70">
                  <c:v>1.1453624674932548</c:v>
                </c:pt>
                <c:pt idx="71">
                  <c:v>2.3933100449809208</c:v>
                </c:pt>
                <c:pt idx="72">
                  <c:v>0.7722104373383355</c:v>
                </c:pt>
                <c:pt idx="73">
                  <c:v>1.3808649089714786</c:v>
                </c:pt>
                <c:pt idx="74">
                  <c:v>1.4435938784261948</c:v>
                </c:pt>
                <c:pt idx="75">
                  <c:v>2.4428773807130311</c:v>
                </c:pt>
                <c:pt idx="76">
                  <c:v>0.78326360142067741</c:v>
                </c:pt>
                <c:pt idx="77">
                  <c:v>1.6695604659014023</c:v>
                </c:pt>
                <c:pt idx="78">
                  <c:v>1.3464020544805217</c:v>
                </c:pt>
                <c:pt idx="79">
                  <c:v>3.2178544784280931</c:v>
                </c:pt>
                <c:pt idx="80">
                  <c:v>0.690538425178571</c:v>
                </c:pt>
                <c:pt idx="81">
                  <c:v>1.3944666305523041</c:v>
                </c:pt>
                <c:pt idx="82">
                  <c:v>0.57337935176056354</c:v>
                </c:pt>
                <c:pt idx="83">
                  <c:v>0.51892468656628576</c:v>
                </c:pt>
                <c:pt idx="84">
                  <c:v>1.4079121032025339</c:v>
                </c:pt>
                <c:pt idx="85">
                  <c:v>0.52684173153076241</c:v>
                </c:pt>
                <c:pt idx="86">
                  <c:v>0.7554930122153164</c:v>
                </c:pt>
                <c:pt idx="87">
                  <c:v>0.69134035858133291</c:v>
                </c:pt>
                <c:pt idx="88">
                  <c:v>1.1284300078809548</c:v>
                </c:pt>
                <c:pt idx="89">
                  <c:v>0.89505123088713179</c:v>
                </c:pt>
                <c:pt idx="90">
                  <c:v>1.5124807364546771</c:v>
                </c:pt>
                <c:pt idx="91">
                  <c:v>0.91269216888780724</c:v>
                </c:pt>
                <c:pt idx="92">
                  <c:v>1.4888957080893348</c:v>
                </c:pt>
                <c:pt idx="93">
                  <c:v>2.6532024951825695</c:v>
                </c:pt>
                <c:pt idx="94">
                  <c:v>1.802581635941503</c:v>
                </c:pt>
                <c:pt idx="95">
                  <c:v>0.53084493399188937</c:v>
                </c:pt>
                <c:pt idx="96">
                  <c:v>0.79382669966464048</c:v>
                </c:pt>
                <c:pt idx="97">
                  <c:v>1.214418766242009</c:v>
                </c:pt>
                <c:pt idx="98">
                  <c:v>1.1406428053853774</c:v>
                </c:pt>
                <c:pt idx="99">
                  <c:v>2.57391564466419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9C-4549-9A80-3C541EB45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161520"/>
        <c:axId val="1706715808"/>
      </c:scatterChart>
      <c:valAx>
        <c:axId val="170516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6715808"/>
        <c:crosses val="autoZero"/>
        <c:crossBetween val="midCat"/>
      </c:valAx>
      <c:valAx>
        <c:axId val="170671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516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rand2!$M$1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rand2!$L$2:$L$201</c:f>
              <c:numCache>
                <c:formatCode>General</c:formatCode>
                <c:ptCount val="200"/>
                <c:pt idx="0">
                  <c:v>3.2866365378063827</c:v>
                </c:pt>
                <c:pt idx="1">
                  <c:v>2.9045376786603661</c:v>
                </c:pt>
                <c:pt idx="2">
                  <c:v>4.8468985361332768</c:v>
                </c:pt>
                <c:pt idx="3">
                  <c:v>4.9014080278140577</c:v>
                </c:pt>
                <c:pt idx="4">
                  <c:v>3.5430314413515012</c:v>
                </c:pt>
                <c:pt idx="5">
                  <c:v>5.0398463355443859</c:v>
                </c:pt>
                <c:pt idx="6">
                  <c:v>2.4222113598259281</c:v>
                </c:pt>
                <c:pt idx="7">
                  <c:v>2.8321621054956263</c:v>
                </c:pt>
                <c:pt idx="8">
                  <c:v>3.9538409555397829</c:v>
                </c:pt>
                <c:pt idx="9">
                  <c:v>3.0153065091847093</c:v>
                </c:pt>
                <c:pt idx="10">
                  <c:v>3.9506708975180533</c:v>
                </c:pt>
                <c:pt idx="11">
                  <c:v>4.8957104215162746</c:v>
                </c:pt>
                <c:pt idx="12">
                  <c:v>4.0401200629616092</c:v>
                </c:pt>
                <c:pt idx="13">
                  <c:v>4.7046885990975023</c:v>
                </c:pt>
                <c:pt idx="14">
                  <c:v>2.0106414772263155</c:v>
                </c:pt>
                <c:pt idx="15">
                  <c:v>1.8233190551257021</c:v>
                </c:pt>
                <c:pt idx="16">
                  <c:v>1.884523654421306</c:v>
                </c:pt>
                <c:pt idx="17">
                  <c:v>2.2405349209707244</c:v>
                </c:pt>
                <c:pt idx="18">
                  <c:v>4.5693503391064647</c:v>
                </c:pt>
                <c:pt idx="19">
                  <c:v>4.4235486696962685</c:v>
                </c:pt>
                <c:pt idx="20">
                  <c:v>3.4003173133512425</c:v>
                </c:pt>
                <c:pt idx="21">
                  <c:v>3.1937001670942782</c:v>
                </c:pt>
                <c:pt idx="22">
                  <c:v>7.418338018456011E-3</c:v>
                </c:pt>
                <c:pt idx="23">
                  <c:v>5.2724666834986227</c:v>
                </c:pt>
                <c:pt idx="24">
                  <c:v>3.9510663813082125</c:v>
                </c:pt>
                <c:pt idx="25">
                  <c:v>3.9252893617991496</c:v>
                </c:pt>
                <c:pt idx="26">
                  <c:v>4.0326121424751022</c:v>
                </c:pt>
                <c:pt idx="27">
                  <c:v>4.5152997608384347</c:v>
                </c:pt>
                <c:pt idx="28">
                  <c:v>3.6850184647939503</c:v>
                </c:pt>
                <c:pt idx="29">
                  <c:v>3.8300202279432081</c:v>
                </c:pt>
                <c:pt idx="30">
                  <c:v>3.7957106622043018</c:v>
                </c:pt>
                <c:pt idx="31">
                  <c:v>3.5143488707417205</c:v>
                </c:pt>
                <c:pt idx="32">
                  <c:v>2.038887981766714</c:v>
                </c:pt>
                <c:pt idx="33">
                  <c:v>5.5088972950895068</c:v>
                </c:pt>
                <c:pt idx="34">
                  <c:v>3.9553924824821656</c:v>
                </c:pt>
                <c:pt idx="35">
                  <c:v>4.3245248318060483</c:v>
                </c:pt>
                <c:pt idx="36">
                  <c:v>3.6736820317559378</c:v>
                </c:pt>
                <c:pt idx="37">
                  <c:v>3.6756823383704638</c:v>
                </c:pt>
                <c:pt idx="38">
                  <c:v>4.3788721221461921</c:v>
                </c:pt>
                <c:pt idx="39">
                  <c:v>3.4597600374340538</c:v>
                </c:pt>
                <c:pt idx="40">
                  <c:v>3.512656523110715</c:v>
                </c:pt>
                <c:pt idx="41">
                  <c:v>2.8793066133562619</c:v>
                </c:pt>
                <c:pt idx="42">
                  <c:v>4.6753287802182655</c:v>
                </c:pt>
                <c:pt idx="43">
                  <c:v>4.7286669033037221</c:v>
                </c:pt>
                <c:pt idx="44">
                  <c:v>3.8196236115766573</c:v>
                </c:pt>
                <c:pt idx="45">
                  <c:v>4.3307913261007744</c:v>
                </c:pt>
                <c:pt idx="46">
                  <c:v>4.3350594797515125</c:v>
                </c:pt>
                <c:pt idx="47">
                  <c:v>2.174032391054296</c:v>
                </c:pt>
                <c:pt idx="48">
                  <c:v>4.6152448197447367</c:v>
                </c:pt>
                <c:pt idx="49">
                  <c:v>3.697595839470321</c:v>
                </c:pt>
                <c:pt idx="50">
                  <c:v>4.609776125874653</c:v>
                </c:pt>
                <c:pt idx="51">
                  <c:v>3.3083719060280692</c:v>
                </c:pt>
                <c:pt idx="52">
                  <c:v>4.9635585724232394</c:v>
                </c:pt>
                <c:pt idx="53">
                  <c:v>3.7712772392045206</c:v>
                </c:pt>
                <c:pt idx="54">
                  <c:v>3.5947046618520342</c:v>
                </c:pt>
                <c:pt idx="55">
                  <c:v>4.5007126712014562</c:v>
                </c:pt>
                <c:pt idx="56">
                  <c:v>5.8441413786096934</c:v>
                </c:pt>
                <c:pt idx="57">
                  <c:v>3.7040697523803678</c:v>
                </c:pt>
                <c:pt idx="58">
                  <c:v>4.8666603312984602</c:v>
                </c:pt>
                <c:pt idx="59">
                  <c:v>5.690760157265693</c:v>
                </c:pt>
                <c:pt idx="60">
                  <c:v>3.9239310649462027</c:v>
                </c:pt>
                <c:pt idx="61">
                  <c:v>1.0476714014284783</c:v>
                </c:pt>
                <c:pt idx="62">
                  <c:v>3.7500746317336557</c:v>
                </c:pt>
                <c:pt idx="63">
                  <c:v>2.9773436924462251</c:v>
                </c:pt>
                <c:pt idx="64">
                  <c:v>4.8695224389117273</c:v>
                </c:pt>
                <c:pt idx="65">
                  <c:v>3.3158493610007511</c:v>
                </c:pt>
                <c:pt idx="66">
                  <c:v>2.8038383604856083</c:v>
                </c:pt>
                <c:pt idx="67">
                  <c:v>3.391467636750348</c:v>
                </c:pt>
                <c:pt idx="68">
                  <c:v>5.2252437771214266</c:v>
                </c:pt>
                <c:pt idx="69">
                  <c:v>3.3012565767240996</c:v>
                </c:pt>
                <c:pt idx="70">
                  <c:v>3.9846169017417297</c:v>
                </c:pt>
                <c:pt idx="71">
                  <c:v>4.0046274557978148</c:v>
                </c:pt>
                <c:pt idx="72">
                  <c:v>3.1266115735939177</c:v>
                </c:pt>
                <c:pt idx="73">
                  <c:v>4.4709409935652236</c:v>
                </c:pt>
                <c:pt idx="74">
                  <c:v>4.1915434579132338</c:v>
                </c:pt>
                <c:pt idx="75">
                  <c:v>4.6692338419145516</c:v>
                </c:pt>
                <c:pt idx="76">
                  <c:v>3.8358830581939687</c:v>
                </c:pt>
                <c:pt idx="77">
                  <c:v>4.3799592196540456</c:v>
                </c:pt>
                <c:pt idx="78">
                  <c:v>3.4612655720672123</c:v>
                </c:pt>
                <c:pt idx="79">
                  <c:v>3.7456355137560808</c:v>
                </c:pt>
                <c:pt idx="80">
                  <c:v>3.9485636406853635</c:v>
                </c:pt>
                <c:pt idx="81">
                  <c:v>2.4636999657348762</c:v>
                </c:pt>
                <c:pt idx="82">
                  <c:v>3.9881658216263287</c:v>
                </c:pt>
                <c:pt idx="83">
                  <c:v>3.1659468665183743</c:v>
                </c:pt>
                <c:pt idx="84">
                  <c:v>3.4102599710133976</c:v>
                </c:pt>
                <c:pt idx="85">
                  <c:v>2.1617104634665001</c:v>
                </c:pt>
                <c:pt idx="86">
                  <c:v>3.1784850424965363</c:v>
                </c:pt>
                <c:pt idx="87">
                  <c:v>2.3551166474216698</c:v>
                </c:pt>
                <c:pt idx="88">
                  <c:v>3.135692267390187</c:v>
                </c:pt>
                <c:pt idx="89">
                  <c:v>3.6856008849425246</c:v>
                </c:pt>
                <c:pt idx="90">
                  <c:v>2.3100978434932085</c:v>
                </c:pt>
                <c:pt idx="91">
                  <c:v>4.3246068782927587</c:v>
                </c:pt>
                <c:pt idx="92">
                  <c:v>3.6024397985348777</c:v>
                </c:pt>
                <c:pt idx="93">
                  <c:v>3.2123669898469043</c:v>
                </c:pt>
                <c:pt idx="94">
                  <c:v>2.5438686279122651</c:v>
                </c:pt>
                <c:pt idx="95">
                  <c:v>4.5830209964031106</c:v>
                </c:pt>
                <c:pt idx="96">
                  <c:v>5.2776526542295503</c:v>
                </c:pt>
                <c:pt idx="97">
                  <c:v>1.7712625967524231</c:v>
                </c:pt>
                <c:pt idx="98">
                  <c:v>4.0483756789097676</c:v>
                </c:pt>
                <c:pt idx="99">
                  <c:v>4.8595810516261553</c:v>
                </c:pt>
                <c:pt idx="100">
                  <c:v>4.2954285294389321</c:v>
                </c:pt>
                <c:pt idx="101">
                  <c:v>3.8236899999533227</c:v>
                </c:pt>
                <c:pt idx="102">
                  <c:v>4.548335905704926</c:v>
                </c:pt>
                <c:pt idx="103">
                  <c:v>4.2127734735583662</c:v>
                </c:pt>
                <c:pt idx="104">
                  <c:v>4.7609795097779442</c:v>
                </c:pt>
                <c:pt idx="105">
                  <c:v>5.0709087405374751</c:v>
                </c:pt>
                <c:pt idx="106">
                  <c:v>5.1774333177749234</c:v>
                </c:pt>
                <c:pt idx="107">
                  <c:v>5.0279607172318839</c:v>
                </c:pt>
                <c:pt idx="108">
                  <c:v>4.7512015154229248</c:v>
                </c:pt>
                <c:pt idx="109">
                  <c:v>4.6232123968546102</c:v>
                </c:pt>
                <c:pt idx="110">
                  <c:v>4.6831775143582073</c:v>
                </c:pt>
                <c:pt idx="111">
                  <c:v>5.3209164346100604</c:v>
                </c:pt>
                <c:pt idx="112">
                  <c:v>5.0098392178123854</c:v>
                </c:pt>
                <c:pt idx="113">
                  <c:v>4.9566331404763488</c:v>
                </c:pt>
                <c:pt idx="114">
                  <c:v>4.887282495572336</c:v>
                </c:pt>
                <c:pt idx="115">
                  <c:v>5.8102082952416119</c:v>
                </c:pt>
                <c:pt idx="116">
                  <c:v>4.8727146567444422</c:v>
                </c:pt>
                <c:pt idx="117">
                  <c:v>5.2061663958413309</c:v>
                </c:pt>
                <c:pt idx="118">
                  <c:v>3.8421849008924607</c:v>
                </c:pt>
                <c:pt idx="119">
                  <c:v>5.8025539082546613</c:v>
                </c:pt>
                <c:pt idx="120">
                  <c:v>5.6870350762949364</c:v>
                </c:pt>
                <c:pt idx="121">
                  <c:v>5.6282413961455413</c:v>
                </c:pt>
                <c:pt idx="122">
                  <c:v>4.9234374976274111</c:v>
                </c:pt>
                <c:pt idx="123">
                  <c:v>4.9731401419569963</c:v>
                </c:pt>
                <c:pt idx="124">
                  <c:v>4.9057529084807312</c:v>
                </c:pt>
                <c:pt idx="125">
                  <c:v>4.3626089654405584</c:v>
                </c:pt>
                <c:pt idx="126">
                  <c:v>5.2940179763373418</c:v>
                </c:pt>
                <c:pt idx="127">
                  <c:v>4.7675598197462099</c:v>
                </c:pt>
                <c:pt idx="128">
                  <c:v>4.7298942474429539</c:v>
                </c:pt>
                <c:pt idx="129">
                  <c:v>5.1757556624429029</c:v>
                </c:pt>
                <c:pt idx="130">
                  <c:v>4.5406271898056705</c:v>
                </c:pt>
                <c:pt idx="131">
                  <c:v>5.1741066626249417</c:v>
                </c:pt>
                <c:pt idx="132">
                  <c:v>4.9727527470696584</c:v>
                </c:pt>
                <c:pt idx="133">
                  <c:v>4.8374080597217848</c:v>
                </c:pt>
                <c:pt idx="134">
                  <c:v>5.6516927645593924</c:v>
                </c:pt>
                <c:pt idx="135">
                  <c:v>4.9177352327340556</c:v>
                </c:pt>
                <c:pt idx="136">
                  <c:v>4.4834521398185307</c:v>
                </c:pt>
                <c:pt idx="137">
                  <c:v>4.8783873243322518</c:v>
                </c:pt>
                <c:pt idx="138">
                  <c:v>5.8134858861555632</c:v>
                </c:pt>
                <c:pt idx="139">
                  <c:v>4.5928582455679825</c:v>
                </c:pt>
                <c:pt idx="140">
                  <c:v>4.7210475280071718</c:v>
                </c:pt>
                <c:pt idx="141">
                  <c:v>5.5646406369321095</c:v>
                </c:pt>
                <c:pt idx="142">
                  <c:v>5.2385659428674742</c:v>
                </c:pt>
                <c:pt idx="143">
                  <c:v>4.9959874683193091</c:v>
                </c:pt>
                <c:pt idx="144">
                  <c:v>4.7194784259971669</c:v>
                </c:pt>
                <c:pt idx="145">
                  <c:v>4.891782652656854</c:v>
                </c:pt>
                <c:pt idx="146">
                  <c:v>5.4676236143634291</c:v>
                </c:pt>
                <c:pt idx="147">
                  <c:v>4.5483010316490793</c:v>
                </c:pt>
                <c:pt idx="148">
                  <c:v>5.2542182854862025</c:v>
                </c:pt>
                <c:pt idx="149">
                  <c:v>4.5836125271516064</c:v>
                </c:pt>
                <c:pt idx="150">
                  <c:v>4.7443523153019473</c:v>
                </c:pt>
                <c:pt idx="151">
                  <c:v>5.0335257107722811</c:v>
                </c:pt>
                <c:pt idx="152">
                  <c:v>4.2507426615341606</c:v>
                </c:pt>
                <c:pt idx="153">
                  <c:v>4.818640252330666</c:v>
                </c:pt>
                <c:pt idx="154">
                  <c:v>5.0901481301630556</c:v>
                </c:pt>
                <c:pt idx="155">
                  <c:v>5.1460570843228632</c:v>
                </c:pt>
                <c:pt idx="156">
                  <c:v>4.8702709031360945</c:v>
                </c:pt>
                <c:pt idx="157">
                  <c:v>4.7791520494415076</c:v>
                </c:pt>
                <c:pt idx="158">
                  <c:v>4.727360335064474</c:v>
                </c:pt>
                <c:pt idx="159">
                  <c:v>4.5423902170914037</c:v>
                </c:pt>
                <c:pt idx="160">
                  <c:v>4.6848641536098157</c:v>
                </c:pt>
                <c:pt idx="161">
                  <c:v>5.075625279153142</c:v>
                </c:pt>
                <c:pt idx="162">
                  <c:v>4.5189525531651871</c:v>
                </c:pt>
                <c:pt idx="163">
                  <c:v>5.3595668614817162</c:v>
                </c:pt>
                <c:pt idx="164">
                  <c:v>4.2963056433408902</c:v>
                </c:pt>
                <c:pt idx="165">
                  <c:v>4.9094478334560492</c:v>
                </c:pt>
                <c:pt idx="166">
                  <c:v>5.2963544631756099</c:v>
                </c:pt>
                <c:pt idx="167">
                  <c:v>4.587328686790344</c:v>
                </c:pt>
                <c:pt idx="168">
                  <c:v>4.8191540210160131</c:v>
                </c:pt>
                <c:pt idx="169">
                  <c:v>4.8588425289932164</c:v>
                </c:pt>
                <c:pt idx="170">
                  <c:v>5.0634578695559336</c:v>
                </c:pt>
                <c:pt idx="171">
                  <c:v>5.0088440870148396</c:v>
                </c:pt>
                <c:pt idx="172">
                  <c:v>5.1911671407060895</c:v>
                </c:pt>
                <c:pt idx="173">
                  <c:v>5.08907295804112</c:v>
                </c:pt>
                <c:pt idx="174">
                  <c:v>5.05335928378903</c:v>
                </c:pt>
                <c:pt idx="175">
                  <c:v>5.0092611421923374</c:v>
                </c:pt>
                <c:pt idx="176">
                  <c:v>5.6527692738769577</c:v>
                </c:pt>
                <c:pt idx="177">
                  <c:v>5.1404069534009187</c:v>
                </c:pt>
                <c:pt idx="178">
                  <c:v>4.3676328948235934</c:v>
                </c:pt>
                <c:pt idx="179">
                  <c:v>4.7384531649689459</c:v>
                </c:pt>
                <c:pt idx="180">
                  <c:v>4.1938020023414202</c:v>
                </c:pt>
                <c:pt idx="181">
                  <c:v>4.7032003530294473</c:v>
                </c:pt>
                <c:pt idx="182">
                  <c:v>4.5366617266830378</c:v>
                </c:pt>
                <c:pt idx="183">
                  <c:v>3.8200895949531786</c:v>
                </c:pt>
                <c:pt idx="184">
                  <c:v>3.8579506560583647</c:v>
                </c:pt>
                <c:pt idx="185">
                  <c:v>4.9515676613681876</c:v>
                </c:pt>
                <c:pt idx="186">
                  <c:v>5.5869883879603677</c:v>
                </c:pt>
                <c:pt idx="187">
                  <c:v>5.8214158620294985</c:v>
                </c:pt>
                <c:pt idx="188">
                  <c:v>4.5553226079141478</c:v>
                </c:pt>
                <c:pt idx="189">
                  <c:v>5.1304236739140707</c:v>
                </c:pt>
                <c:pt idx="190">
                  <c:v>5.2769614803450153</c:v>
                </c:pt>
                <c:pt idx="191">
                  <c:v>5.4590098132147826</c:v>
                </c:pt>
                <c:pt idx="192">
                  <c:v>5.0814951999006563</c:v>
                </c:pt>
                <c:pt idx="193">
                  <c:v>5.2268767248883261</c:v>
                </c:pt>
                <c:pt idx="194">
                  <c:v>4.993019288102162</c:v>
                </c:pt>
                <c:pt idx="195">
                  <c:v>4.6798922706546637</c:v>
                </c:pt>
                <c:pt idx="196">
                  <c:v>5.2794884035982887</c:v>
                </c:pt>
                <c:pt idx="197">
                  <c:v>4.1589991813443712</c:v>
                </c:pt>
                <c:pt idx="198">
                  <c:v>5.0305137186110818</c:v>
                </c:pt>
                <c:pt idx="199">
                  <c:v>4.9577397500168887</c:v>
                </c:pt>
              </c:numCache>
            </c:numRef>
          </c:xVal>
          <c:yVal>
            <c:numRef>
              <c:f>rand2!$M$2:$M$201</c:f>
              <c:numCache>
                <c:formatCode>General</c:formatCode>
                <c:ptCount val="200"/>
                <c:pt idx="0">
                  <c:v>4.4297985973593299</c:v>
                </c:pt>
                <c:pt idx="1">
                  <c:v>4.7962705710627027</c:v>
                </c:pt>
                <c:pt idx="2">
                  <c:v>5.4383240918826896</c:v>
                </c:pt>
                <c:pt idx="3">
                  <c:v>5.5221341792995302</c:v>
                </c:pt>
                <c:pt idx="4">
                  <c:v>4.5961449979481834</c:v>
                </c:pt>
                <c:pt idx="5">
                  <c:v>5.2151445514970245</c:v>
                </c:pt>
                <c:pt idx="6">
                  <c:v>5.3046223049375083</c:v>
                </c:pt>
                <c:pt idx="7">
                  <c:v>5.1156508604008737</c:v>
                </c:pt>
                <c:pt idx="8">
                  <c:v>4.6591443328938196</c:v>
                </c:pt>
                <c:pt idx="9">
                  <c:v>4.8648670651312917</c:v>
                </c:pt>
                <c:pt idx="10">
                  <c:v>5.7954970470084124</c:v>
                </c:pt>
                <c:pt idx="11">
                  <c:v>4.3030449042673276</c:v>
                </c:pt>
                <c:pt idx="12">
                  <c:v>5.5841043535526005</c:v>
                </c:pt>
                <c:pt idx="13">
                  <c:v>5.3825319109445573</c:v>
                </c:pt>
                <c:pt idx="14">
                  <c:v>5.2785296267129542</c:v>
                </c:pt>
                <c:pt idx="15">
                  <c:v>5.4179032576009369</c:v>
                </c:pt>
                <c:pt idx="16">
                  <c:v>4.6716865979947402</c:v>
                </c:pt>
                <c:pt idx="17">
                  <c:v>5.5822321479006707</c:v>
                </c:pt>
                <c:pt idx="18">
                  <c:v>5.4800195576635655</c:v>
                </c:pt>
                <c:pt idx="19">
                  <c:v>4.7968377103507711</c:v>
                </c:pt>
                <c:pt idx="20">
                  <c:v>5.1005275681273385</c:v>
                </c:pt>
                <c:pt idx="21">
                  <c:v>4.2515344486867868</c:v>
                </c:pt>
                <c:pt idx="22">
                  <c:v>4.7702755187598624</c:v>
                </c:pt>
                <c:pt idx="23">
                  <c:v>4.1542476363473018</c:v>
                </c:pt>
                <c:pt idx="24">
                  <c:v>4.8339287484635021</c:v>
                </c:pt>
                <c:pt idx="25">
                  <c:v>5.4269476507392298</c:v>
                </c:pt>
                <c:pt idx="26">
                  <c:v>5.5731719234529411</c:v>
                </c:pt>
                <c:pt idx="27">
                  <c:v>4.6427858949761376</c:v>
                </c:pt>
                <c:pt idx="28">
                  <c:v>5.332983455222867</c:v>
                </c:pt>
                <c:pt idx="29">
                  <c:v>5.0470307653190059</c:v>
                </c:pt>
                <c:pt idx="30">
                  <c:v>4.9986398308022935</c:v>
                </c:pt>
                <c:pt idx="31">
                  <c:v>5.2571137575409352</c:v>
                </c:pt>
                <c:pt idx="32">
                  <c:v>5.4427528601932424</c:v>
                </c:pt>
                <c:pt idx="33">
                  <c:v>4.6035646385951123</c:v>
                </c:pt>
                <c:pt idx="34">
                  <c:v>4.2176807486700119</c:v>
                </c:pt>
                <c:pt idx="35">
                  <c:v>4.8290264577533231</c:v>
                </c:pt>
                <c:pt idx="36">
                  <c:v>4.8511940505102853</c:v>
                </c:pt>
                <c:pt idx="37">
                  <c:v>4.5898669111447425</c:v>
                </c:pt>
                <c:pt idx="38">
                  <c:v>5.6429389534586409</c:v>
                </c:pt>
                <c:pt idx="39">
                  <c:v>4.2227818234919763</c:v>
                </c:pt>
                <c:pt idx="40">
                  <c:v>5.4324405584463218</c:v>
                </c:pt>
                <c:pt idx="41">
                  <c:v>5.1072365476385269</c:v>
                </c:pt>
                <c:pt idx="42">
                  <c:v>4.8990377839920027</c:v>
                </c:pt>
                <c:pt idx="43">
                  <c:v>5.6842237230693886</c:v>
                </c:pt>
                <c:pt idx="44">
                  <c:v>5.5415312304939892</c:v>
                </c:pt>
                <c:pt idx="45">
                  <c:v>4.9872590778583525</c:v>
                </c:pt>
                <c:pt idx="46">
                  <c:v>5.2626786123096565</c:v>
                </c:pt>
                <c:pt idx="47">
                  <c:v>5.3005286254757022</c:v>
                </c:pt>
                <c:pt idx="48">
                  <c:v>5.5703809344517135</c:v>
                </c:pt>
                <c:pt idx="49">
                  <c:v>5.0615278491567892</c:v>
                </c:pt>
                <c:pt idx="50">
                  <c:v>5.2789525315633199</c:v>
                </c:pt>
                <c:pt idx="51">
                  <c:v>4.9107963027911046</c:v>
                </c:pt>
                <c:pt idx="52">
                  <c:v>5.481639986552814</c:v>
                </c:pt>
                <c:pt idx="53">
                  <c:v>4.8058152102880989</c:v>
                </c:pt>
                <c:pt idx="54">
                  <c:v>5.3673816521250099</c:v>
                </c:pt>
                <c:pt idx="55">
                  <c:v>5.5857165515641398</c:v>
                </c:pt>
                <c:pt idx="56">
                  <c:v>4.9031757282163291</c:v>
                </c:pt>
                <c:pt idx="57">
                  <c:v>5.5548045741473642</c:v>
                </c:pt>
                <c:pt idx="58">
                  <c:v>4.3998867158916664</c:v>
                </c:pt>
                <c:pt idx="59">
                  <c:v>5.4037353671509827</c:v>
                </c:pt>
                <c:pt idx="60">
                  <c:v>5.4296906629040631</c:v>
                </c:pt>
                <c:pt idx="61">
                  <c:v>5.2764964355166724</c:v>
                </c:pt>
                <c:pt idx="62">
                  <c:v>5.3149254771725651</c:v>
                </c:pt>
                <c:pt idx="63">
                  <c:v>4.6675492594917092</c:v>
                </c:pt>
                <c:pt idx="64">
                  <c:v>5.2994921823306207</c:v>
                </c:pt>
                <c:pt idx="65">
                  <c:v>4.1669591069417731</c:v>
                </c:pt>
                <c:pt idx="66">
                  <c:v>4.773064946477219</c:v>
                </c:pt>
                <c:pt idx="67">
                  <c:v>5.5068521821170027</c:v>
                </c:pt>
                <c:pt idx="68">
                  <c:v>5.4807894224703908</c:v>
                </c:pt>
                <c:pt idx="69">
                  <c:v>4.9698876680393669</c:v>
                </c:pt>
                <c:pt idx="70">
                  <c:v>5.3274293879534582</c:v>
                </c:pt>
                <c:pt idx="71">
                  <c:v>4.4938689337592725</c:v>
                </c:pt>
                <c:pt idx="72">
                  <c:v>5.5526673804268807</c:v>
                </c:pt>
                <c:pt idx="73">
                  <c:v>5.2368165958216526</c:v>
                </c:pt>
                <c:pt idx="74">
                  <c:v>5.5736345017372351</c:v>
                </c:pt>
                <c:pt idx="75">
                  <c:v>5.1113781215318816</c:v>
                </c:pt>
                <c:pt idx="76">
                  <c:v>4.8048223828221213</c:v>
                </c:pt>
                <c:pt idx="77">
                  <c:v>5.3881807163655866</c:v>
                </c:pt>
                <c:pt idx="78">
                  <c:v>5.6689234281546552</c:v>
                </c:pt>
                <c:pt idx="79">
                  <c:v>5.576833593675687</c:v>
                </c:pt>
                <c:pt idx="80">
                  <c:v>5.5133487269345096</c:v>
                </c:pt>
                <c:pt idx="81">
                  <c:v>4.3251573917230308</c:v>
                </c:pt>
                <c:pt idx="82">
                  <c:v>5.3463603264046728</c:v>
                </c:pt>
                <c:pt idx="83">
                  <c:v>5.5566428982357507</c:v>
                </c:pt>
                <c:pt idx="84">
                  <c:v>5.0543724088582085</c:v>
                </c:pt>
                <c:pt idx="85">
                  <c:v>5.1720421325114714</c:v>
                </c:pt>
                <c:pt idx="86">
                  <c:v>4.9663335287046451</c:v>
                </c:pt>
                <c:pt idx="87">
                  <c:v>5.2265233400566569</c:v>
                </c:pt>
                <c:pt idx="88">
                  <c:v>4.7394864431611179</c:v>
                </c:pt>
                <c:pt idx="89">
                  <c:v>5.5635082911383051</c:v>
                </c:pt>
                <c:pt idx="90">
                  <c:v>5.0556566370629241</c:v>
                </c:pt>
                <c:pt idx="91">
                  <c:v>5.1526847663058106</c:v>
                </c:pt>
                <c:pt idx="92">
                  <c:v>4.5966714668922775</c:v>
                </c:pt>
                <c:pt idx="93">
                  <c:v>4.6448500115588134</c:v>
                </c:pt>
                <c:pt idx="94">
                  <c:v>5.5459401606374419</c:v>
                </c:pt>
                <c:pt idx="95">
                  <c:v>5.2521483722436351</c:v>
                </c:pt>
                <c:pt idx="96">
                  <c:v>4.8832137360229773</c:v>
                </c:pt>
                <c:pt idx="97">
                  <c:v>5.3103719587498341</c:v>
                </c:pt>
                <c:pt idx="98">
                  <c:v>5.3742157285370187</c:v>
                </c:pt>
                <c:pt idx="99">
                  <c:v>5.0439412959594705</c:v>
                </c:pt>
                <c:pt idx="100">
                  <c:v>1.7698584085180376</c:v>
                </c:pt>
                <c:pt idx="101">
                  <c:v>0.73011511379885807</c:v>
                </c:pt>
                <c:pt idx="102">
                  <c:v>0.87136862046099439</c:v>
                </c:pt>
                <c:pt idx="103">
                  <c:v>1.1035255383934321</c:v>
                </c:pt>
                <c:pt idx="104">
                  <c:v>0.74431382445709271</c:v>
                </c:pt>
                <c:pt idx="105">
                  <c:v>1.2553587161146136</c:v>
                </c:pt>
                <c:pt idx="106">
                  <c:v>0.89581212510636643</c:v>
                </c:pt>
                <c:pt idx="107">
                  <c:v>1.2621730571059422</c:v>
                </c:pt>
                <c:pt idx="108">
                  <c:v>3.227274600719813</c:v>
                </c:pt>
                <c:pt idx="109">
                  <c:v>1.190432341500866</c:v>
                </c:pt>
                <c:pt idx="110">
                  <c:v>0.93733076505952517</c:v>
                </c:pt>
                <c:pt idx="111">
                  <c:v>1.1548148620982608</c:v>
                </c:pt>
                <c:pt idx="112">
                  <c:v>1.1316914678937797</c:v>
                </c:pt>
                <c:pt idx="113">
                  <c:v>1.7354001016921561</c:v>
                </c:pt>
                <c:pt idx="114">
                  <c:v>2.5092394424874329</c:v>
                </c:pt>
                <c:pt idx="115">
                  <c:v>1.0496841875802569</c:v>
                </c:pt>
                <c:pt idx="116">
                  <c:v>3.9915265346145072</c:v>
                </c:pt>
                <c:pt idx="117">
                  <c:v>0.78963806235016909</c:v>
                </c:pt>
                <c:pt idx="118">
                  <c:v>0.73468494805839113</c:v>
                </c:pt>
                <c:pt idx="119">
                  <c:v>1.9858044603115221</c:v>
                </c:pt>
                <c:pt idx="120">
                  <c:v>0.41459384338149546</c:v>
                </c:pt>
                <c:pt idx="121">
                  <c:v>2.9414787076910791</c:v>
                </c:pt>
                <c:pt idx="122">
                  <c:v>0.72936407879984877</c:v>
                </c:pt>
                <c:pt idx="123">
                  <c:v>1.7275315305600198</c:v>
                </c:pt>
                <c:pt idx="124">
                  <c:v>1.1538325669990817</c:v>
                </c:pt>
                <c:pt idx="125">
                  <c:v>1.0117578200422213</c:v>
                </c:pt>
                <c:pt idx="126">
                  <c:v>2.276808521745425</c:v>
                </c:pt>
                <c:pt idx="127">
                  <c:v>1.4978031230435549</c:v>
                </c:pt>
                <c:pt idx="128">
                  <c:v>2.255728830289589</c:v>
                </c:pt>
                <c:pt idx="129">
                  <c:v>1.0264597663976975</c:v>
                </c:pt>
                <c:pt idx="130">
                  <c:v>0.5670774339819793</c:v>
                </c:pt>
                <c:pt idx="131">
                  <c:v>1.1104911788099618</c:v>
                </c:pt>
                <c:pt idx="132">
                  <c:v>2.1991019464553938</c:v>
                </c:pt>
                <c:pt idx="133">
                  <c:v>1.78140528976323</c:v>
                </c:pt>
                <c:pt idx="134">
                  <c:v>0.52594596888662404</c:v>
                </c:pt>
                <c:pt idx="135">
                  <c:v>0.62589147630703346</c:v>
                </c:pt>
                <c:pt idx="136">
                  <c:v>1.4350006858650117</c:v>
                </c:pt>
                <c:pt idx="137">
                  <c:v>1.1836280958645526</c:v>
                </c:pt>
                <c:pt idx="138">
                  <c:v>0.79775963043097475</c:v>
                </c:pt>
                <c:pt idx="139">
                  <c:v>0.9419460975659395</c:v>
                </c:pt>
                <c:pt idx="140">
                  <c:v>3.2655827468444323</c:v>
                </c:pt>
                <c:pt idx="141">
                  <c:v>1.9470273077007292</c:v>
                </c:pt>
                <c:pt idx="142">
                  <c:v>3.5443713349145818</c:v>
                </c:pt>
                <c:pt idx="143">
                  <c:v>0.55519237503089436</c:v>
                </c:pt>
                <c:pt idx="144">
                  <c:v>1.0328697634674853</c:v>
                </c:pt>
                <c:pt idx="145">
                  <c:v>2.4727455219448458</c:v>
                </c:pt>
                <c:pt idx="146">
                  <c:v>0.55449655763868577</c:v>
                </c:pt>
                <c:pt idx="147">
                  <c:v>1.4189522633495493</c:v>
                </c:pt>
                <c:pt idx="148">
                  <c:v>0.29261630104435565</c:v>
                </c:pt>
                <c:pt idx="149">
                  <c:v>2.0335288079615781</c:v>
                </c:pt>
                <c:pt idx="150">
                  <c:v>1.3207626433569748</c:v>
                </c:pt>
                <c:pt idx="151">
                  <c:v>1.6094413809692725</c:v>
                </c:pt>
                <c:pt idx="152">
                  <c:v>2.434441919189076</c:v>
                </c:pt>
                <c:pt idx="153">
                  <c:v>2.9196607342830165</c:v>
                </c:pt>
                <c:pt idx="154">
                  <c:v>2.1728370244794029</c:v>
                </c:pt>
                <c:pt idx="155">
                  <c:v>1.1844845948826304</c:v>
                </c:pt>
                <c:pt idx="156">
                  <c:v>1.1720720921523435</c:v>
                </c:pt>
                <c:pt idx="157">
                  <c:v>1.5410522481465823</c:v>
                </c:pt>
                <c:pt idx="158">
                  <c:v>0.86636419793745656</c:v>
                </c:pt>
                <c:pt idx="159">
                  <c:v>1.2112659278581199</c:v>
                </c:pt>
                <c:pt idx="160">
                  <c:v>1.5080509150603252</c:v>
                </c:pt>
                <c:pt idx="161">
                  <c:v>1.9690337764525907</c:v>
                </c:pt>
                <c:pt idx="162">
                  <c:v>1.6447992084491927</c:v>
                </c:pt>
                <c:pt idx="163">
                  <c:v>1.287602353602</c:v>
                </c:pt>
                <c:pt idx="164">
                  <c:v>1.9952234379924245</c:v>
                </c:pt>
                <c:pt idx="165">
                  <c:v>1.3860883955895706</c:v>
                </c:pt>
                <c:pt idx="166">
                  <c:v>6.9252028218394601E-2</c:v>
                </c:pt>
                <c:pt idx="167">
                  <c:v>1.8810787444561992</c:v>
                </c:pt>
                <c:pt idx="168">
                  <c:v>0.18046274841553323</c:v>
                </c:pt>
                <c:pt idx="169">
                  <c:v>3.3058089943696225</c:v>
                </c:pt>
                <c:pt idx="170">
                  <c:v>0.94701374017944751</c:v>
                </c:pt>
                <c:pt idx="171">
                  <c:v>0.98639266580307361</c:v>
                </c:pt>
                <c:pt idx="172">
                  <c:v>1.3610063745956491</c:v>
                </c:pt>
                <c:pt idx="173">
                  <c:v>0.44161984791912201</c:v>
                </c:pt>
                <c:pt idx="174">
                  <c:v>1.273159959870257</c:v>
                </c:pt>
                <c:pt idx="175">
                  <c:v>1.9727522612134878</c:v>
                </c:pt>
                <c:pt idx="176">
                  <c:v>3.2330335145614075</c:v>
                </c:pt>
                <c:pt idx="177">
                  <c:v>2.1500415678785409</c:v>
                </c:pt>
                <c:pt idx="178">
                  <c:v>2.3462990938064165</c:v>
                </c:pt>
                <c:pt idx="179">
                  <c:v>1.1295970742905961</c:v>
                </c:pt>
                <c:pt idx="180">
                  <c:v>1.9700584156151895</c:v>
                </c:pt>
                <c:pt idx="181">
                  <c:v>0.49678524192391255</c:v>
                </c:pt>
                <c:pt idx="182">
                  <c:v>1.1147816147882501</c:v>
                </c:pt>
                <c:pt idx="183">
                  <c:v>0.79433685260889086</c:v>
                </c:pt>
                <c:pt idx="184">
                  <c:v>0.29873357460087901</c:v>
                </c:pt>
                <c:pt idx="185">
                  <c:v>1.9287390551243824</c:v>
                </c:pt>
                <c:pt idx="186">
                  <c:v>2.643158265299693</c:v>
                </c:pt>
                <c:pt idx="187">
                  <c:v>0.90226771527244454</c:v>
                </c:pt>
                <c:pt idx="188">
                  <c:v>0.53616018611506233</c:v>
                </c:pt>
                <c:pt idx="189">
                  <c:v>3.4153408018985729</c:v>
                </c:pt>
                <c:pt idx="190">
                  <c:v>2.2474240259639213</c:v>
                </c:pt>
                <c:pt idx="191">
                  <c:v>0.93350545286158226</c:v>
                </c:pt>
                <c:pt idx="192">
                  <c:v>1.6382446869423051</c:v>
                </c:pt>
                <c:pt idx="193">
                  <c:v>0.63739703769666545</c:v>
                </c:pt>
                <c:pt idx="194">
                  <c:v>1.606495426716452</c:v>
                </c:pt>
                <c:pt idx="195">
                  <c:v>0.46781113399126784</c:v>
                </c:pt>
                <c:pt idx="196">
                  <c:v>1.0963059249205207</c:v>
                </c:pt>
                <c:pt idx="197">
                  <c:v>1.1315665230652532</c:v>
                </c:pt>
                <c:pt idx="198">
                  <c:v>4.4616368694288777</c:v>
                </c:pt>
                <c:pt idx="199">
                  <c:v>0.40618641765447161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F5-41EA-B3B7-77A9223F5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088527"/>
        <c:axId val="1208844991"/>
      </c:scatterChart>
      <c:valAx>
        <c:axId val="1275088527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8844991"/>
        <c:crosses val="autoZero"/>
        <c:crossBetween val="midCat"/>
      </c:valAx>
      <c:valAx>
        <c:axId val="1208844991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508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oval!$H$12:$H$111</c:f>
              <c:numCache>
                <c:formatCode>General</c:formatCode>
                <c:ptCount val="100"/>
                <c:pt idx="0">
                  <c:v>-0.74327367094210328</c:v>
                </c:pt>
                <c:pt idx="1">
                  <c:v>6.7283486797337533E-2</c:v>
                </c:pt>
                <c:pt idx="2">
                  <c:v>0.72740476792828113</c:v>
                </c:pt>
                <c:pt idx="3">
                  <c:v>0.65729352540913366</c:v>
                </c:pt>
                <c:pt idx="4">
                  <c:v>0.23243119697679215</c:v>
                </c:pt>
                <c:pt idx="5">
                  <c:v>0.51367522756293282</c:v>
                </c:pt>
                <c:pt idx="6">
                  <c:v>4.5100765055255509E-2</c:v>
                </c:pt>
                <c:pt idx="7">
                  <c:v>0.98330087278009215</c:v>
                </c:pt>
                <c:pt idx="8">
                  <c:v>0.87321611419963452</c:v>
                </c:pt>
                <c:pt idx="9">
                  <c:v>0.63283978291148957</c:v>
                </c:pt>
                <c:pt idx="10">
                  <c:v>0.62564216730204625</c:v>
                </c:pt>
                <c:pt idx="11">
                  <c:v>0.12212566944867298</c:v>
                </c:pt>
                <c:pt idx="12">
                  <c:v>0.86716565610655816</c:v>
                </c:pt>
                <c:pt idx="13">
                  <c:v>0.78937424996811489</c:v>
                </c:pt>
                <c:pt idx="14">
                  <c:v>0.88968714197302678</c:v>
                </c:pt>
                <c:pt idx="15">
                  <c:v>0.76703689691750632</c:v>
                </c:pt>
                <c:pt idx="16">
                  <c:v>0.99130277781213294</c:v>
                </c:pt>
                <c:pt idx="17">
                  <c:v>-0.11551398938480761</c:v>
                </c:pt>
                <c:pt idx="18">
                  <c:v>0.65456548847340157</c:v>
                </c:pt>
                <c:pt idx="19">
                  <c:v>0.82205275898683627</c:v>
                </c:pt>
                <c:pt idx="20">
                  <c:v>0.55979722722156855</c:v>
                </c:pt>
                <c:pt idx="21">
                  <c:v>0.97828352191385004</c:v>
                </c:pt>
                <c:pt idx="22">
                  <c:v>0.74511333084567566</c:v>
                </c:pt>
                <c:pt idx="23">
                  <c:v>0.74801190106638149</c:v>
                </c:pt>
                <c:pt idx="24">
                  <c:v>0.55880902987855174</c:v>
                </c:pt>
                <c:pt idx="25">
                  <c:v>0.99245662512663402</c:v>
                </c:pt>
                <c:pt idx="26">
                  <c:v>0.30601129505529157</c:v>
                </c:pt>
                <c:pt idx="27">
                  <c:v>0.28001153602768192</c:v>
                </c:pt>
                <c:pt idx="28">
                  <c:v>0.89710133317654084</c:v>
                </c:pt>
                <c:pt idx="29">
                  <c:v>0.13601319122700561</c:v>
                </c:pt>
                <c:pt idx="30">
                  <c:v>0.55749983542776993</c:v>
                </c:pt>
                <c:pt idx="31">
                  <c:v>-9.5809234797382459E-2</c:v>
                </c:pt>
                <c:pt idx="32">
                  <c:v>0.73825965847014552</c:v>
                </c:pt>
                <c:pt idx="33">
                  <c:v>0.30310178591890968</c:v>
                </c:pt>
                <c:pt idx="34">
                  <c:v>6.3812863884078586E-2</c:v>
                </c:pt>
                <c:pt idx="35">
                  <c:v>0.65463434445020896</c:v>
                </c:pt>
                <c:pt idx="36">
                  <c:v>7.0821853475883656E-2</c:v>
                </c:pt>
                <c:pt idx="37">
                  <c:v>0.91036743762362804</c:v>
                </c:pt>
                <c:pt idx="38">
                  <c:v>0.27572306507110822</c:v>
                </c:pt>
                <c:pt idx="39">
                  <c:v>0.52854021233866688</c:v>
                </c:pt>
                <c:pt idx="40">
                  <c:v>0.75946850355697737</c:v>
                </c:pt>
                <c:pt idx="41">
                  <c:v>0.93476945339913942</c:v>
                </c:pt>
                <c:pt idx="42">
                  <c:v>0.98839737703375063</c:v>
                </c:pt>
                <c:pt idx="43">
                  <c:v>0.13816064728087207</c:v>
                </c:pt>
                <c:pt idx="44">
                  <c:v>-0.32970270456785622</c:v>
                </c:pt>
                <c:pt idx="45">
                  <c:v>0.2363012405539644</c:v>
                </c:pt>
                <c:pt idx="46">
                  <c:v>0.88730505981893038</c:v>
                </c:pt>
                <c:pt idx="47">
                  <c:v>-2.4189974392082148E-2</c:v>
                </c:pt>
                <c:pt idx="48">
                  <c:v>0.88330814802568203</c:v>
                </c:pt>
                <c:pt idx="49">
                  <c:v>0.53329406840429305</c:v>
                </c:pt>
                <c:pt idx="50">
                  <c:v>0.26462263490430848</c:v>
                </c:pt>
                <c:pt idx="51">
                  <c:v>5.058106550559982E-2</c:v>
                </c:pt>
                <c:pt idx="52">
                  <c:v>0.69861451923347984</c:v>
                </c:pt>
                <c:pt idx="53">
                  <c:v>0.45207732062006534</c:v>
                </c:pt>
                <c:pt idx="54">
                  <c:v>0.65562316526589348</c:v>
                </c:pt>
                <c:pt idx="55">
                  <c:v>0.52105180437199827</c:v>
                </c:pt>
                <c:pt idx="56">
                  <c:v>0.9354127129369767</c:v>
                </c:pt>
                <c:pt idx="57">
                  <c:v>0.50214720039278671</c:v>
                </c:pt>
                <c:pt idx="58">
                  <c:v>0.70898270067860159</c:v>
                </c:pt>
                <c:pt idx="59">
                  <c:v>-0.85968257082874744</c:v>
                </c:pt>
                <c:pt idx="60">
                  <c:v>0.9056313390059072</c:v>
                </c:pt>
                <c:pt idx="61">
                  <c:v>0.60873324474635537</c:v>
                </c:pt>
                <c:pt idx="62">
                  <c:v>0.24920769266106768</c:v>
                </c:pt>
                <c:pt idx="63">
                  <c:v>0.68239078513779483</c:v>
                </c:pt>
                <c:pt idx="64">
                  <c:v>0.63092896449812719</c:v>
                </c:pt>
                <c:pt idx="65">
                  <c:v>0.9799086197232163</c:v>
                </c:pt>
                <c:pt idx="66">
                  <c:v>0.71675359373244607</c:v>
                </c:pt>
                <c:pt idx="67">
                  <c:v>0.61772701457985169</c:v>
                </c:pt>
                <c:pt idx="68">
                  <c:v>0.83965352806460714</c:v>
                </c:pt>
                <c:pt idx="69">
                  <c:v>-2.9782399011772265E-2</c:v>
                </c:pt>
                <c:pt idx="70">
                  <c:v>0.65430925617347091</c:v>
                </c:pt>
                <c:pt idx="71">
                  <c:v>0.9159718724050383</c:v>
                </c:pt>
                <c:pt idx="72">
                  <c:v>1.9214608125326826E-2</c:v>
                </c:pt>
                <c:pt idx="73">
                  <c:v>0.60714686803514062</c:v>
                </c:pt>
                <c:pt idx="74">
                  <c:v>0.64816176065436948</c:v>
                </c:pt>
                <c:pt idx="75">
                  <c:v>1.5196346285065609E-2</c:v>
                </c:pt>
                <c:pt idx="76">
                  <c:v>0.28806872117118953</c:v>
                </c:pt>
                <c:pt idx="77">
                  <c:v>0.79561303527456217</c:v>
                </c:pt>
                <c:pt idx="78">
                  <c:v>0.98956016688930404</c:v>
                </c:pt>
                <c:pt idx="79">
                  <c:v>0.66418458296287008</c:v>
                </c:pt>
                <c:pt idx="80">
                  <c:v>-0.38488640424499176</c:v>
                </c:pt>
                <c:pt idx="81">
                  <c:v>0.84983197774603658</c:v>
                </c:pt>
                <c:pt idx="82">
                  <c:v>0.83463402838777456</c:v>
                </c:pt>
                <c:pt idx="83">
                  <c:v>4.6018999648204661E-2</c:v>
                </c:pt>
                <c:pt idx="84">
                  <c:v>0.50082113920885751</c:v>
                </c:pt>
                <c:pt idx="85">
                  <c:v>0.67712539896683155</c:v>
                </c:pt>
                <c:pt idx="86">
                  <c:v>-4.178759739793092E-3</c:v>
                </c:pt>
                <c:pt idx="87">
                  <c:v>0.96776712820374255</c:v>
                </c:pt>
                <c:pt idx="88">
                  <c:v>0.621595252286825</c:v>
                </c:pt>
                <c:pt idx="89">
                  <c:v>-0.78477713951102479</c:v>
                </c:pt>
                <c:pt idx="90">
                  <c:v>0.74372140362705796</c:v>
                </c:pt>
                <c:pt idx="91">
                  <c:v>0.79019603030835039</c:v>
                </c:pt>
                <c:pt idx="92">
                  <c:v>0.33679665569921435</c:v>
                </c:pt>
                <c:pt idx="93">
                  <c:v>0.455567396756134</c:v>
                </c:pt>
                <c:pt idx="94">
                  <c:v>0.51750851926917996</c:v>
                </c:pt>
                <c:pt idx="95">
                  <c:v>0.96657975893196646</c:v>
                </c:pt>
                <c:pt idx="96">
                  <c:v>6.6374369041548698E-2</c:v>
                </c:pt>
                <c:pt idx="97">
                  <c:v>0.56700532204841148</c:v>
                </c:pt>
                <c:pt idx="98">
                  <c:v>0.65092414623135464</c:v>
                </c:pt>
                <c:pt idx="99">
                  <c:v>0.73496673369628995</c:v>
                </c:pt>
              </c:numCache>
            </c:numRef>
          </c:xVal>
          <c:yVal>
            <c:numRef>
              <c:f>oval!$I$12:$I$111</c:f>
              <c:numCache>
                <c:formatCode>General</c:formatCode>
                <c:ptCount val="100"/>
                <c:pt idx="0">
                  <c:v>0.31355383234893019</c:v>
                </c:pt>
                <c:pt idx="1">
                  <c:v>-0.5099032853767359</c:v>
                </c:pt>
                <c:pt idx="2">
                  <c:v>0.47478192307372374</c:v>
                </c:pt>
                <c:pt idx="3">
                  <c:v>0.16209334764053465</c:v>
                </c:pt>
                <c:pt idx="4">
                  <c:v>-7.9524496148752996E-2</c:v>
                </c:pt>
                <c:pt idx="5">
                  <c:v>0.84458625963492195</c:v>
                </c:pt>
                <c:pt idx="6">
                  <c:v>0.61814690482588408</c:v>
                </c:pt>
                <c:pt idx="7">
                  <c:v>-0.38144984066976834</c:v>
                </c:pt>
                <c:pt idx="8">
                  <c:v>0.23103415715159267</c:v>
                </c:pt>
                <c:pt idx="9">
                  <c:v>0.17042503416966659</c:v>
                </c:pt>
                <c:pt idx="10">
                  <c:v>-4.2061380461278289E-2</c:v>
                </c:pt>
                <c:pt idx="11">
                  <c:v>-0.41580641351746539</c:v>
                </c:pt>
                <c:pt idx="12">
                  <c:v>-0.14897785445875</c:v>
                </c:pt>
                <c:pt idx="13">
                  <c:v>-9.6350825737980525E-2</c:v>
                </c:pt>
                <c:pt idx="14">
                  <c:v>0.64896685443763691</c:v>
                </c:pt>
                <c:pt idx="15">
                  <c:v>0.49190518823541768</c:v>
                </c:pt>
                <c:pt idx="16">
                  <c:v>-0.39970315193802053</c:v>
                </c:pt>
                <c:pt idx="17">
                  <c:v>-0.73361901627894366</c:v>
                </c:pt>
                <c:pt idx="18">
                  <c:v>-7.9202436028238347E-3</c:v>
                </c:pt>
                <c:pt idx="19">
                  <c:v>0.5865988148669109</c:v>
                </c:pt>
                <c:pt idx="20">
                  <c:v>0.34652474144130613</c:v>
                </c:pt>
                <c:pt idx="21">
                  <c:v>0.45691350871733577</c:v>
                </c:pt>
                <c:pt idx="22">
                  <c:v>-0.87063657517552462</c:v>
                </c:pt>
                <c:pt idx="23">
                  <c:v>-0.36332088322706352</c:v>
                </c:pt>
                <c:pt idx="24">
                  <c:v>3.2705928995409125E-2</c:v>
                </c:pt>
                <c:pt idx="25">
                  <c:v>0.40834820420905688</c:v>
                </c:pt>
                <c:pt idx="26">
                  <c:v>0.81951582754604646</c:v>
                </c:pt>
                <c:pt idx="27">
                  <c:v>0.23191226082266089</c:v>
                </c:pt>
                <c:pt idx="28">
                  <c:v>0.38624905111440311</c:v>
                </c:pt>
                <c:pt idx="29">
                  <c:v>-0.63186447776507437</c:v>
                </c:pt>
                <c:pt idx="30">
                  <c:v>0.2243569341401099</c:v>
                </c:pt>
                <c:pt idx="31">
                  <c:v>-3.4109832180271554E-2</c:v>
                </c:pt>
                <c:pt idx="32">
                  <c:v>0.29795372023065664</c:v>
                </c:pt>
                <c:pt idx="33">
                  <c:v>0.24379353216074542</c:v>
                </c:pt>
                <c:pt idx="34">
                  <c:v>0.17678954833418076</c:v>
                </c:pt>
                <c:pt idx="35">
                  <c:v>0.529226502244736</c:v>
                </c:pt>
                <c:pt idx="36">
                  <c:v>-0.14028139170765158</c:v>
                </c:pt>
                <c:pt idx="37">
                  <c:v>0.18461759921004395</c:v>
                </c:pt>
                <c:pt idx="38">
                  <c:v>0.71615894583496198</c:v>
                </c:pt>
                <c:pt idx="39">
                  <c:v>0.84442412535766909</c:v>
                </c:pt>
                <c:pt idx="40">
                  <c:v>-0.12448966283557406</c:v>
                </c:pt>
                <c:pt idx="41">
                  <c:v>-0.44910779859601913</c:v>
                </c:pt>
                <c:pt idx="42">
                  <c:v>0.21226308212526204</c:v>
                </c:pt>
                <c:pt idx="43">
                  <c:v>0.26634560572531674</c:v>
                </c:pt>
                <c:pt idx="44">
                  <c:v>-0.66244956488777718</c:v>
                </c:pt>
                <c:pt idx="45">
                  <c:v>0.63414064016833049</c:v>
                </c:pt>
                <c:pt idx="46">
                  <c:v>-0.92696371843280223</c:v>
                </c:pt>
                <c:pt idx="47">
                  <c:v>-0.81908543561951408</c:v>
                </c:pt>
                <c:pt idx="48">
                  <c:v>0.28801658348871662</c:v>
                </c:pt>
                <c:pt idx="49">
                  <c:v>0.30062180956232176</c:v>
                </c:pt>
                <c:pt idx="50">
                  <c:v>-0.63799270376410167</c:v>
                </c:pt>
                <c:pt idx="51">
                  <c:v>0.12125109026723427</c:v>
                </c:pt>
                <c:pt idx="52">
                  <c:v>0.92536400078194281</c:v>
                </c:pt>
                <c:pt idx="53">
                  <c:v>-0.80123788749054847</c:v>
                </c:pt>
                <c:pt idx="54">
                  <c:v>0.24713057045187736</c:v>
                </c:pt>
                <c:pt idx="55">
                  <c:v>-4.9072921071910351E-2</c:v>
                </c:pt>
                <c:pt idx="56">
                  <c:v>0.51149265604066307</c:v>
                </c:pt>
                <c:pt idx="57">
                  <c:v>0.11778618532074446</c:v>
                </c:pt>
                <c:pt idx="58">
                  <c:v>2.2143435530547588E-2</c:v>
                </c:pt>
                <c:pt idx="59">
                  <c:v>-3.1690288003799316E-3</c:v>
                </c:pt>
                <c:pt idx="60">
                  <c:v>-0.17263387632697905</c:v>
                </c:pt>
                <c:pt idx="61">
                  <c:v>1.5901402010517294E-2</c:v>
                </c:pt>
                <c:pt idx="62">
                  <c:v>-0.85169195756204419</c:v>
                </c:pt>
                <c:pt idx="63">
                  <c:v>-2.4966331754133868E-2</c:v>
                </c:pt>
                <c:pt idx="64">
                  <c:v>-3.0143313692304668E-3</c:v>
                </c:pt>
                <c:pt idx="65">
                  <c:v>0.41356571115099838</c:v>
                </c:pt>
                <c:pt idx="66">
                  <c:v>1.1500601651159653E-2</c:v>
                </c:pt>
                <c:pt idx="67">
                  <c:v>-0.28766852543840055</c:v>
                </c:pt>
                <c:pt idx="68">
                  <c:v>-8.7281045034123428E-2</c:v>
                </c:pt>
                <c:pt idx="69">
                  <c:v>-0.22189043537808031</c:v>
                </c:pt>
                <c:pt idx="70">
                  <c:v>0.42852268005818633</c:v>
                </c:pt>
                <c:pt idx="71">
                  <c:v>0.39989585787116061</c:v>
                </c:pt>
                <c:pt idx="72">
                  <c:v>0.12538072944532735</c:v>
                </c:pt>
                <c:pt idx="73">
                  <c:v>0.44663676358321736</c:v>
                </c:pt>
                <c:pt idx="74">
                  <c:v>1.2517306951023539E-3</c:v>
                </c:pt>
                <c:pt idx="75">
                  <c:v>-0.31320289744493401</c:v>
                </c:pt>
                <c:pt idx="76">
                  <c:v>-0.51918704229857349</c:v>
                </c:pt>
                <c:pt idx="77">
                  <c:v>-0.20058944708013779</c:v>
                </c:pt>
                <c:pt idx="78">
                  <c:v>-5.9543503836453827E-2</c:v>
                </c:pt>
                <c:pt idx="79">
                  <c:v>-0.22864885321488629</c:v>
                </c:pt>
                <c:pt idx="80">
                  <c:v>0.41866148098731004</c:v>
                </c:pt>
                <c:pt idx="81">
                  <c:v>-0.70565687955432466</c:v>
                </c:pt>
                <c:pt idx="82">
                  <c:v>-2.5444888223434166E-2</c:v>
                </c:pt>
                <c:pt idx="83">
                  <c:v>-0.85069420667320717</c:v>
                </c:pt>
                <c:pt idx="84">
                  <c:v>0.1355659657276766</c:v>
                </c:pt>
                <c:pt idx="85">
                  <c:v>-0.25690242771294419</c:v>
                </c:pt>
                <c:pt idx="86">
                  <c:v>-8.4934059553928576E-2</c:v>
                </c:pt>
                <c:pt idx="87">
                  <c:v>-8.6968640505230788E-2</c:v>
                </c:pt>
                <c:pt idx="88">
                  <c:v>0.53239531598382439</c:v>
                </c:pt>
                <c:pt idx="89">
                  <c:v>0.3085666707754397</c:v>
                </c:pt>
                <c:pt idx="90">
                  <c:v>0.12447290167606523</c:v>
                </c:pt>
                <c:pt idx="91">
                  <c:v>-0.2502102117311128</c:v>
                </c:pt>
                <c:pt idx="92">
                  <c:v>-0.85386574144357175</c:v>
                </c:pt>
                <c:pt idx="93">
                  <c:v>-0.23307913796651417</c:v>
                </c:pt>
                <c:pt idx="94">
                  <c:v>-8.9554014322737727E-2</c:v>
                </c:pt>
                <c:pt idx="95">
                  <c:v>-0.26125272853638798</c:v>
                </c:pt>
                <c:pt idx="96">
                  <c:v>-0.77271606862494646</c:v>
                </c:pt>
                <c:pt idx="97">
                  <c:v>0.17431340814430965</c:v>
                </c:pt>
                <c:pt idx="98">
                  <c:v>-0.3326604057023424</c:v>
                </c:pt>
                <c:pt idx="99">
                  <c:v>-3.6379050255142459E-2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0-46F8-AA88-A632A7974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679679"/>
        <c:axId val="1261439679"/>
      </c:scatterChart>
      <c:valAx>
        <c:axId val="1259679679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1439679"/>
        <c:crosses val="autoZero"/>
        <c:crossBetween val="midCat"/>
      </c:valAx>
      <c:valAx>
        <c:axId val="1261439679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967967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oval!$D$12:$D$112</c:f>
              <c:numCache>
                <c:formatCode>General</c:formatCode>
                <c:ptCount val="101"/>
                <c:pt idx="0">
                  <c:v>-0.89305933203702914</c:v>
                </c:pt>
                <c:pt idx="1">
                  <c:v>-0.47406917216668593</c:v>
                </c:pt>
                <c:pt idx="2">
                  <c:v>9.879145785910759E-2</c:v>
                </c:pt>
                <c:pt idx="3">
                  <c:v>1.2386719764021656E-2</c:v>
                </c:pt>
                <c:pt idx="4">
                  <c:v>-0.36353070891570866</c:v>
                </c:pt>
                <c:pt idx="5">
                  <c:v>-0.13602674078711699</c:v>
                </c:pt>
                <c:pt idx="6">
                  <c:v>-0.48799343650450339</c:v>
                </c:pt>
                <c:pt idx="7">
                  <c:v>0.70508592048487417</c:v>
                </c:pt>
                <c:pt idx="8">
                  <c:v>0.33649588490279114</c:v>
                </c:pt>
                <c:pt idx="9">
                  <c:v>-1.5220186408030826E-2</c:v>
                </c:pt>
                <c:pt idx="10">
                  <c:v>-2.313458914866166E-2</c:v>
                </c:pt>
                <c:pt idx="11">
                  <c:v>-0.4387685548860496</c:v>
                </c:pt>
                <c:pt idx="12">
                  <c:v>0.32400707998977801</c:v>
                </c:pt>
                <c:pt idx="13">
                  <c:v>0.1871272155943241</c:v>
                </c:pt>
                <c:pt idx="14">
                  <c:v>0.37242092889133249</c:v>
                </c:pt>
                <c:pt idx="15">
                  <c:v>0.15368340972372693</c:v>
                </c:pt>
                <c:pt idx="16">
                  <c:v>0.77281993291545781</c:v>
                </c:pt>
                <c:pt idx="17">
                  <c:v>-0.58346331330797041</c:v>
                </c:pt>
                <c:pt idx="18">
                  <c:v>9.249529424592267E-3</c:v>
                </c:pt>
                <c:pt idx="19">
                  <c:v>0.24013839444302701</c:v>
                </c:pt>
                <c:pt idx="20">
                  <c:v>-9.1639160850865806E-2</c:v>
                </c:pt>
                <c:pt idx="21">
                  <c:v>0.67240764733254776</c:v>
                </c:pt>
                <c:pt idx="22">
                  <c:v>0.12268239130463815</c:v>
                </c:pt>
                <c:pt idx="23">
                  <c:v>0.12668683028999847</c:v>
                </c:pt>
                <c:pt idx="24">
                  <c:v>-9.2618736041763378E-2</c:v>
                </c:pt>
                <c:pt idx="25">
                  <c:v>0.78539280720530347</c:v>
                </c:pt>
                <c:pt idx="26">
                  <c:v>-0.30966119078670462</c:v>
                </c:pt>
                <c:pt idx="27">
                  <c:v>-0.32907109391300776</c:v>
                </c:pt>
                <c:pt idx="28">
                  <c:v>0.38964585735996593</c:v>
                </c:pt>
                <c:pt idx="29">
                  <c:v>-0.42962074694247565</c:v>
                </c:pt>
                <c:pt idx="30">
                  <c:v>-9.3914482396066201E-2</c:v>
                </c:pt>
                <c:pt idx="31">
                  <c:v>-0.57221516075409318</c:v>
                </c:pt>
                <c:pt idx="32">
                  <c:v>0.11332132565223019</c:v>
                </c:pt>
                <c:pt idx="33">
                  <c:v>-0.31185470736887594</c:v>
                </c:pt>
                <c:pt idx="34">
                  <c:v>-0.47626072279609755</c:v>
                </c:pt>
                <c:pt idx="35">
                  <c:v>9.3285292570293148E-3</c:v>
                </c:pt>
                <c:pt idx="36">
                  <c:v>-0.47182980137248659</c:v>
                </c:pt>
                <c:pt idx="37">
                  <c:v>0.42243040551789562</c:v>
                </c:pt>
                <c:pt idx="38">
                  <c:v>-0.33223199472422882</c:v>
                </c:pt>
                <c:pt idx="39">
                  <c:v>-0.12200775823714571</c:v>
                </c:pt>
                <c:pt idx="40">
                  <c:v>0.1427908883864801</c:v>
                </c:pt>
                <c:pt idx="41">
                  <c:v>0.49137417829031399</c:v>
                </c:pt>
                <c:pt idx="42">
                  <c:v>0.7450585395712267</c:v>
                </c:pt>
                <c:pt idx="43">
                  <c:v>-0.42819834561176273</c:v>
                </c:pt>
                <c:pt idx="44">
                  <c:v>-0.69871224840432244</c:v>
                </c:pt>
                <c:pt idx="45">
                  <c:v>-0.36077659667428236</c:v>
                </c:pt>
                <c:pt idx="46">
                  <c:v>0.36703490072388734</c:v>
                </c:pt>
                <c:pt idx="47">
                  <c:v>-0.53027754489777312</c:v>
                </c:pt>
                <c:pt idx="48">
                  <c:v>0.35814901743748506</c:v>
                </c:pt>
                <c:pt idx="49">
                  <c:v>-0.11746859226494751</c:v>
                </c:pt>
                <c:pt idx="50">
                  <c:v>-0.3403619809033584</c:v>
                </c:pt>
                <c:pt idx="51">
                  <c:v>-0.48457161600534454</c:v>
                </c:pt>
                <c:pt idx="52">
                  <c:v>6.186156755368339E-2</c:v>
                </c:pt>
                <c:pt idx="53">
                  <c:v>-0.19153199408098942</c:v>
                </c:pt>
                <c:pt idx="54">
                  <c:v>1.0464066913279266E-2</c:v>
                </c:pt>
                <c:pt idx="55">
                  <c:v>-0.12910261694941494</c:v>
                </c:pt>
                <c:pt idx="56">
                  <c:v>0.49338643466595267</c:v>
                </c:pt>
                <c:pt idx="57">
                  <c:v>-0.14672261861260447</c:v>
                </c:pt>
                <c:pt idx="58">
                  <c:v>7.4906733551064392E-2</c:v>
                </c:pt>
                <c:pt idx="59">
                  <c:v>-0.94264536271902888</c:v>
                </c:pt>
                <c:pt idx="60">
                  <c:v>0.41041134988789563</c:v>
                </c:pt>
                <c:pt idx="61">
                  <c:v>-4.1375070581186404E-2</c:v>
                </c:pt>
                <c:pt idx="62">
                  <c:v>-0.35153072466331059</c:v>
                </c:pt>
                <c:pt idx="63">
                  <c:v>4.197854539275174E-2</c:v>
                </c:pt>
                <c:pt idx="64">
                  <c:v>-1.7330307227298575E-2</c:v>
                </c:pt>
                <c:pt idx="65">
                  <c:v>0.68244284172936831</c:v>
                </c:pt>
                <c:pt idx="66">
                  <c:v>8.4867960197956421E-2</c:v>
                </c:pt>
                <c:pt idx="67">
                  <c:v>-3.1733282746439648E-2</c:v>
                </c:pt>
                <c:pt idx="68">
                  <c:v>0.27114395368710675</c:v>
                </c:pt>
                <c:pt idx="69">
                  <c:v>-0.53361441946185117</c:v>
                </c:pt>
                <c:pt idx="70">
                  <c:v>8.9556319783072724E-3</c:v>
                </c:pt>
                <c:pt idx="71">
                  <c:v>0.43715621891221246</c:v>
                </c:pt>
                <c:pt idx="72">
                  <c:v>-0.50399915716934363</c:v>
                </c:pt>
                <c:pt idx="73">
                  <c:v>-4.3061907567062491E-2</c:v>
                </c:pt>
                <c:pt idx="74">
                  <c:v>1.9433035286375176E-3</c:v>
                </c:pt>
                <c:pt idx="75">
                  <c:v>-0.50646087842591536</c:v>
                </c:pt>
                <c:pt idx="76">
                  <c:v>-0.32310169883350132</c:v>
                </c:pt>
                <c:pt idx="77">
                  <c:v>0.19684517072782953</c:v>
                </c:pt>
                <c:pt idx="78">
                  <c:v>0.75560325364321101</c:v>
                </c:pt>
                <c:pt idx="79">
                  <c:v>2.0378632114643427E-2</c:v>
                </c:pt>
                <c:pt idx="80">
                  <c:v>-0.72656788310187304</c:v>
                </c:pt>
                <c:pt idx="81">
                  <c:v>0.29001531317658563</c:v>
                </c:pt>
                <c:pt idx="82">
                  <c:v>0.26210179112567528</c:v>
                </c:pt>
                <c:pt idx="83">
                  <c:v>-0.48742092733944736</c:v>
                </c:pt>
                <c:pt idx="84">
                  <c:v>-0.14794338988876229</c:v>
                </c:pt>
                <c:pt idx="85">
                  <c:v>3.5656959912863564E-2</c:v>
                </c:pt>
                <c:pt idx="86">
                  <c:v>-0.51824692361662272</c:v>
                </c:pt>
                <c:pt idx="87">
                  <c:v>0.61634788411598374</c:v>
                </c:pt>
                <c:pt idx="88">
                  <c:v>-2.7544474161495885E-2</c:v>
                </c:pt>
                <c:pt idx="89">
                  <c:v>-0.91095999425826357</c:v>
                </c:pt>
                <c:pt idx="90">
                  <c:v>0.12076912145522153</c:v>
                </c:pt>
                <c:pt idx="91">
                  <c:v>0.18839730985610692</c:v>
                </c:pt>
                <c:pt idx="92">
                  <c:v>-0.28610575151094852</c:v>
                </c:pt>
                <c:pt idx="93">
                  <c:v>-0.18849031599624946</c:v>
                </c:pt>
                <c:pt idx="94">
                  <c:v>-0.13243649572272506</c:v>
                </c:pt>
                <c:pt idx="95">
                  <c:v>0.61075608798501158</c:v>
                </c:pt>
                <c:pt idx="96">
                  <c:v>-0.47464371364134522</c:v>
                </c:pt>
                <c:pt idx="97">
                  <c:v>-8.4453714730695961E-2</c:v>
                </c:pt>
                <c:pt idx="98">
                  <c:v>5.085132122011519E-3</c:v>
                </c:pt>
                <c:pt idx="99">
                  <c:v>0.10887597416028771</c:v>
                </c:pt>
              </c:numCache>
            </c:numRef>
          </c:xVal>
          <c:yVal>
            <c:numRef>
              <c:f>oval!$E$12:$E$112</c:f>
              <c:numCache>
                <c:formatCode>General</c:formatCode>
                <c:ptCount val="101"/>
                <c:pt idx="0">
                  <c:v>0.31355383234893019</c:v>
                </c:pt>
                <c:pt idx="1">
                  <c:v>-0.5099032853767359</c:v>
                </c:pt>
                <c:pt idx="2">
                  <c:v>0.47478192307372374</c:v>
                </c:pt>
                <c:pt idx="3">
                  <c:v>0.16209334764053465</c:v>
                </c:pt>
                <c:pt idx="4">
                  <c:v>-7.9524496148752996E-2</c:v>
                </c:pt>
                <c:pt idx="5">
                  <c:v>0.84458625963492195</c:v>
                </c:pt>
                <c:pt idx="6">
                  <c:v>0.61814690482588408</c:v>
                </c:pt>
                <c:pt idx="7">
                  <c:v>-0.38144984066976834</c:v>
                </c:pt>
                <c:pt idx="8">
                  <c:v>0.23103415715159267</c:v>
                </c:pt>
                <c:pt idx="9">
                  <c:v>0.17042503416966659</c:v>
                </c:pt>
                <c:pt idx="10">
                  <c:v>-4.2061380461278289E-2</c:v>
                </c:pt>
                <c:pt idx="11">
                  <c:v>-0.41580641351746539</c:v>
                </c:pt>
                <c:pt idx="12">
                  <c:v>-0.14897785445875</c:v>
                </c:pt>
                <c:pt idx="13">
                  <c:v>-9.6350825737980525E-2</c:v>
                </c:pt>
                <c:pt idx="14">
                  <c:v>0.64896685443763691</c:v>
                </c:pt>
                <c:pt idx="15">
                  <c:v>0.49190518823541768</c:v>
                </c:pt>
                <c:pt idx="16">
                  <c:v>-0.39970315193802053</c:v>
                </c:pt>
                <c:pt idx="17">
                  <c:v>-0.73361901627894366</c:v>
                </c:pt>
                <c:pt idx="18">
                  <c:v>-7.9202436028238347E-3</c:v>
                </c:pt>
                <c:pt idx="19">
                  <c:v>0.5865988148669109</c:v>
                </c:pt>
                <c:pt idx="20">
                  <c:v>0.34652474144130613</c:v>
                </c:pt>
                <c:pt idx="21">
                  <c:v>0.45691350871733577</c:v>
                </c:pt>
                <c:pt idx="22">
                  <c:v>-0.87063657517552462</c:v>
                </c:pt>
                <c:pt idx="23">
                  <c:v>-0.36332088322706352</c:v>
                </c:pt>
                <c:pt idx="24">
                  <c:v>3.2705928995409125E-2</c:v>
                </c:pt>
                <c:pt idx="25">
                  <c:v>0.40834820420905688</c:v>
                </c:pt>
                <c:pt idx="26">
                  <c:v>0.81951582754604646</c:v>
                </c:pt>
                <c:pt idx="27">
                  <c:v>0.23191226082266089</c:v>
                </c:pt>
                <c:pt idx="28">
                  <c:v>0.38624905111440311</c:v>
                </c:pt>
                <c:pt idx="29">
                  <c:v>-0.63186447776507437</c:v>
                </c:pt>
                <c:pt idx="30">
                  <c:v>0.2243569341401099</c:v>
                </c:pt>
                <c:pt idx="31">
                  <c:v>-3.4109832180271554E-2</c:v>
                </c:pt>
                <c:pt idx="32">
                  <c:v>0.29795372023065664</c:v>
                </c:pt>
                <c:pt idx="33">
                  <c:v>0.24379353216074542</c:v>
                </c:pt>
                <c:pt idx="34">
                  <c:v>0.17678954833418076</c:v>
                </c:pt>
                <c:pt idx="35">
                  <c:v>0.529226502244736</c:v>
                </c:pt>
                <c:pt idx="36">
                  <c:v>-0.14028139170765158</c:v>
                </c:pt>
                <c:pt idx="37">
                  <c:v>0.18461759921004395</c:v>
                </c:pt>
                <c:pt idx="38">
                  <c:v>0.71615894583496198</c:v>
                </c:pt>
                <c:pt idx="39">
                  <c:v>0.84442412535766909</c:v>
                </c:pt>
                <c:pt idx="40">
                  <c:v>-0.12448966283557406</c:v>
                </c:pt>
                <c:pt idx="41">
                  <c:v>-0.44910779859601913</c:v>
                </c:pt>
                <c:pt idx="42">
                  <c:v>0.21226308212526204</c:v>
                </c:pt>
                <c:pt idx="43">
                  <c:v>0.26634560572531674</c:v>
                </c:pt>
                <c:pt idx="44">
                  <c:v>-0.66244956488777718</c:v>
                </c:pt>
                <c:pt idx="45">
                  <c:v>0.63414064016833049</c:v>
                </c:pt>
                <c:pt idx="46">
                  <c:v>-0.92696371843280223</c:v>
                </c:pt>
                <c:pt idx="47">
                  <c:v>-0.81908543561951408</c:v>
                </c:pt>
                <c:pt idx="48">
                  <c:v>0.28801658348871662</c:v>
                </c:pt>
                <c:pt idx="49">
                  <c:v>0.30062180956232176</c:v>
                </c:pt>
                <c:pt idx="50">
                  <c:v>-0.63799270376410167</c:v>
                </c:pt>
                <c:pt idx="51">
                  <c:v>0.12125109026723427</c:v>
                </c:pt>
                <c:pt idx="52">
                  <c:v>0.92536400078194281</c:v>
                </c:pt>
                <c:pt idx="53">
                  <c:v>-0.80123788749054847</c:v>
                </c:pt>
                <c:pt idx="54">
                  <c:v>0.24713057045187736</c:v>
                </c:pt>
                <c:pt idx="55">
                  <c:v>-4.9072921071910351E-2</c:v>
                </c:pt>
                <c:pt idx="56">
                  <c:v>0.51149265604066307</c:v>
                </c:pt>
                <c:pt idx="57">
                  <c:v>0.11778618532074446</c:v>
                </c:pt>
                <c:pt idx="58">
                  <c:v>2.2143435530547588E-2</c:v>
                </c:pt>
                <c:pt idx="59">
                  <c:v>-3.1690288003799316E-3</c:v>
                </c:pt>
                <c:pt idx="60">
                  <c:v>-0.17263387632697905</c:v>
                </c:pt>
                <c:pt idx="61">
                  <c:v>1.5901402010517294E-2</c:v>
                </c:pt>
                <c:pt idx="62">
                  <c:v>-0.85169195756204419</c:v>
                </c:pt>
                <c:pt idx="63">
                  <c:v>-2.4966331754133868E-2</c:v>
                </c:pt>
                <c:pt idx="64">
                  <c:v>-3.0143313692304668E-3</c:v>
                </c:pt>
                <c:pt idx="65">
                  <c:v>0.41356571115099838</c:v>
                </c:pt>
                <c:pt idx="66">
                  <c:v>1.1500601651159653E-2</c:v>
                </c:pt>
                <c:pt idx="67">
                  <c:v>-0.28766852543840055</c:v>
                </c:pt>
                <c:pt idx="68">
                  <c:v>-8.7281045034123428E-2</c:v>
                </c:pt>
                <c:pt idx="69">
                  <c:v>-0.22189043537808031</c:v>
                </c:pt>
                <c:pt idx="70">
                  <c:v>0.42852268005818633</c:v>
                </c:pt>
                <c:pt idx="71">
                  <c:v>0.39989585787116061</c:v>
                </c:pt>
                <c:pt idx="72">
                  <c:v>0.12538072944532735</c:v>
                </c:pt>
                <c:pt idx="73">
                  <c:v>0.44663676358321736</c:v>
                </c:pt>
                <c:pt idx="74">
                  <c:v>1.2517306951023539E-3</c:v>
                </c:pt>
                <c:pt idx="75">
                  <c:v>-0.31320289744493401</c:v>
                </c:pt>
                <c:pt idx="76">
                  <c:v>-0.51918704229857349</c:v>
                </c:pt>
                <c:pt idx="77">
                  <c:v>-0.20058944708013779</c:v>
                </c:pt>
                <c:pt idx="78">
                  <c:v>-5.9543503836453827E-2</c:v>
                </c:pt>
                <c:pt idx="79">
                  <c:v>-0.22864885321488629</c:v>
                </c:pt>
                <c:pt idx="80">
                  <c:v>0.41866148098731004</c:v>
                </c:pt>
                <c:pt idx="81">
                  <c:v>-0.70565687955432466</c:v>
                </c:pt>
                <c:pt idx="82">
                  <c:v>-2.5444888223434166E-2</c:v>
                </c:pt>
                <c:pt idx="83">
                  <c:v>-0.85069420667320717</c:v>
                </c:pt>
                <c:pt idx="84">
                  <c:v>0.1355659657276766</c:v>
                </c:pt>
                <c:pt idx="85">
                  <c:v>-0.25690242771294419</c:v>
                </c:pt>
                <c:pt idx="86">
                  <c:v>-8.4934059553928576E-2</c:v>
                </c:pt>
                <c:pt idx="87">
                  <c:v>-8.6968640505230788E-2</c:v>
                </c:pt>
                <c:pt idx="88">
                  <c:v>0.53239531598382439</c:v>
                </c:pt>
                <c:pt idx="89">
                  <c:v>0.3085666707754397</c:v>
                </c:pt>
                <c:pt idx="90">
                  <c:v>0.12447290167606523</c:v>
                </c:pt>
                <c:pt idx="91">
                  <c:v>-0.2502102117311128</c:v>
                </c:pt>
                <c:pt idx="92">
                  <c:v>-0.85386574144357175</c:v>
                </c:pt>
                <c:pt idx="93">
                  <c:v>-0.23307913796651417</c:v>
                </c:pt>
                <c:pt idx="94">
                  <c:v>-8.9554014322737727E-2</c:v>
                </c:pt>
                <c:pt idx="95">
                  <c:v>-0.26125272853638798</c:v>
                </c:pt>
                <c:pt idx="96">
                  <c:v>-0.77271606862494646</c:v>
                </c:pt>
                <c:pt idx="97">
                  <c:v>0.17431340814430965</c:v>
                </c:pt>
                <c:pt idx="98">
                  <c:v>-0.3326604057023424</c:v>
                </c:pt>
                <c:pt idx="99">
                  <c:v>-3.6379050255142459E-2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7-48B2-ADCE-EABAB396E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679679"/>
        <c:axId val="1261439679"/>
      </c:scatterChart>
      <c:valAx>
        <c:axId val="1259679679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1439679"/>
        <c:crosses val="autoZero"/>
        <c:crossBetween val="midCat"/>
      </c:valAx>
      <c:valAx>
        <c:axId val="1261439679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967967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oval!$K$12:$K$111</c:f>
              <c:numCache>
                <c:formatCode>General</c:formatCode>
                <c:ptCount val="100"/>
                <c:pt idx="0">
                  <c:v>0.15677691617446507</c:v>
                </c:pt>
                <c:pt idx="1">
                  <c:v>-0.25495164268836795</c:v>
                </c:pt>
                <c:pt idx="2">
                  <c:v>0.2373909615368619</c:v>
                </c:pt>
                <c:pt idx="3">
                  <c:v>8.1046673820267354E-2</c:v>
                </c:pt>
                <c:pt idx="4">
                  <c:v>-3.9762248074376484E-2</c:v>
                </c:pt>
                <c:pt idx="5">
                  <c:v>0.42229312981746098</c:v>
                </c:pt>
                <c:pt idx="6">
                  <c:v>0.30907345241294204</c:v>
                </c:pt>
                <c:pt idx="7">
                  <c:v>-0.19072492033488411</c:v>
                </c:pt>
                <c:pt idx="8">
                  <c:v>0.11551707857579638</c:v>
                </c:pt>
                <c:pt idx="9">
                  <c:v>8.5212517084833322E-2</c:v>
                </c:pt>
                <c:pt idx="10">
                  <c:v>-2.1030690230639113E-2</c:v>
                </c:pt>
                <c:pt idx="11">
                  <c:v>-0.20790320675873269</c:v>
                </c:pt>
                <c:pt idx="12">
                  <c:v>-7.448892722937496E-2</c:v>
                </c:pt>
                <c:pt idx="13">
                  <c:v>-4.8175412868990221E-2</c:v>
                </c:pt>
                <c:pt idx="14">
                  <c:v>0.32448342721881851</c:v>
                </c:pt>
                <c:pt idx="15">
                  <c:v>0.24595259411770887</c:v>
                </c:pt>
                <c:pt idx="16">
                  <c:v>-0.19985157596901021</c:v>
                </c:pt>
                <c:pt idx="17">
                  <c:v>-0.36680950813947183</c:v>
                </c:pt>
                <c:pt idx="18">
                  <c:v>-3.9601218014118852E-3</c:v>
                </c:pt>
                <c:pt idx="19">
                  <c:v>0.29329940743345551</c:v>
                </c:pt>
                <c:pt idx="20">
                  <c:v>0.17326237072065309</c:v>
                </c:pt>
                <c:pt idx="21">
                  <c:v>0.22845675435866794</c:v>
                </c:pt>
                <c:pt idx="22">
                  <c:v>-0.43531828758776225</c:v>
                </c:pt>
                <c:pt idx="23">
                  <c:v>-0.18166044161353173</c:v>
                </c:pt>
                <c:pt idx="24">
                  <c:v>1.635296449770459E-2</c:v>
                </c:pt>
                <c:pt idx="25">
                  <c:v>0.20417410210452849</c:v>
                </c:pt>
                <c:pt idx="26">
                  <c:v>0.40975791377302323</c:v>
                </c:pt>
                <c:pt idx="27">
                  <c:v>0.11595613041133046</c:v>
                </c:pt>
                <c:pt idx="28">
                  <c:v>0.19312452555720161</c:v>
                </c:pt>
                <c:pt idx="29">
                  <c:v>-0.31593223888253719</c:v>
                </c:pt>
                <c:pt idx="30">
                  <c:v>0.11217846707005498</c:v>
                </c:pt>
                <c:pt idx="31">
                  <c:v>-1.7054916090135781E-2</c:v>
                </c:pt>
                <c:pt idx="32">
                  <c:v>0.14897686011532835</c:v>
                </c:pt>
                <c:pt idx="33">
                  <c:v>0.12189676608037273</c:v>
                </c:pt>
                <c:pt idx="34">
                  <c:v>8.8394774167090379E-2</c:v>
                </c:pt>
                <c:pt idx="35">
                  <c:v>0.26461325112236805</c:v>
                </c:pt>
                <c:pt idx="36">
                  <c:v>-7.0140695853825791E-2</c:v>
                </c:pt>
                <c:pt idx="37">
                  <c:v>9.2308799605022016E-2</c:v>
                </c:pt>
                <c:pt idx="38">
                  <c:v>0.35807947291748099</c:v>
                </c:pt>
                <c:pt idx="39">
                  <c:v>0.42221206267883454</c:v>
                </c:pt>
                <c:pt idx="40">
                  <c:v>-6.2244831417786993E-2</c:v>
                </c:pt>
                <c:pt idx="41">
                  <c:v>-0.22455389929800951</c:v>
                </c:pt>
                <c:pt idx="42">
                  <c:v>0.10613154106263106</c:v>
                </c:pt>
                <c:pt idx="43">
                  <c:v>0.13317280286265837</c:v>
                </c:pt>
                <c:pt idx="44">
                  <c:v>-0.33122478244388859</c:v>
                </c:pt>
                <c:pt idx="45">
                  <c:v>0.31707032008416525</c:v>
                </c:pt>
                <c:pt idx="46">
                  <c:v>-0.46348185921640106</c:v>
                </c:pt>
                <c:pt idx="47">
                  <c:v>-0.40954271780975704</c:v>
                </c:pt>
                <c:pt idx="48">
                  <c:v>0.14400829174435836</c:v>
                </c:pt>
                <c:pt idx="49">
                  <c:v>0.15031090478116091</c:v>
                </c:pt>
                <c:pt idx="50">
                  <c:v>-0.31899635188205083</c:v>
                </c:pt>
                <c:pt idx="51">
                  <c:v>6.0625545133617134E-2</c:v>
                </c:pt>
                <c:pt idx="52">
                  <c:v>0.46268200039097146</c:v>
                </c:pt>
                <c:pt idx="53">
                  <c:v>-0.40061894374527424</c:v>
                </c:pt>
                <c:pt idx="54">
                  <c:v>0.12356528522593871</c:v>
                </c:pt>
                <c:pt idx="55">
                  <c:v>-2.4536460535955151E-2</c:v>
                </c:pt>
                <c:pt idx="56">
                  <c:v>0.25574632802033159</c:v>
                </c:pt>
                <c:pt idx="57">
                  <c:v>5.8893092660372258E-2</c:v>
                </c:pt>
                <c:pt idx="58">
                  <c:v>1.1071717765273829E-2</c:v>
                </c:pt>
                <c:pt idx="59">
                  <c:v>-1.5845144001900078E-3</c:v>
                </c:pt>
                <c:pt idx="60">
                  <c:v>-8.6316938163489482E-2</c:v>
                </c:pt>
                <c:pt idx="61">
                  <c:v>7.9507010052586764E-3</c:v>
                </c:pt>
                <c:pt idx="62">
                  <c:v>-0.42584597878102209</c:v>
                </c:pt>
                <c:pt idx="63">
                  <c:v>-1.2483165877066901E-2</c:v>
                </c:pt>
                <c:pt idx="64">
                  <c:v>-1.5071656846152024E-3</c:v>
                </c:pt>
                <c:pt idx="65">
                  <c:v>0.20678285557549925</c:v>
                </c:pt>
                <c:pt idx="66">
                  <c:v>5.7503008255798613E-3</c:v>
                </c:pt>
                <c:pt idx="67">
                  <c:v>-0.14383426271920025</c:v>
                </c:pt>
                <c:pt idx="68">
                  <c:v>-4.3640522517061672E-2</c:v>
                </c:pt>
                <c:pt idx="69">
                  <c:v>-0.11094521768904016</c:v>
                </c:pt>
                <c:pt idx="70">
                  <c:v>0.21426134002909319</c:v>
                </c:pt>
                <c:pt idx="71">
                  <c:v>0.19994792893558036</c:v>
                </c:pt>
                <c:pt idx="72">
                  <c:v>6.2690364722663677E-2</c:v>
                </c:pt>
                <c:pt idx="73">
                  <c:v>0.22331838179160871</c:v>
                </c:pt>
                <c:pt idx="74">
                  <c:v>6.258653475512087E-4</c:v>
                </c:pt>
                <c:pt idx="75">
                  <c:v>-0.15660144872246701</c:v>
                </c:pt>
                <c:pt idx="76">
                  <c:v>-0.25959352114928674</c:v>
                </c:pt>
                <c:pt idx="77">
                  <c:v>-0.10029472354006885</c:v>
                </c:pt>
                <c:pt idx="78">
                  <c:v>-2.9771751918226865E-2</c:v>
                </c:pt>
                <c:pt idx="79">
                  <c:v>-0.11432442660744312</c:v>
                </c:pt>
                <c:pt idx="80">
                  <c:v>0.20933074049365499</c:v>
                </c:pt>
                <c:pt idx="81">
                  <c:v>-0.35282843977716227</c:v>
                </c:pt>
                <c:pt idx="82">
                  <c:v>-1.2722444111717041E-2</c:v>
                </c:pt>
                <c:pt idx="83">
                  <c:v>-0.42534710333660358</c:v>
                </c:pt>
                <c:pt idx="84">
                  <c:v>6.7782982863838326E-2</c:v>
                </c:pt>
                <c:pt idx="85">
                  <c:v>-0.12845121385647207</c:v>
                </c:pt>
                <c:pt idx="86">
                  <c:v>-4.2467029776964288E-2</c:v>
                </c:pt>
                <c:pt idx="87">
                  <c:v>-4.3484320252615345E-2</c:v>
                </c:pt>
                <c:pt idx="88">
                  <c:v>0.26619765799191225</c:v>
                </c:pt>
                <c:pt idx="89">
                  <c:v>0.15428333538771982</c:v>
                </c:pt>
                <c:pt idx="90">
                  <c:v>6.2236450838032649E-2</c:v>
                </c:pt>
                <c:pt idx="91">
                  <c:v>-0.12510510586555637</c:v>
                </c:pt>
                <c:pt idx="92">
                  <c:v>-0.42693287072178587</c:v>
                </c:pt>
                <c:pt idx="93">
                  <c:v>-0.11653956898325706</c:v>
                </c:pt>
                <c:pt idx="94">
                  <c:v>-4.4777007161368836E-2</c:v>
                </c:pt>
                <c:pt idx="95">
                  <c:v>-0.13062636426819393</c:v>
                </c:pt>
                <c:pt idx="96">
                  <c:v>-0.38635803431247323</c:v>
                </c:pt>
                <c:pt idx="97">
                  <c:v>8.7156704072154853E-2</c:v>
                </c:pt>
                <c:pt idx="98">
                  <c:v>-0.16633020285117117</c:v>
                </c:pt>
                <c:pt idx="99">
                  <c:v>-1.8189525127571195E-2</c:v>
                </c:pt>
              </c:numCache>
            </c:numRef>
          </c:xVal>
          <c:yVal>
            <c:numRef>
              <c:f>oval!$L$12:$L$111</c:f>
              <c:numCache>
                <c:formatCode>General</c:formatCode>
                <c:ptCount val="100"/>
                <c:pt idx="0">
                  <c:v>0.5946189367536826</c:v>
                </c:pt>
                <c:pt idx="1">
                  <c:v>-5.3826789437870046E-2</c:v>
                </c:pt>
                <c:pt idx="2">
                  <c:v>-0.58192381434262497</c:v>
                </c:pt>
                <c:pt idx="3">
                  <c:v>-0.525834820327307</c:v>
                </c:pt>
                <c:pt idx="4">
                  <c:v>-0.18594495758143373</c:v>
                </c:pt>
                <c:pt idx="5">
                  <c:v>-0.41094018205034627</c:v>
                </c:pt>
                <c:pt idx="6">
                  <c:v>-3.6080612044204388E-2</c:v>
                </c:pt>
                <c:pt idx="7">
                  <c:v>-0.78664069822407379</c:v>
                </c:pt>
                <c:pt idx="8">
                  <c:v>-0.69857289135970768</c:v>
                </c:pt>
                <c:pt idx="9">
                  <c:v>-0.50627182632919165</c:v>
                </c:pt>
                <c:pt idx="10">
                  <c:v>-0.500513733841637</c:v>
                </c:pt>
                <c:pt idx="11">
                  <c:v>-9.7700535558938401E-2</c:v>
                </c:pt>
                <c:pt idx="12">
                  <c:v>-0.69373252488524662</c:v>
                </c:pt>
                <c:pt idx="13">
                  <c:v>-0.631499399974492</c:v>
                </c:pt>
                <c:pt idx="14">
                  <c:v>-0.71174971357842143</c:v>
                </c:pt>
                <c:pt idx="15">
                  <c:v>-0.61362951753400508</c:v>
                </c:pt>
                <c:pt idx="16">
                  <c:v>-0.79304222224970644</c:v>
                </c:pt>
                <c:pt idx="17">
                  <c:v>9.2411191507846074E-2</c:v>
                </c:pt>
                <c:pt idx="18">
                  <c:v>-0.52365239077872128</c:v>
                </c:pt>
                <c:pt idx="19">
                  <c:v>-0.65764220718946909</c:v>
                </c:pt>
                <c:pt idx="20">
                  <c:v>-0.44783778177725486</c:v>
                </c:pt>
                <c:pt idx="21">
                  <c:v>-0.7826268175310801</c:v>
                </c:pt>
                <c:pt idx="22">
                  <c:v>-0.59609066467654059</c:v>
                </c:pt>
                <c:pt idx="23">
                  <c:v>-0.59840952085310517</c:v>
                </c:pt>
                <c:pt idx="24">
                  <c:v>-0.44704722390284141</c:v>
                </c:pt>
                <c:pt idx="25">
                  <c:v>-0.79396530010130728</c:v>
                </c:pt>
                <c:pt idx="26">
                  <c:v>-0.24480903604423324</c:v>
                </c:pt>
                <c:pt idx="27">
                  <c:v>-0.22400922882214555</c:v>
                </c:pt>
                <c:pt idx="28">
                  <c:v>-0.71768106654123276</c:v>
                </c:pt>
                <c:pt idx="29">
                  <c:v>-0.10881055298160451</c:v>
                </c:pt>
                <c:pt idx="30">
                  <c:v>-0.44599986834221594</c:v>
                </c:pt>
                <c:pt idx="31">
                  <c:v>7.6647387837905978E-2</c:v>
                </c:pt>
                <c:pt idx="32">
                  <c:v>-0.59060772677611639</c:v>
                </c:pt>
                <c:pt idx="33">
                  <c:v>-0.24248142873512776</c:v>
                </c:pt>
                <c:pt idx="34">
                  <c:v>-5.1050291107262863E-2</c:v>
                </c:pt>
                <c:pt idx="35">
                  <c:v>-0.52370747556016717</c:v>
                </c:pt>
                <c:pt idx="36">
                  <c:v>-5.6657482780706932E-2</c:v>
                </c:pt>
                <c:pt idx="37">
                  <c:v>-0.72829395009890252</c:v>
                </c:pt>
                <c:pt idx="38">
                  <c:v>-0.22057845205688656</c:v>
                </c:pt>
                <c:pt idx="39">
                  <c:v>-0.42283216987093353</c:v>
                </c:pt>
                <c:pt idx="40">
                  <c:v>-0.60757480284558196</c:v>
                </c:pt>
                <c:pt idx="41">
                  <c:v>-0.7478155627193116</c:v>
                </c:pt>
                <c:pt idx="42">
                  <c:v>-0.79071790162700051</c:v>
                </c:pt>
                <c:pt idx="43">
                  <c:v>-0.11052851782469765</c:v>
                </c:pt>
                <c:pt idx="44">
                  <c:v>0.26376216365428501</c:v>
                </c:pt>
                <c:pt idx="45">
                  <c:v>-0.18904099244317149</c:v>
                </c:pt>
                <c:pt idx="46">
                  <c:v>-0.70984404785514432</c:v>
                </c:pt>
                <c:pt idx="47">
                  <c:v>1.9351979513665695E-2</c:v>
                </c:pt>
                <c:pt idx="48">
                  <c:v>-0.70664651842054571</c:v>
                </c:pt>
                <c:pt idx="49">
                  <c:v>-0.42663525472343444</c:v>
                </c:pt>
                <c:pt idx="50">
                  <c:v>-0.21169810792344682</c:v>
                </c:pt>
                <c:pt idx="51">
                  <c:v>-4.0464852404479855E-2</c:v>
                </c:pt>
                <c:pt idx="52">
                  <c:v>-0.55889161538678389</c:v>
                </c:pt>
                <c:pt idx="53">
                  <c:v>-0.36166185649605231</c:v>
                </c:pt>
                <c:pt idx="54">
                  <c:v>-0.52449853221271481</c:v>
                </c:pt>
                <c:pt idx="55">
                  <c:v>-0.41684144349759866</c:v>
                </c:pt>
                <c:pt idx="56">
                  <c:v>-0.74833017034958138</c:v>
                </c:pt>
                <c:pt idx="57">
                  <c:v>-0.4017177603142294</c:v>
                </c:pt>
                <c:pt idx="58">
                  <c:v>-0.56718616054288129</c:v>
                </c:pt>
                <c:pt idx="59">
                  <c:v>0.68774605666299804</c:v>
                </c:pt>
                <c:pt idx="60">
                  <c:v>-0.72450507120472585</c:v>
                </c:pt>
                <c:pt idx="61">
                  <c:v>-0.48698659579708431</c:v>
                </c:pt>
                <c:pt idx="62">
                  <c:v>-0.19936615412885419</c:v>
                </c:pt>
                <c:pt idx="63">
                  <c:v>-0.54591262811023589</c:v>
                </c:pt>
                <c:pt idx="64">
                  <c:v>-0.50474317159850179</c:v>
                </c:pt>
                <c:pt idx="65">
                  <c:v>-0.78392689577857311</c:v>
                </c:pt>
                <c:pt idx="66">
                  <c:v>-0.57340287498595688</c:v>
                </c:pt>
                <c:pt idx="67">
                  <c:v>-0.49418161166388136</c:v>
                </c:pt>
                <c:pt idx="68">
                  <c:v>-0.6717228224516858</c:v>
                </c:pt>
                <c:pt idx="69">
                  <c:v>2.3825919209417807E-2</c:v>
                </c:pt>
                <c:pt idx="70">
                  <c:v>-0.52344740493877673</c:v>
                </c:pt>
                <c:pt idx="71">
                  <c:v>-0.73277749792403069</c:v>
                </c:pt>
                <c:pt idx="72">
                  <c:v>-1.5371686500261458E-2</c:v>
                </c:pt>
                <c:pt idx="73">
                  <c:v>-0.48571749442811252</c:v>
                </c:pt>
                <c:pt idx="74">
                  <c:v>-0.51852940852349561</c:v>
                </c:pt>
                <c:pt idx="75">
                  <c:v>-1.2157077028052498E-2</c:v>
                </c:pt>
                <c:pt idx="76">
                  <c:v>-0.23045497693695166</c:v>
                </c:pt>
                <c:pt idx="77">
                  <c:v>-0.63649042821964974</c:v>
                </c:pt>
                <c:pt idx="78">
                  <c:v>-0.79164813351144325</c:v>
                </c:pt>
                <c:pt idx="79">
                  <c:v>-0.53134766637029607</c:v>
                </c:pt>
                <c:pt idx="80">
                  <c:v>0.30790912339599341</c:v>
                </c:pt>
                <c:pt idx="81">
                  <c:v>-0.67986558219682935</c:v>
                </c:pt>
                <c:pt idx="82">
                  <c:v>-0.66770722271021965</c:v>
                </c:pt>
                <c:pt idx="83">
                  <c:v>-3.6815199718563757E-2</c:v>
                </c:pt>
                <c:pt idx="84">
                  <c:v>-0.40065691136708603</c:v>
                </c:pt>
                <c:pt idx="85">
                  <c:v>-0.54170031917346528</c:v>
                </c:pt>
                <c:pt idx="86">
                  <c:v>3.3430077918344711E-3</c:v>
                </c:pt>
                <c:pt idx="87">
                  <c:v>-0.77421370256299404</c:v>
                </c:pt>
                <c:pt idx="88">
                  <c:v>-0.49727620182946003</c:v>
                </c:pt>
                <c:pt idx="89">
                  <c:v>0.62782171160881983</c:v>
                </c:pt>
                <c:pt idx="90">
                  <c:v>-0.59497712290164639</c:v>
                </c:pt>
                <c:pt idx="91">
                  <c:v>-0.6321568242466804</c:v>
                </c:pt>
                <c:pt idx="92">
                  <c:v>-0.26943732455937147</c:v>
                </c:pt>
                <c:pt idx="93">
                  <c:v>-0.36445391740490723</c:v>
                </c:pt>
                <c:pt idx="94">
                  <c:v>-0.41400681541534401</c:v>
                </c:pt>
                <c:pt idx="95">
                  <c:v>-0.77326380714557319</c:v>
                </c:pt>
                <c:pt idx="96">
                  <c:v>-5.309949523323898E-2</c:v>
                </c:pt>
                <c:pt idx="97">
                  <c:v>-0.45360425763872919</c:v>
                </c:pt>
                <c:pt idx="98">
                  <c:v>-0.52073931698508369</c:v>
                </c:pt>
                <c:pt idx="99">
                  <c:v>-0.58797338695703194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1-4DE4-B1F2-1A740A7B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56943"/>
        <c:axId val="1223234911"/>
      </c:scatterChart>
      <c:valAx>
        <c:axId val="1264156943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3234911"/>
        <c:crosses val="autoZero"/>
        <c:crossBetween val="midCat"/>
      </c:valAx>
      <c:valAx>
        <c:axId val="1223234911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41569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oval!$S$11</c:f>
              <c:strCache>
                <c:ptCount val="1"/>
                <c:pt idx="0">
                  <c:v>y2+β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oval!$R$12:$R$111</c:f>
              <c:numCache>
                <c:formatCode>General</c:formatCode>
                <c:ptCount val="100"/>
                <c:pt idx="0">
                  <c:v>1.3157782332375592</c:v>
                </c:pt>
                <c:pt idx="1">
                  <c:v>1.7691877133509926</c:v>
                </c:pt>
                <c:pt idx="2">
                  <c:v>1.5826651642836089</c:v>
                </c:pt>
                <c:pt idx="3">
                  <c:v>1.5418026893520982</c:v>
                </c:pt>
                <c:pt idx="4">
                  <c:v>0.71042978920343036</c:v>
                </c:pt>
                <c:pt idx="5">
                  <c:v>1.3541676732153767</c:v>
                </c:pt>
                <c:pt idx="6">
                  <c:v>0.13420806447425926</c:v>
                </c:pt>
                <c:pt idx="7">
                  <c:v>1.6387035248641617</c:v>
                </c:pt>
                <c:pt idx="8">
                  <c:v>1.7096141664852671</c:v>
                </c:pt>
                <c:pt idx="9">
                  <c:v>1.4172526098472522</c:v>
                </c:pt>
                <c:pt idx="10">
                  <c:v>1.4822338350801516</c:v>
                </c:pt>
                <c:pt idx="11">
                  <c:v>1.6129814083333902</c:v>
                </c:pt>
                <c:pt idx="12">
                  <c:v>0.69649262154951364</c:v>
                </c:pt>
                <c:pt idx="13">
                  <c:v>1.757969886441316</c:v>
                </c:pt>
                <c:pt idx="14">
                  <c:v>0.56594529197996835</c:v>
                </c:pt>
                <c:pt idx="15">
                  <c:v>1.4184358906271761</c:v>
                </c:pt>
                <c:pt idx="16">
                  <c:v>1.3262466789709335</c:v>
                </c:pt>
                <c:pt idx="17">
                  <c:v>1.3267866243502497</c:v>
                </c:pt>
                <c:pt idx="18">
                  <c:v>0.49806785998968728</c:v>
                </c:pt>
                <c:pt idx="19">
                  <c:v>1.4066107031813235</c:v>
                </c:pt>
                <c:pt idx="20">
                  <c:v>1.6767041894713433</c:v>
                </c:pt>
                <c:pt idx="21">
                  <c:v>1.8378052847128874</c:v>
                </c:pt>
                <c:pt idx="22">
                  <c:v>1.1648652700950664</c:v>
                </c:pt>
                <c:pt idx="23">
                  <c:v>1.7634974313985594</c:v>
                </c:pt>
                <c:pt idx="24">
                  <c:v>1.8402250800943332</c:v>
                </c:pt>
                <c:pt idx="25">
                  <c:v>1.5475210198194382</c:v>
                </c:pt>
                <c:pt idx="26">
                  <c:v>0.92439257582626289</c:v>
                </c:pt>
                <c:pt idx="27">
                  <c:v>1.2575421418265182</c:v>
                </c:pt>
                <c:pt idx="28">
                  <c:v>1.6370466154167505</c:v>
                </c:pt>
                <c:pt idx="29">
                  <c:v>1.6006471645763307</c:v>
                </c:pt>
                <c:pt idx="30">
                  <c:v>1.5295738218931554</c:v>
                </c:pt>
                <c:pt idx="31">
                  <c:v>1.2054184367955227</c:v>
                </c:pt>
                <c:pt idx="32">
                  <c:v>1.6900064317629504</c:v>
                </c:pt>
                <c:pt idx="33">
                  <c:v>1.5989291733582558</c:v>
                </c:pt>
                <c:pt idx="34">
                  <c:v>1.4607404057961992</c:v>
                </c:pt>
                <c:pt idx="35">
                  <c:v>1.5389065231700982</c:v>
                </c:pt>
                <c:pt idx="36">
                  <c:v>2.0125540573745102</c:v>
                </c:pt>
                <c:pt idx="37">
                  <c:v>0.66610100255059446</c:v>
                </c:pt>
                <c:pt idx="38">
                  <c:v>1.0453214208214687</c:v>
                </c:pt>
                <c:pt idx="39">
                  <c:v>0.88574502124289078</c:v>
                </c:pt>
                <c:pt idx="40">
                  <c:v>0.70541618899252501</c:v>
                </c:pt>
                <c:pt idx="41">
                  <c:v>1.4202531306851376</c:v>
                </c:pt>
                <c:pt idx="42">
                  <c:v>0.59833644268650699</c:v>
                </c:pt>
                <c:pt idx="43">
                  <c:v>1.5940372777495746</c:v>
                </c:pt>
                <c:pt idx="44">
                  <c:v>1.593379632236835</c:v>
                </c:pt>
                <c:pt idx="45">
                  <c:v>1.4292323369091862</c:v>
                </c:pt>
                <c:pt idx="46">
                  <c:v>0.73054312289269507</c:v>
                </c:pt>
                <c:pt idx="47">
                  <c:v>1.5876394070760136</c:v>
                </c:pt>
                <c:pt idx="48">
                  <c:v>1.4319767927832183</c:v>
                </c:pt>
                <c:pt idx="49">
                  <c:v>0.67547965402606425</c:v>
                </c:pt>
                <c:pt idx="50">
                  <c:v>1.4222967969345894</c:v>
                </c:pt>
                <c:pt idx="51">
                  <c:v>1.5672228850657799</c:v>
                </c:pt>
                <c:pt idx="52">
                  <c:v>1.5686553338018536</c:v>
                </c:pt>
                <c:pt idx="53">
                  <c:v>1.3118616126942275</c:v>
                </c:pt>
                <c:pt idx="54">
                  <c:v>1.5787898913536158</c:v>
                </c:pt>
                <c:pt idx="55">
                  <c:v>0.66978477770995826</c:v>
                </c:pt>
                <c:pt idx="56">
                  <c:v>0.79617717983221148</c:v>
                </c:pt>
                <c:pt idx="57">
                  <c:v>1.8772413952629297</c:v>
                </c:pt>
                <c:pt idx="58">
                  <c:v>1.7843805512927233</c:v>
                </c:pt>
                <c:pt idx="59">
                  <c:v>1.2040896542704418</c:v>
                </c:pt>
                <c:pt idx="60">
                  <c:v>1.4523814364441141</c:v>
                </c:pt>
                <c:pt idx="61">
                  <c:v>1.4569207585762061</c:v>
                </c:pt>
                <c:pt idx="62">
                  <c:v>1.4895671560713069</c:v>
                </c:pt>
                <c:pt idx="63">
                  <c:v>1.6879287321794925</c:v>
                </c:pt>
                <c:pt idx="64">
                  <c:v>1.8916654164461844</c:v>
                </c:pt>
                <c:pt idx="65">
                  <c:v>1.3086835832811714</c:v>
                </c:pt>
                <c:pt idx="66">
                  <c:v>1.4580621563425875</c:v>
                </c:pt>
                <c:pt idx="67">
                  <c:v>1.0510769605853509</c:v>
                </c:pt>
                <c:pt idx="68">
                  <c:v>1.6570048543546725</c:v>
                </c:pt>
                <c:pt idx="69">
                  <c:v>1.8833720814061492</c:v>
                </c:pt>
                <c:pt idx="70">
                  <c:v>1.7122100706631347</c:v>
                </c:pt>
                <c:pt idx="71">
                  <c:v>1.3545513077097442</c:v>
                </c:pt>
                <c:pt idx="72">
                  <c:v>1.3881376944308057</c:v>
                </c:pt>
                <c:pt idx="73">
                  <c:v>1.397646142311989</c:v>
                </c:pt>
                <c:pt idx="74">
                  <c:v>1.5809535110378286</c:v>
                </c:pt>
                <c:pt idx="75">
                  <c:v>1.5413330766179452</c:v>
                </c:pt>
                <c:pt idx="76">
                  <c:v>1.637895367141279</c:v>
                </c:pt>
                <c:pt idx="77">
                  <c:v>1.6754316207510644</c:v>
                </c:pt>
                <c:pt idx="78">
                  <c:v>1.3024175218740974</c:v>
                </c:pt>
                <c:pt idx="79">
                  <c:v>1.2028536420529865</c:v>
                </c:pt>
                <c:pt idx="80">
                  <c:v>2.004984600346813</c:v>
                </c:pt>
                <c:pt idx="81">
                  <c:v>1.8921311414284872</c:v>
                </c:pt>
                <c:pt idx="82">
                  <c:v>1.5612427314617385</c:v>
                </c:pt>
                <c:pt idx="83">
                  <c:v>1.5607172772959097</c:v>
                </c:pt>
                <c:pt idx="84">
                  <c:v>1.902055662347133</c:v>
                </c:pt>
                <c:pt idx="85">
                  <c:v>1.6018001699900584</c:v>
                </c:pt>
                <c:pt idx="86">
                  <c:v>1.8473046279665919</c:v>
                </c:pt>
                <c:pt idx="87">
                  <c:v>1.4282460483533246</c:v>
                </c:pt>
                <c:pt idx="88">
                  <c:v>1.1698269929064828</c:v>
                </c:pt>
                <c:pt idx="89">
                  <c:v>1.3129347279669237</c:v>
                </c:pt>
                <c:pt idx="90">
                  <c:v>1.5327285237296668</c:v>
                </c:pt>
                <c:pt idx="91">
                  <c:v>1.626277691288798</c:v>
                </c:pt>
                <c:pt idx="92">
                  <c:v>1.3755028113790311</c:v>
                </c:pt>
                <c:pt idx="93">
                  <c:v>1.4550798096869981</c:v>
                </c:pt>
                <c:pt idx="94">
                  <c:v>1.9668645171818122</c:v>
                </c:pt>
                <c:pt idx="95">
                  <c:v>1.430485848488779</c:v>
                </c:pt>
                <c:pt idx="96">
                  <c:v>1.7191123796863759</c:v>
                </c:pt>
                <c:pt idx="97">
                  <c:v>1.0457739938940052</c:v>
                </c:pt>
                <c:pt idx="98">
                  <c:v>1.1121941021112296</c:v>
                </c:pt>
                <c:pt idx="99">
                  <c:v>1.8418182722014838</c:v>
                </c:pt>
              </c:numCache>
            </c:numRef>
          </c:xVal>
          <c:yVal>
            <c:numRef>
              <c:f>oval!$S$12:$S$111</c:f>
              <c:numCache>
                <c:formatCode>General</c:formatCode>
                <c:ptCount val="100"/>
                <c:pt idx="0">
                  <c:v>2.0004667662649669</c:v>
                </c:pt>
                <c:pt idx="1">
                  <c:v>2.0561434717737654</c:v>
                </c:pt>
                <c:pt idx="2">
                  <c:v>1.9005092139973034</c:v>
                </c:pt>
                <c:pt idx="3">
                  <c:v>1.7185543506513166</c:v>
                </c:pt>
                <c:pt idx="4">
                  <c:v>1.3586280137942683</c:v>
                </c:pt>
                <c:pt idx="5">
                  <c:v>1.8692380516906195</c:v>
                </c:pt>
                <c:pt idx="6">
                  <c:v>0.39549889258489257</c:v>
                </c:pt>
                <c:pt idx="7">
                  <c:v>2.0785005197584514</c:v>
                </c:pt>
                <c:pt idx="8">
                  <c:v>1.9047331891945087</c:v>
                </c:pt>
                <c:pt idx="9">
                  <c:v>1.7839674730815718</c:v>
                </c:pt>
                <c:pt idx="10">
                  <c:v>1.8344985924719168</c:v>
                </c:pt>
                <c:pt idx="11">
                  <c:v>1.7086726183478078</c:v>
                </c:pt>
                <c:pt idx="12">
                  <c:v>0.99196728892428099</c:v>
                </c:pt>
                <c:pt idx="13">
                  <c:v>2.1074969839935203</c:v>
                </c:pt>
                <c:pt idx="14">
                  <c:v>1.1324001317694452</c:v>
                </c:pt>
                <c:pt idx="15">
                  <c:v>1.6235112711113451</c:v>
                </c:pt>
                <c:pt idx="16">
                  <c:v>1.7414785843068161</c:v>
                </c:pt>
                <c:pt idx="17">
                  <c:v>1.5941465128407937</c:v>
                </c:pt>
                <c:pt idx="18">
                  <c:v>0.81700180498618402</c:v>
                </c:pt>
                <c:pt idx="19">
                  <c:v>1.9526890876792189</c:v>
                </c:pt>
                <c:pt idx="20">
                  <c:v>2.0788794064700231</c:v>
                </c:pt>
                <c:pt idx="21">
                  <c:v>2.0449781253916379</c:v>
                </c:pt>
                <c:pt idx="22">
                  <c:v>0.99010310930192114</c:v>
                </c:pt>
                <c:pt idx="23">
                  <c:v>2.0603942178571502</c:v>
                </c:pt>
                <c:pt idx="24">
                  <c:v>2.0538122478064658</c:v>
                </c:pt>
                <c:pt idx="25">
                  <c:v>1.988527105737139</c:v>
                </c:pt>
                <c:pt idx="26">
                  <c:v>1.4955044863607561</c:v>
                </c:pt>
                <c:pt idx="27">
                  <c:v>1.1082189464280101</c:v>
                </c:pt>
                <c:pt idx="28">
                  <c:v>1.4640505434714333</c:v>
                </c:pt>
                <c:pt idx="29">
                  <c:v>1.8210153581220738</c:v>
                </c:pt>
                <c:pt idx="30">
                  <c:v>2.1524641630933847</c:v>
                </c:pt>
                <c:pt idx="31">
                  <c:v>1.1426050355572972</c:v>
                </c:pt>
                <c:pt idx="32">
                  <c:v>1.8382677896619222</c:v>
                </c:pt>
                <c:pt idx="33">
                  <c:v>1.7811018103661038</c:v>
                </c:pt>
                <c:pt idx="34">
                  <c:v>1.2186531299826318</c:v>
                </c:pt>
                <c:pt idx="35">
                  <c:v>1.9834689977117874</c:v>
                </c:pt>
                <c:pt idx="36">
                  <c:v>1.809050598653861</c:v>
                </c:pt>
                <c:pt idx="37">
                  <c:v>1.1305448827564544</c:v>
                </c:pt>
                <c:pt idx="38">
                  <c:v>0.82822049503658279</c:v>
                </c:pt>
                <c:pt idx="39">
                  <c:v>1.2093537997030641</c:v>
                </c:pt>
                <c:pt idx="40">
                  <c:v>0.86950705066881939</c:v>
                </c:pt>
                <c:pt idx="41">
                  <c:v>1.7311102729081693</c:v>
                </c:pt>
                <c:pt idx="42">
                  <c:v>1.080307872107342</c:v>
                </c:pt>
                <c:pt idx="43">
                  <c:v>1.8209927654792306</c:v>
                </c:pt>
                <c:pt idx="44">
                  <c:v>1.704108057370417</c:v>
                </c:pt>
                <c:pt idx="45">
                  <c:v>1.9426933640562123</c:v>
                </c:pt>
                <c:pt idx="46">
                  <c:v>0.63628087299623082</c:v>
                </c:pt>
                <c:pt idx="47">
                  <c:v>1.926137794853761</c:v>
                </c:pt>
                <c:pt idx="48">
                  <c:v>1.6878806927880148</c:v>
                </c:pt>
                <c:pt idx="49">
                  <c:v>0.69968294462713432</c:v>
                </c:pt>
                <c:pt idx="50">
                  <c:v>1.5444628939825586</c:v>
                </c:pt>
                <c:pt idx="51">
                  <c:v>2.2407920002449089</c:v>
                </c:pt>
                <c:pt idx="52">
                  <c:v>1.6092098002124726</c:v>
                </c:pt>
                <c:pt idx="53">
                  <c:v>1.4578026742953047</c:v>
                </c:pt>
                <c:pt idx="54">
                  <c:v>2.0121533846112989</c:v>
                </c:pt>
                <c:pt idx="55">
                  <c:v>1.281590104719015</c:v>
                </c:pt>
                <c:pt idx="56">
                  <c:v>0.65619271676913971</c:v>
                </c:pt>
                <c:pt idx="57">
                  <c:v>1.9848821316016545</c:v>
                </c:pt>
                <c:pt idx="58">
                  <c:v>2.0809956742811937</c:v>
                </c:pt>
                <c:pt idx="59">
                  <c:v>1.2030533638583052</c:v>
                </c:pt>
                <c:pt idx="60">
                  <c:v>1.6193830301116985</c:v>
                </c:pt>
                <c:pt idx="61">
                  <c:v>1.7702010036530318</c:v>
                </c:pt>
                <c:pt idx="62">
                  <c:v>1.7541320590151668</c:v>
                </c:pt>
                <c:pt idx="63">
                  <c:v>2.1223068599127162</c:v>
                </c:pt>
                <c:pt idx="64">
                  <c:v>2.0015945398139068</c:v>
                </c:pt>
                <c:pt idx="65">
                  <c:v>1.5097834538889254</c:v>
                </c:pt>
                <c:pt idx="66">
                  <c:v>1.7294150081960775</c:v>
                </c:pt>
                <c:pt idx="67">
                  <c:v>1.2681953917196063</c:v>
                </c:pt>
                <c:pt idx="68">
                  <c:v>1.8386134955540061</c:v>
                </c:pt>
                <c:pt idx="69">
                  <c:v>1.99976896888001</c:v>
                </c:pt>
                <c:pt idx="70">
                  <c:v>1.7683951181255007</c:v>
                </c:pt>
                <c:pt idx="71">
                  <c:v>1.8257539852212488</c:v>
                </c:pt>
                <c:pt idx="72">
                  <c:v>1.870836738629738</c:v>
                </c:pt>
                <c:pt idx="73">
                  <c:v>1.7708655610491633</c:v>
                </c:pt>
                <c:pt idx="74">
                  <c:v>2.103058413587501</c:v>
                </c:pt>
                <c:pt idx="75">
                  <c:v>1.7282616753491054</c:v>
                </c:pt>
                <c:pt idx="76">
                  <c:v>1.7193651096339604</c:v>
                </c:pt>
                <c:pt idx="77">
                  <c:v>1.4262089973422734</c:v>
                </c:pt>
                <c:pt idx="78">
                  <c:v>1.4959747915328052</c:v>
                </c:pt>
                <c:pt idx="79">
                  <c:v>1.4669579470864498</c:v>
                </c:pt>
                <c:pt idx="80">
                  <c:v>1.8808727169689081</c:v>
                </c:pt>
                <c:pt idx="81">
                  <c:v>1.685293940670586</c:v>
                </c:pt>
                <c:pt idx="82">
                  <c:v>1.4647054435233784</c:v>
                </c:pt>
                <c:pt idx="83">
                  <c:v>2.1199792044382617</c:v>
                </c:pt>
                <c:pt idx="84">
                  <c:v>1.6262596802823956</c:v>
                </c:pt>
                <c:pt idx="85">
                  <c:v>1.7993319117768951</c:v>
                </c:pt>
                <c:pt idx="86">
                  <c:v>1.8887936803017171</c:v>
                </c:pt>
                <c:pt idx="87">
                  <c:v>1.9733428703004852</c:v>
                </c:pt>
                <c:pt idx="88">
                  <c:v>1.5458097486953295</c:v>
                </c:pt>
                <c:pt idx="89">
                  <c:v>1.6690208839644374</c:v>
                </c:pt>
                <c:pt idx="90">
                  <c:v>1.761703823732085</c:v>
                </c:pt>
                <c:pt idx="91">
                  <c:v>2.0823409874033478</c:v>
                </c:pt>
                <c:pt idx="92">
                  <c:v>1.1760697670870071</c:v>
                </c:pt>
                <c:pt idx="93">
                  <c:v>1.8028664801047427</c:v>
                </c:pt>
                <c:pt idx="94">
                  <c:v>1.860026774481079</c:v>
                </c:pt>
                <c:pt idx="95">
                  <c:v>1.6544351678450131</c:v>
                </c:pt>
                <c:pt idx="96">
                  <c:v>1.8799061793516696</c:v>
                </c:pt>
                <c:pt idx="97">
                  <c:v>1.3819716618677067</c:v>
                </c:pt>
                <c:pt idx="98">
                  <c:v>1.0018699103167932</c:v>
                </c:pt>
                <c:pt idx="99">
                  <c:v>1.7334151042757613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F-4188-B5D8-3C8A87EE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56943"/>
        <c:axId val="1223234911"/>
      </c:scatterChart>
      <c:valAx>
        <c:axId val="126415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3234911"/>
        <c:crosses val="autoZero"/>
        <c:crossBetween val="midCat"/>
        <c:majorUnit val="0.5"/>
      </c:valAx>
      <c:valAx>
        <c:axId val="1223234911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41569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系列3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oval!$W$12:$W$111</c:f>
              <c:numCache>
                <c:formatCode>General</c:formatCode>
                <c:ptCount val="100"/>
                <c:pt idx="0">
                  <c:v>2.0444137459699223</c:v>
                </c:pt>
                <c:pt idx="1">
                  <c:v>1.9655759233124945</c:v>
                </c:pt>
                <c:pt idx="2">
                  <c:v>1.9682025690690996</c:v>
                </c:pt>
                <c:pt idx="3">
                  <c:v>2.1017437207623533</c:v>
                </c:pt>
                <c:pt idx="4">
                  <c:v>1.9480862275233495</c:v>
                </c:pt>
                <c:pt idx="5">
                  <c:v>2.0923923293301905</c:v>
                </c:pt>
                <c:pt idx="6">
                  <c:v>2.3276269821456679</c:v>
                </c:pt>
                <c:pt idx="7">
                  <c:v>2.092736673100478</c:v>
                </c:pt>
                <c:pt idx="8">
                  <c:v>2.1345959879393099</c:v>
                </c:pt>
                <c:pt idx="9">
                  <c:v>1.907870821365161</c:v>
                </c:pt>
                <c:pt idx="10">
                  <c:v>1.8947610968576669</c:v>
                </c:pt>
                <c:pt idx="11">
                  <c:v>2.2097498255182444</c:v>
                </c:pt>
                <c:pt idx="12">
                  <c:v>2.0745178092641279</c:v>
                </c:pt>
                <c:pt idx="13">
                  <c:v>1.8207416557501288</c:v>
                </c:pt>
                <c:pt idx="14">
                  <c:v>2.07430454451038</c:v>
                </c:pt>
                <c:pt idx="15">
                  <c:v>2.1068555954793435</c:v>
                </c:pt>
                <c:pt idx="16">
                  <c:v>2.5362400387966684</c:v>
                </c:pt>
                <c:pt idx="17">
                  <c:v>2.1414956986763825</c:v>
                </c:pt>
                <c:pt idx="18">
                  <c:v>2.1003821746169971</c:v>
                </c:pt>
                <c:pt idx="19">
                  <c:v>2.1758593204710728</c:v>
                </c:pt>
                <c:pt idx="20">
                  <c:v>1.7596770490369011</c:v>
                </c:pt>
                <c:pt idx="21">
                  <c:v>2.2954163049754293</c:v>
                </c:pt>
                <c:pt idx="22">
                  <c:v>2.1094563801324799</c:v>
                </c:pt>
                <c:pt idx="23">
                  <c:v>1.887053545004691</c:v>
                </c:pt>
                <c:pt idx="24">
                  <c:v>2.2313619567564009</c:v>
                </c:pt>
                <c:pt idx="25">
                  <c:v>1.8161153216597159</c:v>
                </c:pt>
                <c:pt idx="26">
                  <c:v>1.9864103214739903</c:v>
                </c:pt>
                <c:pt idx="27">
                  <c:v>1.8018288762718788</c:v>
                </c:pt>
                <c:pt idx="28">
                  <c:v>2.1019760051366227</c:v>
                </c:pt>
                <c:pt idx="29">
                  <c:v>1.6838807355889482</c:v>
                </c:pt>
                <c:pt idx="30">
                  <c:v>2.1778784397271074</c:v>
                </c:pt>
                <c:pt idx="31">
                  <c:v>2.0793282449785186</c:v>
                </c:pt>
                <c:pt idx="32">
                  <c:v>2.1107701086052364</c:v>
                </c:pt>
                <c:pt idx="33">
                  <c:v>2.1419061698664703</c:v>
                </c:pt>
                <c:pt idx="34">
                  <c:v>1.9790574055346508</c:v>
                </c:pt>
                <c:pt idx="35">
                  <c:v>2.1532694608504372</c:v>
                </c:pt>
                <c:pt idx="36">
                  <c:v>2.0947649063531655</c:v>
                </c:pt>
                <c:pt idx="37">
                  <c:v>2.4305010012305281</c:v>
                </c:pt>
                <c:pt idx="38">
                  <c:v>1.6545171000926324</c:v>
                </c:pt>
                <c:pt idx="39">
                  <c:v>2.0878106684134186</c:v>
                </c:pt>
                <c:pt idx="40">
                  <c:v>1.816087375222627</c:v>
                </c:pt>
                <c:pt idx="41">
                  <c:v>1.7478834363329394</c:v>
                </c:pt>
                <c:pt idx="42">
                  <c:v>2.4451744244344207</c:v>
                </c:pt>
                <c:pt idx="43">
                  <c:v>2.343356146925661</c:v>
                </c:pt>
                <c:pt idx="44">
                  <c:v>2.0878587363840841</c:v>
                </c:pt>
                <c:pt idx="45">
                  <c:v>1.9517045964471893</c:v>
                </c:pt>
                <c:pt idx="46">
                  <c:v>2.1943461122648773</c:v>
                </c:pt>
                <c:pt idx="47">
                  <c:v>2.225895202088835</c:v>
                </c:pt>
                <c:pt idx="48">
                  <c:v>2.3515670923446645</c:v>
                </c:pt>
                <c:pt idx="49">
                  <c:v>2.1264301603101226</c:v>
                </c:pt>
                <c:pt idx="50">
                  <c:v>1.6757404364551844</c:v>
                </c:pt>
                <c:pt idx="51">
                  <c:v>1.915238717131253</c:v>
                </c:pt>
                <c:pt idx="52">
                  <c:v>2.2212058842118525</c:v>
                </c:pt>
                <c:pt idx="53">
                  <c:v>2.1504252033144415</c:v>
                </c:pt>
                <c:pt idx="54">
                  <c:v>2.1685540231319824</c:v>
                </c:pt>
                <c:pt idx="55">
                  <c:v>2.0258812157203434</c:v>
                </c:pt>
                <c:pt idx="56">
                  <c:v>2.5721347939533721</c:v>
                </c:pt>
                <c:pt idx="57">
                  <c:v>2.1288443732461046</c:v>
                </c:pt>
                <c:pt idx="58">
                  <c:v>2.0508044497864915</c:v>
                </c:pt>
                <c:pt idx="59">
                  <c:v>2.032078466981996</c:v>
                </c:pt>
                <c:pt idx="60">
                  <c:v>2.0892526142640877</c:v>
                </c:pt>
                <c:pt idx="61">
                  <c:v>2.1255207182248039</c:v>
                </c:pt>
                <c:pt idx="62">
                  <c:v>2.5225891855306855</c:v>
                </c:pt>
                <c:pt idx="63">
                  <c:v>2.4027902864736177</c:v>
                </c:pt>
                <c:pt idx="64">
                  <c:v>2.1599284114834525</c:v>
                </c:pt>
                <c:pt idx="65">
                  <c:v>2.1008420260695644</c:v>
                </c:pt>
                <c:pt idx="66">
                  <c:v>2.071003057787387</c:v>
                </c:pt>
                <c:pt idx="67">
                  <c:v>2.2421138094732904</c:v>
                </c:pt>
                <c:pt idx="68">
                  <c:v>2.2740095132799949</c:v>
                </c:pt>
                <c:pt idx="69">
                  <c:v>2.2520110241881461</c:v>
                </c:pt>
                <c:pt idx="70">
                  <c:v>1.9345926259364801</c:v>
                </c:pt>
                <c:pt idx="71">
                  <c:v>2.4988076772586676</c:v>
                </c:pt>
                <c:pt idx="72">
                  <c:v>1.9264540195853272</c:v>
                </c:pt>
                <c:pt idx="73">
                  <c:v>2.2373873541519389</c:v>
                </c:pt>
                <c:pt idx="74">
                  <c:v>1.9887822312240422</c:v>
                </c:pt>
                <c:pt idx="75">
                  <c:v>2.1367710318233115</c:v>
                </c:pt>
                <c:pt idx="76">
                  <c:v>1.7756618229802137</c:v>
                </c:pt>
                <c:pt idx="77">
                  <c:v>2.235370585036081</c:v>
                </c:pt>
                <c:pt idx="78">
                  <c:v>1.7485173778882501</c:v>
                </c:pt>
                <c:pt idx="79">
                  <c:v>2.4966435366157986</c:v>
                </c:pt>
                <c:pt idx="80">
                  <c:v>2.3241533360688797</c:v>
                </c:pt>
                <c:pt idx="81">
                  <c:v>1.6219494063431752</c:v>
                </c:pt>
                <c:pt idx="82">
                  <c:v>2.1917070454528731</c:v>
                </c:pt>
                <c:pt idx="83">
                  <c:v>1.8582971907677783</c:v>
                </c:pt>
                <c:pt idx="84">
                  <c:v>2.1714927940142879</c:v>
                </c:pt>
                <c:pt idx="85">
                  <c:v>1.8026321678615014</c:v>
                </c:pt>
                <c:pt idx="86">
                  <c:v>2.1073327909397719</c:v>
                </c:pt>
                <c:pt idx="87">
                  <c:v>2.3262707260996245</c:v>
                </c:pt>
                <c:pt idx="88">
                  <c:v>2.0620811319346113</c:v>
                </c:pt>
                <c:pt idx="89">
                  <c:v>2.2085740422024189</c:v>
                </c:pt>
                <c:pt idx="90">
                  <c:v>2.5138919754769784</c:v>
                </c:pt>
                <c:pt idx="91">
                  <c:v>2.0877196413034618</c:v>
                </c:pt>
                <c:pt idx="92">
                  <c:v>2.0609330793806624</c:v>
                </c:pt>
                <c:pt idx="93">
                  <c:v>2.2377729675714555</c:v>
                </c:pt>
                <c:pt idx="94">
                  <c:v>2.4671848907576037</c:v>
                </c:pt>
                <c:pt idx="95">
                  <c:v>2.0617685839223947</c:v>
                </c:pt>
                <c:pt idx="96">
                  <c:v>2.0552667886310556</c:v>
                </c:pt>
                <c:pt idx="97">
                  <c:v>2.095485349188809</c:v>
                </c:pt>
                <c:pt idx="98">
                  <c:v>1.8581672609792896</c:v>
                </c:pt>
                <c:pt idx="99">
                  <c:v>2.0252869469593611</c:v>
                </c:pt>
              </c:numCache>
            </c:numRef>
          </c:xVal>
          <c:yVal>
            <c:numRef>
              <c:f>oval!$X$12:$X$111</c:f>
              <c:numCache>
                <c:formatCode>General</c:formatCode>
                <c:ptCount val="100"/>
                <c:pt idx="0">
                  <c:v>0.28444746098561124</c:v>
                </c:pt>
                <c:pt idx="1">
                  <c:v>0.12860410630752017</c:v>
                </c:pt>
                <c:pt idx="2">
                  <c:v>1.2643251135336162</c:v>
                </c:pt>
                <c:pt idx="3">
                  <c:v>0.33888239220928396</c:v>
                </c:pt>
                <c:pt idx="4">
                  <c:v>0.55639495531568695</c:v>
                </c:pt>
                <c:pt idx="5">
                  <c:v>0.25924843583003787</c:v>
                </c:pt>
                <c:pt idx="6">
                  <c:v>1.0699038695582666</c:v>
                </c:pt>
                <c:pt idx="7">
                  <c:v>0.45248932216244936</c:v>
                </c:pt>
                <c:pt idx="8">
                  <c:v>1.3635935033934006</c:v>
                </c:pt>
                <c:pt idx="9">
                  <c:v>0.10284795587064788</c:v>
                </c:pt>
                <c:pt idx="10">
                  <c:v>0.20086690195520318</c:v>
                </c:pt>
                <c:pt idx="11">
                  <c:v>0.19765519742373494</c:v>
                </c:pt>
                <c:pt idx="12">
                  <c:v>0.32491301409134787</c:v>
                </c:pt>
                <c:pt idx="13">
                  <c:v>0.12963891656677218</c:v>
                </c:pt>
                <c:pt idx="14">
                  <c:v>0.18018842814779046</c:v>
                </c:pt>
                <c:pt idx="15">
                  <c:v>0.39789893359010797</c:v>
                </c:pt>
                <c:pt idx="16">
                  <c:v>0.3118133172079639</c:v>
                </c:pt>
                <c:pt idx="17">
                  <c:v>0.47217073526774261</c:v>
                </c:pt>
                <c:pt idx="18">
                  <c:v>0.40764564293354183</c:v>
                </c:pt>
                <c:pt idx="19">
                  <c:v>0.53778307126086689</c:v>
                </c:pt>
                <c:pt idx="20">
                  <c:v>1.003361040744998</c:v>
                </c:pt>
                <c:pt idx="21">
                  <c:v>0.11919501606859617</c:v>
                </c:pt>
                <c:pt idx="22">
                  <c:v>0.39509409795425099</c:v>
                </c:pt>
                <c:pt idx="23">
                  <c:v>0.5839207913165142</c:v>
                </c:pt>
                <c:pt idx="24">
                  <c:v>0.23188668383434374</c:v>
                </c:pt>
                <c:pt idx="25">
                  <c:v>0.38997567549698964</c:v>
                </c:pt>
                <c:pt idx="26">
                  <c:v>0.82036841073343147</c:v>
                </c:pt>
                <c:pt idx="27">
                  <c:v>0.19562874569284994</c:v>
                </c:pt>
                <c:pt idx="28">
                  <c:v>1.5055423554021989</c:v>
                </c:pt>
                <c:pt idx="29">
                  <c:v>0.24778424586418035</c:v>
                </c:pt>
                <c:pt idx="30">
                  <c:v>0.37418086502593939</c:v>
                </c:pt>
                <c:pt idx="31">
                  <c:v>0.38081019638452673</c:v>
                </c:pt>
                <c:pt idx="32">
                  <c:v>0.41943878676440499</c:v>
                </c:pt>
                <c:pt idx="33">
                  <c:v>0.47959886580217576</c:v>
                </c:pt>
                <c:pt idx="34">
                  <c:v>0.21838872479609794</c:v>
                </c:pt>
                <c:pt idx="35">
                  <c:v>0.2378629245778261</c:v>
                </c:pt>
                <c:pt idx="36">
                  <c:v>0.41973656529673481</c:v>
                </c:pt>
                <c:pt idx="37">
                  <c:v>0.3129118657703932</c:v>
                </c:pt>
                <c:pt idx="38">
                  <c:v>0.3568410760256423</c:v>
                </c:pt>
                <c:pt idx="39">
                  <c:v>1.0327932862823133</c:v>
                </c:pt>
                <c:pt idx="40">
                  <c:v>0.13001455982560384</c:v>
                </c:pt>
                <c:pt idx="41">
                  <c:v>0.83178318204745438</c:v>
                </c:pt>
                <c:pt idx="42">
                  <c:v>0.13172313849205397</c:v>
                </c:pt>
                <c:pt idx="43">
                  <c:v>0.68704415609804625</c:v>
                </c:pt>
                <c:pt idx="44">
                  <c:v>1.1537191289024311</c:v>
                </c:pt>
                <c:pt idx="45">
                  <c:v>0.7737300462254032</c:v>
                </c:pt>
                <c:pt idx="46">
                  <c:v>0.45594131771193069</c:v>
                </c:pt>
                <c:pt idx="47">
                  <c:v>0.19831897963111789</c:v>
                </c:pt>
                <c:pt idx="48">
                  <c:v>0.12757022401590057</c:v>
                </c:pt>
                <c:pt idx="49">
                  <c:v>0.11863774236858426</c:v>
                </c:pt>
                <c:pt idx="50">
                  <c:v>0.65068863177703151</c:v>
                </c:pt>
                <c:pt idx="51">
                  <c:v>0.27348126641594661</c:v>
                </c:pt>
                <c:pt idx="52">
                  <c:v>0.21173901272132067</c:v>
                </c:pt>
                <c:pt idx="53">
                  <c:v>0.23981853649710427</c:v>
                </c:pt>
                <c:pt idx="54">
                  <c:v>0.79991324616554227</c:v>
                </c:pt>
                <c:pt idx="55">
                  <c:v>1.0824132438400342</c:v>
                </c:pt>
                <c:pt idx="56">
                  <c:v>0.52912820325282994</c:v>
                </c:pt>
                <c:pt idx="57">
                  <c:v>0.3957878538355406</c:v>
                </c:pt>
                <c:pt idx="58">
                  <c:v>0.34020072822606362</c:v>
                </c:pt>
                <c:pt idx="59">
                  <c:v>0.70498675338566097</c:v>
                </c:pt>
                <c:pt idx="60">
                  <c:v>0.31654707901973045</c:v>
                </c:pt>
                <c:pt idx="61">
                  <c:v>0.40669554242270234</c:v>
                </c:pt>
                <c:pt idx="62">
                  <c:v>0.43745979654021722</c:v>
                </c:pt>
                <c:pt idx="63">
                  <c:v>0.93848904294083035</c:v>
                </c:pt>
                <c:pt idx="64">
                  <c:v>0.23279930271786997</c:v>
                </c:pt>
                <c:pt idx="65">
                  <c:v>0.28910589623883542</c:v>
                </c:pt>
                <c:pt idx="66">
                  <c:v>1.2690574244879453</c:v>
                </c:pt>
                <c:pt idx="67">
                  <c:v>0.23380684639911242</c:v>
                </c:pt>
                <c:pt idx="68">
                  <c:v>1.2957480521397864</c:v>
                </c:pt>
                <c:pt idx="69">
                  <c:v>0.22060181728534534</c:v>
                </c:pt>
                <c:pt idx="70">
                  <c:v>0.73941221428588932</c:v>
                </c:pt>
                <c:pt idx="71">
                  <c:v>0.20414828670864682</c:v>
                </c:pt>
                <c:pt idx="72">
                  <c:v>0.10225967117456103</c:v>
                </c:pt>
                <c:pt idx="73">
                  <c:v>0.38113357205664256</c:v>
                </c:pt>
                <c:pt idx="74">
                  <c:v>0.45234618018845119</c:v>
                </c:pt>
                <c:pt idx="75">
                  <c:v>0.3931048229552887</c:v>
                </c:pt>
                <c:pt idx="76">
                  <c:v>0.28095161857225615</c:v>
                </c:pt>
                <c:pt idx="77">
                  <c:v>0.20152896304578938</c:v>
                </c:pt>
                <c:pt idx="78">
                  <c:v>0.17978333495470433</c:v>
                </c:pt>
                <c:pt idx="79">
                  <c:v>0.98144221164929446</c:v>
                </c:pt>
                <c:pt idx="80">
                  <c:v>0.42433620120415344</c:v>
                </c:pt>
                <c:pt idx="81">
                  <c:v>0.23106947843754777</c:v>
                </c:pt>
                <c:pt idx="82">
                  <c:v>0.88321949086790352</c:v>
                </c:pt>
                <c:pt idx="83">
                  <c:v>0.55380468526856086</c:v>
                </c:pt>
                <c:pt idx="84">
                  <c:v>0.3278133702398266</c:v>
                </c:pt>
                <c:pt idx="85">
                  <c:v>0.89289708675120161</c:v>
                </c:pt>
                <c:pt idx="86">
                  <c:v>0.30472261470115714</c:v>
                </c:pt>
                <c:pt idx="87">
                  <c:v>0.35174490672997272</c:v>
                </c:pt>
                <c:pt idx="88">
                  <c:v>0.80161699337106884</c:v>
                </c:pt>
                <c:pt idx="89">
                  <c:v>0.30188931351362314</c:v>
                </c:pt>
                <c:pt idx="90">
                  <c:v>0.20034492080919242</c:v>
                </c:pt>
                <c:pt idx="91">
                  <c:v>0.40716920794072797</c:v>
                </c:pt>
                <c:pt idx="92">
                  <c:v>0.24541424340310869</c:v>
                </c:pt>
                <c:pt idx="93">
                  <c:v>0.53517398155083806</c:v>
                </c:pt>
                <c:pt idx="94">
                  <c:v>0.44311121346392957</c:v>
                </c:pt>
                <c:pt idx="95">
                  <c:v>0.10031839982945512</c:v>
                </c:pt>
                <c:pt idx="96">
                  <c:v>0.76989363486546758</c:v>
                </c:pt>
                <c:pt idx="97">
                  <c:v>0.37556356997605878</c:v>
                </c:pt>
                <c:pt idx="98">
                  <c:v>1.3341650481294951</c:v>
                </c:pt>
                <c:pt idx="99">
                  <c:v>0.20183709831226326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EB-495C-A2D1-9C88D22377AE}"/>
            </c:ext>
          </c:extLst>
        </c:ser>
        <c:ser>
          <c:idx val="1"/>
          <c:order val="1"/>
          <c:tx>
            <c:v>系列2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oval!$R$12:$R$111</c:f>
              <c:numCache>
                <c:formatCode>General</c:formatCode>
                <c:ptCount val="100"/>
                <c:pt idx="0">
                  <c:v>1.3157782332375592</c:v>
                </c:pt>
                <c:pt idx="1">
                  <c:v>1.7691877133509926</c:v>
                </c:pt>
                <c:pt idx="2">
                  <c:v>1.5826651642836089</c:v>
                </c:pt>
                <c:pt idx="3">
                  <c:v>1.5418026893520982</c:v>
                </c:pt>
                <c:pt idx="4">
                  <c:v>0.71042978920343036</c:v>
                </c:pt>
                <c:pt idx="5">
                  <c:v>1.3541676732153767</c:v>
                </c:pt>
                <c:pt idx="6">
                  <c:v>0.13420806447425926</c:v>
                </c:pt>
                <c:pt idx="7">
                  <c:v>1.6387035248641617</c:v>
                </c:pt>
                <c:pt idx="8">
                  <c:v>1.7096141664852671</c:v>
                </c:pt>
                <c:pt idx="9">
                  <c:v>1.4172526098472522</c:v>
                </c:pt>
                <c:pt idx="10">
                  <c:v>1.4822338350801516</c:v>
                </c:pt>
                <c:pt idx="11">
                  <c:v>1.6129814083333902</c:v>
                </c:pt>
                <c:pt idx="12">
                  <c:v>0.69649262154951364</c:v>
                </c:pt>
                <c:pt idx="13">
                  <c:v>1.757969886441316</c:v>
                </c:pt>
                <c:pt idx="14">
                  <c:v>0.56594529197996835</c:v>
                </c:pt>
                <c:pt idx="15">
                  <c:v>1.4184358906271761</c:v>
                </c:pt>
                <c:pt idx="16">
                  <c:v>1.3262466789709335</c:v>
                </c:pt>
                <c:pt idx="17">
                  <c:v>1.3267866243502497</c:v>
                </c:pt>
                <c:pt idx="18">
                  <c:v>0.49806785998968728</c:v>
                </c:pt>
                <c:pt idx="19">
                  <c:v>1.4066107031813235</c:v>
                </c:pt>
                <c:pt idx="20">
                  <c:v>1.6767041894713433</c:v>
                </c:pt>
                <c:pt idx="21">
                  <c:v>1.8378052847128874</c:v>
                </c:pt>
                <c:pt idx="22">
                  <c:v>1.1648652700950664</c:v>
                </c:pt>
                <c:pt idx="23">
                  <c:v>1.7634974313985594</c:v>
                </c:pt>
                <c:pt idx="24">
                  <c:v>1.8402250800943332</c:v>
                </c:pt>
                <c:pt idx="25">
                  <c:v>1.5475210198194382</c:v>
                </c:pt>
                <c:pt idx="26">
                  <c:v>0.92439257582626289</c:v>
                </c:pt>
                <c:pt idx="27">
                  <c:v>1.2575421418265182</c:v>
                </c:pt>
                <c:pt idx="28">
                  <c:v>1.6370466154167505</c:v>
                </c:pt>
                <c:pt idx="29">
                  <c:v>1.6006471645763307</c:v>
                </c:pt>
                <c:pt idx="30">
                  <c:v>1.5295738218931554</c:v>
                </c:pt>
                <c:pt idx="31">
                  <c:v>1.2054184367955227</c:v>
                </c:pt>
                <c:pt idx="32">
                  <c:v>1.6900064317629504</c:v>
                </c:pt>
                <c:pt idx="33">
                  <c:v>1.5989291733582558</c:v>
                </c:pt>
                <c:pt idx="34">
                  <c:v>1.4607404057961992</c:v>
                </c:pt>
                <c:pt idx="35">
                  <c:v>1.5389065231700982</c:v>
                </c:pt>
                <c:pt idx="36">
                  <c:v>2.0125540573745102</c:v>
                </c:pt>
                <c:pt idx="37">
                  <c:v>0.66610100255059446</c:v>
                </c:pt>
                <c:pt idx="38">
                  <c:v>1.0453214208214687</c:v>
                </c:pt>
                <c:pt idx="39">
                  <c:v>0.88574502124289078</c:v>
                </c:pt>
                <c:pt idx="40">
                  <c:v>0.70541618899252501</c:v>
                </c:pt>
                <c:pt idx="41">
                  <c:v>1.4202531306851376</c:v>
                </c:pt>
                <c:pt idx="42">
                  <c:v>0.59833644268650699</c:v>
                </c:pt>
                <c:pt idx="43">
                  <c:v>1.5940372777495746</c:v>
                </c:pt>
                <c:pt idx="44">
                  <c:v>1.593379632236835</c:v>
                </c:pt>
                <c:pt idx="45">
                  <c:v>1.4292323369091862</c:v>
                </c:pt>
                <c:pt idx="46">
                  <c:v>0.73054312289269507</c:v>
                </c:pt>
                <c:pt idx="47">
                  <c:v>1.5876394070760136</c:v>
                </c:pt>
                <c:pt idx="48">
                  <c:v>1.4319767927832183</c:v>
                </c:pt>
                <c:pt idx="49">
                  <c:v>0.67547965402606425</c:v>
                </c:pt>
                <c:pt idx="50">
                  <c:v>1.4222967969345894</c:v>
                </c:pt>
                <c:pt idx="51">
                  <c:v>1.5672228850657799</c:v>
                </c:pt>
                <c:pt idx="52">
                  <c:v>1.5686553338018536</c:v>
                </c:pt>
                <c:pt idx="53">
                  <c:v>1.3118616126942275</c:v>
                </c:pt>
                <c:pt idx="54">
                  <c:v>1.5787898913536158</c:v>
                </c:pt>
                <c:pt idx="55">
                  <c:v>0.66978477770995826</c:v>
                </c:pt>
                <c:pt idx="56">
                  <c:v>0.79617717983221148</c:v>
                </c:pt>
                <c:pt idx="57">
                  <c:v>1.8772413952629297</c:v>
                </c:pt>
                <c:pt idx="58">
                  <c:v>1.7843805512927233</c:v>
                </c:pt>
                <c:pt idx="59">
                  <c:v>1.2040896542704418</c:v>
                </c:pt>
                <c:pt idx="60">
                  <c:v>1.4523814364441141</c:v>
                </c:pt>
                <c:pt idx="61">
                  <c:v>1.4569207585762061</c:v>
                </c:pt>
                <c:pt idx="62">
                  <c:v>1.4895671560713069</c:v>
                </c:pt>
                <c:pt idx="63">
                  <c:v>1.6879287321794925</c:v>
                </c:pt>
                <c:pt idx="64">
                  <c:v>1.8916654164461844</c:v>
                </c:pt>
                <c:pt idx="65">
                  <c:v>1.3086835832811714</c:v>
                </c:pt>
                <c:pt idx="66">
                  <c:v>1.4580621563425875</c:v>
                </c:pt>
                <c:pt idx="67">
                  <c:v>1.0510769605853509</c:v>
                </c:pt>
                <c:pt idx="68">
                  <c:v>1.6570048543546725</c:v>
                </c:pt>
                <c:pt idx="69">
                  <c:v>1.8833720814061492</c:v>
                </c:pt>
                <c:pt idx="70">
                  <c:v>1.7122100706631347</c:v>
                </c:pt>
                <c:pt idx="71">
                  <c:v>1.3545513077097442</c:v>
                </c:pt>
                <c:pt idx="72">
                  <c:v>1.3881376944308057</c:v>
                </c:pt>
                <c:pt idx="73">
                  <c:v>1.397646142311989</c:v>
                </c:pt>
                <c:pt idx="74">
                  <c:v>1.5809535110378286</c:v>
                </c:pt>
                <c:pt idx="75">
                  <c:v>1.5413330766179452</c:v>
                </c:pt>
                <c:pt idx="76">
                  <c:v>1.637895367141279</c:v>
                </c:pt>
                <c:pt idx="77">
                  <c:v>1.6754316207510644</c:v>
                </c:pt>
                <c:pt idx="78">
                  <c:v>1.3024175218740974</c:v>
                </c:pt>
                <c:pt idx="79">
                  <c:v>1.2028536420529865</c:v>
                </c:pt>
                <c:pt idx="80">
                  <c:v>2.004984600346813</c:v>
                </c:pt>
                <c:pt idx="81">
                  <c:v>1.8921311414284872</c:v>
                </c:pt>
                <c:pt idx="82">
                  <c:v>1.5612427314617385</c:v>
                </c:pt>
                <c:pt idx="83">
                  <c:v>1.5607172772959097</c:v>
                </c:pt>
                <c:pt idx="84">
                  <c:v>1.902055662347133</c:v>
                </c:pt>
                <c:pt idx="85">
                  <c:v>1.6018001699900584</c:v>
                </c:pt>
                <c:pt idx="86">
                  <c:v>1.8473046279665919</c:v>
                </c:pt>
                <c:pt idx="87">
                  <c:v>1.4282460483533246</c:v>
                </c:pt>
                <c:pt idx="88">
                  <c:v>1.1698269929064828</c:v>
                </c:pt>
                <c:pt idx="89">
                  <c:v>1.3129347279669237</c:v>
                </c:pt>
                <c:pt idx="90">
                  <c:v>1.5327285237296668</c:v>
                </c:pt>
                <c:pt idx="91">
                  <c:v>1.626277691288798</c:v>
                </c:pt>
                <c:pt idx="92">
                  <c:v>1.3755028113790311</c:v>
                </c:pt>
                <c:pt idx="93">
                  <c:v>1.4550798096869981</c:v>
                </c:pt>
                <c:pt idx="94">
                  <c:v>1.9668645171818122</c:v>
                </c:pt>
                <c:pt idx="95">
                  <c:v>1.430485848488779</c:v>
                </c:pt>
                <c:pt idx="96">
                  <c:v>1.7191123796863759</c:v>
                </c:pt>
                <c:pt idx="97">
                  <c:v>1.0457739938940052</c:v>
                </c:pt>
                <c:pt idx="98">
                  <c:v>1.1121941021112296</c:v>
                </c:pt>
                <c:pt idx="99">
                  <c:v>1.8418182722014838</c:v>
                </c:pt>
              </c:numCache>
            </c:numRef>
          </c:xVal>
          <c:yVal>
            <c:numRef>
              <c:f>oval!$S$12:$S$111</c:f>
              <c:numCache>
                <c:formatCode>General</c:formatCode>
                <c:ptCount val="100"/>
                <c:pt idx="0">
                  <c:v>2.0004667662649669</c:v>
                </c:pt>
                <c:pt idx="1">
                  <c:v>2.0561434717737654</c:v>
                </c:pt>
                <c:pt idx="2">
                  <c:v>1.9005092139973034</c:v>
                </c:pt>
                <c:pt idx="3">
                  <c:v>1.7185543506513166</c:v>
                </c:pt>
                <c:pt idx="4">
                  <c:v>1.3586280137942683</c:v>
                </c:pt>
                <c:pt idx="5">
                  <c:v>1.8692380516906195</c:v>
                </c:pt>
                <c:pt idx="6">
                  <c:v>0.39549889258489257</c:v>
                </c:pt>
                <c:pt idx="7">
                  <c:v>2.0785005197584514</c:v>
                </c:pt>
                <c:pt idx="8">
                  <c:v>1.9047331891945087</c:v>
                </c:pt>
                <c:pt idx="9">
                  <c:v>1.7839674730815718</c:v>
                </c:pt>
                <c:pt idx="10">
                  <c:v>1.8344985924719168</c:v>
                </c:pt>
                <c:pt idx="11">
                  <c:v>1.7086726183478078</c:v>
                </c:pt>
                <c:pt idx="12">
                  <c:v>0.99196728892428099</c:v>
                </c:pt>
                <c:pt idx="13">
                  <c:v>2.1074969839935203</c:v>
                </c:pt>
                <c:pt idx="14">
                  <c:v>1.1324001317694452</c:v>
                </c:pt>
                <c:pt idx="15">
                  <c:v>1.6235112711113451</c:v>
                </c:pt>
                <c:pt idx="16">
                  <c:v>1.7414785843068161</c:v>
                </c:pt>
                <c:pt idx="17">
                  <c:v>1.5941465128407937</c:v>
                </c:pt>
                <c:pt idx="18">
                  <c:v>0.81700180498618402</c:v>
                </c:pt>
                <c:pt idx="19">
                  <c:v>1.9526890876792189</c:v>
                </c:pt>
                <c:pt idx="20">
                  <c:v>2.0788794064700231</c:v>
                </c:pt>
                <c:pt idx="21">
                  <c:v>2.0449781253916379</c:v>
                </c:pt>
                <c:pt idx="22">
                  <c:v>0.99010310930192114</c:v>
                </c:pt>
                <c:pt idx="23">
                  <c:v>2.0603942178571502</c:v>
                </c:pt>
                <c:pt idx="24">
                  <c:v>2.0538122478064658</c:v>
                </c:pt>
                <c:pt idx="25">
                  <c:v>1.988527105737139</c:v>
                </c:pt>
                <c:pt idx="26">
                  <c:v>1.4955044863607561</c:v>
                </c:pt>
                <c:pt idx="27">
                  <c:v>1.1082189464280101</c:v>
                </c:pt>
                <c:pt idx="28">
                  <c:v>1.4640505434714333</c:v>
                </c:pt>
                <c:pt idx="29">
                  <c:v>1.8210153581220738</c:v>
                </c:pt>
                <c:pt idx="30">
                  <c:v>2.1524641630933847</c:v>
                </c:pt>
                <c:pt idx="31">
                  <c:v>1.1426050355572972</c:v>
                </c:pt>
                <c:pt idx="32">
                  <c:v>1.8382677896619222</c:v>
                </c:pt>
                <c:pt idx="33">
                  <c:v>1.7811018103661038</c:v>
                </c:pt>
                <c:pt idx="34">
                  <c:v>1.2186531299826318</c:v>
                </c:pt>
                <c:pt idx="35">
                  <c:v>1.9834689977117874</c:v>
                </c:pt>
                <c:pt idx="36">
                  <c:v>1.809050598653861</c:v>
                </c:pt>
                <c:pt idx="37">
                  <c:v>1.1305448827564544</c:v>
                </c:pt>
                <c:pt idx="38">
                  <c:v>0.82822049503658279</c:v>
                </c:pt>
                <c:pt idx="39">
                  <c:v>1.2093537997030641</c:v>
                </c:pt>
                <c:pt idx="40">
                  <c:v>0.86950705066881939</c:v>
                </c:pt>
                <c:pt idx="41">
                  <c:v>1.7311102729081693</c:v>
                </c:pt>
                <c:pt idx="42">
                  <c:v>1.080307872107342</c:v>
                </c:pt>
                <c:pt idx="43">
                  <c:v>1.8209927654792306</c:v>
                </c:pt>
                <c:pt idx="44">
                  <c:v>1.704108057370417</c:v>
                </c:pt>
                <c:pt idx="45">
                  <c:v>1.9426933640562123</c:v>
                </c:pt>
                <c:pt idx="46">
                  <c:v>0.63628087299623082</c:v>
                </c:pt>
                <c:pt idx="47">
                  <c:v>1.926137794853761</c:v>
                </c:pt>
                <c:pt idx="48">
                  <c:v>1.6878806927880148</c:v>
                </c:pt>
                <c:pt idx="49">
                  <c:v>0.69968294462713432</c:v>
                </c:pt>
                <c:pt idx="50">
                  <c:v>1.5444628939825586</c:v>
                </c:pt>
                <c:pt idx="51">
                  <c:v>2.2407920002449089</c:v>
                </c:pt>
                <c:pt idx="52">
                  <c:v>1.6092098002124726</c:v>
                </c:pt>
                <c:pt idx="53">
                  <c:v>1.4578026742953047</c:v>
                </c:pt>
                <c:pt idx="54">
                  <c:v>2.0121533846112989</c:v>
                </c:pt>
                <c:pt idx="55">
                  <c:v>1.281590104719015</c:v>
                </c:pt>
                <c:pt idx="56">
                  <c:v>0.65619271676913971</c:v>
                </c:pt>
                <c:pt idx="57">
                  <c:v>1.9848821316016545</c:v>
                </c:pt>
                <c:pt idx="58">
                  <c:v>2.0809956742811937</c:v>
                </c:pt>
                <c:pt idx="59">
                  <c:v>1.2030533638583052</c:v>
                </c:pt>
                <c:pt idx="60">
                  <c:v>1.6193830301116985</c:v>
                </c:pt>
                <c:pt idx="61">
                  <c:v>1.7702010036530318</c:v>
                </c:pt>
                <c:pt idx="62">
                  <c:v>1.7541320590151668</c:v>
                </c:pt>
                <c:pt idx="63">
                  <c:v>2.1223068599127162</c:v>
                </c:pt>
                <c:pt idx="64">
                  <c:v>2.0015945398139068</c:v>
                </c:pt>
                <c:pt idx="65">
                  <c:v>1.5097834538889254</c:v>
                </c:pt>
                <c:pt idx="66">
                  <c:v>1.7294150081960775</c:v>
                </c:pt>
                <c:pt idx="67">
                  <c:v>1.2681953917196063</c:v>
                </c:pt>
                <c:pt idx="68">
                  <c:v>1.8386134955540061</c:v>
                </c:pt>
                <c:pt idx="69">
                  <c:v>1.99976896888001</c:v>
                </c:pt>
                <c:pt idx="70">
                  <c:v>1.7683951181255007</c:v>
                </c:pt>
                <c:pt idx="71">
                  <c:v>1.8257539852212488</c:v>
                </c:pt>
                <c:pt idx="72">
                  <c:v>1.870836738629738</c:v>
                </c:pt>
                <c:pt idx="73">
                  <c:v>1.7708655610491633</c:v>
                </c:pt>
                <c:pt idx="74">
                  <c:v>2.103058413587501</c:v>
                </c:pt>
                <c:pt idx="75">
                  <c:v>1.7282616753491054</c:v>
                </c:pt>
                <c:pt idx="76">
                  <c:v>1.7193651096339604</c:v>
                </c:pt>
                <c:pt idx="77">
                  <c:v>1.4262089973422734</c:v>
                </c:pt>
                <c:pt idx="78">
                  <c:v>1.4959747915328052</c:v>
                </c:pt>
                <c:pt idx="79">
                  <c:v>1.4669579470864498</c:v>
                </c:pt>
                <c:pt idx="80">
                  <c:v>1.8808727169689081</c:v>
                </c:pt>
                <c:pt idx="81">
                  <c:v>1.685293940670586</c:v>
                </c:pt>
                <c:pt idx="82">
                  <c:v>1.4647054435233784</c:v>
                </c:pt>
                <c:pt idx="83">
                  <c:v>2.1199792044382617</c:v>
                </c:pt>
                <c:pt idx="84">
                  <c:v>1.6262596802823956</c:v>
                </c:pt>
                <c:pt idx="85">
                  <c:v>1.7993319117768951</c:v>
                </c:pt>
                <c:pt idx="86">
                  <c:v>1.8887936803017171</c:v>
                </c:pt>
                <c:pt idx="87">
                  <c:v>1.9733428703004852</c:v>
                </c:pt>
                <c:pt idx="88">
                  <c:v>1.5458097486953295</c:v>
                </c:pt>
                <c:pt idx="89">
                  <c:v>1.6690208839644374</c:v>
                </c:pt>
                <c:pt idx="90">
                  <c:v>1.761703823732085</c:v>
                </c:pt>
                <c:pt idx="91">
                  <c:v>2.0823409874033478</c:v>
                </c:pt>
                <c:pt idx="92">
                  <c:v>1.1760697670870071</c:v>
                </c:pt>
                <c:pt idx="93">
                  <c:v>1.8028664801047427</c:v>
                </c:pt>
                <c:pt idx="94">
                  <c:v>1.860026774481079</c:v>
                </c:pt>
                <c:pt idx="95">
                  <c:v>1.6544351678450131</c:v>
                </c:pt>
                <c:pt idx="96">
                  <c:v>1.8799061793516696</c:v>
                </c:pt>
                <c:pt idx="97">
                  <c:v>1.3819716618677067</c:v>
                </c:pt>
                <c:pt idx="98">
                  <c:v>1.0018699103167932</c:v>
                </c:pt>
                <c:pt idx="99">
                  <c:v>1.7334151042757613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EB-495C-A2D1-9C88D2237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56943"/>
        <c:axId val="1223234911"/>
      </c:scatterChart>
      <c:valAx>
        <c:axId val="126415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3234911"/>
        <c:crosses val="autoZero"/>
        <c:crossBetween val="midCat"/>
      </c:valAx>
      <c:valAx>
        <c:axId val="122323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41569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oval!$AB$1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oval!$AA$2:$AA$201</c:f>
              <c:numCache>
                <c:formatCode>General</c:formatCode>
                <c:ptCount val="200"/>
                <c:pt idx="0">
                  <c:v>1.3157782332375592</c:v>
                </c:pt>
                <c:pt idx="1">
                  <c:v>1.7691877133509926</c:v>
                </c:pt>
                <c:pt idx="2">
                  <c:v>1.5826651642836089</c:v>
                </c:pt>
                <c:pt idx="3">
                  <c:v>1.5418026893520982</c:v>
                </c:pt>
                <c:pt idx="4">
                  <c:v>0.71042978920343036</c:v>
                </c:pt>
                <c:pt idx="5">
                  <c:v>1.3541676732153767</c:v>
                </c:pt>
                <c:pt idx="6">
                  <c:v>0.13420806447425926</c:v>
                </c:pt>
                <c:pt idx="7">
                  <c:v>1.6387035248641617</c:v>
                </c:pt>
                <c:pt idx="8">
                  <c:v>1.7096141664852671</c:v>
                </c:pt>
                <c:pt idx="9">
                  <c:v>1.4172526098472522</c:v>
                </c:pt>
                <c:pt idx="10">
                  <c:v>1.4822338350801516</c:v>
                </c:pt>
                <c:pt idx="11">
                  <c:v>1.6129814083333902</c:v>
                </c:pt>
                <c:pt idx="12">
                  <c:v>0.69649262154951364</c:v>
                </c:pt>
                <c:pt idx="13">
                  <c:v>1.757969886441316</c:v>
                </c:pt>
                <c:pt idx="14">
                  <c:v>0.56594529197996835</c:v>
                </c:pt>
                <c:pt idx="15">
                  <c:v>1.4184358906271761</c:v>
                </c:pt>
                <c:pt idx="16">
                  <c:v>1.3262466789709335</c:v>
                </c:pt>
                <c:pt idx="17">
                  <c:v>1.3267866243502497</c:v>
                </c:pt>
                <c:pt idx="18">
                  <c:v>0.49806785998968728</c:v>
                </c:pt>
                <c:pt idx="19">
                  <c:v>1.4066107031813235</c:v>
                </c:pt>
                <c:pt idx="20">
                  <c:v>1.6767041894713433</c:v>
                </c:pt>
                <c:pt idx="21">
                  <c:v>1.8378052847128874</c:v>
                </c:pt>
                <c:pt idx="22">
                  <c:v>1.1648652700950664</c:v>
                </c:pt>
                <c:pt idx="23">
                  <c:v>1.7634974313985594</c:v>
                </c:pt>
                <c:pt idx="24">
                  <c:v>1.8402250800943332</c:v>
                </c:pt>
                <c:pt idx="25">
                  <c:v>1.5475210198194382</c:v>
                </c:pt>
                <c:pt idx="26">
                  <c:v>0.92439257582626289</c:v>
                </c:pt>
                <c:pt idx="27">
                  <c:v>1.2575421418265182</c:v>
                </c:pt>
                <c:pt idx="28">
                  <c:v>1.6370466154167505</c:v>
                </c:pt>
                <c:pt idx="29">
                  <c:v>1.6006471645763307</c:v>
                </c:pt>
                <c:pt idx="30">
                  <c:v>1.5295738218931554</c:v>
                </c:pt>
                <c:pt idx="31">
                  <c:v>1.2054184367955227</c:v>
                </c:pt>
                <c:pt idx="32">
                  <c:v>1.6900064317629504</c:v>
                </c:pt>
                <c:pt idx="33">
                  <c:v>1.5989291733582558</c:v>
                </c:pt>
                <c:pt idx="34">
                  <c:v>1.4607404057961992</c:v>
                </c:pt>
                <c:pt idx="35">
                  <c:v>1.5389065231700982</c:v>
                </c:pt>
                <c:pt idx="36">
                  <c:v>2.0125540573745102</c:v>
                </c:pt>
                <c:pt idx="37">
                  <c:v>0.66610100255059446</c:v>
                </c:pt>
                <c:pt idx="38">
                  <c:v>1.0453214208214687</c:v>
                </c:pt>
                <c:pt idx="39">
                  <c:v>0.88574502124289078</c:v>
                </c:pt>
                <c:pt idx="40">
                  <c:v>0.70541618899252501</c:v>
                </c:pt>
                <c:pt idx="41">
                  <c:v>1.4202531306851376</c:v>
                </c:pt>
                <c:pt idx="42">
                  <c:v>0.59833644268650699</c:v>
                </c:pt>
                <c:pt idx="43">
                  <c:v>1.5940372777495746</c:v>
                </c:pt>
                <c:pt idx="44">
                  <c:v>1.593379632236835</c:v>
                </c:pt>
                <c:pt idx="45">
                  <c:v>1.4292323369091862</c:v>
                </c:pt>
                <c:pt idx="46">
                  <c:v>0.73054312289269507</c:v>
                </c:pt>
                <c:pt idx="47">
                  <c:v>1.5876394070760136</c:v>
                </c:pt>
                <c:pt idx="48">
                  <c:v>1.4319767927832183</c:v>
                </c:pt>
                <c:pt idx="49">
                  <c:v>0.67547965402606425</c:v>
                </c:pt>
                <c:pt idx="50">
                  <c:v>1.4222967969345894</c:v>
                </c:pt>
                <c:pt idx="51">
                  <c:v>1.5672228850657799</c:v>
                </c:pt>
                <c:pt idx="52">
                  <c:v>1.5686553338018536</c:v>
                </c:pt>
                <c:pt idx="53">
                  <c:v>1.3118616126942275</c:v>
                </c:pt>
                <c:pt idx="54">
                  <c:v>1.5787898913536158</c:v>
                </c:pt>
                <c:pt idx="55">
                  <c:v>0.66978477770995826</c:v>
                </c:pt>
                <c:pt idx="56">
                  <c:v>0.79617717983221148</c:v>
                </c:pt>
                <c:pt idx="57">
                  <c:v>1.8772413952629297</c:v>
                </c:pt>
                <c:pt idx="58">
                  <c:v>1.7843805512927233</c:v>
                </c:pt>
                <c:pt idx="59">
                  <c:v>1.2040896542704418</c:v>
                </c:pt>
                <c:pt idx="60">
                  <c:v>1.4523814364441141</c:v>
                </c:pt>
                <c:pt idx="61">
                  <c:v>1.4569207585762061</c:v>
                </c:pt>
                <c:pt idx="62">
                  <c:v>1.4895671560713069</c:v>
                </c:pt>
                <c:pt idx="63">
                  <c:v>1.6879287321794925</c:v>
                </c:pt>
                <c:pt idx="64">
                  <c:v>1.8916654164461844</c:v>
                </c:pt>
                <c:pt idx="65">
                  <c:v>1.3086835832811714</c:v>
                </c:pt>
                <c:pt idx="66">
                  <c:v>1.4580621563425875</c:v>
                </c:pt>
                <c:pt idx="67">
                  <c:v>1.0510769605853509</c:v>
                </c:pt>
                <c:pt idx="68">
                  <c:v>1.6570048543546725</c:v>
                </c:pt>
                <c:pt idx="69">
                  <c:v>1.8833720814061492</c:v>
                </c:pt>
                <c:pt idx="70">
                  <c:v>1.7122100706631347</c:v>
                </c:pt>
                <c:pt idx="71">
                  <c:v>1.3545513077097442</c:v>
                </c:pt>
                <c:pt idx="72">
                  <c:v>1.3881376944308057</c:v>
                </c:pt>
                <c:pt idx="73">
                  <c:v>1.397646142311989</c:v>
                </c:pt>
                <c:pt idx="74">
                  <c:v>1.5809535110378286</c:v>
                </c:pt>
                <c:pt idx="75">
                  <c:v>1.5413330766179452</c:v>
                </c:pt>
                <c:pt idx="76">
                  <c:v>1.637895367141279</c:v>
                </c:pt>
                <c:pt idx="77">
                  <c:v>1.6754316207510644</c:v>
                </c:pt>
                <c:pt idx="78">
                  <c:v>1.3024175218740974</c:v>
                </c:pt>
                <c:pt idx="79">
                  <c:v>1.2028536420529865</c:v>
                </c:pt>
                <c:pt idx="80">
                  <c:v>2.004984600346813</c:v>
                </c:pt>
                <c:pt idx="81">
                  <c:v>1.8921311414284872</c:v>
                </c:pt>
                <c:pt idx="82">
                  <c:v>1.5612427314617385</c:v>
                </c:pt>
                <c:pt idx="83">
                  <c:v>1.5607172772959097</c:v>
                </c:pt>
                <c:pt idx="84">
                  <c:v>1.902055662347133</c:v>
                </c:pt>
                <c:pt idx="85">
                  <c:v>1.6018001699900584</c:v>
                </c:pt>
                <c:pt idx="86">
                  <c:v>1.8473046279665919</c:v>
                </c:pt>
                <c:pt idx="87">
                  <c:v>1.4282460483533246</c:v>
                </c:pt>
                <c:pt idx="88">
                  <c:v>1.1698269929064828</c:v>
                </c:pt>
                <c:pt idx="89">
                  <c:v>1.3129347279669237</c:v>
                </c:pt>
                <c:pt idx="90">
                  <c:v>1.5327285237296668</c:v>
                </c:pt>
                <c:pt idx="91">
                  <c:v>1.626277691288798</c:v>
                </c:pt>
                <c:pt idx="92">
                  <c:v>1.3755028113790311</c:v>
                </c:pt>
                <c:pt idx="93">
                  <c:v>1.4550798096869981</c:v>
                </c:pt>
                <c:pt idx="94">
                  <c:v>1.9668645171818122</c:v>
                </c:pt>
                <c:pt idx="95">
                  <c:v>1.430485848488779</c:v>
                </c:pt>
                <c:pt idx="96">
                  <c:v>1.7191123796863759</c:v>
                </c:pt>
                <c:pt idx="97">
                  <c:v>1.0457739938940052</c:v>
                </c:pt>
                <c:pt idx="98">
                  <c:v>1.1121941021112296</c:v>
                </c:pt>
                <c:pt idx="99">
                  <c:v>1.8418182722014838</c:v>
                </c:pt>
                <c:pt idx="100">
                  <c:v>2.0444137459699223</c:v>
                </c:pt>
                <c:pt idx="101">
                  <c:v>1.9655759233124945</c:v>
                </c:pt>
                <c:pt idx="102">
                  <c:v>1.9682025690690996</c:v>
                </c:pt>
                <c:pt idx="103">
                  <c:v>2.1017437207623533</c:v>
                </c:pt>
                <c:pt idx="104">
                  <c:v>1.9480862275233495</c:v>
                </c:pt>
                <c:pt idx="105">
                  <c:v>2.0923923293301905</c:v>
                </c:pt>
                <c:pt idx="106">
                  <c:v>2.3276269821456679</c:v>
                </c:pt>
                <c:pt idx="107">
                  <c:v>2.092736673100478</c:v>
                </c:pt>
                <c:pt idx="108">
                  <c:v>2.1345959879393099</c:v>
                </c:pt>
                <c:pt idx="109">
                  <c:v>1.907870821365161</c:v>
                </c:pt>
                <c:pt idx="110">
                  <c:v>1.8947610968576669</c:v>
                </c:pt>
                <c:pt idx="111">
                  <c:v>2.2097498255182444</c:v>
                </c:pt>
                <c:pt idx="112">
                  <c:v>2.0745178092641279</c:v>
                </c:pt>
                <c:pt idx="113">
                  <c:v>1.8207416557501288</c:v>
                </c:pt>
                <c:pt idx="114">
                  <c:v>2.07430454451038</c:v>
                </c:pt>
                <c:pt idx="115">
                  <c:v>2.1068555954793435</c:v>
                </c:pt>
                <c:pt idx="116">
                  <c:v>2.5362400387966684</c:v>
                </c:pt>
                <c:pt idx="117">
                  <c:v>2.1414956986763825</c:v>
                </c:pt>
                <c:pt idx="118">
                  <c:v>2.1003821746169971</c:v>
                </c:pt>
                <c:pt idx="119">
                  <c:v>2.1758593204710728</c:v>
                </c:pt>
                <c:pt idx="120">
                  <c:v>1.7596770490369011</c:v>
                </c:pt>
                <c:pt idx="121">
                  <c:v>2.2954163049754293</c:v>
                </c:pt>
                <c:pt idx="122">
                  <c:v>2.1094563801324799</c:v>
                </c:pt>
                <c:pt idx="123">
                  <c:v>1.887053545004691</c:v>
                </c:pt>
                <c:pt idx="124">
                  <c:v>2.2313619567564009</c:v>
                </c:pt>
                <c:pt idx="125">
                  <c:v>1.8161153216597159</c:v>
                </c:pt>
                <c:pt idx="126">
                  <c:v>1.9864103214739903</c:v>
                </c:pt>
                <c:pt idx="127">
                  <c:v>1.8018288762718788</c:v>
                </c:pt>
                <c:pt idx="128">
                  <c:v>2.1019760051366227</c:v>
                </c:pt>
                <c:pt idx="129">
                  <c:v>1.6838807355889482</c:v>
                </c:pt>
                <c:pt idx="130">
                  <c:v>2.1778784397271074</c:v>
                </c:pt>
                <c:pt idx="131">
                  <c:v>2.0793282449785186</c:v>
                </c:pt>
                <c:pt idx="132">
                  <c:v>2.1107701086052364</c:v>
                </c:pt>
                <c:pt idx="133">
                  <c:v>2.1419061698664703</c:v>
                </c:pt>
                <c:pt idx="134">
                  <c:v>1.9790574055346508</c:v>
                </c:pt>
                <c:pt idx="135">
                  <c:v>2.1532694608504372</c:v>
                </c:pt>
                <c:pt idx="136">
                  <c:v>2.0947649063531655</c:v>
                </c:pt>
                <c:pt idx="137">
                  <c:v>2.4305010012305281</c:v>
                </c:pt>
                <c:pt idx="138">
                  <c:v>1.6545171000926324</c:v>
                </c:pt>
                <c:pt idx="139">
                  <c:v>2.0878106684134186</c:v>
                </c:pt>
                <c:pt idx="140">
                  <c:v>1.816087375222627</c:v>
                </c:pt>
                <c:pt idx="141">
                  <c:v>1.7478834363329394</c:v>
                </c:pt>
                <c:pt idx="142">
                  <c:v>2.4451744244344207</c:v>
                </c:pt>
                <c:pt idx="143">
                  <c:v>2.343356146925661</c:v>
                </c:pt>
                <c:pt idx="144">
                  <c:v>2.0878587363840841</c:v>
                </c:pt>
                <c:pt idx="145">
                  <c:v>1.9517045964471893</c:v>
                </c:pt>
                <c:pt idx="146">
                  <c:v>2.1943461122648773</c:v>
                </c:pt>
                <c:pt idx="147">
                  <c:v>2.225895202088835</c:v>
                </c:pt>
                <c:pt idx="148">
                  <c:v>2.3515670923446645</c:v>
                </c:pt>
                <c:pt idx="149">
                  <c:v>2.1264301603101226</c:v>
                </c:pt>
                <c:pt idx="150">
                  <c:v>1.6757404364551844</c:v>
                </c:pt>
                <c:pt idx="151">
                  <c:v>1.915238717131253</c:v>
                </c:pt>
                <c:pt idx="152">
                  <c:v>2.2212058842118525</c:v>
                </c:pt>
                <c:pt idx="153">
                  <c:v>2.1504252033144415</c:v>
                </c:pt>
                <c:pt idx="154">
                  <c:v>2.1685540231319824</c:v>
                </c:pt>
                <c:pt idx="155">
                  <c:v>2.0258812157203434</c:v>
                </c:pt>
                <c:pt idx="156">
                  <c:v>2.5721347939533721</c:v>
                </c:pt>
                <c:pt idx="157">
                  <c:v>2.1288443732461046</c:v>
                </c:pt>
                <c:pt idx="158">
                  <c:v>2.0508044497864915</c:v>
                </c:pt>
                <c:pt idx="159">
                  <c:v>2.032078466981996</c:v>
                </c:pt>
                <c:pt idx="160">
                  <c:v>2.0892526142640877</c:v>
                </c:pt>
                <c:pt idx="161">
                  <c:v>2.1255207182248039</c:v>
                </c:pt>
                <c:pt idx="162">
                  <c:v>2.5225891855306855</c:v>
                </c:pt>
                <c:pt idx="163">
                  <c:v>2.4027902864736177</c:v>
                </c:pt>
                <c:pt idx="164">
                  <c:v>2.1599284114834525</c:v>
                </c:pt>
                <c:pt idx="165">
                  <c:v>2.1008420260695644</c:v>
                </c:pt>
                <c:pt idx="166">
                  <c:v>2.071003057787387</c:v>
                </c:pt>
                <c:pt idx="167">
                  <c:v>2.2421138094732904</c:v>
                </c:pt>
                <c:pt idx="168">
                  <c:v>2.2740095132799949</c:v>
                </c:pt>
                <c:pt idx="169">
                  <c:v>2.2520110241881461</c:v>
                </c:pt>
                <c:pt idx="170">
                  <c:v>1.9345926259364801</c:v>
                </c:pt>
                <c:pt idx="171">
                  <c:v>2.4988076772586676</c:v>
                </c:pt>
                <c:pt idx="172">
                  <c:v>1.9264540195853272</c:v>
                </c:pt>
                <c:pt idx="173">
                  <c:v>2.2373873541519389</c:v>
                </c:pt>
                <c:pt idx="174">
                  <c:v>1.9887822312240422</c:v>
                </c:pt>
                <c:pt idx="175">
                  <c:v>2.1367710318233115</c:v>
                </c:pt>
                <c:pt idx="176">
                  <c:v>1.7756618229802137</c:v>
                </c:pt>
                <c:pt idx="177">
                  <c:v>2.235370585036081</c:v>
                </c:pt>
                <c:pt idx="178">
                  <c:v>1.7485173778882501</c:v>
                </c:pt>
                <c:pt idx="179">
                  <c:v>2.4966435366157986</c:v>
                </c:pt>
                <c:pt idx="180">
                  <c:v>2.3241533360688797</c:v>
                </c:pt>
                <c:pt idx="181">
                  <c:v>1.6219494063431752</c:v>
                </c:pt>
                <c:pt idx="182">
                  <c:v>2.1917070454528731</c:v>
                </c:pt>
                <c:pt idx="183">
                  <c:v>1.8582971907677783</c:v>
                </c:pt>
                <c:pt idx="184">
                  <c:v>2.1714927940142879</c:v>
                </c:pt>
                <c:pt idx="185">
                  <c:v>1.8026321678615014</c:v>
                </c:pt>
                <c:pt idx="186">
                  <c:v>2.1073327909397719</c:v>
                </c:pt>
                <c:pt idx="187">
                  <c:v>2.3262707260996245</c:v>
                </c:pt>
                <c:pt idx="188">
                  <c:v>2.0620811319346113</c:v>
                </c:pt>
                <c:pt idx="189">
                  <c:v>2.2085740422024189</c:v>
                </c:pt>
                <c:pt idx="190">
                  <c:v>2.5138919754769784</c:v>
                </c:pt>
                <c:pt idx="191">
                  <c:v>2.0877196413034618</c:v>
                </c:pt>
                <c:pt idx="192">
                  <c:v>2.0609330793806624</c:v>
                </c:pt>
                <c:pt idx="193">
                  <c:v>2.2377729675714555</c:v>
                </c:pt>
                <c:pt idx="194">
                  <c:v>2.4671848907576037</c:v>
                </c:pt>
                <c:pt idx="195">
                  <c:v>2.0617685839223947</c:v>
                </c:pt>
                <c:pt idx="196">
                  <c:v>2.0552667886310556</c:v>
                </c:pt>
                <c:pt idx="197">
                  <c:v>2.095485349188809</c:v>
                </c:pt>
                <c:pt idx="198">
                  <c:v>1.8581672609792896</c:v>
                </c:pt>
                <c:pt idx="199">
                  <c:v>2.0252869469593611</c:v>
                </c:pt>
              </c:numCache>
            </c:numRef>
          </c:xVal>
          <c:yVal>
            <c:numRef>
              <c:f>oval!$AB$2:$AB$201</c:f>
              <c:numCache>
                <c:formatCode>General</c:formatCode>
                <c:ptCount val="200"/>
                <c:pt idx="0">
                  <c:v>2.0004667662649669</c:v>
                </c:pt>
                <c:pt idx="1">
                  <c:v>2.0561434717737654</c:v>
                </c:pt>
                <c:pt idx="2">
                  <c:v>1.9005092139973034</c:v>
                </c:pt>
                <c:pt idx="3">
                  <c:v>1.7185543506513166</c:v>
                </c:pt>
                <c:pt idx="4">
                  <c:v>1.3586280137942683</c:v>
                </c:pt>
                <c:pt idx="5">
                  <c:v>1.8692380516906195</c:v>
                </c:pt>
                <c:pt idx="6">
                  <c:v>0.39549889258489257</c:v>
                </c:pt>
                <c:pt idx="7">
                  <c:v>2.0785005197584514</c:v>
                </c:pt>
                <c:pt idx="8">
                  <c:v>1.9047331891945087</c:v>
                </c:pt>
                <c:pt idx="9">
                  <c:v>1.7839674730815718</c:v>
                </c:pt>
                <c:pt idx="10">
                  <c:v>1.8344985924719168</c:v>
                </c:pt>
                <c:pt idx="11">
                  <c:v>1.7086726183478078</c:v>
                </c:pt>
                <c:pt idx="12">
                  <c:v>0.99196728892428099</c:v>
                </c:pt>
                <c:pt idx="13">
                  <c:v>2.1074969839935203</c:v>
                </c:pt>
                <c:pt idx="14">
                  <c:v>1.1324001317694452</c:v>
                </c:pt>
                <c:pt idx="15">
                  <c:v>1.6235112711113451</c:v>
                </c:pt>
                <c:pt idx="16">
                  <c:v>1.7414785843068161</c:v>
                </c:pt>
                <c:pt idx="17">
                  <c:v>1.5941465128407937</c:v>
                </c:pt>
                <c:pt idx="18">
                  <c:v>0.81700180498618402</c:v>
                </c:pt>
                <c:pt idx="19">
                  <c:v>1.9526890876792189</c:v>
                </c:pt>
                <c:pt idx="20">
                  <c:v>2.0788794064700231</c:v>
                </c:pt>
                <c:pt idx="21">
                  <c:v>2.0449781253916379</c:v>
                </c:pt>
                <c:pt idx="22">
                  <c:v>0.99010310930192114</c:v>
                </c:pt>
                <c:pt idx="23">
                  <c:v>2.0603942178571502</c:v>
                </c:pt>
                <c:pt idx="24">
                  <c:v>2.0538122478064658</c:v>
                </c:pt>
                <c:pt idx="25">
                  <c:v>1.988527105737139</c:v>
                </c:pt>
                <c:pt idx="26">
                  <c:v>1.4955044863607561</c:v>
                </c:pt>
                <c:pt idx="27">
                  <c:v>1.1082189464280101</c:v>
                </c:pt>
                <c:pt idx="28">
                  <c:v>1.4640505434714333</c:v>
                </c:pt>
                <c:pt idx="29">
                  <c:v>1.8210153581220738</c:v>
                </c:pt>
                <c:pt idx="30">
                  <c:v>2.1524641630933847</c:v>
                </c:pt>
                <c:pt idx="31">
                  <c:v>1.1426050355572972</c:v>
                </c:pt>
                <c:pt idx="32">
                  <c:v>1.8382677896619222</c:v>
                </c:pt>
                <c:pt idx="33">
                  <c:v>1.7811018103661038</c:v>
                </c:pt>
                <c:pt idx="34">
                  <c:v>1.2186531299826318</c:v>
                </c:pt>
                <c:pt idx="35">
                  <c:v>1.9834689977117874</c:v>
                </c:pt>
                <c:pt idx="36">
                  <c:v>1.809050598653861</c:v>
                </c:pt>
                <c:pt idx="37">
                  <c:v>1.1305448827564544</c:v>
                </c:pt>
                <c:pt idx="38">
                  <c:v>0.82822049503658279</c:v>
                </c:pt>
                <c:pt idx="39">
                  <c:v>1.2093537997030641</c:v>
                </c:pt>
                <c:pt idx="40">
                  <c:v>0.86950705066881939</c:v>
                </c:pt>
                <c:pt idx="41">
                  <c:v>1.7311102729081693</c:v>
                </c:pt>
                <c:pt idx="42">
                  <c:v>1.080307872107342</c:v>
                </c:pt>
                <c:pt idx="43">
                  <c:v>1.8209927654792306</c:v>
                </c:pt>
                <c:pt idx="44">
                  <c:v>1.704108057370417</c:v>
                </c:pt>
                <c:pt idx="45">
                  <c:v>1.9426933640562123</c:v>
                </c:pt>
                <c:pt idx="46">
                  <c:v>0.63628087299623082</c:v>
                </c:pt>
                <c:pt idx="47">
                  <c:v>1.926137794853761</c:v>
                </c:pt>
                <c:pt idx="48">
                  <c:v>1.6878806927880148</c:v>
                </c:pt>
                <c:pt idx="49">
                  <c:v>0.69968294462713432</c:v>
                </c:pt>
                <c:pt idx="50">
                  <c:v>1.5444628939825586</c:v>
                </c:pt>
                <c:pt idx="51">
                  <c:v>2.2407920002449089</c:v>
                </c:pt>
                <c:pt idx="52">
                  <c:v>1.6092098002124726</c:v>
                </c:pt>
                <c:pt idx="53">
                  <c:v>1.4578026742953047</c:v>
                </c:pt>
                <c:pt idx="54">
                  <c:v>2.0121533846112989</c:v>
                </c:pt>
                <c:pt idx="55">
                  <c:v>1.281590104719015</c:v>
                </c:pt>
                <c:pt idx="56">
                  <c:v>0.65619271676913971</c:v>
                </c:pt>
                <c:pt idx="57">
                  <c:v>1.9848821316016545</c:v>
                </c:pt>
                <c:pt idx="58">
                  <c:v>2.0809956742811937</c:v>
                </c:pt>
                <c:pt idx="59">
                  <c:v>1.2030533638583052</c:v>
                </c:pt>
                <c:pt idx="60">
                  <c:v>1.6193830301116985</c:v>
                </c:pt>
                <c:pt idx="61">
                  <c:v>1.7702010036530318</c:v>
                </c:pt>
                <c:pt idx="62">
                  <c:v>1.7541320590151668</c:v>
                </c:pt>
                <c:pt idx="63">
                  <c:v>2.1223068599127162</c:v>
                </c:pt>
                <c:pt idx="64">
                  <c:v>2.0015945398139068</c:v>
                </c:pt>
                <c:pt idx="65">
                  <c:v>1.5097834538889254</c:v>
                </c:pt>
                <c:pt idx="66">
                  <c:v>1.7294150081960775</c:v>
                </c:pt>
                <c:pt idx="67">
                  <c:v>1.2681953917196063</c:v>
                </c:pt>
                <c:pt idx="68">
                  <c:v>1.8386134955540061</c:v>
                </c:pt>
                <c:pt idx="69">
                  <c:v>1.99976896888001</c:v>
                </c:pt>
                <c:pt idx="70">
                  <c:v>1.7683951181255007</c:v>
                </c:pt>
                <c:pt idx="71">
                  <c:v>1.8257539852212488</c:v>
                </c:pt>
                <c:pt idx="72">
                  <c:v>1.870836738629738</c:v>
                </c:pt>
                <c:pt idx="73">
                  <c:v>1.7708655610491633</c:v>
                </c:pt>
                <c:pt idx="74">
                  <c:v>2.103058413587501</c:v>
                </c:pt>
                <c:pt idx="75">
                  <c:v>1.7282616753491054</c:v>
                </c:pt>
                <c:pt idx="76">
                  <c:v>1.7193651096339604</c:v>
                </c:pt>
                <c:pt idx="77">
                  <c:v>1.4262089973422734</c:v>
                </c:pt>
                <c:pt idx="78">
                  <c:v>1.4959747915328052</c:v>
                </c:pt>
                <c:pt idx="79">
                  <c:v>1.4669579470864498</c:v>
                </c:pt>
                <c:pt idx="80">
                  <c:v>1.8808727169689081</c:v>
                </c:pt>
                <c:pt idx="81">
                  <c:v>1.685293940670586</c:v>
                </c:pt>
                <c:pt idx="82">
                  <c:v>1.4647054435233784</c:v>
                </c:pt>
                <c:pt idx="83">
                  <c:v>2.1199792044382617</c:v>
                </c:pt>
                <c:pt idx="84">
                  <c:v>1.6262596802823956</c:v>
                </c:pt>
                <c:pt idx="85">
                  <c:v>1.7993319117768951</c:v>
                </c:pt>
                <c:pt idx="86">
                  <c:v>1.8887936803017171</c:v>
                </c:pt>
                <c:pt idx="87">
                  <c:v>1.9733428703004852</c:v>
                </c:pt>
                <c:pt idx="88">
                  <c:v>1.5458097486953295</c:v>
                </c:pt>
                <c:pt idx="89">
                  <c:v>1.6690208839644374</c:v>
                </c:pt>
                <c:pt idx="90">
                  <c:v>1.761703823732085</c:v>
                </c:pt>
                <c:pt idx="91">
                  <c:v>2.0823409874033478</c:v>
                </c:pt>
                <c:pt idx="92">
                  <c:v>1.1760697670870071</c:v>
                </c:pt>
                <c:pt idx="93">
                  <c:v>1.8028664801047427</c:v>
                </c:pt>
                <c:pt idx="94">
                  <c:v>1.860026774481079</c:v>
                </c:pt>
                <c:pt idx="95">
                  <c:v>1.6544351678450131</c:v>
                </c:pt>
                <c:pt idx="96">
                  <c:v>1.8799061793516696</c:v>
                </c:pt>
                <c:pt idx="97">
                  <c:v>1.3819716618677067</c:v>
                </c:pt>
                <c:pt idx="98">
                  <c:v>1.0018699103167932</c:v>
                </c:pt>
                <c:pt idx="99">
                  <c:v>1.7334151042757613</c:v>
                </c:pt>
                <c:pt idx="100">
                  <c:v>0.28444746098561124</c:v>
                </c:pt>
                <c:pt idx="101">
                  <c:v>0.12860410630752017</c:v>
                </c:pt>
                <c:pt idx="102">
                  <c:v>1.2643251135336162</c:v>
                </c:pt>
                <c:pt idx="103">
                  <c:v>0.33888239220928396</c:v>
                </c:pt>
                <c:pt idx="104">
                  <c:v>0.55639495531568695</c:v>
                </c:pt>
                <c:pt idx="105">
                  <c:v>0.25924843583003787</c:v>
                </c:pt>
                <c:pt idx="106">
                  <c:v>1.0699038695582666</c:v>
                </c:pt>
                <c:pt idx="107">
                  <c:v>0.45248932216244936</c:v>
                </c:pt>
                <c:pt idx="108">
                  <c:v>1.3635935033934006</c:v>
                </c:pt>
                <c:pt idx="109">
                  <c:v>0.10284795587064788</c:v>
                </c:pt>
                <c:pt idx="110">
                  <c:v>0.20086690195520318</c:v>
                </c:pt>
                <c:pt idx="111">
                  <c:v>0.19765519742373494</c:v>
                </c:pt>
                <c:pt idx="112">
                  <c:v>0.32491301409134787</c:v>
                </c:pt>
                <c:pt idx="113">
                  <c:v>0.12963891656677218</c:v>
                </c:pt>
                <c:pt idx="114">
                  <c:v>0.18018842814779046</c:v>
                </c:pt>
                <c:pt idx="115">
                  <c:v>0.39789893359010797</c:v>
                </c:pt>
                <c:pt idx="116">
                  <c:v>0.3118133172079639</c:v>
                </c:pt>
                <c:pt idx="117">
                  <c:v>0.47217073526774261</c:v>
                </c:pt>
                <c:pt idx="118">
                  <c:v>0.40764564293354183</c:v>
                </c:pt>
                <c:pt idx="119">
                  <c:v>0.53778307126086689</c:v>
                </c:pt>
                <c:pt idx="120">
                  <c:v>1.003361040744998</c:v>
                </c:pt>
                <c:pt idx="121">
                  <c:v>0.11919501606859617</c:v>
                </c:pt>
                <c:pt idx="122">
                  <c:v>0.39509409795425099</c:v>
                </c:pt>
                <c:pt idx="123">
                  <c:v>0.5839207913165142</c:v>
                </c:pt>
                <c:pt idx="124">
                  <c:v>0.23188668383434374</c:v>
                </c:pt>
                <c:pt idx="125">
                  <c:v>0.38997567549698964</c:v>
                </c:pt>
                <c:pt idx="126">
                  <c:v>0.82036841073343147</c:v>
                </c:pt>
                <c:pt idx="127">
                  <c:v>0.19562874569284994</c:v>
                </c:pt>
                <c:pt idx="128">
                  <c:v>1.5055423554021989</c:v>
                </c:pt>
                <c:pt idx="129">
                  <c:v>0.24778424586418035</c:v>
                </c:pt>
                <c:pt idx="130">
                  <c:v>0.37418086502593939</c:v>
                </c:pt>
                <c:pt idx="131">
                  <c:v>0.38081019638452673</c:v>
                </c:pt>
                <c:pt idx="132">
                  <c:v>0.41943878676440499</c:v>
                </c:pt>
                <c:pt idx="133">
                  <c:v>0.47959886580217576</c:v>
                </c:pt>
                <c:pt idx="134">
                  <c:v>0.21838872479609794</c:v>
                </c:pt>
                <c:pt idx="135">
                  <c:v>0.2378629245778261</c:v>
                </c:pt>
                <c:pt idx="136">
                  <c:v>0.41973656529673481</c:v>
                </c:pt>
                <c:pt idx="137">
                  <c:v>0.3129118657703932</c:v>
                </c:pt>
                <c:pt idx="138">
                  <c:v>0.3568410760256423</c:v>
                </c:pt>
                <c:pt idx="139">
                  <c:v>1.0327932862823133</c:v>
                </c:pt>
                <c:pt idx="140">
                  <c:v>0.13001455982560384</c:v>
                </c:pt>
                <c:pt idx="141">
                  <c:v>0.83178318204745438</c:v>
                </c:pt>
                <c:pt idx="142">
                  <c:v>0.13172313849205397</c:v>
                </c:pt>
                <c:pt idx="143">
                  <c:v>0.68704415609804625</c:v>
                </c:pt>
                <c:pt idx="144">
                  <c:v>1.1537191289024311</c:v>
                </c:pt>
                <c:pt idx="145">
                  <c:v>0.7737300462254032</c:v>
                </c:pt>
                <c:pt idx="146">
                  <c:v>0.45594131771193069</c:v>
                </c:pt>
                <c:pt idx="147">
                  <c:v>0.19831897963111789</c:v>
                </c:pt>
                <c:pt idx="148">
                  <c:v>0.12757022401590057</c:v>
                </c:pt>
                <c:pt idx="149">
                  <c:v>0.11863774236858426</c:v>
                </c:pt>
                <c:pt idx="150">
                  <c:v>0.65068863177703151</c:v>
                </c:pt>
                <c:pt idx="151">
                  <c:v>0.27348126641594661</c:v>
                </c:pt>
                <c:pt idx="152">
                  <c:v>0.21173901272132067</c:v>
                </c:pt>
                <c:pt idx="153">
                  <c:v>0.23981853649710427</c:v>
                </c:pt>
                <c:pt idx="154">
                  <c:v>0.79991324616554227</c:v>
                </c:pt>
                <c:pt idx="155">
                  <c:v>1.0824132438400342</c:v>
                </c:pt>
                <c:pt idx="156">
                  <c:v>0.52912820325282994</c:v>
                </c:pt>
                <c:pt idx="157">
                  <c:v>0.3957878538355406</c:v>
                </c:pt>
                <c:pt idx="158">
                  <c:v>0.34020072822606362</c:v>
                </c:pt>
                <c:pt idx="159">
                  <c:v>0.70498675338566097</c:v>
                </c:pt>
                <c:pt idx="160">
                  <c:v>0.31654707901973045</c:v>
                </c:pt>
                <c:pt idx="161">
                  <c:v>0.40669554242270234</c:v>
                </c:pt>
                <c:pt idx="162">
                  <c:v>0.43745979654021722</c:v>
                </c:pt>
                <c:pt idx="163">
                  <c:v>0.93848904294083035</c:v>
                </c:pt>
                <c:pt idx="164">
                  <c:v>0.23279930271786997</c:v>
                </c:pt>
                <c:pt idx="165">
                  <c:v>0.28910589623883542</c:v>
                </c:pt>
                <c:pt idx="166">
                  <c:v>1.2690574244879453</c:v>
                </c:pt>
                <c:pt idx="167">
                  <c:v>0.23380684639911242</c:v>
                </c:pt>
                <c:pt idx="168">
                  <c:v>1.2957480521397864</c:v>
                </c:pt>
                <c:pt idx="169">
                  <c:v>0.22060181728534534</c:v>
                </c:pt>
                <c:pt idx="170">
                  <c:v>0.73941221428588932</c:v>
                </c:pt>
                <c:pt idx="171">
                  <c:v>0.20414828670864682</c:v>
                </c:pt>
                <c:pt idx="172">
                  <c:v>0.10225967117456103</c:v>
                </c:pt>
                <c:pt idx="173">
                  <c:v>0.38113357205664256</c:v>
                </c:pt>
                <c:pt idx="174">
                  <c:v>0.45234618018845119</c:v>
                </c:pt>
                <c:pt idx="175">
                  <c:v>0.3931048229552887</c:v>
                </c:pt>
                <c:pt idx="176">
                  <c:v>0.28095161857225615</c:v>
                </c:pt>
                <c:pt idx="177">
                  <c:v>0.20152896304578938</c:v>
                </c:pt>
                <c:pt idx="178">
                  <c:v>0.17978333495470433</c:v>
                </c:pt>
                <c:pt idx="179">
                  <c:v>0.98144221164929446</c:v>
                </c:pt>
                <c:pt idx="180">
                  <c:v>0.42433620120415344</c:v>
                </c:pt>
                <c:pt idx="181">
                  <c:v>0.23106947843754777</c:v>
                </c:pt>
                <c:pt idx="182">
                  <c:v>0.88321949086790352</c:v>
                </c:pt>
                <c:pt idx="183">
                  <c:v>0.55380468526856086</c:v>
                </c:pt>
                <c:pt idx="184">
                  <c:v>0.3278133702398266</c:v>
                </c:pt>
                <c:pt idx="185">
                  <c:v>0.89289708675120161</c:v>
                </c:pt>
                <c:pt idx="186">
                  <c:v>0.30472261470115714</c:v>
                </c:pt>
                <c:pt idx="187">
                  <c:v>0.35174490672997272</c:v>
                </c:pt>
                <c:pt idx="188">
                  <c:v>0.80161699337106884</c:v>
                </c:pt>
                <c:pt idx="189">
                  <c:v>0.30188931351362314</c:v>
                </c:pt>
                <c:pt idx="190">
                  <c:v>0.20034492080919242</c:v>
                </c:pt>
                <c:pt idx="191">
                  <c:v>0.40716920794072797</c:v>
                </c:pt>
                <c:pt idx="192">
                  <c:v>0.24541424340310869</c:v>
                </c:pt>
                <c:pt idx="193">
                  <c:v>0.53517398155083806</c:v>
                </c:pt>
                <c:pt idx="194">
                  <c:v>0.44311121346392957</c:v>
                </c:pt>
                <c:pt idx="195">
                  <c:v>0.10031839982945512</c:v>
                </c:pt>
                <c:pt idx="196">
                  <c:v>0.76989363486546758</c:v>
                </c:pt>
                <c:pt idx="197">
                  <c:v>0.37556356997605878</c:v>
                </c:pt>
                <c:pt idx="198">
                  <c:v>1.3341650481294951</c:v>
                </c:pt>
                <c:pt idx="199">
                  <c:v>0.20183709831226326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3A-4F97-8E80-4EE693D5A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421375"/>
        <c:axId val="1957318735"/>
      </c:scatterChart>
      <c:valAx>
        <c:axId val="207242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7318735"/>
        <c:crosses val="autoZero"/>
        <c:crossBetween val="midCat"/>
      </c:valAx>
      <c:valAx>
        <c:axId val="195731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242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oval!$AE$14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oval!$AD$15:$AD$27</c:f>
              <c:numCache>
                <c:formatCode>General</c:formatCode>
                <c:ptCount val="13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</c:numCache>
            </c:numRef>
          </c:cat>
          <c:val>
            <c:numRef>
              <c:f>oval!$AE$15:$AE$27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8</c:v>
                </c:pt>
                <c:pt idx="4">
                  <c:v>2</c:v>
                </c:pt>
                <c:pt idx="5">
                  <c:v>6</c:v>
                </c:pt>
                <c:pt idx="6">
                  <c:v>16</c:v>
                </c:pt>
                <c:pt idx="7">
                  <c:v>33</c:v>
                </c:pt>
                <c:pt idx="8">
                  <c:v>27</c:v>
                </c:pt>
                <c:pt idx="9">
                  <c:v>30</c:v>
                </c:pt>
                <c:pt idx="10">
                  <c:v>47</c:v>
                </c:pt>
                <c:pt idx="11">
                  <c:v>17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6-4120-8194-6568D174D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330364447"/>
        <c:axId val="2074122879"/>
      </c:barChart>
      <c:catAx>
        <c:axId val="330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4122879"/>
        <c:crosses val="autoZero"/>
        <c:auto val="1"/>
        <c:lblAlgn val="ctr"/>
        <c:lblOffset val="100"/>
        <c:noMultiLvlLbl val="0"/>
      </c:catAx>
      <c:valAx>
        <c:axId val="20741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0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oval!$AF$14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oval!$AD$15:$AD$27</c:f>
              <c:numCache>
                <c:formatCode>General</c:formatCode>
                <c:ptCount val="13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</c:numCache>
            </c:numRef>
          </c:cat>
          <c:val>
            <c:numRef>
              <c:f>oval!$AF$15:$AF$27</c:f>
              <c:numCache>
                <c:formatCode>General</c:formatCode>
                <c:ptCount val="13"/>
                <c:pt idx="0">
                  <c:v>15</c:v>
                </c:pt>
                <c:pt idx="1">
                  <c:v>42</c:v>
                </c:pt>
                <c:pt idx="2">
                  <c:v>19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25</c:v>
                </c:pt>
                <c:pt idx="9">
                  <c:v>24</c:v>
                </c:pt>
                <c:pt idx="10">
                  <c:v>16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9-4672-93F2-8AB9D009F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330364447"/>
        <c:axId val="2074122879"/>
      </c:barChart>
      <c:catAx>
        <c:axId val="330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4122879"/>
        <c:crosses val="autoZero"/>
        <c:auto val="1"/>
        <c:lblAlgn val="ctr"/>
        <c:lblOffset val="100"/>
        <c:noMultiLvlLbl val="0"/>
      </c:catAx>
      <c:valAx>
        <c:axId val="20741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0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y-z</a:t>
            </a:r>
            <a:endParaRPr lang="ja-JP" altLang="en-US"/>
          </a:p>
        </c:rich>
      </c:tx>
      <c:layout>
        <c:manualLayout>
          <c:xMode val="edge"/>
          <c:yMode val="edge"/>
          <c:x val="0.6648932098820766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globe!$G$5:$G$204</c:f>
              <c:numCache>
                <c:formatCode>0.0000_ </c:formatCode>
                <c:ptCount val="200"/>
                <c:pt idx="0">
                  <c:v>1.3695330288948281E-2</c:v>
                </c:pt>
                <c:pt idx="1">
                  <c:v>5.7256971260718277E-2</c:v>
                </c:pt>
                <c:pt idx="2">
                  <c:v>-0.2022070276940891</c:v>
                </c:pt>
                <c:pt idx="3">
                  <c:v>-0.83466433219808489</c:v>
                </c:pt>
                <c:pt idx="4">
                  <c:v>1.7156251286761858E-2</c:v>
                </c:pt>
                <c:pt idx="5">
                  <c:v>-0.81360560657980163</c:v>
                </c:pt>
                <c:pt idx="6">
                  <c:v>0.3966347609434755</c:v>
                </c:pt>
                <c:pt idx="7">
                  <c:v>-0.79366057924446831</c:v>
                </c:pt>
                <c:pt idx="8">
                  <c:v>-7.3515095580361775E-2</c:v>
                </c:pt>
                <c:pt idx="9">
                  <c:v>-0.33216358177965949</c:v>
                </c:pt>
                <c:pt idx="10">
                  <c:v>0.37761182568887108</c:v>
                </c:pt>
                <c:pt idx="11">
                  <c:v>-0.12471835475277565</c:v>
                </c:pt>
                <c:pt idx="12">
                  <c:v>1.6153569009311947E-2</c:v>
                </c:pt>
                <c:pt idx="13">
                  <c:v>-0.17368424535274135</c:v>
                </c:pt>
                <c:pt idx="14">
                  <c:v>-0.80046576538962833</c:v>
                </c:pt>
                <c:pt idx="15">
                  <c:v>0.73114243853327976</c:v>
                </c:pt>
                <c:pt idx="16">
                  <c:v>0.73451039978430699</c:v>
                </c:pt>
                <c:pt idx="17">
                  <c:v>0.29266733044027066</c:v>
                </c:pt>
                <c:pt idx="18">
                  <c:v>0.96230373794686808</c:v>
                </c:pt>
                <c:pt idx="19">
                  <c:v>-0.42640326126449196</c:v>
                </c:pt>
                <c:pt idx="20">
                  <c:v>-0.4110460644824514</c:v>
                </c:pt>
                <c:pt idx="21">
                  <c:v>-0.30417819907359628</c:v>
                </c:pt>
                <c:pt idx="22">
                  <c:v>-0.70406223392478573</c:v>
                </c:pt>
                <c:pt idx="23">
                  <c:v>-0.49312093936037449</c:v>
                </c:pt>
                <c:pt idx="24">
                  <c:v>-0.16799356729976284</c:v>
                </c:pt>
                <c:pt idx="25">
                  <c:v>-0.77494005528626742</c:v>
                </c:pt>
                <c:pt idx="26">
                  <c:v>-0.38225688609533154</c:v>
                </c:pt>
                <c:pt idx="27">
                  <c:v>0.23056524898232997</c:v>
                </c:pt>
                <c:pt idx="28">
                  <c:v>-0.17947614429944439</c:v>
                </c:pt>
                <c:pt idx="29">
                  <c:v>-5.6728346752568444E-2</c:v>
                </c:pt>
                <c:pt idx="30">
                  <c:v>-0.30618300267317783</c:v>
                </c:pt>
                <c:pt idx="31">
                  <c:v>-0.97946821342887602</c:v>
                </c:pt>
                <c:pt idx="32">
                  <c:v>6.0988474739241266E-2</c:v>
                </c:pt>
                <c:pt idx="33">
                  <c:v>-0.90902603586074537</c:v>
                </c:pt>
                <c:pt idx="34">
                  <c:v>-0.76764976005153984</c:v>
                </c:pt>
                <c:pt idx="35">
                  <c:v>-0.27800129507238536</c:v>
                </c:pt>
                <c:pt idx="36">
                  <c:v>-0.15005853541660158</c:v>
                </c:pt>
                <c:pt idx="37">
                  <c:v>0.14331868153652824</c:v>
                </c:pt>
                <c:pt idx="38">
                  <c:v>-0.57139971829634228</c:v>
                </c:pt>
                <c:pt idx="39">
                  <c:v>-0.34176582821167945</c:v>
                </c:pt>
                <c:pt idx="40">
                  <c:v>-0.4617218390146256</c:v>
                </c:pt>
                <c:pt idx="41">
                  <c:v>-0.41636493480590053</c:v>
                </c:pt>
                <c:pt idx="42">
                  <c:v>-0.97572653772754681</c:v>
                </c:pt>
                <c:pt idx="43">
                  <c:v>-0.16955179160325759</c:v>
                </c:pt>
                <c:pt idx="44">
                  <c:v>0.86444468131154772</c:v>
                </c:pt>
                <c:pt idx="45">
                  <c:v>-0.53978764952915181</c:v>
                </c:pt>
                <c:pt idx="46">
                  <c:v>-0.52914876959555823</c:v>
                </c:pt>
                <c:pt idx="47">
                  <c:v>0.13305356206972471</c:v>
                </c:pt>
                <c:pt idx="48">
                  <c:v>-0.49500256348133015</c:v>
                </c:pt>
                <c:pt idx="49">
                  <c:v>-0.66608134176487777</c:v>
                </c:pt>
                <c:pt idx="50">
                  <c:v>0.74092817747921647</c:v>
                </c:pt>
                <c:pt idx="51">
                  <c:v>-4.8745163798124089E-2</c:v>
                </c:pt>
                <c:pt idx="52">
                  <c:v>-0.40159610600059886</c:v>
                </c:pt>
                <c:pt idx="53">
                  <c:v>-0.71763672994190497</c:v>
                </c:pt>
                <c:pt idx="54">
                  <c:v>-0.91651139320073516</c:v>
                </c:pt>
                <c:pt idx="55">
                  <c:v>-0.25394534399246882</c:v>
                </c:pt>
                <c:pt idx="56">
                  <c:v>-3.7051722259344E-2</c:v>
                </c:pt>
                <c:pt idx="57">
                  <c:v>-0.98560404412189884</c:v>
                </c:pt>
                <c:pt idx="58">
                  <c:v>0.40485587956658747</c:v>
                </c:pt>
                <c:pt idx="59">
                  <c:v>-0.39141780664349329</c:v>
                </c:pt>
                <c:pt idx="60">
                  <c:v>3.0022452302364794E-3</c:v>
                </c:pt>
                <c:pt idx="61">
                  <c:v>0.22885761011368655</c:v>
                </c:pt>
                <c:pt idx="62">
                  <c:v>-0.12988491171536204</c:v>
                </c:pt>
                <c:pt idx="63">
                  <c:v>-4.8974658951432694E-2</c:v>
                </c:pt>
                <c:pt idx="64">
                  <c:v>-0.96818668526352369</c:v>
                </c:pt>
                <c:pt idx="65">
                  <c:v>0.34354302919087409</c:v>
                </c:pt>
                <c:pt idx="66">
                  <c:v>0.79527893187733589</c:v>
                </c:pt>
                <c:pt idx="67">
                  <c:v>-0.85087315402913666</c:v>
                </c:pt>
                <c:pt idx="68">
                  <c:v>0.75894412507193598</c:v>
                </c:pt>
                <c:pt idx="69">
                  <c:v>-7.2045162283703501E-2</c:v>
                </c:pt>
                <c:pt idx="70">
                  <c:v>-0.14694398406430936</c:v>
                </c:pt>
                <c:pt idx="71">
                  <c:v>0.69572979186128947</c:v>
                </c:pt>
                <c:pt idx="72">
                  <c:v>-0.98566474934301951</c:v>
                </c:pt>
                <c:pt idx="73">
                  <c:v>-0.10858795931128004</c:v>
                </c:pt>
                <c:pt idx="74">
                  <c:v>0.86697290271907956</c:v>
                </c:pt>
                <c:pt idx="75">
                  <c:v>-0.40002559119019704</c:v>
                </c:pt>
                <c:pt idx="76">
                  <c:v>-1.1614609263472716E-2</c:v>
                </c:pt>
                <c:pt idx="77">
                  <c:v>-3.8088252756587088E-2</c:v>
                </c:pt>
                <c:pt idx="78">
                  <c:v>0.58879279749201674</c:v>
                </c:pt>
                <c:pt idx="79">
                  <c:v>-0.36072283262931171</c:v>
                </c:pt>
                <c:pt idx="80">
                  <c:v>-0.16161835607018157</c:v>
                </c:pt>
                <c:pt idx="81">
                  <c:v>-0.68576807908179438</c:v>
                </c:pt>
                <c:pt idx="82">
                  <c:v>6.3146843424859676E-3</c:v>
                </c:pt>
                <c:pt idx="83">
                  <c:v>0.38530988257605225</c:v>
                </c:pt>
                <c:pt idx="84">
                  <c:v>5.6385126154612705E-2</c:v>
                </c:pt>
                <c:pt idx="85">
                  <c:v>-0.33188478373945057</c:v>
                </c:pt>
                <c:pt idx="86">
                  <c:v>-4.9054547822480331E-2</c:v>
                </c:pt>
                <c:pt idx="87">
                  <c:v>5.2345920106619002E-2</c:v>
                </c:pt>
                <c:pt idx="88">
                  <c:v>0.33941735053396027</c:v>
                </c:pt>
                <c:pt idx="89">
                  <c:v>-0.80242388759807715</c:v>
                </c:pt>
                <c:pt idx="90">
                  <c:v>0.8487546455033772</c:v>
                </c:pt>
                <c:pt idx="91">
                  <c:v>-0.53614043925006005</c:v>
                </c:pt>
                <c:pt idx="92">
                  <c:v>0.95747614084514054</c:v>
                </c:pt>
                <c:pt idx="93">
                  <c:v>0.77282218843432748</c:v>
                </c:pt>
                <c:pt idx="94">
                  <c:v>-0.14646433879912016</c:v>
                </c:pt>
                <c:pt idx="95">
                  <c:v>0.63148839422795933</c:v>
                </c:pt>
                <c:pt idx="96">
                  <c:v>-0.828466485475568</c:v>
                </c:pt>
                <c:pt idx="97">
                  <c:v>2.2002666099034021E-2</c:v>
                </c:pt>
                <c:pt idx="98">
                  <c:v>0.59429887184901609</c:v>
                </c:pt>
                <c:pt idx="99">
                  <c:v>0.68680039745283705</c:v>
                </c:pt>
                <c:pt idx="100">
                  <c:v>-0.30686477714441557</c:v>
                </c:pt>
                <c:pt idx="101">
                  <c:v>-0.59431058322245378</c:v>
                </c:pt>
                <c:pt idx="102">
                  <c:v>0.92830417066886584</c:v>
                </c:pt>
                <c:pt idx="103">
                  <c:v>0.26055045788864134</c:v>
                </c:pt>
                <c:pt idx="104">
                  <c:v>-0.50676615525671997</c:v>
                </c:pt>
                <c:pt idx="105">
                  <c:v>0.49923829206329623</c:v>
                </c:pt>
                <c:pt idx="106">
                  <c:v>0.78487193362020158</c:v>
                </c:pt>
                <c:pt idx="107">
                  <c:v>0.20839262253926819</c:v>
                </c:pt>
                <c:pt idx="108">
                  <c:v>-0.34857943678244152</c:v>
                </c:pt>
                <c:pt idx="109">
                  <c:v>-0.70789358993075502</c:v>
                </c:pt>
                <c:pt idx="110">
                  <c:v>-0.56887870400859808</c:v>
                </c:pt>
                <c:pt idx="111">
                  <c:v>-0.56176216834987514</c:v>
                </c:pt>
                <c:pt idx="112">
                  <c:v>-0.37426328019513744</c:v>
                </c:pt>
                <c:pt idx="113">
                  <c:v>0.41741129911077351</c:v>
                </c:pt>
                <c:pt idx="114">
                  <c:v>-0.80819372878144247</c:v>
                </c:pt>
                <c:pt idx="115">
                  <c:v>-0.5315268989798978</c:v>
                </c:pt>
                <c:pt idx="116">
                  <c:v>-5.3598136149435809E-2</c:v>
                </c:pt>
                <c:pt idx="117">
                  <c:v>0.61311883054200467</c:v>
                </c:pt>
                <c:pt idx="118">
                  <c:v>-0.12343813706000588</c:v>
                </c:pt>
                <c:pt idx="119">
                  <c:v>-0.96975249337581915</c:v>
                </c:pt>
                <c:pt idx="120">
                  <c:v>-0.67685098157606616</c:v>
                </c:pt>
                <c:pt idx="121">
                  <c:v>-0.55751965207967358</c:v>
                </c:pt>
                <c:pt idx="122">
                  <c:v>-0.95578836187008887</c:v>
                </c:pt>
                <c:pt idx="123">
                  <c:v>-0.6552090687121751</c:v>
                </c:pt>
                <c:pt idx="124">
                  <c:v>6.4180591896591616E-2</c:v>
                </c:pt>
                <c:pt idx="125">
                  <c:v>0.98481531502550101</c:v>
                </c:pt>
                <c:pt idx="126">
                  <c:v>0.99505060660145161</c:v>
                </c:pt>
                <c:pt idx="127">
                  <c:v>-0.89566734783198265</c:v>
                </c:pt>
                <c:pt idx="128">
                  <c:v>0.92566584092135495</c:v>
                </c:pt>
                <c:pt idx="129">
                  <c:v>0.83917183957248775</c:v>
                </c:pt>
                <c:pt idx="130">
                  <c:v>-0.42337973542361851</c:v>
                </c:pt>
                <c:pt idx="131">
                  <c:v>-0.45061273246789135</c:v>
                </c:pt>
                <c:pt idx="132">
                  <c:v>0.50553290570396359</c:v>
                </c:pt>
                <c:pt idx="133">
                  <c:v>0.17013193863968834</c:v>
                </c:pt>
                <c:pt idx="134">
                  <c:v>-0.48202644008762213</c:v>
                </c:pt>
                <c:pt idx="135">
                  <c:v>-0.93058156489990917</c:v>
                </c:pt>
                <c:pt idx="136">
                  <c:v>3.6277136740826083E-2</c:v>
                </c:pt>
                <c:pt idx="137">
                  <c:v>-0.50027910598552783</c:v>
                </c:pt>
                <c:pt idx="138">
                  <c:v>-0.21392557859396638</c:v>
                </c:pt>
                <c:pt idx="139">
                  <c:v>-0.15800706887915017</c:v>
                </c:pt>
                <c:pt idx="140">
                  <c:v>0.76129029155184813</c:v>
                </c:pt>
                <c:pt idx="141">
                  <c:v>0.91011996200653122</c:v>
                </c:pt>
                <c:pt idx="142">
                  <c:v>-0.98065006980139446</c:v>
                </c:pt>
                <c:pt idx="143">
                  <c:v>-0.76057588567249002</c:v>
                </c:pt>
                <c:pt idx="144">
                  <c:v>-0.38511280279232568</c:v>
                </c:pt>
                <c:pt idx="145">
                  <c:v>0.46328402644378641</c:v>
                </c:pt>
                <c:pt idx="146">
                  <c:v>-0.37562336775133459</c:v>
                </c:pt>
                <c:pt idx="147">
                  <c:v>-0.40778240071538957</c:v>
                </c:pt>
                <c:pt idx="148">
                  <c:v>0.99506458691089894</c:v>
                </c:pt>
                <c:pt idx="149">
                  <c:v>0.92254670127343297</c:v>
                </c:pt>
                <c:pt idx="150">
                  <c:v>0.55863154982415264</c:v>
                </c:pt>
                <c:pt idx="151">
                  <c:v>-0.20639511127515955</c:v>
                </c:pt>
                <c:pt idx="152">
                  <c:v>0.22497193198058202</c:v>
                </c:pt>
                <c:pt idx="153">
                  <c:v>-0.54754615089215308</c:v>
                </c:pt>
                <c:pt idx="154">
                  <c:v>-0.82991872830073854</c:v>
                </c:pt>
                <c:pt idx="155">
                  <c:v>-0.85714694003919878</c:v>
                </c:pt>
                <c:pt idx="156">
                  <c:v>-0.3336499522684564</c:v>
                </c:pt>
                <c:pt idx="157">
                  <c:v>-0.54152734329112606</c:v>
                </c:pt>
                <c:pt idx="158">
                  <c:v>-0.24661119607156001</c:v>
                </c:pt>
                <c:pt idx="159">
                  <c:v>-0.59747982686290935</c:v>
                </c:pt>
                <c:pt idx="160">
                  <c:v>0.72760732826971697</c:v>
                </c:pt>
                <c:pt idx="161">
                  <c:v>0.35401122057974543</c:v>
                </c:pt>
                <c:pt idx="162">
                  <c:v>-5.9023190421265546E-2</c:v>
                </c:pt>
                <c:pt idx="163">
                  <c:v>-0.47350435889161818</c:v>
                </c:pt>
                <c:pt idx="164">
                  <c:v>-8.6014846611027235E-2</c:v>
                </c:pt>
                <c:pt idx="165">
                  <c:v>0.39458406184761796</c:v>
                </c:pt>
                <c:pt idx="166">
                  <c:v>-0.88534095060290086</c:v>
                </c:pt>
                <c:pt idx="167">
                  <c:v>0.53825633524760086</c:v>
                </c:pt>
                <c:pt idx="168">
                  <c:v>0.90343581611682522</c:v>
                </c:pt>
                <c:pt idx="169">
                  <c:v>0.83601232682811377</c:v>
                </c:pt>
                <c:pt idx="170">
                  <c:v>-0.75532228290478332</c:v>
                </c:pt>
                <c:pt idx="171">
                  <c:v>8.9452736872260283E-2</c:v>
                </c:pt>
                <c:pt idx="172">
                  <c:v>-0.64022139053521887</c:v>
                </c:pt>
                <c:pt idx="173">
                  <c:v>-0.20348606813097334</c:v>
                </c:pt>
                <c:pt idx="174">
                  <c:v>-0.55585491708851598</c:v>
                </c:pt>
                <c:pt idx="175">
                  <c:v>0.33496610926289977</c:v>
                </c:pt>
                <c:pt idx="176">
                  <c:v>0.86553504948824889</c:v>
                </c:pt>
                <c:pt idx="177">
                  <c:v>0.58559781826827351</c:v>
                </c:pt>
                <c:pt idx="178">
                  <c:v>-0.18481950704056588</c:v>
                </c:pt>
                <c:pt idx="179">
                  <c:v>0.56330484395925051</c:v>
                </c:pt>
                <c:pt idx="180">
                  <c:v>0.72756317262481918</c:v>
                </c:pt>
                <c:pt idx="181">
                  <c:v>-0.94339025130900622</c:v>
                </c:pt>
                <c:pt idx="182">
                  <c:v>0.19836415377037805</c:v>
                </c:pt>
                <c:pt idx="183">
                  <c:v>-0.51750640560035632</c:v>
                </c:pt>
                <c:pt idx="184">
                  <c:v>0.45849776862628139</c:v>
                </c:pt>
                <c:pt idx="185">
                  <c:v>0.2010271469388579</c:v>
                </c:pt>
                <c:pt idx="186">
                  <c:v>0.92444600349357842</c:v>
                </c:pt>
                <c:pt idx="187">
                  <c:v>0.3493348990538756</c:v>
                </c:pt>
                <c:pt idx="188">
                  <c:v>-0.4170447676366052</c:v>
                </c:pt>
                <c:pt idx="189">
                  <c:v>-0.30739885959564767</c:v>
                </c:pt>
                <c:pt idx="190">
                  <c:v>0.93403288313717114</c:v>
                </c:pt>
                <c:pt idx="191">
                  <c:v>0.57888761019896029</c:v>
                </c:pt>
                <c:pt idx="192">
                  <c:v>0.48794858634138483</c:v>
                </c:pt>
                <c:pt idx="193">
                  <c:v>-0.88053180749990734</c:v>
                </c:pt>
                <c:pt idx="194">
                  <c:v>6.4280398744712711E-2</c:v>
                </c:pt>
                <c:pt idx="195">
                  <c:v>-0.58146820804664767</c:v>
                </c:pt>
                <c:pt idx="196">
                  <c:v>0.21579733371852569</c:v>
                </c:pt>
                <c:pt idx="197">
                  <c:v>-0.64160768491461373</c:v>
                </c:pt>
                <c:pt idx="198">
                  <c:v>-0.25109109214725245</c:v>
                </c:pt>
                <c:pt idx="199">
                  <c:v>-0.54797637619983319</c:v>
                </c:pt>
              </c:numCache>
            </c:numRef>
          </c:xVal>
          <c:yVal>
            <c:numRef>
              <c:f>globe!$H$5:$H$204</c:f>
              <c:numCache>
                <c:formatCode>0.0000_ </c:formatCode>
                <c:ptCount val="200"/>
                <c:pt idx="0">
                  <c:v>1.2654917201488295E-2</c:v>
                </c:pt>
                <c:pt idx="1">
                  <c:v>0.37976697395359432</c:v>
                </c:pt>
                <c:pt idx="2">
                  <c:v>-0.260299058891102</c:v>
                </c:pt>
                <c:pt idx="3">
                  <c:v>-0.38160781178613062</c:v>
                </c:pt>
                <c:pt idx="4">
                  <c:v>0.51686315656570636</c:v>
                </c:pt>
                <c:pt idx="5">
                  <c:v>0.20135790950286206</c:v>
                </c:pt>
                <c:pt idx="6">
                  <c:v>-0.55111402128925235</c:v>
                </c:pt>
                <c:pt idx="7">
                  <c:v>-0.43172335225667569</c:v>
                </c:pt>
                <c:pt idx="8">
                  <c:v>-1.8485744542053721</c:v>
                </c:pt>
                <c:pt idx="9">
                  <c:v>-1.6089230003594639</c:v>
                </c:pt>
                <c:pt idx="10">
                  <c:v>0.24513634121766414</c:v>
                </c:pt>
                <c:pt idx="11">
                  <c:v>-1.1343588478196367</c:v>
                </c:pt>
                <c:pt idx="12">
                  <c:v>0.56223609950062692</c:v>
                </c:pt>
                <c:pt idx="13">
                  <c:v>-1.8103865922691362</c:v>
                </c:pt>
                <c:pt idx="14">
                  <c:v>0.35261649236763798</c:v>
                </c:pt>
                <c:pt idx="15">
                  <c:v>0.50348418179040821</c:v>
                </c:pt>
                <c:pt idx="16">
                  <c:v>0.4271740123568511</c:v>
                </c:pt>
                <c:pt idx="17">
                  <c:v>-1.1252594960820315</c:v>
                </c:pt>
                <c:pt idx="18">
                  <c:v>0.20929811449259905</c:v>
                </c:pt>
                <c:pt idx="19">
                  <c:v>-1.1090093069316258</c:v>
                </c:pt>
                <c:pt idx="20">
                  <c:v>0.5832816054870632</c:v>
                </c:pt>
                <c:pt idx="21">
                  <c:v>-1.4374666627972572</c:v>
                </c:pt>
                <c:pt idx="22">
                  <c:v>0.41837566157633832</c:v>
                </c:pt>
                <c:pt idx="23">
                  <c:v>2.3346041245536155E-2</c:v>
                </c:pt>
                <c:pt idx="24">
                  <c:v>-0.59450816414769359</c:v>
                </c:pt>
                <c:pt idx="25">
                  <c:v>-0.27615427783873847</c:v>
                </c:pt>
                <c:pt idx="26">
                  <c:v>0.50653787541387496</c:v>
                </c:pt>
                <c:pt idx="27">
                  <c:v>0.53526069111048558</c:v>
                </c:pt>
                <c:pt idx="28">
                  <c:v>-1.2158394862940263</c:v>
                </c:pt>
                <c:pt idx="29">
                  <c:v>0.5147666966756993</c:v>
                </c:pt>
                <c:pt idx="30">
                  <c:v>-0.30466441648680626</c:v>
                </c:pt>
                <c:pt idx="31">
                  <c:v>0.1260842670368541</c:v>
                </c:pt>
                <c:pt idx="32">
                  <c:v>1.245209361251415E-2</c:v>
                </c:pt>
                <c:pt idx="33">
                  <c:v>0.28613538261712518</c:v>
                </c:pt>
                <c:pt idx="34">
                  <c:v>0.46055143873689042</c:v>
                </c:pt>
                <c:pt idx="35">
                  <c:v>5.3085582603924472E-2</c:v>
                </c:pt>
                <c:pt idx="36">
                  <c:v>0.3426257937774132</c:v>
                </c:pt>
                <c:pt idx="37">
                  <c:v>-1.9226259616545258</c:v>
                </c:pt>
                <c:pt idx="38">
                  <c:v>-0.17362211344269951</c:v>
                </c:pt>
                <c:pt idx="39">
                  <c:v>0.5975541147837653</c:v>
                </c:pt>
                <c:pt idx="40">
                  <c:v>-1.5258163181196345</c:v>
                </c:pt>
                <c:pt idx="41">
                  <c:v>-0.46353865053633891</c:v>
                </c:pt>
                <c:pt idx="42">
                  <c:v>-0.12140149099930454</c:v>
                </c:pt>
                <c:pt idx="43">
                  <c:v>0.2413416545989446</c:v>
                </c:pt>
                <c:pt idx="44">
                  <c:v>-0.15993904479663873</c:v>
                </c:pt>
                <c:pt idx="45">
                  <c:v>-0.85163609743781421</c:v>
                </c:pt>
                <c:pt idx="46">
                  <c:v>-0.1952657645566365</c:v>
                </c:pt>
                <c:pt idx="47">
                  <c:v>-0.49386158896161941</c:v>
                </c:pt>
                <c:pt idx="48">
                  <c:v>-1.5208725664306157</c:v>
                </c:pt>
                <c:pt idx="49">
                  <c:v>0.49073502816152981</c:v>
                </c:pt>
                <c:pt idx="50">
                  <c:v>-0.77906057855136013</c:v>
                </c:pt>
                <c:pt idx="51">
                  <c:v>-1.6895803349014011</c:v>
                </c:pt>
                <c:pt idx="52">
                  <c:v>-1.5617090102084115</c:v>
                </c:pt>
                <c:pt idx="53">
                  <c:v>9.2517519098509818E-2</c:v>
                </c:pt>
                <c:pt idx="54">
                  <c:v>-0.45700678889323015</c:v>
                </c:pt>
                <c:pt idx="55">
                  <c:v>0.4349921535924115</c:v>
                </c:pt>
                <c:pt idx="56">
                  <c:v>0.12066739752407935</c:v>
                </c:pt>
                <c:pt idx="57">
                  <c:v>-0.16534994957991228</c:v>
                </c:pt>
                <c:pt idx="58">
                  <c:v>-0.74208961914634053</c:v>
                </c:pt>
                <c:pt idx="59">
                  <c:v>-1.6986278288703955</c:v>
                </c:pt>
                <c:pt idx="60">
                  <c:v>-1.7125907031551324</c:v>
                </c:pt>
                <c:pt idx="61">
                  <c:v>0.21377720532793529</c:v>
                </c:pt>
                <c:pt idx="62">
                  <c:v>0.21042669483839216</c:v>
                </c:pt>
                <c:pt idx="63">
                  <c:v>-1.3598299490702814</c:v>
                </c:pt>
                <c:pt idx="64">
                  <c:v>7.4579161488521215E-2</c:v>
                </c:pt>
                <c:pt idx="65">
                  <c:v>-1.140599464698655</c:v>
                </c:pt>
                <c:pt idx="66">
                  <c:v>0.46491277772606859</c:v>
                </c:pt>
                <c:pt idx="67">
                  <c:v>-0.46257702653734001</c:v>
                </c:pt>
                <c:pt idx="68">
                  <c:v>-0.89700780748757458</c:v>
                </c:pt>
                <c:pt idx="69">
                  <c:v>-0.90295026273853674</c:v>
                </c:pt>
                <c:pt idx="70">
                  <c:v>0.520095807645236</c:v>
                </c:pt>
                <c:pt idx="71">
                  <c:v>7.4506038631969959E-2</c:v>
                </c:pt>
                <c:pt idx="72">
                  <c:v>4.8749021922539298E-4</c:v>
                </c:pt>
                <c:pt idx="73">
                  <c:v>0.65794117091485849</c:v>
                </c:pt>
                <c:pt idx="74">
                  <c:v>0.34604111101163809</c:v>
                </c:pt>
                <c:pt idx="75">
                  <c:v>0.26371023046112491</c:v>
                </c:pt>
                <c:pt idx="76">
                  <c:v>0.48388254001531267</c:v>
                </c:pt>
                <c:pt idx="77">
                  <c:v>0.63814523124076061</c:v>
                </c:pt>
                <c:pt idx="78">
                  <c:v>0.56070657842337646</c:v>
                </c:pt>
                <c:pt idx="79">
                  <c:v>0.1910654643055</c:v>
                </c:pt>
                <c:pt idx="80">
                  <c:v>-0.38564766715178961</c:v>
                </c:pt>
                <c:pt idx="81">
                  <c:v>-0.93953128504285255</c:v>
                </c:pt>
                <c:pt idx="82">
                  <c:v>-1.5273038585520946</c:v>
                </c:pt>
                <c:pt idx="83">
                  <c:v>0.42040067239465673</c:v>
                </c:pt>
                <c:pt idx="84">
                  <c:v>-1.976498504046829</c:v>
                </c:pt>
                <c:pt idx="85">
                  <c:v>-0.28046225865456542</c:v>
                </c:pt>
                <c:pt idx="86">
                  <c:v>0.40542547438201937</c:v>
                </c:pt>
                <c:pt idx="87">
                  <c:v>-1.3607438014088986</c:v>
                </c:pt>
                <c:pt idx="88">
                  <c:v>0.63189750745537909</c:v>
                </c:pt>
                <c:pt idx="89">
                  <c:v>0.45899271128771735</c:v>
                </c:pt>
                <c:pt idx="90">
                  <c:v>-0.62221892243806742</c:v>
                </c:pt>
                <c:pt idx="91">
                  <c:v>-1.1548537660530021</c:v>
                </c:pt>
                <c:pt idx="92">
                  <c:v>0.24908583436432116</c:v>
                </c:pt>
                <c:pt idx="93">
                  <c:v>-0.53786846445316516</c:v>
                </c:pt>
                <c:pt idx="94">
                  <c:v>-0.28821490000291022</c:v>
                </c:pt>
                <c:pt idx="95">
                  <c:v>-0.83946026351911573</c:v>
                </c:pt>
                <c:pt idx="96">
                  <c:v>0.42159500190246302</c:v>
                </c:pt>
                <c:pt idx="97">
                  <c:v>0.32068533866130799</c:v>
                </c:pt>
                <c:pt idx="98">
                  <c:v>-0.62866873371167842</c:v>
                </c:pt>
                <c:pt idx="99">
                  <c:v>-1.1356981290764774</c:v>
                </c:pt>
                <c:pt idx="100">
                  <c:v>-1.6907455183876832</c:v>
                </c:pt>
                <c:pt idx="101">
                  <c:v>-0.16376849445937697</c:v>
                </c:pt>
                <c:pt idx="102">
                  <c:v>0.30134560168574592</c:v>
                </c:pt>
                <c:pt idx="103">
                  <c:v>-1.5040917525261941</c:v>
                </c:pt>
                <c:pt idx="104">
                  <c:v>-7.4968618691882385E-2</c:v>
                </c:pt>
                <c:pt idx="105">
                  <c:v>0.56653085254425095</c:v>
                </c:pt>
                <c:pt idx="106">
                  <c:v>0.44598946139422607</c:v>
                </c:pt>
                <c:pt idx="107">
                  <c:v>-0.72594365571036856</c:v>
                </c:pt>
                <c:pt idx="108">
                  <c:v>0.1250692624853455</c:v>
                </c:pt>
                <c:pt idx="109">
                  <c:v>3.2679709040014958E-2</c:v>
                </c:pt>
                <c:pt idx="110">
                  <c:v>0.57825004925118395</c:v>
                </c:pt>
                <c:pt idx="111">
                  <c:v>-0.82054053766620294</c:v>
                </c:pt>
                <c:pt idx="112">
                  <c:v>0.3648600228768431</c:v>
                </c:pt>
                <c:pt idx="113">
                  <c:v>0.29219621092590992</c:v>
                </c:pt>
                <c:pt idx="114">
                  <c:v>-0.60178512241927962</c:v>
                </c:pt>
                <c:pt idx="115">
                  <c:v>-1.3538526482616511</c:v>
                </c:pt>
                <c:pt idx="116">
                  <c:v>0.64468181530861723</c:v>
                </c:pt>
                <c:pt idx="117">
                  <c:v>-0.26038469685611532</c:v>
                </c:pt>
                <c:pt idx="118">
                  <c:v>-1.30549485210503</c:v>
                </c:pt>
                <c:pt idx="119">
                  <c:v>-0.26810875570999282</c:v>
                </c:pt>
                <c:pt idx="120">
                  <c:v>-1.1644024283117362</c:v>
                </c:pt>
                <c:pt idx="121">
                  <c:v>3.0826647354568193E-3</c:v>
                </c:pt>
                <c:pt idx="122">
                  <c:v>-7.0631680616103906E-2</c:v>
                </c:pt>
                <c:pt idx="123">
                  <c:v>-0.81955178011066954</c:v>
                </c:pt>
                <c:pt idx="124">
                  <c:v>-1.5110354075310257</c:v>
                </c:pt>
                <c:pt idx="125">
                  <c:v>0.11316563331147644</c:v>
                </c:pt>
                <c:pt idx="126">
                  <c:v>7.4356836816464225E-2</c:v>
                </c:pt>
                <c:pt idx="127">
                  <c:v>-4.2415643465253061E-2</c:v>
                </c:pt>
                <c:pt idx="128">
                  <c:v>0.18417289328000308</c:v>
                </c:pt>
                <c:pt idx="129">
                  <c:v>0.22785240780461266</c:v>
                </c:pt>
                <c:pt idx="130">
                  <c:v>0.57996006830613234</c:v>
                </c:pt>
                <c:pt idx="131">
                  <c:v>-0.9495816907548037</c:v>
                </c:pt>
                <c:pt idx="132">
                  <c:v>0.57824521847441179</c:v>
                </c:pt>
                <c:pt idx="133">
                  <c:v>-1.3146512676500817</c:v>
                </c:pt>
                <c:pt idx="134">
                  <c:v>-0.91703902925401104</c:v>
                </c:pt>
                <c:pt idx="135">
                  <c:v>-0.43790621781005701</c:v>
                </c:pt>
                <c:pt idx="136">
                  <c:v>-1.9965536559679262</c:v>
                </c:pt>
                <c:pt idx="137">
                  <c:v>-1.4467592925305772</c:v>
                </c:pt>
                <c:pt idx="138">
                  <c:v>0.4467318237760956</c:v>
                </c:pt>
                <c:pt idx="139">
                  <c:v>0.52900091533972382</c:v>
                </c:pt>
                <c:pt idx="140">
                  <c:v>-0.89886728877426458</c:v>
                </c:pt>
                <c:pt idx="141">
                  <c:v>5.773985385613567E-2</c:v>
                </c:pt>
                <c:pt idx="142">
                  <c:v>0.17818106752403498</c:v>
                </c:pt>
                <c:pt idx="143">
                  <c:v>0.48947498631190756</c:v>
                </c:pt>
                <c:pt idx="144">
                  <c:v>0.42149901588622268</c:v>
                </c:pt>
                <c:pt idx="145">
                  <c:v>-0.8018196779475264</c:v>
                </c:pt>
                <c:pt idx="146">
                  <c:v>0.63150164053010749</c:v>
                </c:pt>
                <c:pt idx="147">
                  <c:v>0.52900883673551902</c:v>
                </c:pt>
                <c:pt idx="148">
                  <c:v>-6.0436599931810081E-2</c:v>
                </c:pt>
                <c:pt idx="149">
                  <c:v>0.2596515631364027</c:v>
                </c:pt>
                <c:pt idx="150">
                  <c:v>-1.1764831726274572</c:v>
                </c:pt>
                <c:pt idx="151">
                  <c:v>-1.9075592504976102</c:v>
                </c:pt>
                <c:pt idx="152">
                  <c:v>0.63106273420929504</c:v>
                </c:pt>
                <c:pt idx="153">
                  <c:v>0.58985180557065742</c:v>
                </c:pt>
                <c:pt idx="154">
                  <c:v>0.43620751386565082</c:v>
                </c:pt>
                <c:pt idx="155">
                  <c:v>0.17343587243737404</c:v>
                </c:pt>
                <c:pt idx="156">
                  <c:v>0.52967520798653156</c:v>
                </c:pt>
                <c:pt idx="157">
                  <c:v>-1.3620494284368236</c:v>
                </c:pt>
                <c:pt idx="158">
                  <c:v>0.52671819417779864</c:v>
                </c:pt>
                <c:pt idx="159">
                  <c:v>-0.9437120799349068</c:v>
                </c:pt>
                <c:pt idx="160">
                  <c:v>0.31624699686943142</c:v>
                </c:pt>
                <c:pt idx="161">
                  <c:v>0.38508731798991247</c:v>
                </c:pt>
                <c:pt idx="162">
                  <c:v>0.65728011168739953</c:v>
                </c:pt>
                <c:pt idx="163">
                  <c:v>-1.0390594312270947</c:v>
                </c:pt>
                <c:pt idx="164">
                  <c:v>0.62882607035732385</c:v>
                </c:pt>
                <c:pt idx="165">
                  <c:v>0.62252966282603472</c:v>
                </c:pt>
                <c:pt idx="166">
                  <c:v>-0.17204841273213037</c:v>
                </c:pt>
                <c:pt idx="167">
                  <c:v>6.6123160707514686E-2</c:v>
                </c:pt>
                <c:pt idx="168">
                  <c:v>-0.5062178627879973</c:v>
                </c:pt>
                <c:pt idx="169">
                  <c:v>0.41309005648156127</c:v>
                </c:pt>
                <c:pt idx="170">
                  <c:v>0.36181023052944217</c:v>
                </c:pt>
                <c:pt idx="171">
                  <c:v>0.59252053721957154</c:v>
                </c:pt>
                <c:pt idx="172">
                  <c:v>-0.98466793763549143</c:v>
                </c:pt>
                <c:pt idx="173">
                  <c:v>-1.8517590330140479</c:v>
                </c:pt>
                <c:pt idx="174">
                  <c:v>-1.3472791807243238</c:v>
                </c:pt>
                <c:pt idx="175">
                  <c:v>0.6152047657184655</c:v>
                </c:pt>
                <c:pt idx="176">
                  <c:v>-0.65124440435716258</c:v>
                </c:pt>
                <c:pt idx="177">
                  <c:v>-1.3615819915074359</c:v>
                </c:pt>
                <c:pt idx="178">
                  <c:v>-1.1087964995972821</c:v>
                </c:pt>
                <c:pt idx="179">
                  <c:v>0.57855676066513695</c:v>
                </c:pt>
                <c:pt idx="180">
                  <c:v>-0.11604822446020399</c:v>
                </c:pt>
                <c:pt idx="181">
                  <c:v>4.0332382813706345E-2</c:v>
                </c:pt>
                <c:pt idx="182">
                  <c:v>-0.81158022148298148</c:v>
                </c:pt>
                <c:pt idx="183">
                  <c:v>-1.402447622442867</c:v>
                </c:pt>
                <c:pt idx="184">
                  <c:v>-1.3927003545958501</c:v>
                </c:pt>
                <c:pt idx="185">
                  <c:v>-1.3906055444643752</c:v>
                </c:pt>
                <c:pt idx="186">
                  <c:v>-0.46707648915896532</c:v>
                </c:pt>
                <c:pt idx="187">
                  <c:v>-1.3263339787764585</c:v>
                </c:pt>
                <c:pt idx="188">
                  <c:v>-1.1734350279286174</c:v>
                </c:pt>
                <c:pt idx="189">
                  <c:v>0.16386758143636604</c:v>
                </c:pt>
                <c:pt idx="190">
                  <c:v>0.17308678173411621</c:v>
                </c:pt>
                <c:pt idx="191">
                  <c:v>-0.21899756136301377</c:v>
                </c:pt>
                <c:pt idx="192">
                  <c:v>0.60465598776734053</c:v>
                </c:pt>
                <c:pt idx="193">
                  <c:v>0.13957695407677781</c:v>
                </c:pt>
                <c:pt idx="194">
                  <c:v>0.10025905511845486</c:v>
                </c:pt>
                <c:pt idx="195">
                  <c:v>-1.2380823899133455</c:v>
                </c:pt>
                <c:pt idx="196">
                  <c:v>0.12068621465237309</c:v>
                </c:pt>
                <c:pt idx="197">
                  <c:v>0.52205449161316964</c:v>
                </c:pt>
                <c:pt idx="198">
                  <c:v>3.8202071870453568E-2</c:v>
                </c:pt>
                <c:pt idx="199">
                  <c:v>-1.0753135427972871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4-4707-929B-2BF7B0CD1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810064"/>
        <c:axId val="954071952"/>
      </c:scatterChart>
      <c:valAx>
        <c:axId val="958810064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71952"/>
        <c:crosses val="autoZero"/>
        <c:crossBetween val="midCat"/>
        <c:majorUnit val="1"/>
      </c:valAx>
      <c:valAx>
        <c:axId val="95407195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881006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x-z</a:t>
            </a:r>
            <a:endParaRPr lang="ja-JP" altLang="en-US"/>
          </a:p>
        </c:rich>
      </c:tx>
      <c:layout>
        <c:manualLayout>
          <c:xMode val="edge"/>
          <c:yMode val="edge"/>
          <c:x val="0.6648932098820766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globe!$F$5:$F$204</c:f>
              <c:numCache>
                <c:formatCode>0.0000_ </c:formatCode>
                <c:ptCount val="200"/>
                <c:pt idx="0">
                  <c:v>1.2326908768509443E-3</c:v>
                </c:pt>
                <c:pt idx="1">
                  <c:v>0.88145692382358787</c:v>
                </c:pt>
                <c:pt idx="2">
                  <c:v>-0.95187382825338951</c:v>
                </c:pt>
                <c:pt idx="3">
                  <c:v>0.44792782696753713</c:v>
                </c:pt>
                <c:pt idx="4">
                  <c:v>-0.71687901600303972</c:v>
                </c:pt>
                <c:pt idx="5">
                  <c:v>0.53657687525275055</c:v>
                </c:pt>
                <c:pt idx="6">
                  <c:v>-0.80994268345215892</c:v>
                </c:pt>
                <c:pt idx="7">
                  <c:v>-0.49398774170541571</c:v>
                </c:pt>
                <c:pt idx="8">
                  <c:v>0.267841727565445</c:v>
                </c:pt>
                <c:pt idx="9">
                  <c:v>-0.30765635733651991</c:v>
                </c:pt>
                <c:pt idx="10">
                  <c:v>-0.88281169192644493</c:v>
                </c:pt>
                <c:pt idx="11">
                  <c:v>-0.67862149542072003</c:v>
                </c:pt>
                <c:pt idx="12">
                  <c:v>-0.62294611243006381</c:v>
                </c:pt>
                <c:pt idx="13">
                  <c:v>-0.25861554508401896</c:v>
                </c:pt>
                <c:pt idx="14">
                  <c:v>0.41951296827741325</c:v>
                </c:pt>
                <c:pt idx="15">
                  <c:v>-0.11255982852734005</c:v>
                </c:pt>
                <c:pt idx="16">
                  <c:v>-0.40673808078984541</c:v>
                </c:pt>
                <c:pt idx="17">
                  <c:v>0.62912063874020441</c:v>
                </c:pt>
                <c:pt idx="18">
                  <c:v>-0.1390227312808085</c:v>
                </c:pt>
                <c:pt idx="19">
                  <c:v>-0.55607294628922088</c:v>
                </c:pt>
                <c:pt idx="20">
                  <c:v>0.3911652234077439</c:v>
                </c:pt>
                <c:pt idx="21">
                  <c:v>-0.45605960997907774</c:v>
                </c:pt>
                <c:pt idx="22">
                  <c:v>0.47371634270816931</c:v>
                </c:pt>
                <c:pt idx="23">
                  <c:v>0.86964001215028019</c:v>
                </c:pt>
                <c:pt idx="24">
                  <c:v>0.8727862234193382</c:v>
                </c:pt>
                <c:pt idx="25">
                  <c:v>-0.58359998961424675</c:v>
                </c:pt>
                <c:pt idx="26">
                  <c:v>0.62748221012600491</c:v>
                </c:pt>
                <c:pt idx="27">
                  <c:v>-0.64240277052564909</c:v>
                </c:pt>
                <c:pt idx="28">
                  <c:v>0.62929736300151518</c:v>
                </c:pt>
                <c:pt idx="29">
                  <c:v>-0.71852903095501441</c:v>
                </c:pt>
                <c:pt idx="30">
                  <c:v>-0.91452185112006534</c:v>
                </c:pt>
                <c:pt idx="31">
                  <c:v>0.15011179980182135</c:v>
                </c:pt>
                <c:pt idx="32">
                  <c:v>-0.99805981903716423</c:v>
                </c:pt>
                <c:pt idx="33">
                  <c:v>-0.24935522053932813</c:v>
                </c:pt>
                <c:pt idx="34">
                  <c:v>0.22958977734873925</c:v>
                </c:pt>
                <c:pt idx="35">
                  <c:v>0.95903150485036304</c:v>
                </c:pt>
                <c:pt idx="36">
                  <c:v>-0.89807373496647946</c:v>
                </c:pt>
                <c:pt idx="37">
                  <c:v>0.13609114767912517</c:v>
                </c:pt>
                <c:pt idx="38">
                  <c:v>-0.80497273844767336</c:v>
                </c:pt>
                <c:pt idx="39">
                  <c:v>0.39625688775636642</c:v>
                </c:pt>
                <c:pt idx="40">
                  <c:v>-0.19417449947204432</c:v>
                </c:pt>
                <c:pt idx="41">
                  <c:v>0.82766175244034912</c:v>
                </c:pt>
                <c:pt idx="42">
                  <c:v>-0.18670295960865504</c:v>
                </c:pt>
                <c:pt idx="43">
                  <c:v>0.94653224611179698</c:v>
                </c:pt>
                <c:pt idx="44">
                  <c:v>0.48041960938752615</c:v>
                </c:pt>
                <c:pt idx="45">
                  <c:v>-0.59318311835350734</c:v>
                </c:pt>
                <c:pt idx="46">
                  <c:v>-0.82967112922395425</c:v>
                </c:pt>
                <c:pt idx="47">
                  <c:v>0.90853279638825646</c:v>
                </c:pt>
                <c:pt idx="48">
                  <c:v>9.2834139326585671E-2</c:v>
                </c:pt>
                <c:pt idx="49">
                  <c:v>-0.3653078509499908</c:v>
                </c:pt>
                <c:pt idx="50">
                  <c:v>0.36970330455893535</c:v>
                </c:pt>
                <c:pt idx="51">
                  <c:v>0.39851428310030707</c:v>
                </c:pt>
                <c:pt idx="52">
                  <c:v>-0.26398947211307267</c:v>
                </c:pt>
                <c:pt idx="53">
                  <c:v>-0.68962858432079677</c:v>
                </c:pt>
                <c:pt idx="54">
                  <c:v>0.14703989468987955</c:v>
                </c:pt>
                <c:pt idx="55">
                  <c:v>0.79151088275059911</c:v>
                </c:pt>
                <c:pt idx="56">
                  <c:v>0.99102811100628552</c:v>
                </c:pt>
                <c:pt idx="57">
                  <c:v>7.2527167451827176E-2</c:v>
                </c:pt>
                <c:pt idx="58">
                  <c:v>0.73697420775420908</c:v>
                </c:pt>
                <c:pt idx="59">
                  <c:v>-5.583074052161216E-2</c:v>
                </c:pt>
                <c:pt idx="60">
                  <c:v>-0.3857816102574626</c:v>
                </c:pt>
                <c:pt idx="61">
                  <c:v>0.9435729329644581</c:v>
                </c:pt>
                <c:pt idx="62">
                  <c:v>-0.96323679807789031</c:v>
                </c:pt>
                <c:pt idx="63">
                  <c:v>0.58512411869893499</c:v>
                </c:pt>
                <c:pt idx="64">
                  <c:v>-0.23793542363707562</c:v>
                </c:pt>
                <c:pt idx="65">
                  <c:v>0.59530036799642427</c:v>
                </c:pt>
                <c:pt idx="66">
                  <c:v>2.5310127418220186E-2</c:v>
                </c:pt>
                <c:pt idx="67">
                  <c:v>-0.36725387889375616</c:v>
                </c:pt>
                <c:pt idx="68">
                  <c:v>0.20128249476607471</c:v>
                </c:pt>
                <c:pt idx="69">
                  <c:v>0.77962281129533073</c:v>
                </c:pt>
                <c:pt idx="70">
                  <c:v>0.6959672708220509</c:v>
                </c:pt>
                <c:pt idx="71">
                  <c:v>-0.71412253666931302</c:v>
                </c:pt>
                <c:pt idx="72">
                  <c:v>0.16871503827447062</c:v>
                </c:pt>
                <c:pt idx="73">
                  <c:v>0.16382206545509587</c:v>
                </c:pt>
                <c:pt idx="74">
                  <c:v>-0.27067715474624704</c:v>
                </c:pt>
                <c:pt idx="75">
                  <c:v>0.86470087957092245</c:v>
                </c:pt>
                <c:pt idx="76">
                  <c:v>0.76968514271860999</c:v>
                </c:pt>
                <c:pt idx="77">
                  <c:v>0.34678561113403644</c:v>
                </c:pt>
                <c:pt idx="78">
                  <c:v>-0.21508521491793378</c:v>
                </c:pt>
                <c:pt idx="79">
                  <c:v>-0.90843491335928239</c:v>
                </c:pt>
                <c:pt idx="80">
                  <c:v>0.93239070735817009</c:v>
                </c:pt>
                <c:pt idx="81">
                  <c:v>-0.34798828512802416</c:v>
                </c:pt>
                <c:pt idx="82">
                  <c:v>0.50002250051942432</c:v>
                </c:pt>
                <c:pt idx="83">
                  <c:v>-0.75379444407800777</c:v>
                </c:pt>
                <c:pt idx="84">
                  <c:v>9.276844473665373E-2</c:v>
                </c:pt>
                <c:pt idx="85">
                  <c:v>0.91068733308620275</c:v>
                </c:pt>
                <c:pt idx="86">
                  <c:v>-0.8596599033306328</c:v>
                </c:pt>
                <c:pt idx="87">
                  <c:v>-0.58438382560698332</c:v>
                </c:pt>
                <c:pt idx="88">
                  <c:v>-0.177391769355529</c:v>
                </c:pt>
                <c:pt idx="89">
                  <c:v>-3.5379490550282673E-2</c:v>
                </c:pt>
                <c:pt idx="90">
                  <c:v>-0.2332267920660076</c:v>
                </c:pt>
                <c:pt idx="91">
                  <c:v>-0.42019623652183996</c:v>
                </c:pt>
                <c:pt idx="92">
                  <c:v>4.7825714455930812E-2</c:v>
                </c:pt>
                <c:pt idx="93">
                  <c:v>-0.47230979210662899</c:v>
                </c:pt>
                <c:pt idx="94">
                  <c:v>0.956602487842659</c:v>
                </c:pt>
                <c:pt idx="95">
                  <c:v>-0.50160593205347903</c:v>
                </c:pt>
                <c:pt idx="96">
                  <c:v>0.16813549501268474</c:v>
                </c:pt>
                <c:pt idx="97">
                  <c:v>-0.92393175793885862</c:v>
                </c:pt>
                <c:pt idx="98">
                  <c:v>-0.646545827820317</c:v>
                </c:pt>
                <c:pt idx="99">
                  <c:v>-5.9980480674284263E-2</c:v>
                </c:pt>
                <c:pt idx="100">
                  <c:v>0.25767552753580997</c:v>
                </c:pt>
                <c:pt idx="101">
                  <c:v>0.78986139614990636</c:v>
                </c:pt>
                <c:pt idx="102">
                  <c:v>0.11119678306029855</c:v>
                </c:pt>
                <c:pt idx="103">
                  <c:v>0.44173526899141957</c:v>
                </c:pt>
                <c:pt idx="104">
                  <c:v>-0.85904979828778172</c:v>
                </c:pt>
                <c:pt idx="105">
                  <c:v>-0.35493150614369262</c:v>
                </c:pt>
                <c:pt idx="106">
                  <c:v>0.23348904005177432</c:v>
                </c:pt>
                <c:pt idx="107">
                  <c:v>-0.82029892454645659</c:v>
                </c:pt>
                <c:pt idx="108">
                  <c:v>0.92773572569805596</c:v>
                </c:pt>
                <c:pt idx="109">
                  <c:v>0.70553733195731216</c:v>
                </c:pt>
                <c:pt idx="110">
                  <c:v>-0.12125076636600984</c:v>
                </c:pt>
                <c:pt idx="111">
                  <c:v>0.58812809192436999</c:v>
                </c:pt>
                <c:pt idx="112">
                  <c:v>0.81287559880348625</c:v>
                </c:pt>
                <c:pt idx="113">
                  <c:v>0.84182788898440364</c:v>
                </c:pt>
                <c:pt idx="114">
                  <c:v>0.3644580460448229</c:v>
                </c:pt>
                <c:pt idx="115">
                  <c:v>-0.25627805175637125</c:v>
                </c:pt>
                <c:pt idx="116">
                  <c:v>0.30345698592431908</c:v>
                </c:pt>
                <c:pt idx="117">
                  <c:v>-0.75564930841301958</c:v>
                </c:pt>
                <c:pt idx="118">
                  <c:v>-0.60069201730032051</c:v>
                </c:pt>
                <c:pt idx="119">
                  <c:v>-6.0724883929399905E-2</c:v>
                </c:pt>
                <c:pt idx="120">
                  <c:v>-1.6358722201166374E-2</c:v>
                </c:pt>
                <c:pt idx="121">
                  <c:v>-0.83015800023923614</c:v>
                </c:pt>
                <c:pt idx="122">
                  <c:v>0.28603202293210811</c:v>
                </c:pt>
                <c:pt idx="123">
                  <c:v>0.48244267088738152</c:v>
                </c:pt>
                <c:pt idx="124">
                  <c:v>0.50499131896358063</c:v>
                </c:pt>
                <c:pt idx="125">
                  <c:v>0.12549938438517005</c:v>
                </c:pt>
                <c:pt idx="126">
                  <c:v>6.2530936521252106E-2</c:v>
                </c:pt>
                <c:pt idx="127">
                  <c:v>-0.44278083063278767</c:v>
                </c:pt>
                <c:pt idx="128">
                  <c:v>-0.31936413963724947</c:v>
                </c:pt>
                <c:pt idx="129">
                  <c:v>0.47923413247699204</c:v>
                </c:pt>
                <c:pt idx="130">
                  <c:v>0.39185596636482545</c:v>
                </c:pt>
                <c:pt idx="131">
                  <c:v>-0.61836276388988387</c:v>
                </c:pt>
                <c:pt idx="132">
                  <c:v>-0.2877095083718611</c:v>
                </c:pt>
                <c:pt idx="133">
                  <c:v>-0.58466306496615084</c:v>
                </c:pt>
                <c:pt idx="134">
                  <c:v>-0.61018715084967035</c:v>
                </c:pt>
                <c:pt idx="135">
                  <c:v>-7.0419969699813886E-2</c:v>
                </c:pt>
                <c:pt idx="136">
                  <c:v>2.0196130714112696E-2</c:v>
                </c:pt>
                <c:pt idx="137">
                  <c:v>0.21208023254176117</c:v>
                </c:pt>
                <c:pt idx="138">
                  <c:v>-0.78953352369496843</c:v>
                </c:pt>
                <c:pt idx="139">
                  <c:v>0.67655535581526316</c:v>
                </c:pt>
                <c:pt idx="140">
                  <c:v>-0.18934149470532441</c:v>
                </c:pt>
                <c:pt idx="141">
                  <c:v>-0.41005682127111193</c:v>
                </c:pt>
                <c:pt idx="142">
                  <c:v>-7.9371755685838808E-3</c:v>
                </c:pt>
                <c:pt idx="143">
                  <c:v>-3.884559266615438E-2</c:v>
                </c:pt>
                <c:pt idx="144">
                  <c:v>0.75264799873775101</c:v>
                </c:pt>
                <c:pt idx="145">
                  <c:v>-0.67659152387277</c:v>
                </c:pt>
                <c:pt idx="146">
                  <c:v>-8.4503841939797542E-2</c:v>
                </c:pt>
                <c:pt idx="147">
                  <c:v>-0.56248185093727865</c:v>
                </c:pt>
                <c:pt idx="148">
                  <c:v>8.0031352463060104E-2</c:v>
                </c:pt>
                <c:pt idx="149">
                  <c:v>-0.24468510609513375</c:v>
                </c:pt>
                <c:pt idx="150">
                  <c:v>0.37313074870276686</c:v>
                </c:pt>
                <c:pt idx="151">
                  <c:v>6.4460954504673443E-2</c:v>
                </c:pt>
                <c:pt idx="152">
                  <c:v>0.31519891897523211</c:v>
                </c:pt>
                <c:pt idx="153">
                  <c:v>1.8026075821852248E-2</c:v>
                </c:pt>
                <c:pt idx="154">
                  <c:v>4.3555287900387432E-4</c:v>
                </c:pt>
                <c:pt idx="155">
                  <c:v>0.47878556005223605</c:v>
                </c:pt>
                <c:pt idx="156">
                  <c:v>-0.60792736816486814</c:v>
                </c:pt>
                <c:pt idx="157">
                  <c:v>0.22415148841173435</c:v>
                </c:pt>
                <c:pt idx="158">
                  <c:v>-0.65415532722631997</c:v>
                </c:pt>
                <c:pt idx="159">
                  <c:v>-0.48157763725703967</c:v>
                </c:pt>
                <c:pt idx="160">
                  <c:v>-0.57400186715408663</c:v>
                </c:pt>
                <c:pt idx="161">
                  <c:v>-0.80450543341876157</c:v>
                </c:pt>
                <c:pt idx="162">
                  <c:v>-0.19498883912607157</c:v>
                </c:pt>
                <c:pt idx="163">
                  <c:v>0.55516364389390749</c:v>
                </c:pt>
                <c:pt idx="164">
                  <c:v>-0.38901200259148316</c:v>
                </c:pt>
                <c:pt idx="165">
                  <c:v>0.16527432106055409</c:v>
                </c:pt>
                <c:pt idx="166">
                  <c:v>0.43712054536345496</c:v>
                </c:pt>
                <c:pt idx="167">
                  <c:v>0.84000222613511588</c:v>
                </c:pt>
                <c:pt idx="168">
                  <c:v>0.14356991782670964</c:v>
                </c:pt>
                <c:pt idx="169">
                  <c:v>-0.17330954500994267</c:v>
                </c:pt>
                <c:pt idx="170">
                  <c:v>0.48411990347130918</c:v>
                </c:pt>
                <c:pt idx="171">
                  <c:v>0.53207327119331527</c:v>
                </c:pt>
                <c:pt idx="172">
                  <c:v>-0.39339236582457415</c:v>
                </c:pt>
                <c:pt idx="173">
                  <c:v>-0.18462212948435985</c:v>
                </c:pt>
                <c:pt idx="174">
                  <c:v>-0.20736676312008701</c:v>
                </c:pt>
                <c:pt idx="175">
                  <c:v>-0.31359387454226212</c:v>
                </c:pt>
                <c:pt idx="176">
                  <c:v>-9.7459884499208851E-2</c:v>
                </c:pt>
                <c:pt idx="177">
                  <c:v>-2.8965725141677341E-2</c:v>
                </c:pt>
                <c:pt idx="178">
                  <c:v>0.67602090743909338</c:v>
                </c:pt>
                <c:pt idx="179">
                  <c:v>0.14150757227807934</c:v>
                </c:pt>
                <c:pt idx="180">
                  <c:v>0.67721582166560534</c:v>
                </c:pt>
                <c:pt idx="181">
                  <c:v>0.32912077500716908</c:v>
                </c:pt>
                <c:pt idx="182">
                  <c:v>0.79206181887179994</c:v>
                </c:pt>
                <c:pt idx="183">
                  <c:v>-0.22932896636045808</c:v>
                </c:pt>
                <c:pt idx="184">
                  <c:v>0.34020851913514771</c:v>
                </c:pt>
                <c:pt idx="185">
                  <c:v>0.53548637604726301</c:v>
                </c:pt>
                <c:pt idx="186">
                  <c:v>4.5005143517212895E-2</c:v>
                </c:pt>
                <c:pt idx="187">
                  <c:v>-0.49193380042696394</c:v>
                </c:pt>
                <c:pt idx="188">
                  <c:v>0.52835582955866234</c:v>
                </c:pt>
                <c:pt idx="189">
                  <c:v>-0.9346905933046179</c:v>
                </c:pt>
                <c:pt idx="190">
                  <c:v>-0.30278345190428713</c:v>
                </c:pt>
                <c:pt idx="191">
                  <c:v>0.79115649584252312</c:v>
                </c:pt>
                <c:pt idx="192">
                  <c:v>-0.10381658777926618</c:v>
                </c:pt>
                <c:pt idx="193">
                  <c:v>0.44960999546368874</c:v>
                </c:pt>
                <c:pt idx="194">
                  <c:v>-0.99233420652698356</c:v>
                </c:pt>
                <c:pt idx="195">
                  <c:v>0.27771772149039942</c:v>
                </c:pt>
                <c:pt idx="196">
                  <c:v>0.96795432941811865</c:v>
                </c:pt>
                <c:pt idx="197">
                  <c:v>-0.29875446450305609</c:v>
                </c:pt>
                <c:pt idx="198">
                  <c:v>0.96717964931634026</c:v>
                </c:pt>
                <c:pt idx="199">
                  <c:v>-0.45899233752966345</c:v>
                </c:pt>
              </c:numCache>
            </c:numRef>
          </c:xVal>
          <c:yVal>
            <c:numRef>
              <c:f>globe!$H$5:$H$204</c:f>
              <c:numCache>
                <c:formatCode>0.0000_ </c:formatCode>
                <c:ptCount val="200"/>
                <c:pt idx="0">
                  <c:v>1.2654917201488295E-2</c:v>
                </c:pt>
                <c:pt idx="1">
                  <c:v>0.37976697395359432</c:v>
                </c:pt>
                <c:pt idx="2">
                  <c:v>-0.260299058891102</c:v>
                </c:pt>
                <c:pt idx="3">
                  <c:v>-0.38160781178613062</c:v>
                </c:pt>
                <c:pt idx="4">
                  <c:v>0.51686315656570636</c:v>
                </c:pt>
                <c:pt idx="5">
                  <c:v>0.20135790950286206</c:v>
                </c:pt>
                <c:pt idx="6">
                  <c:v>-0.55111402128925235</c:v>
                </c:pt>
                <c:pt idx="7">
                  <c:v>-0.43172335225667569</c:v>
                </c:pt>
                <c:pt idx="8">
                  <c:v>-1.8485744542053721</c:v>
                </c:pt>
                <c:pt idx="9">
                  <c:v>-1.6089230003594639</c:v>
                </c:pt>
                <c:pt idx="10">
                  <c:v>0.24513634121766414</c:v>
                </c:pt>
                <c:pt idx="11">
                  <c:v>-1.1343588478196367</c:v>
                </c:pt>
                <c:pt idx="12">
                  <c:v>0.56223609950062692</c:v>
                </c:pt>
                <c:pt idx="13">
                  <c:v>-1.8103865922691362</c:v>
                </c:pt>
                <c:pt idx="14">
                  <c:v>0.35261649236763798</c:v>
                </c:pt>
                <c:pt idx="15">
                  <c:v>0.50348418179040821</c:v>
                </c:pt>
                <c:pt idx="16">
                  <c:v>0.4271740123568511</c:v>
                </c:pt>
                <c:pt idx="17">
                  <c:v>-1.1252594960820315</c:v>
                </c:pt>
                <c:pt idx="18">
                  <c:v>0.20929811449259905</c:v>
                </c:pt>
                <c:pt idx="19">
                  <c:v>-1.1090093069316258</c:v>
                </c:pt>
                <c:pt idx="20">
                  <c:v>0.5832816054870632</c:v>
                </c:pt>
                <c:pt idx="21">
                  <c:v>-1.4374666627972572</c:v>
                </c:pt>
                <c:pt idx="22">
                  <c:v>0.41837566157633832</c:v>
                </c:pt>
                <c:pt idx="23">
                  <c:v>2.3346041245536155E-2</c:v>
                </c:pt>
                <c:pt idx="24">
                  <c:v>-0.59450816414769359</c:v>
                </c:pt>
                <c:pt idx="25">
                  <c:v>-0.27615427783873847</c:v>
                </c:pt>
                <c:pt idx="26">
                  <c:v>0.50653787541387496</c:v>
                </c:pt>
                <c:pt idx="27">
                  <c:v>0.53526069111048558</c:v>
                </c:pt>
                <c:pt idx="28">
                  <c:v>-1.2158394862940263</c:v>
                </c:pt>
                <c:pt idx="29">
                  <c:v>0.5147666966756993</c:v>
                </c:pt>
                <c:pt idx="30">
                  <c:v>-0.30466441648680626</c:v>
                </c:pt>
                <c:pt idx="31">
                  <c:v>0.1260842670368541</c:v>
                </c:pt>
                <c:pt idx="32">
                  <c:v>1.245209361251415E-2</c:v>
                </c:pt>
                <c:pt idx="33">
                  <c:v>0.28613538261712518</c:v>
                </c:pt>
                <c:pt idx="34">
                  <c:v>0.46055143873689042</c:v>
                </c:pt>
                <c:pt idx="35">
                  <c:v>5.3085582603924472E-2</c:v>
                </c:pt>
                <c:pt idx="36">
                  <c:v>0.3426257937774132</c:v>
                </c:pt>
                <c:pt idx="37">
                  <c:v>-1.9226259616545258</c:v>
                </c:pt>
                <c:pt idx="38">
                  <c:v>-0.17362211344269951</c:v>
                </c:pt>
                <c:pt idx="39">
                  <c:v>0.5975541147837653</c:v>
                </c:pt>
                <c:pt idx="40">
                  <c:v>-1.5258163181196345</c:v>
                </c:pt>
                <c:pt idx="41">
                  <c:v>-0.46353865053633891</c:v>
                </c:pt>
                <c:pt idx="42">
                  <c:v>-0.12140149099930454</c:v>
                </c:pt>
                <c:pt idx="43">
                  <c:v>0.2413416545989446</c:v>
                </c:pt>
                <c:pt idx="44">
                  <c:v>-0.15993904479663873</c:v>
                </c:pt>
                <c:pt idx="45">
                  <c:v>-0.85163609743781421</c:v>
                </c:pt>
                <c:pt idx="46">
                  <c:v>-0.1952657645566365</c:v>
                </c:pt>
                <c:pt idx="47">
                  <c:v>-0.49386158896161941</c:v>
                </c:pt>
                <c:pt idx="48">
                  <c:v>-1.5208725664306157</c:v>
                </c:pt>
                <c:pt idx="49">
                  <c:v>0.49073502816152981</c:v>
                </c:pt>
                <c:pt idx="50">
                  <c:v>-0.77906057855136013</c:v>
                </c:pt>
                <c:pt idx="51">
                  <c:v>-1.6895803349014011</c:v>
                </c:pt>
                <c:pt idx="52">
                  <c:v>-1.5617090102084115</c:v>
                </c:pt>
                <c:pt idx="53">
                  <c:v>9.2517519098509818E-2</c:v>
                </c:pt>
                <c:pt idx="54">
                  <c:v>-0.45700678889323015</c:v>
                </c:pt>
                <c:pt idx="55">
                  <c:v>0.4349921535924115</c:v>
                </c:pt>
                <c:pt idx="56">
                  <c:v>0.12066739752407935</c:v>
                </c:pt>
                <c:pt idx="57">
                  <c:v>-0.16534994957991228</c:v>
                </c:pt>
                <c:pt idx="58">
                  <c:v>-0.74208961914634053</c:v>
                </c:pt>
                <c:pt idx="59">
                  <c:v>-1.6986278288703955</c:v>
                </c:pt>
                <c:pt idx="60">
                  <c:v>-1.7125907031551324</c:v>
                </c:pt>
                <c:pt idx="61">
                  <c:v>0.21377720532793529</c:v>
                </c:pt>
                <c:pt idx="62">
                  <c:v>0.21042669483839216</c:v>
                </c:pt>
                <c:pt idx="63">
                  <c:v>-1.3598299490702814</c:v>
                </c:pt>
                <c:pt idx="64">
                  <c:v>7.4579161488521215E-2</c:v>
                </c:pt>
                <c:pt idx="65">
                  <c:v>-1.140599464698655</c:v>
                </c:pt>
                <c:pt idx="66">
                  <c:v>0.46491277772606859</c:v>
                </c:pt>
                <c:pt idx="67">
                  <c:v>-0.46257702653734001</c:v>
                </c:pt>
                <c:pt idx="68">
                  <c:v>-0.89700780748757458</c:v>
                </c:pt>
                <c:pt idx="69">
                  <c:v>-0.90295026273853674</c:v>
                </c:pt>
                <c:pt idx="70">
                  <c:v>0.520095807645236</c:v>
                </c:pt>
                <c:pt idx="71">
                  <c:v>7.4506038631969959E-2</c:v>
                </c:pt>
                <c:pt idx="72">
                  <c:v>4.8749021922539298E-4</c:v>
                </c:pt>
                <c:pt idx="73">
                  <c:v>0.65794117091485849</c:v>
                </c:pt>
                <c:pt idx="74">
                  <c:v>0.34604111101163809</c:v>
                </c:pt>
                <c:pt idx="75">
                  <c:v>0.26371023046112491</c:v>
                </c:pt>
                <c:pt idx="76">
                  <c:v>0.48388254001531267</c:v>
                </c:pt>
                <c:pt idx="77">
                  <c:v>0.63814523124076061</c:v>
                </c:pt>
                <c:pt idx="78">
                  <c:v>0.56070657842337646</c:v>
                </c:pt>
                <c:pt idx="79">
                  <c:v>0.1910654643055</c:v>
                </c:pt>
                <c:pt idx="80">
                  <c:v>-0.38564766715178961</c:v>
                </c:pt>
                <c:pt idx="81">
                  <c:v>-0.93953128504285255</c:v>
                </c:pt>
                <c:pt idx="82">
                  <c:v>-1.5273038585520946</c:v>
                </c:pt>
                <c:pt idx="83">
                  <c:v>0.42040067239465673</c:v>
                </c:pt>
                <c:pt idx="84">
                  <c:v>-1.976498504046829</c:v>
                </c:pt>
                <c:pt idx="85">
                  <c:v>-0.28046225865456542</c:v>
                </c:pt>
                <c:pt idx="86">
                  <c:v>0.40542547438201937</c:v>
                </c:pt>
                <c:pt idx="87">
                  <c:v>-1.3607438014088986</c:v>
                </c:pt>
                <c:pt idx="88">
                  <c:v>0.63189750745537909</c:v>
                </c:pt>
                <c:pt idx="89">
                  <c:v>0.45899271128771735</c:v>
                </c:pt>
                <c:pt idx="90">
                  <c:v>-0.62221892243806742</c:v>
                </c:pt>
                <c:pt idx="91">
                  <c:v>-1.1548537660530021</c:v>
                </c:pt>
                <c:pt idx="92">
                  <c:v>0.24908583436432116</c:v>
                </c:pt>
                <c:pt idx="93">
                  <c:v>-0.53786846445316516</c:v>
                </c:pt>
                <c:pt idx="94">
                  <c:v>-0.28821490000291022</c:v>
                </c:pt>
                <c:pt idx="95">
                  <c:v>-0.83946026351911573</c:v>
                </c:pt>
                <c:pt idx="96">
                  <c:v>0.42159500190246302</c:v>
                </c:pt>
                <c:pt idx="97">
                  <c:v>0.32068533866130799</c:v>
                </c:pt>
                <c:pt idx="98">
                  <c:v>-0.62866873371167842</c:v>
                </c:pt>
                <c:pt idx="99">
                  <c:v>-1.1356981290764774</c:v>
                </c:pt>
                <c:pt idx="100">
                  <c:v>-1.6907455183876832</c:v>
                </c:pt>
                <c:pt idx="101">
                  <c:v>-0.16376849445937697</c:v>
                </c:pt>
                <c:pt idx="102">
                  <c:v>0.30134560168574592</c:v>
                </c:pt>
                <c:pt idx="103">
                  <c:v>-1.5040917525261941</c:v>
                </c:pt>
                <c:pt idx="104">
                  <c:v>-7.4968618691882385E-2</c:v>
                </c:pt>
                <c:pt idx="105">
                  <c:v>0.56653085254425095</c:v>
                </c:pt>
                <c:pt idx="106">
                  <c:v>0.44598946139422607</c:v>
                </c:pt>
                <c:pt idx="107">
                  <c:v>-0.72594365571036856</c:v>
                </c:pt>
                <c:pt idx="108">
                  <c:v>0.1250692624853455</c:v>
                </c:pt>
                <c:pt idx="109">
                  <c:v>3.2679709040014958E-2</c:v>
                </c:pt>
                <c:pt idx="110">
                  <c:v>0.57825004925118395</c:v>
                </c:pt>
                <c:pt idx="111">
                  <c:v>-0.82054053766620294</c:v>
                </c:pt>
                <c:pt idx="112">
                  <c:v>0.3648600228768431</c:v>
                </c:pt>
                <c:pt idx="113">
                  <c:v>0.29219621092590992</c:v>
                </c:pt>
                <c:pt idx="114">
                  <c:v>-0.60178512241927962</c:v>
                </c:pt>
                <c:pt idx="115">
                  <c:v>-1.3538526482616511</c:v>
                </c:pt>
                <c:pt idx="116">
                  <c:v>0.64468181530861723</c:v>
                </c:pt>
                <c:pt idx="117">
                  <c:v>-0.26038469685611532</c:v>
                </c:pt>
                <c:pt idx="118">
                  <c:v>-1.30549485210503</c:v>
                </c:pt>
                <c:pt idx="119">
                  <c:v>-0.26810875570999282</c:v>
                </c:pt>
                <c:pt idx="120">
                  <c:v>-1.1644024283117362</c:v>
                </c:pt>
                <c:pt idx="121">
                  <c:v>3.0826647354568193E-3</c:v>
                </c:pt>
                <c:pt idx="122">
                  <c:v>-7.0631680616103906E-2</c:v>
                </c:pt>
                <c:pt idx="123">
                  <c:v>-0.81955178011066954</c:v>
                </c:pt>
                <c:pt idx="124">
                  <c:v>-1.5110354075310257</c:v>
                </c:pt>
                <c:pt idx="125">
                  <c:v>0.11316563331147644</c:v>
                </c:pt>
                <c:pt idx="126">
                  <c:v>7.4356836816464225E-2</c:v>
                </c:pt>
                <c:pt idx="127">
                  <c:v>-4.2415643465253061E-2</c:v>
                </c:pt>
                <c:pt idx="128">
                  <c:v>0.18417289328000308</c:v>
                </c:pt>
                <c:pt idx="129">
                  <c:v>0.22785240780461266</c:v>
                </c:pt>
                <c:pt idx="130">
                  <c:v>0.57996006830613234</c:v>
                </c:pt>
                <c:pt idx="131">
                  <c:v>-0.9495816907548037</c:v>
                </c:pt>
                <c:pt idx="132">
                  <c:v>0.57824521847441179</c:v>
                </c:pt>
                <c:pt idx="133">
                  <c:v>-1.3146512676500817</c:v>
                </c:pt>
                <c:pt idx="134">
                  <c:v>-0.91703902925401104</c:v>
                </c:pt>
                <c:pt idx="135">
                  <c:v>-0.43790621781005701</c:v>
                </c:pt>
                <c:pt idx="136">
                  <c:v>-1.9965536559679262</c:v>
                </c:pt>
                <c:pt idx="137">
                  <c:v>-1.4467592925305772</c:v>
                </c:pt>
                <c:pt idx="138">
                  <c:v>0.4467318237760956</c:v>
                </c:pt>
                <c:pt idx="139">
                  <c:v>0.52900091533972382</c:v>
                </c:pt>
                <c:pt idx="140">
                  <c:v>-0.89886728877426458</c:v>
                </c:pt>
                <c:pt idx="141">
                  <c:v>5.773985385613567E-2</c:v>
                </c:pt>
                <c:pt idx="142">
                  <c:v>0.17818106752403498</c:v>
                </c:pt>
                <c:pt idx="143">
                  <c:v>0.48947498631190756</c:v>
                </c:pt>
                <c:pt idx="144">
                  <c:v>0.42149901588622268</c:v>
                </c:pt>
                <c:pt idx="145">
                  <c:v>-0.8018196779475264</c:v>
                </c:pt>
                <c:pt idx="146">
                  <c:v>0.63150164053010749</c:v>
                </c:pt>
                <c:pt idx="147">
                  <c:v>0.52900883673551902</c:v>
                </c:pt>
                <c:pt idx="148">
                  <c:v>-6.0436599931810081E-2</c:v>
                </c:pt>
                <c:pt idx="149">
                  <c:v>0.2596515631364027</c:v>
                </c:pt>
                <c:pt idx="150">
                  <c:v>-1.1764831726274572</c:v>
                </c:pt>
                <c:pt idx="151">
                  <c:v>-1.9075592504976102</c:v>
                </c:pt>
                <c:pt idx="152">
                  <c:v>0.63106273420929504</c:v>
                </c:pt>
                <c:pt idx="153">
                  <c:v>0.58985180557065742</c:v>
                </c:pt>
                <c:pt idx="154">
                  <c:v>0.43620751386565082</c:v>
                </c:pt>
                <c:pt idx="155">
                  <c:v>0.17343587243737404</c:v>
                </c:pt>
                <c:pt idx="156">
                  <c:v>0.52967520798653156</c:v>
                </c:pt>
                <c:pt idx="157">
                  <c:v>-1.3620494284368236</c:v>
                </c:pt>
                <c:pt idx="158">
                  <c:v>0.52671819417779864</c:v>
                </c:pt>
                <c:pt idx="159">
                  <c:v>-0.9437120799349068</c:v>
                </c:pt>
                <c:pt idx="160">
                  <c:v>0.31624699686943142</c:v>
                </c:pt>
                <c:pt idx="161">
                  <c:v>0.38508731798991247</c:v>
                </c:pt>
                <c:pt idx="162">
                  <c:v>0.65728011168739953</c:v>
                </c:pt>
                <c:pt idx="163">
                  <c:v>-1.0390594312270947</c:v>
                </c:pt>
                <c:pt idx="164">
                  <c:v>0.62882607035732385</c:v>
                </c:pt>
                <c:pt idx="165">
                  <c:v>0.62252966282603472</c:v>
                </c:pt>
                <c:pt idx="166">
                  <c:v>-0.17204841273213037</c:v>
                </c:pt>
                <c:pt idx="167">
                  <c:v>6.6123160707514686E-2</c:v>
                </c:pt>
                <c:pt idx="168">
                  <c:v>-0.5062178627879973</c:v>
                </c:pt>
                <c:pt idx="169">
                  <c:v>0.41309005648156127</c:v>
                </c:pt>
                <c:pt idx="170">
                  <c:v>0.36181023052944217</c:v>
                </c:pt>
                <c:pt idx="171">
                  <c:v>0.59252053721957154</c:v>
                </c:pt>
                <c:pt idx="172">
                  <c:v>-0.98466793763549143</c:v>
                </c:pt>
                <c:pt idx="173">
                  <c:v>-1.8517590330140479</c:v>
                </c:pt>
                <c:pt idx="174">
                  <c:v>-1.3472791807243238</c:v>
                </c:pt>
                <c:pt idx="175">
                  <c:v>0.6152047657184655</c:v>
                </c:pt>
                <c:pt idx="176">
                  <c:v>-0.65124440435716258</c:v>
                </c:pt>
                <c:pt idx="177">
                  <c:v>-1.3615819915074359</c:v>
                </c:pt>
                <c:pt idx="178">
                  <c:v>-1.1087964995972821</c:v>
                </c:pt>
                <c:pt idx="179">
                  <c:v>0.57855676066513695</c:v>
                </c:pt>
                <c:pt idx="180">
                  <c:v>-0.11604822446020399</c:v>
                </c:pt>
                <c:pt idx="181">
                  <c:v>4.0332382813706345E-2</c:v>
                </c:pt>
                <c:pt idx="182">
                  <c:v>-0.81158022148298148</c:v>
                </c:pt>
                <c:pt idx="183">
                  <c:v>-1.402447622442867</c:v>
                </c:pt>
                <c:pt idx="184">
                  <c:v>-1.3927003545958501</c:v>
                </c:pt>
                <c:pt idx="185">
                  <c:v>-1.3906055444643752</c:v>
                </c:pt>
                <c:pt idx="186">
                  <c:v>-0.46707648915896532</c:v>
                </c:pt>
                <c:pt idx="187">
                  <c:v>-1.3263339787764585</c:v>
                </c:pt>
                <c:pt idx="188">
                  <c:v>-1.1734350279286174</c:v>
                </c:pt>
                <c:pt idx="189">
                  <c:v>0.16386758143636604</c:v>
                </c:pt>
                <c:pt idx="190">
                  <c:v>0.17308678173411621</c:v>
                </c:pt>
                <c:pt idx="191">
                  <c:v>-0.21899756136301377</c:v>
                </c:pt>
                <c:pt idx="192">
                  <c:v>0.60465598776734053</c:v>
                </c:pt>
                <c:pt idx="193">
                  <c:v>0.13957695407677781</c:v>
                </c:pt>
                <c:pt idx="194">
                  <c:v>0.10025905511845486</c:v>
                </c:pt>
                <c:pt idx="195">
                  <c:v>-1.2380823899133455</c:v>
                </c:pt>
                <c:pt idx="196">
                  <c:v>0.12068621465237309</c:v>
                </c:pt>
                <c:pt idx="197">
                  <c:v>0.52205449161316964</c:v>
                </c:pt>
                <c:pt idx="198">
                  <c:v>3.8202071870453568E-2</c:v>
                </c:pt>
                <c:pt idx="199">
                  <c:v>-1.0753135427972871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5C-4DA2-9F19-5C3701F5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810064"/>
        <c:axId val="954071952"/>
      </c:scatterChart>
      <c:valAx>
        <c:axId val="958810064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71952"/>
        <c:crosses val="autoZero"/>
        <c:crossBetween val="midCat"/>
        <c:majorUnit val="1"/>
      </c:valAx>
      <c:valAx>
        <c:axId val="95407195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881006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x-y</a:t>
            </a:r>
            <a:endParaRPr lang="ja-JP" altLang="en-US"/>
          </a:p>
        </c:rich>
      </c:tx>
      <c:layout>
        <c:manualLayout>
          <c:xMode val="edge"/>
          <c:yMode val="edge"/>
          <c:x val="0.6648932098820766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globe!$F$5:$F$204</c:f>
              <c:numCache>
                <c:formatCode>0.0000_ </c:formatCode>
                <c:ptCount val="200"/>
                <c:pt idx="0">
                  <c:v>1.2326908768509443E-3</c:v>
                </c:pt>
                <c:pt idx="1">
                  <c:v>0.88145692382358787</c:v>
                </c:pt>
                <c:pt idx="2">
                  <c:v>-0.95187382825338951</c:v>
                </c:pt>
                <c:pt idx="3">
                  <c:v>0.44792782696753713</c:v>
                </c:pt>
                <c:pt idx="4">
                  <c:v>-0.71687901600303972</c:v>
                </c:pt>
                <c:pt idx="5">
                  <c:v>0.53657687525275055</c:v>
                </c:pt>
                <c:pt idx="6">
                  <c:v>-0.80994268345215892</c:v>
                </c:pt>
                <c:pt idx="7">
                  <c:v>-0.49398774170541571</c:v>
                </c:pt>
                <c:pt idx="8">
                  <c:v>0.267841727565445</c:v>
                </c:pt>
                <c:pt idx="9">
                  <c:v>-0.30765635733651991</c:v>
                </c:pt>
                <c:pt idx="10">
                  <c:v>-0.88281169192644493</c:v>
                </c:pt>
                <c:pt idx="11">
                  <c:v>-0.67862149542072003</c:v>
                </c:pt>
                <c:pt idx="12">
                  <c:v>-0.62294611243006381</c:v>
                </c:pt>
                <c:pt idx="13">
                  <c:v>-0.25861554508401896</c:v>
                </c:pt>
                <c:pt idx="14">
                  <c:v>0.41951296827741325</c:v>
                </c:pt>
                <c:pt idx="15">
                  <c:v>-0.11255982852734005</c:v>
                </c:pt>
                <c:pt idx="16">
                  <c:v>-0.40673808078984541</c:v>
                </c:pt>
                <c:pt idx="17">
                  <c:v>0.62912063874020441</c:v>
                </c:pt>
                <c:pt idx="18">
                  <c:v>-0.1390227312808085</c:v>
                </c:pt>
                <c:pt idx="19">
                  <c:v>-0.55607294628922088</c:v>
                </c:pt>
                <c:pt idx="20">
                  <c:v>0.3911652234077439</c:v>
                </c:pt>
                <c:pt idx="21">
                  <c:v>-0.45605960997907774</c:v>
                </c:pt>
                <c:pt idx="22">
                  <c:v>0.47371634270816931</c:v>
                </c:pt>
                <c:pt idx="23">
                  <c:v>0.86964001215028019</c:v>
                </c:pt>
                <c:pt idx="24">
                  <c:v>0.8727862234193382</c:v>
                </c:pt>
                <c:pt idx="25">
                  <c:v>-0.58359998961424675</c:v>
                </c:pt>
                <c:pt idx="26">
                  <c:v>0.62748221012600491</c:v>
                </c:pt>
                <c:pt idx="27">
                  <c:v>-0.64240277052564909</c:v>
                </c:pt>
                <c:pt idx="28">
                  <c:v>0.62929736300151518</c:v>
                </c:pt>
                <c:pt idx="29">
                  <c:v>-0.71852903095501441</c:v>
                </c:pt>
                <c:pt idx="30">
                  <c:v>-0.91452185112006534</c:v>
                </c:pt>
                <c:pt idx="31">
                  <c:v>0.15011179980182135</c:v>
                </c:pt>
                <c:pt idx="32">
                  <c:v>-0.99805981903716423</c:v>
                </c:pt>
                <c:pt idx="33">
                  <c:v>-0.24935522053932813</c:v>
                </c:pt>
                <c:pt idx="34">
                  <c:v>0.22958977734873925</c:v>
                </c:pt>
                <c:pt idx="35">
                  <c:v>0.95903150485036304</c:v>
                </c:pt>
                <c:pt idx="36">
                  <c:v>-0.89807373496647946</c:v>
                </c:pt>
                <c:pt idx="37">
                  <c:v>0.13609114767912517</c:v>
                </c:pt>
                <c:pt idx="38">
                  <c:v>-0.80497273844767336</c:v>
                </c:pt>
                <c:pt idx="39">
                  <c:v>0.39625688775636642</c:v>
                </c:pt>
                <c:pt idx="40">
                  <c:v>-0.19417449947204432</c:v>
                </c:pt>
                <c:pt idx="41">
                  <c:v>0.82766175244034912</c:v>
                </c:pt>
                <c:pt idx="42">
                  <c:v>-0.18670295960865504</c:v>
                </c:pt>
                <c:pt idx="43">
                  <c:v>0.94653224611179698</c:v>
                </c:pt>
                <c:pt idx="44">
                  <c:v>0.48041960938752615</c:v>
                </c:pt>
                <c:pt idx="45">
                  <c:v>-0.59318311835350734</c:v>
                </c:pt>
                <c:pt idx="46">
                  <c:v>-0.82967112922395425</c:v>
                </c:pt>
                <c:pt idx="47">
                  <c:v>0.90853279638825646</c:v>
                </c:pt>
                <c:pt idx="48">
                  <c:v>9.2834139326585671E-2</c:v>
                </c:pt>
                <c:pt idx="49">
                  <c:v>-0.3653078509499908</c:v>
                </c:pt>
                <c:pt idx="50">
                  <c:v>0.36970330455893535</c:v>
                </c:pt>
                <c:pt idx="51">
                  <c:v>0.39851428310030707</c:v>
                </c:pt>
                <c:pt idx="52">
                  <c:v>-0.26398947211307267</c:v>
                </c:pt>
                <c:pt idx="53">
                  <c:v>-0.68962858432079677</c:v>
                </c:pt>
                <c:pt idx="54">
                  <c:v>0.14703989468987955</c:v>
                </c:pt>
                <c:pt idx="55">
                  <c:v>0.79151088275059911</c:v>
                </c:pt>
                <c:pt idx="56">
                  <c:v>0.99102811100628552</c:v>
                </c:pt>
                <c:pt idx="57">
                  <c:v>7.2527167451827176E-2</c:v>
                </c:pt>
                <c:pt idx="58">
                  <c:v>0.73697420775420908</c:v>
                </c:pt>
                <c:pt idx="59">
                  <c:v>-5.583074052161216E-2</c:v>
                </c:pt>
                <c:pt idx="60">
                  <c:v>-0.3857816102574626</c:v>
                </c:pt>
                <c:pt idx="61">
                  <c:v>0.9435729329644581</c:v>
                </c:pt>
                <c:pt idx="62">
                  <c:v>-0.96323679807789031</c:v>
                </c:pt>
                <c:pt idx="63">
                  <c:v>0.58512411869893499</c:v>
                </c:pt>
                <c:pt idx="64">
                  <c:v>-0.23793542363707562</c:v>
                </c:pt>
                <c:pt idx="65">
                  <c:v>0.59530036799642427</c:v>
                </c:pt>
                <c:pt idx="66">
                  <c:v>2.5310127418220186E-2</c:v>
                </c:pt>
                <c:pt idx="67">
                  <c:v>-0.36725387889375616</c:v>
                </c:pt>
                <c:pt idx="68">
                  <c:v>0.20128249476607471</c:v>
                </c:pt>
                <c:pt idx="69">
                  <c:v>0.77962281129533073</c:v>
                </c:pt>
                <c:pt idx="70">
                  <c:v>0.6959672708220509</c:v>
                </c:pt>
                <c:pt idx="71">
                  <c:v>-0.71412253666931302</c:v>
                </c:pt>
                <c:pt idx="72">
                  <c:v>0.16871503827447062</c:v>
                </c:pt>
                <c:pt idx="73">
                  <c:v>0.16382206545509587</c:v>
                </c:pt>
                <c:pt idx="74">
                  <c:v>-0.27067715474624704</c:v>
                </c:pt>
                <c:pt idx="75">
                  <c:v>0.86470087957092245</c:v>
                </c:pt>
                <c:pt idx="76">
                  <c:v>0.76968514271860999</c:v>
                </c:pt>
                <c:pt idx="77">
                  <c:v>0.34678561113403644</c:v>
                </c:pt>
                <c:pt idx="78">
                  <c:v>-0.21508521491793378</c:v>
                </c:pt>
                <c:pt idx="79">
                  <c:v>-0.90843491335928239</c:v>
                </c:pt>
                <c:pt idx="80">
                  <c:v>0.93239070735817009</c:v>
                </c:pt>
                <c:pt idx="81">
                  <c:v>-0.34798828512802416</c:v>
                </c:pt>
                <c:pt idx="82">
                  <c:v>0.50002250051942432</c:v>
                </c:pt>
                <c:pt idx="83">
                  <c:v>-0.75379444407800777</c:v>
                </c:pt>
                <c:pt idx="84">
                  <c:v>9.276844473665373E-2</c:v>
                </c:pt>
                <c:pt idx="85">
                  <c:v>0.91068733308620275</c:v>
                </c:pt>
                <c:pt idx="86">
                  <c:v>-0.8596599033306328</c:v>
                </c:pt>
                <c:pt idx="87">
                  <c:v>-0.58438382560698332</c:v>
                </c:pt>
                <c:pt idx="88">
                  <c:v>-0.177391769355529</c:v>
                </c:pt>
                <c:pt idx="89">
                  <c:v>-3.5379490550282673E-2</c:v>
                </c:pt>
                <c:pt idx="90">
                  <c:v>-0.2332267920660076</c:v>
                </c:pt>
                <c:pt idx="91">
                  <c:v>-0.42019623652183996</c:v>
                </c:pt>
                <c:pt idx="92">
                  <c:v>4.7825714455930812E-2</c:v>
                </c:pt>
                <c:pt idx="93">
                  <c:v>-0.47230979210662899</c:v>
                </c:pt>
                <c:pt idx="94">
                  <c:v>0.956602487842659</c:v>
                </c:pt>
                <c:pt idx="95">
                  <c:v>-0.50160593205347903</c:v>
                </c:pt>
                <c:pt idx="96">
                  <c:v>0.16813549501268474</c:v>
                </c:pt>
                <c:pt idx="97">
                  <c:v>-0.92393175793885862</c:v>
                </c:pt>
                <c:pt idx="98">
                  <c:v>-0.646545827820317</c:v>
                </c:pt>
                <c:pt idx="99">
                  <c:v>-5.9980480674284263E-2</c:v>
                </c:pt>
                <c:pt idx="100">
                  <c:v>0.25767552753580997</c:v>
                </c:pt>
                <c:pt idx="101">
                  <c:v>0.78986139614990636</c:v>
                </c:pt>
                <c:pt idx="102">
                  <c:v>0.11119678306029855</c:v>
                </c:pt>
                <c:pt idx="103">
                  <c:v>0.44173526899141957</c:v>
                </c:pt>
                <c:pt idx="104">
                  <c:v>-0.85904979828778172</c:v>
                </c:pt>
                <c:pt idx="105">
                  <c:v>-0.35493150614369262</c:v>
                </c:pt>
                <c:pt idx="106">
                  <c:v>0.23348904005177432</c:v>
                </c:pt>
                <c:pt idx="107">
                  <c:v>-0.82029892454645659</c:v>
                </c:pt>
                <c:pt idx="108">
                  <c:v>0.92773572569805596</c:v>
                </c:pt>
                <c:pt idx="109">
                  <c:v>0.70553733195731216</c:v>
                </c:pt>
                <c:pt idx="110">
                  <c:v>-0.12125076636600984</c:v>
                </c:pt>
                <c:pt idx="111">
                  <c:v>0.58812809192436999</c:v>
                </c:pt>
                <c:pt idx="112">
                  <c:v>0.81287559880348625</c:v>
                </c:pt>
                <c:pt idx="113">
                  <c:v>0.84182788898440364</c:v>
                </c:pt>
                <c:pt idx="114">
                  <c:v>0.3644580460448229</c:v>
                </c:pt>
                <c:pt idx="115">
                  <c:v>-0.25627805175637125</c:v>
                </c:pt>
                <c:pt idx="116">
                  <c:v>0.30345698592431908</c:v>
                </c:pt>
                <c:pt idx="117">
                  <c:v>-0.75564930841301958</c:v>
                </c:pt>
                <c:pt idx="118">
                  <c:v>-0.60069201730032051</c:v>
                </c:pt>
                <c:pt idx="119">
                  <c:v>-6.0724883929399905E-2</c:v>
                </c:pt>
                <c:pt idx="120">
                  <c:v>-1.6358722201166374E-2</c:v>
                </c:pt>
                <c:pt idx="121">
                  <c:v>-0.83015800023923614</c:v>
                </c:pt>
                <c:pt idx="122">
                  <c:v>0.28603202293210811</c:v>
                </c:pt>
                <c:pt idx="123">
                  <c:v>0.48244267088738152</c:v>
                </c:pt>
                <c:pt idx="124">
                  <c:v>0.50499131896358063</c:v>
                </c:pt>
                <c:pt idx="125">
                  <c:v>0.12549938438517005</c:v>
                </c:pt>
                <c:pt idx="126">
                  <c:v>6.2530936521252106E-2</c:v>
                </c:pt>
                <c:pt idx="127">
                  <c:v>-0.44278083063278767</c:v>
                </c:pt>
                <c:pt idx="128">
                  <c:v>-0.31936413963724947</c:v>
                </c:pt>
                <c:pt idx="129">
                  <c:v>0.47923413247699204</c:v>
                </c:pt>
                <c:pt idx="130">
                  <c:v>0.39185596636482545</c:v>
                </c:pt>
                <c:pt idx="131">
                  <c:v>-0.61836276388988387</c:v>
                </c:pt>
                <c:pt idx="132">
                  <c:v>-0.2877095083718611</c:v>
                </c:pt>
                <c:pt idx="133">
                  <c:v>-0.58466306496615084</c:v>
                </c:pt>
                <c:pt idx="134">
                  <c:v>-0.61018715084967035</c:v>
                </c:pt>
                <c:pt idx="135">
                  <c:v>-7.0419969699813886E-2</c:v>
                </c:pt>
                <c:pt idx="136">
                  <c:v>2.0196130714112696E-2</c:v>
                </c:pt>
                <c:pt idx="137">
                  <c:v>0.21208023254176117</c:v>
                </c:pt>
                <c:pt idx="138">
                  <c:v>-0.78953352369496843</c:v>
                </c:pt>
                <c:pt idx="139">
                  <c:v>0.67655535581526316</c:v>
                </c:pt>
                <c:pt idx="140">
                  <c:v>-0.18934149470532441</c:v>
                </c:pt>
                <c:pt idx="141">
                  <c:v>-0.41005682127111193</c:v>
                </c:pt>
                <c:pt idx="142">
                  <c:v>-7.9371755685838808E-3</c:v>
                </c:pt>
                <c:pt idx="143">
                  <c:v>-3.884559266615438E-2</c:v>
                </c:pt>
                <c:pt idx="144">
                  <c:v>0.75264799873775101</c:v>
                </c:pt>
                <c:pt idx="145">
                  <c:v>-0.67659152387277</c:v>
                </c:pt>
                <c:pt idx="146">
                  <c:v>-8.4503841939797542E-2</c:v>
                </c:pt>
                <c:pt idx="147">
                  <c:v>-0.56248185093727865</c:v>
                </c:pt>
                <c:pt idx="148">
                  <c:v>8.0031352463060104E-2</c:v>
                </c:pt>
                <c:pt idx="149">
                  <c:v>-0.24468510609513375</c:v>
                </c:pt>
                <c:pt idx="150">
                  <c:v>0.37313074870276686</c:v>
                </c:pt>
                <c:pt idx="151">
                  <c:v>6.4460954504673443E-2</c:v>
                </c:pt>
                <c:pt idx="152">
                  <c:v>0.31519891897523211</c:v>
                </c:pt>
                <c:pt idx="153">
                  <c:v>1.8026075821852248E-2</c:v>
                </c:pt>
                <c:pt idx="154">
                  <c:v>4.3555287900387432E-4</c:v>
                </c:pt>
                <c:pt idx="155">
                  <c:v>0.47878556005223605</c:v>
                </c:pt>
                <c:pt idx="156">
                  <c:v>-0.60792736816486814</c:v>
                </c:pt>
                <c:pt idx="157">
                  <c:v>0.22415148841173435</c:v>
                </c:pt>
                <c:pt idx="158">
                  <c:v>-0.65415532722631997</c:v>
                </c:pt>
                <c:pt idx="159">
                  <c:v>-0.48157763725703967</c:v>
                </c:pt>
                <c:pt idx="160">
                  <c:v>-0.57400186715408663</c:v>
                </c:pt>
                <c:pt idx="161">
                  <c:v>-0.80450543341876157</c:v>
                </c:pt>
                <c:pt idx="162">
                  <c:v>-0.19498883912607157</c:v>
                </c:pt>
                <c:pt idx="163">
                  <c:v>0.55516364389390749</c:v>
                </c:pt>
                <c:pt idx="164">
                  <c:v>-0.38901200259148316</c:v>
                </c:pt>
                <c:pt idx="165">
                  <c:v>0.16527432106055409</c:v>
                </c:pt>
                <c:pt idx="166">
                  <c:v>0.43712054536345496</c:v>
                </c:pt>
                <c:pt idx="167">
                  <c:v>0.84000222613511588</c:v>
                </c:pt>
                <c:pt idx="168">
                  <c:v>0.14356991782670964</c:v>
                </c:pt>
                <c:pt idx="169">
                  <c:v>-0.17330954500994267</c:v>
                </c:pt>
                <c:pt idx="170">
                  <c:v>0.48411990347130918</c:v>
                </c:pt>
                <c:pt idx="171">
                  <c:v>0.53207327119331527</c:v>
                </c:pt>
                <c:pt idx="172">
                  <c:v>-0.39339236582457415</c:v>
                </c:pt>
                <c:pt idx="173">
                  <c:v>-0.18462212948435985</c:v>
                </c:pt>
                <c:pt idx="174">
                  <c:v>-0.20736676312008701</c:v>
                </c:pt>
                <c:pt idx="175">
                  <c:v>-0.31359387454226212</c:v>
                </c:pt>
                <c:pt idx="176">
                  <c:v>-9.7459884499208851E-2</c:v>
                </c:pt>
                <c:pt idx="177">
                  <c:v>-2.8965725141677341E-2</c:v>
                </c:pt>
                <c:pt idx="178">
                  <c:v>0.67602090743909338</c:v>
                </c:pt>
                <c:pt idx="179">
                  <c:v>0.14150757227807934</c:v>
                </c:pt>
                <c:pt idx="180">
                  <c:v>0.67721582166560534</c:v>
                </c:pt>
                <c:pt idx="181">
                  <c:v>0.32912077500716908</c:v>
                </c:pt>
                <c:pt idx="182">
                  <c:v>0.79206181887179994</c:v>
                </c:pt>
                <c:pt idx="183">
                  <c:v>-0.22932896636045808</c:v>
                </c:pt>
                <c:pt idx="184">
                  <c:v>0.34020851913514771</c:v>
                </c:pt>
                <c:pt idx="185">
                  <c:v>0.53548637604726301</c:v>
                </c:pt>
                <c:pt idx="186">
                  <c:v>4.5005143517212895E-2</c:v>
                </c:pt>
                <c:pt idx="187">
                  <c:v>-0.49193380042696394</c:v>
                </c:pt>
                <c:pt idx="188">
                  <c:v>0.52835582955866234</c:v>
                </c:pt>
                <c:pt idx="189">
                  <c:v>-0.9346905933046179</c:v>
                </c:pt>
                <c:pt idx="190">
                  <c:v>-0.30278345190428713</c:v>
                </c:pt>
                <c:pt idx="191">
                  <c:v>0.79115649584252312</c:v>
                </c:pt>
                <c:pt idx="192">
                  <c:v>-0.10381658777926618</c:v>
                </c:pt>
                <c:pt idx="193">
                  <c:v>0.44960999546368874</c:v>
                </c:pt>
                <c:pt idx="194">
                  <c:v>-0.99233420652698356</c:v>
                </c:pt>
                <c:pt idx="195">
                  <c:v>0.27771772149039942</c:v>
                </c:pt>
                <c:pt idx="196">
                  <c:v>0.96795432941811865</c:v>
                </c:pt>
                <c:pt idx="197">
                  <c:v>-0.29875446450305609</c:v>
                </c:pt>
                <c:pt idx="198">
                  <c:v>0.96717964931634026</c:v>
                </c:pt>
                <c:pt idx="199">
                  <c:v>-0.45899233752966345</c:v>
                </c:pt>
              </c:numCache>
            </c:numRef>
          </c:xVal>
          <c:yVal>
            <c:numRef>
              <c:f>globe!$G$5:$G$204</c:f>
              <c:numCache>
                <c:formatCode>0.0000_ </c:formatCode>
                <c:ptCount val="200"/>
                <c:pt idx="0">
                  <c:v>1.3695330288948281E-2</c:v>
                </c:pt>
                <c:pt idx="1">
                  <c:v>5.7256971260718277E-2</c:v>
                </c:pt>
                <c:pt idx="2">
                  <c:v>-0.2022070276940891</c:v>
                </c:pt>
                <c:pt idx="3">
                  <c:v>-0.83466433219808489</c:v>
                </c:pt>
                <c:pt idx="4">
                  <c:v>1.7156251286761858E-2</c:v>
                </c:pt>
                <c:pt idx="5">
                  <c:v>-0.81360560657980163</c:v>
                </c:pt>
                <c:pt idx="6">
                  <c:v>0.3966347609434755</c:v>
                </c:pt>
                <c:pt idx="7">
                  <c:v>-0.79366057924446831</c:v>
                </c:pt>
                <c:pt idx="8">
                  <c:v>-7.3515095580361775E-2</c:v>
                </c:pt>
                <c:pt idx="9">
                  <c:v>-0.33216358177965949</c:v>
                </c:pt>
                <c:pt idx="10">
                  <c:v>0.37761182568887108</c:v>
                </c:pt>
                <c:pt idx="11">
                  <c:v>-0.12471835475277565</c:v>
                </c:pt>
                <c:pt idx="12">
                  <c:v>1.6153569009311947E-2</c:v>
                </c:pt>
                <c:pt idx="13">
                  <c:v>-0.17368424535274135</c:v>
                </c:pt>
                <c:pt idx="14">
                  <c:v>-0.80046576538962833</c:v>
                </c:pt>
                <c:pt idx="15">
                  <c:v>0.73114243853327976</c:v>
                </c:pt>
                <c:pt idx="16">
                  <c:v>0.73451039978430699</c:v>
                </c:pt>
                <c:pt idx="17">
                  <c:v>0.29266733044027066</c:v>
                </c:pt>
                <c:pt idx="18">
                  <c:v>0.96230373794686808</c:v>
                </c:pt>
                <c:pt idx="19">
                  <c:v>-0.42640326126449196</c:v>
                </c:pt>
                <c:pt idx="20">
                  <c:v>-0.4110460644824514</c:v>
                </c:pt>
                <c:pt idx="21">
                  <c:v>-0.30417819907359628</c:v>
                </c:pt>
                <c:pt idx="22">
                  <c:v>-0.70406223392478573</c:v>
                </c:pt>
                <c:pt idx="23">
                  <c:v>-0.49312093936037449</c:v>
                </c:pt>
                <c:pt idx="24">
                  <c:v>-0.16799356729976284</c:v>
                </c:pt>
                <c:pt idx="25">
                  <c:v>-0.77494005528626742</c:v>
                </c:pt>
                <c:pt idx="26">
                  <c:v>-0.38225688609533154</c:v>
                </c:pt>
                <c:pt idx="27">
                  <c:v>0.23056524898232997</c:v>
                </c:pt>
                <c:pt idx="28">
                  <c:v>-0.17947614429944439</c:v>
                </c:pt>
                <c:pt idx="29">
                  <c:v>-5.6728346752568444E-2</c:v>
                </c:pt>
                <c:pt idx="30">
                  <c:v>-0.30618300267317783</c:v>
                </c:pt>
                <c:pt idx="31">
                  <c:v>-0.97946821342887602</c:v>
                </c:pt>
                <c:pt idx="32">
                  <c:v>6.0988474739241266E-2</c:v>
                </c:pt>
                <c:pt idx="33">
                  <c:v>-0.90902603586074537</c:v>
                </c:pt>
                <c:pt idx="34">
                  <c:v>-0.76764976005153984</c:v>
                </c:pt>
                <c:pt idx="35">
                  <c:v>-0.27800129507238536</c:v>
                </c:pt>
                <c:pt idx="36">
                  <c:v>-0.15005853541660158</c:v>
                </c:pt>
                <c:pt idx="37">
                  <c:v>0.14331868153652824</c:v>
                </c:pt>
                <c:pt idx="38">
                  <c:v>-0.57139971829634228</c:v>
                </c:pt>
                <c:pt idx="39">
                  <c:v>-0.34176582821167945</c:v>
                </c:pt>
                <c:pt idx="40">
                  <c:v>-0.4617218390146256</c:v>
                </c:pt>
                <c:pt idx="41">
                  <c:v>-0.41636493480590053</c:v>
                </c:pt>
                <c:pt idx="42">
                  <c:v>-0.97572653772754681</c:v>
                </c:pt>
                <c:pt idx="43">
                  <c:v>-0.16955179160325759</c:v>
                </c:pt>
                <c:pt idx="44">
                  <c:v>0.86444468131154772</c:v>
                </c:pt>
                <c:pt idx="45">
                  <c:v>-0.53978764952915181</c:v>
                </c:pt>
                <c:pt idx="46">
                  <c:v>-0.52914876959555823</c:v>
                </c:pt>
                <c:pt idx="47">
                  <c:v>0.13305356206972471</c:v>
                </c:pt>
                <c:pt idx="48">
                  <c:v>-0.49500256348133015</c:v>
                </c:pt>
                <c:pt idx="49">
                  <c:v>-0.66608134176487777</c:v>
                </c:pt>
                <c:pt idx="50">
                  <c:v>0.74092817747921647</c:v>
                </c:pt>
                <c:pt idx="51">
                  <c:v>-4.8745163798124089E-2</c:v>
                </c:pt>
                <c:pt idx="52">
                  <c:v>-0.40159610600059886</c:v>
                </c:pt>
                <c:pt idx="53">
                  <c:v>-0.71763672994190497</c:v>
                </c:pt>
                <c:pt idx="54">
                  <c:v>-0.91651139320073516</c:v>
                </c:pt>
                <c:pt idx="55">
                  <c:v>-0.25394534399246882</c:v>
                </c:pt>
                <c:pt idx="56">
                  <c:v>-3.7051722259344E-2</c:v>
                </c:pt>
                <c:pt idx="57">
                  <c:v>-0.98560404412189884</c:v>
                </c:pt>
                <c:pt idx="58">
                  <c:v>0.40485587956658747</c:v>
                </c:pt>
                <c:pt idx="59">
                  <c:v>-0.39141780664349329</c:v>
                </c:pt>
                <c:pt idx="60">
                  <c:v>3.0022452302364794E-3</c:v>
                </c:pt>
                <c:pt idx="61">
                  <c:v>0.22885761011368655</c:v>
                </c:pt>
                <c:pt idx="62">
                  <c:v>-0.12988491171536204</c:v>
                </c:pt>
                <c:pt idx="63">
                  <c:v>-4.8974658951432694E-2</c:v>
                </c:pt>
                <c:pt idx="64">
                  <c:v>-0.96818668526352369</c:v>
                </c:pt>
                <c:pt idx="65">
                  <c:v>0.34354302919087409</c:v>
                </c:pt>
                <c:pt idx="66">
                  <c:v>0.79527893187733589</c:v>
                </c:pt>
                <c:pt idx="67">
                  <c:v>-0.85087315402913666</c:v>
                </c:pt>
                <c:pt idx="68">
                  <c:v>0.75894412507193598</c:v>
                </c:pt>
                <c:pt idx="69">
                  <c:v>-7.2045162283703501E-2</c:v>
                </c:pt>
                <c:pt idx="70">
                  <c:v>-0.14694398406430936</c:v>
                </c:pt>
                <c:pt idx="71">
                  <c:v>0.69572979186128947</c:v>
                </c:pt>
                <c:pt idx="72">
                  <c:v>-0.98566474934301951</c:v>
                </c:pt>
                <c:pt idx="73">
                  <c:v>-0.10858795931128004</c:v>
                </c:pt>
                <c:pt idx="74">
                  <c:v>0.86697290271907956</c:v>
                </c:pt>
                <c:pt idx="75">
                  <c:v>-0.40002559119019704</c:v>
                </c:pt>
                <c:pt idx="76">
                  <c:v>-1.1614609263472716E-2</c:v>
                </c:pt>
                <c:pt idx="77">
                  <c:v>-3.8088252756587088E-2</c:v>
                </c:pt>
                <c:pt idx="78">
                  <c:v>0.58879279749201674</c:v>
                </c:pt>
                <c:pt idx="79">
                  <c:v>-0.36072283262931171</c:v>
                </c:pt>
                <c:pt idx="80">
                  <c:v>-0.16161835607018157</c:v>
                </c:pt>
                <c:pt idx="81">
                  <c:v>-0.68576807908179438</c:v>
                </c:pt>
                <c:pt idx="82">
                  <c:v>6.3146843424859676E-3</c:v>
                </c:pt>
                <c:pt idx="83">
                  <c:v>0.38530988257605225</c:v>
                </c:pt>
                <c:pt idx="84">
                  <c:v>5.6385126154612705E-2</c:v>
                </c:pt>
                <c:pt idx="85">
                  <c:v>-0.33188478373945057</c:v>
                </c:pt>
                <c:pt idx="86">
                  <c:v>-4.9054547822480331E-2</c:v>
                </c:pt>
                <c:pt idx="87">
                  <c:v>5.2345920106619002E-2</c:v>
                </c:pt>
                <c:pt idx="88">
                  <c:v>0.33941735053396027</c:v>
                </c:pt>
                <c:pt idx="89">
                  <c:v>-0.80242388759807715</c:v>
                </c:pt>
                <c:pt idx="90">
                  <c:v>0.8487546455033772</c:v>
                </c:pt>
                <c:pt idx="91">
                  <c:v>-0.53614043925006005</c:v>
                </c:pt>
                <c:pt idx="92">
                  <c:v>0.95747614084514054</c:v>
                </c:pt>
                <c:pt idx="93">
                  <c:v>0.77282218843432748</c:v>
                </c:pt>
                <c:pt idx="94">
                  <c:v>-0.14646433879912016</c:v>
                </c:pt>
                <c:pt idx="95">
                  <c:v>0.63148839422795933</c:v>
                </c:pt>
                <c:pt idx="96">
                  <c:v>-0.828466485475568</c:v>
                </c:pt>
                <c:pt idx="97">
                  <c:v>2.2002666099034021E-2</c:v>
                </c:pt>
                <c:pt idx="98">
                  <c:v>0.59429887184901609</c:v>
                </c:pt>
                <c:pt idx="99">
                  <c:v>0.68680039745283705</c:v>
                </c:pt>
                <c:pt idx="100">
                  <c:v>-0.30686477714441557</c:v>
                </c:pt>
                <c:pt idx="101">
                  <c:v>-0.59431058322245378</c:v>
                </c:pt>
                <c:pt idx="102">
                  <c:v>0.92830417066886584</c:v>
                </c:pt>
                <c:pt idx="103">
                  <c:v>0.26055045788864134</c:v>
                </c:pt>
                <c:pt idx="104">
                  <c:v>-0.50676615525671997</c:v>
                </c:pt>
                <c:pt idx="105">
                  <c:v>0.49923829206329623</c:v>
                </c:pt>
                <c:pt idx="106">
                  <c:v>0.78487193362020158</c:v>
                </c:pt>
                <c:pt idx="107">
                  <c:v>0.20839262253926819</c:v>
                </c:pt>
                <c:pt idx="108">
                  <c:v>-0.34857943678244152</c:v>
                </c:pt>
                <c:pt idx="109">
                  <c:v>-0.70789358993075502</c:v>
                </c:pt>
                <c:pt idx="110">
                  <c:v>-0.56887870400859808</c:v>
                </c:pt>
                <c:pt idx="111">
                  <c:v>-0.56176216834987514</c:v>
                </c:pt>
                <c:pt idx="112">
                  <c:v>-0.37426328019513744</c:v>
                </c:pt>
                <c:pt idx="113">
                  <c:v>0.41741129911077351</c:v>
                </c:pt>
                <c:pt idx="114">
                  <c:v>-0.80819372878144247</c:v>
                </c:pt>
                <c:pt idx="115">
                  <c:v>-0.5315268989798978</c:v>
                </c:pt>
                <c:pt idx="116">
                  <c:v>-5.3598136149435809E-2</c:v>
                </c:pt>
                <c:pt idx="117">
                  <c:v>0.61311883054200467</c:v>
                </c:pt>
                <c:pt idx="118">
                  <c:v>-0.12343813706000588</c:v>
                </c:pt>
                <c:pt idx="119">
                  <c:v>-0.96975249337581915</c:v>
                </c:pt>
                <c:pt idx="120">
                  <c:v>-0.67685098157606616</c:v>
                </c:pt>
                <c:pt idx="121">
                  <c:v>-0.55751965207967358</c:v>
                </c:pt>
                <c:pt idx="122">
                  <c:v>-0.95578836187008887</c:v>
                </c:pt>
                <c:pt idx="123">
                  <c:v>-0.6552090687121751</c:v>
                </c:pt>
                <c:pt idx="124">
                  <c:v>6.4180591896591616E-2</c:v>
                </c:pt>
                <c:pt idx="125">
                  <c:v>0.98481531502550101</c:v>
                </c:pt>
                <c:pt idx="126">
                  <c:v>0.99505060660145161</c:v>
                </c:pt>
                <c:pt idx="127">
                  <c:v>-0.89566734783198265</c:v>
                </c:pt>
                <c:pt idx="128">
                  <c:v>0.92566584092135495</c:v>
                </c:pt>
                <c:pt idx="129">
                  <c:v>0.83917183957248775</c:v>
                </c:pt>
                <c:pt idx="130">
                  <c:v>-0.42337973542361851</c:v>
                </c:pt>
                <c:pt idx="131">
                  <c:v>-0.45061273246789135</c:v>
                </c:pt>
                <c:pt idx="132">
                  <c:v>0.50553290570396359</c:v>
                </c:pt>
                <c:pt idx="133">
                  <c:v>0.17013193863968834</c:v>
                </c:pt>
                <c:pt idx="134">
                  <c:v>-0.48202644008762213</c:v>
                </c:pt>
                <c:pt idx="135">
                  <c:v>-0.93058156489990917</c:v>
                </c:pt>
                <c:pt idx="136">
                  <c:v>3.6277136740826083E-2</c:v>
                </c:pt>
                <c:pt idx="137">
                  <c:v>-0.50027910598552783</c:v>
                </c:pt>
                <c:pt idx="138">
                  <c:v>-0.21392557859396638</c:v>
                </c:pt>
                <c:pt idx="139">
                  <c:v>-0.15800706887915017</c:v>
                </c:pt>
                <c:pt idx="140">
                  <c:v>0.76129029155184813</c:v>
                </c:pt>
                <c:pt idx="141">
                  <c:v>0.91011996200653122</c:v>
                </c:pt>
                <c:pt idx="142">
                  <c:v>-0.98065006980139446</c:v>
                </c:pt>
                <c:pt idx="143">
                  <c:v>-0.76057588567249002</c:v>
                </c:pt>
                <c:pt idx="144">
                  <c:v>-0.38511280279232568</c:v>
                </c:pt>
                <c:pt idx="145">
                  <c:v>0.46328402644378641</c:v>
                </c:pt>
                <c:pt idx="146">
                  <c:v>-0.37562336775133459</c:v>
                </c:pt>
                <c:pt idx="147">
                  <c:v>-0.40778240071538957</c:v>
                </c:pt>
                <c:pt idx="148">
                  <c:v>0.99506458691089894</c:v>
                </c:pt>
                <c:pt idx="149">
                  <c:v>0.92254670127343297</c:v>
                </c:pt>
                <c:pt idx="150">
                  <c:v>0.55863154982415264</c:v>
                </c:pt>
                <c:pt idx="151">
                  <c:v>-0.20639511127515955</c:v>
                </c:pt>
                <c:pt idx="152">
                  <c:v>0.22497193198058202</c:v>
                </c:pt>
                <c:pt idx="153">
                  <c:v>-0.54754615089215308</c:v>
                </c:pt>
                <c:pt idx="154">
                  <c:v>-0.82991872830073854</c:v>
                </c:pt>
                <c:pt idx="155">
                  <c:v>-0.85714694003919878</c:v>
                </c:pt>
                <c:pt idx="156">
                  <c:v>-0.3336499522684564</c:v>
                </c:pt>
                <c:pt idx="157">
                  <c:v>-0.54152734329112606</c:v>
                </c:pt>
                <c:pt idx="158">
                  <c:v>-0.24661119607156001</c:v>
                </c:pt>
                <c:pt idx="159">
                  <c:v>-0.59747982686290935</c:v>
                </c:pt>
                <c:pt idx="160">
                  <c:v>0.72760732826971697</c:v>
                </c:pt>
                <c:pt idx="161">
                  <c:v>0.35401122057974543</c:v>
                </c:pt>
                <c:pt idx="162">
                  <c:v>-5.9023190421265546E-2</c:v>
                </c:pt>
                <c:pt idx="163">
                  <c:v>-0.47350435889161818</c:v>
                </c:pt>
                <c:pt idx="164">
                  <c:v>-8.6014846611027235E-2</c:v>
                </c:pt>
                <c:pt idx="165">
                  <c:v>0.39458406184761796</c:v>
                </c:pt>
                <c:pt idx="166">
                  <c:v>-0.88534095060290086</c:v>
                </c:pt>
                <c:pt idx="167">
                  <c:v>0.53825633524760086</c:v>
                </c:pt>
                <c:pt idx="168">
                  <c:v>0.90343581611682522</c:v>
                </c:pt>
                <c:pt idx="169">
                  <c:v>0.83601232682811377</c:v>
                </c:pt>
                <c:pt idx="170">
                  <c:v>-0.75532228290478332</c:v>
                </c:pt>
                <c:pt idx="171">
                  <c:v>8.9452736872260283E-2</c:v>
                </c:pt>
                <c:pt idx="172">
                  <c:v>-0.64022139053521887</c:v>
                </c:pt>
                <c:pt idx="173">
                  <c:v>-0.20348606813097334</c:v>
                </c:pt>
                <c:pt idx="174">
                  <c:v>-0.55585491708851598</c:v>
                </c:pt>
                <c:pt idx="175">
                  <c:v>0.33496610926289977</c:v>
                </c:pt>
                <c:pt idx="176">
                  <c:v>0.86553504948824889</c:v>
                </c:pt>
                <c:pt idx="177">
                  <c:v>0.58559781826827351</c:v>
                </c:pt>
                <c:pt idx="178">
                  <c:v>-0.18481950704056588</c:v>
                </c:pt>
                <c:pt idx="179">
                  <c:v>0.56330484395925051</c:v>
                </c:pt>
                <c:pt idx="180">
                  <c:v>0.72756317262481918</c:v>
                </c:pt>
                <c:pt idx="181">
                  <c:v>-0.94339025130900622</c:v>
                </c:pt>
                <c:pt idx="182">
                  <c:v>0.19836415377037805</c:v>
                </c:pt>
                <c:pt idx="183">
                  <c:v>-0.51750640560035632</c:v>
                </c:pt>
                <c:pt idx="184">
                  <c:v>0.45849776862628139</c:v>
                </c:pt>
                <c:pt idx="185">
                  <c:v>0.2010271469388579</c:v>
                </c:pt>
                <c:pt idx="186">
                  <c:v>0.92444600349357842</c:v>
                </c:pt>
                <c:pt idx="187">
                  <c:v>0.3493348990538756</c:v>
                </c:pt>
                <c:pt idx="188">
                  <c:v>-0.4170447676366052</c:v>
                </c:pt>
                <c:pt idx="189">
                  <c:v>-0.30739885959564767</c:v>
                </c:pt>
                <c:pt idx="190">
                  <c:v>0.93403288313717114</c:v>
                </c:pt>
                <c:pt idx="191">
                  <c:v>0.57888761019896029</c:v>
                </c:pt>
                <c:pt idx="192">
                  <c:v>0.48794858634138483</c:v>
                </c:pt>
                <c:pt idx="193">
                  <c:v>-0.88053180749990734</c:v>
                </c:pt>
                <c:pt idx="194">
                  <c:v>6.4280398744712711E-2</c:v>
                </c:pt>
                <c:pt idx="195">
                  <c:v>-0.58146820804664767</c:v>
                </c:pt>
                <c:pt idx="196">
                  <c:v>0.21579733371852569</c:v>
                </c:pt>
                <c:pt idx="197">
                  <c:v>-0.64160768491461373</c:v>
                </c:pt>
                <c:pt idx="198">
                  <c:v>-0.25109109214725245</c:v>
                </c:pt>
                <c:pt idx="199">
                  <c:v>-0.54797637619983319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B-48A0-B560-7A1869E23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810064"/>
        <c:axId val="954071952"/>
      </c:scatterChart>
      <c:valAx>
        <c:axId val="958810064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71952"/>
        <c:crosses val="autoZero"/>
        <c:crossBetween val="midCat"/>
        <c:majorUnit val="1"/>
      </c:valAx>
      <c:valAx>
        <c:axId val="95407195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881006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562CB199-55A2-4EB5-8AAE-75A17216C39C}">
          <cx:tx>
            <cx:txData>
              <cx:f>_xlchart.v1.0</cx:f>
              <cx:v>x</cx:v>
            </cx:txData>
          </cx:tx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y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4399B10E-B5FA-4193-9C79-0A51B7BEE1E1}">
          <cx:tx>
            <cx:txData>
              <cx:f>_xlchart.v1.2</cx:f>
              <cx:v>y</cx:v>
            </cx:txData>
          </cx:tx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</cx:chartData>
  <cx:chart>
    <cx:plotArea>
      <cx:plotAreaRegion>
        <cx:series layoutId="boxWhisker" uniqueId="{B531891A-7AE2-4D2B-B0DE-7AEF80546B40}">
          <cx:tx>
            <cx:txData>
              <cx:f>_xlchart.v1.16</cx:f>
              <cx:v>x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0FF06AB-3FB8-4964-9CCF-C7B248B5D70B}">
          <cx:tx>
            <cx:txData>
              <cx:f>_xlchart.v1.18</cx:f>
              <cx:v>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562CB199-55A2-4EB5-8AAE-75A17216C39C}">
          <cx:tx>
            <cx:txData>
              <cx:f>_xlchart.v1.8</cx:f>
              <cx:v>x</cx:v>
            </cx:txData>
          </cx:tx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y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4399B10E-B5FA-4193-9C79-0A51B7BEE1E1}">
          <cx:tx>
            <cx:txData>
              <cx:f>_xlchart.v1.14</cx:f>
              <cx:v>y</cx:v>
            </cx:txData>
          </cx:tx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1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游ゴシック" panose="020B0400000000000000" pitchFamily="50" charset="-128"/>
              </a:rPr>
              <a:t>y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31DA4A6C-CA8D-442B-AB9E-9FDDB32931DC}">
          <cx:tx>
            <cx:txData>
              <cx:f>_xlchart.v1.12</cx:f>
              <cx:v>y</cx:v>
            </cx:txData>
          </cx:tx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1">
      <cx:tx>
        <cx:txData>
          <cx:v>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ja-JP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游ゴシック" panose="020B0400000000000000" pitchFamily="50" charset="-128"/>
            </a:rPr>
            <a:t>x</a:t>
          </a:r>
        </a:p>
      </cx:txPr>
    </cx:title>
    <cx:plotArea>
      <cx:plotAreaRegion>
        <cx:series layoutId="clusteredColumn" uniqueId="{FBA50FF0-800F-45BE-A825-D53E6623C148}">
          <cx:tx>
            <cx:txData>
              <cx:f>_xlchart.v1.10</cx:f>
              <cx:v>x</cx:v>
            </cx:txData>
          </cx:tx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/>
    <cx:plotArea>
      <cx:plotAreaRegion>
        <cx:series layoutId="boxWhisker" uniqueId="{DFBC9930-FC02-4F40-BCA1-49AAA8A98CDA}">
          <cx:tx>
            <cx:txData>
              <cx:f>_xlchart.v1.4</cx:f>
              <cx:v>x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8AC5BFA-FFF1-4BC0-8F9F-886CE62C861E}">
          <cx:tx>
            <cx:txData>
              <cx:f>_xlchart.v1.6</cx:f>
              <cx:v>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</cx:chartData>
  <cx:chart>
    <cx:plotArea>
      <cx:plotAreaRegion>
        <cx:series layoutId="boxWhisker" uniqueId="{C7A71EE1-BBFA-4D34-8619-1D32FA91FDB2}">
          <cx:tx>
            <cx:txData>
              <cx:f>_xlchart.v1.20</cx:f>
              <cx:v>x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3782732-06AE-4CF5-9EAD-42573B91536C}">
          <cx:tx>
            <cx:txData>
              <cx:f>_xlchart.v1.22</cx:f>
              <cx:v>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4.xml"/><Relationship Id="rId7" Type="http://schemas.openxmlformats.org/officeDocument/2006/relationships/chart" Target="../charts/chart3.xml"/><Relationship Id="rId2" Type="http://schemas.microsoft.com/office/2014/relationships/chartEx" Target="../charts/chartEx3.xml"/><Relationship Id="rId1" Type="http://schemas.openxmlformats.org/officeDocument/2006/relationships/chart" Target="../charts/chart2.xml"/><Relationship Id="rId6" Type="http://schemas.microsoft.com/office/2014/relationships/chartEx" Target="../charts/chartEx7.xml"/><Relationship Id="rId5" Type="http://schemas.microsoft.com/office/2014/relationships/chartEx" Target="../charts/chartEx6.xml"/><Relationship Id="rId4" Type="http://schemas.microsoft.com/office/2014/relationships/chartEx" Target="../charts/chartEx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6.xml"/><Relationship Id="rId7" Type="http://schemas.microsoft.com/office/2014/relationships/chartEx" Target="../charts/chartEx9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12</xdr:col>
      <xdr:colOff>457200</xdr:colOff>
      <xdr:row>21</xdr:row>
      <xdr:rowOff>23813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81513D7-739B-42F6-90F9-9AEBF1414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19</xdr:col>
      <xdr:colOff>457200</xdr:colOff>
      <xdr:row>14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グラフ 6">
              <a:extLst>
                <a:ext uri="{FF2B5EF4-FFF2-40B4-BE49-F238E27FC236}">
                  <a16:creationId xmlns:a16="http://schemas.microsoft.com/office/drawing/2014/main" id="{06807611-C8D3-412A-B4E3-6AFC38E1D7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7143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16</xdr:row>
      <xdr:rowOff>0</xdr:rowOff>
    </xdr:from>
    <xdr:to>
      <xdr:col>19</xdr:col>
      <xdr:colOff>457200</xdr:colOff>
      <xdr:row>27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51B23AC5-8757-4481-B32C-D4A6161867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3810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29</xdr:row>
      <xdr:rowOff>0</xdr:rowOff>
    </xdr:from>
    <xdr:to>
      <xdr:col>9</xdr:col>
      <xdr:colOff>457200</xdr:colOff>
      <xdr:row>47</xdr:row>
      <xdr:rowOff>23813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984A78D-D22B-48C0-BDF7-5630DF019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48</xdr:row>
      <xdr:rowOff>0</xdr:rowOff>
    </xdr:from>
    <xdr:to>
      <xdr:col>9</xdr:col>
      <xdr:colOff>457200</xdr:colOff>
      <xdr:row>59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9D6164D2-B672-4410-B423-3F5914BA29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0" y="11430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60</xdr:row>
      <xdr:rowOff>0</xdr:rowOff>
    </xdr:from>
    <xdr:to>
      <xdr:col>9</xdr:col>
      <xdr:colOff>457200</xdr:colOff>
      <xdr:row>71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グラフ 8">
              <a:extLst>
                <a:ext uri="{FF2B5EF4-FFF2-40B4-BE49-F238E27FC236}">
                  <a16:creationId xmlns:a16="http://schemas.microsoft.com/office/drawing/2014/main" id="{DF59AE08-9266-401D-A463-D93572D1FA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0" y="1428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72</xdr:row>
      <xdr:rowOff>0</xdr:rowOff>
    </xdr:from>
    <xdr:to>
      <xdr:col>9</xdr:col>
      <xdr:colOff>457200</xdr:colOff>
      <xdr:row>83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グラフ 9">
              <a:extLst>
                <a:ext uri="{FF2B5EF4-FFF2-40B4-BE49-F238E27FC236}">
                  <a16:creationId xmlns:a16="http://schemas.microsoft.com/office/drawing/2014/main" id="{BDA64EEC-DAF0-48EE-8C60-7F42D473F9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0" y="17145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37</xdr:row>
      <xdr:rowOff>0</xdr:rowOff>
    </xdr:from>
    <xdr:to>
      <xdr:col>20</xdr:col>
      <xdr:colOff>457200</xdr:colOff>
      <xdr:row>48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グラフ 13">
              <a:extLst>
                <a:ext uri="{FF2B5EF4-FFF2-40B4-BE49-F238E27FC236}">
                  <a16:creationId xmlns:a16="http://schemas.microsoft.com/office/drawing/2014/main" id="{1D3ADE18-053B-46C0-82F8-4545C7374B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0" y="88106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25</xdr:row>
      <xdr:rowOff>0</xdr:rowOff>
    </xdr:from>
    <xdr:to>
      <xdr:col>20</xdr:col>
      <xdr:colOff>457200</xdr:colOff>
      <xdr:row>36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グラフ 14">
              <a:extLst>
                <a:ext uri="{FF2B5EF4-FFF2-40B4-BE49-F238E27FC236}">
                  <a16:creationId xmlns:a16="http://schemas.microsoft.com/office/drawing/2014/main" id="{B895491A-04EA-49A6-AB88-9BF94BFECA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0" y="5953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13</xdr:row>
      <xdr:rowOff>0</xdr:rowOff>
    </xdr:from>
    <xdr:to>
      <xdr:col>20</xdr:col>
      <xdr:colOff>457200</xdr:colOff>
      <xdr:row>24</xdr:row>
      <xdr:rowOff>123825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436A1033-C6C1-4B13-8E74-9E508B05A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457200</xdr:colOff>
      <xdr:row>12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グラフ 18">
              <a:extLst>
                <a:ext uri="{FF2B5EF4-FFF2-40B4-BE49-F238E27FC236}">
                  <a16:creationId xmlns:a16="http://schemas.microsoft.com/office/drawing/2014/main" id="{DDC94A85-E838-42D7-AF54-088B1D9B05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0" y="238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1</xdr:row>
      <xdr:rowOff>0</xdr:rowOff>
    </xdr:from>
    <xdr:to>
      <xdr:col>9</xdr:col>
      <xdr:colOff>657225</xdr:colOff>
      <xdr:row>10</xdr:row>
      <xdr:rowOff>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5673DE3-CE46-445E-B93D-C4ADA89A1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</xdr:row>
      <xdr:rowOff>0</xdr:rowOff>
    </xdr:from>
    <xdr:to>
      <xdr:col>5</xdr:col>
      <xdr:colOff>219075</xdr:colOff>
      <xdr:row>10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DED5542-8C1A-452F-8842-BB41424A9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</xdr:colOff>
      <xdr:row>1</xdr:row>
      <xdr:rowOff>0</xdr:rowOff>
    </xdr:from>
    <xdr:to>
      <xdr:col>15</xdr:col>
      <xdr:colOff>285751</xdr:colOff>
      <xdr:row>9</xdr:row>
      <xdr:rowOff>171450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6C65091-7D53-4850-97B8-24C25AB19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20</xdr:col>
      <xdr:colOff>285750</xdr:colOff>
      <xdr:row>9</xdr:row>
      <xdr:rowOff>171450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FE9AE083-9785-4BD9-8935-D1F05DDBC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285750</xdr:colOff>
      <xdr:row>9</xdr:row>
      <xdr:rowOff>171450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680C466D-C6D2-45A9-BE62-90B1A89A2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0</xdr:colOff>
      <xdr:row>1</xdr:row>
      <xdr:rowOff>0</xdr:rowOff>
    </xdr:from>
    <xdr:to>
      <xdr:col>35</xdr:col>
      <xdr:colOff>457200</xdr:colOff>
      <xdr:row>12</xdr:row>
      <xdr:rowOff>123825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17C40CF-E7A5-4F70-BD93-B9980E867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180975</xdr:colOff>
      <xdr:row>12</xdr:row>
      <xdr:rowOff>233362</xdr:rowOff>
    </xdr:from>
    <xdr:to>
      <xdr:col>36</xdr:col>
      <xdr:colOff>9525</xdr:colOff>
      <xdr:row>24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93986760-EA39-499D-9278-463853D4D2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26575" y="3090862"/>
              <a:ext cx="25717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29</xdr:col>
      <xdr:colOff>0</xdr:colOff>
      <xdr:row>28</xdr:row>
      <xdr:rowOff>0</xdr:rowOff>
    </xdr:from>
    <xdr:to>
      <xdr:col>35</xdr:col>
      <xdr:colOff>457200</xdr:colOff>
      <xdr:row>39</xdr:row>
      <xdr:rowOff>123825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714F1AF-72E1-45BA-9A7F-558151425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0</xdr:colOff>
      <xdr:row>40</xdr:row>
      <xdr:rowOff>0</xdr:rowOff>
    </xdr:from>
    <xdr:to>
      <xdr:col>35</xdr:col>
      <xdr:colOff>457200</xdr:colOff>
      <xdr:row>51</xdr:row>
      <xdr:rowOff>123825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FF405B4-BA38-4F39-B094-FCCAFAA45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17</xdr:row>
      <xdr:rowOff>0</xdr:rowOff>
    </xdr:from>
    <xdr:to>
      <xdr:col>18</xdr:col>
      <xdr:colOff>538162</xdr:colOff>
      <xdr:row>29</xdr:row>
      <xdr:rowOff>57150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48E2B1D-D162-4401-88CB-4400E715C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13</xdr:col>
      <xdr:colOff>538162</xdr:colOff>
      <xdr:row>29</xdr:row>
      <xdr:rowOff>57150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903444D-049F-4FFA-9667-FE15C8590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13</xdr:col>
      <xdr:colOff>538162</xdr:colOff>
      <xdr:row>16</xdr:row>
      <xdr:rowOff>57150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7EBEC1B-089D-4430-A7DD-6DEDE31D0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7F4B-9171-4FDF-9E89-5EE5A9861F37}">
  <dimension ref="A1:E204"/>
  <sheetViews>
    <sheetView topLeftCell="A7" workbookViewId="0">
      <selection activeCell="B4" sqref="A4:B204"/>
    </sheetView>
  </sheetViews>
  <sheetFormatPr defaultRowHeight="18.75" x14ac:dyDescent="0.4"/>
  <sheetData>
    <row r="1" spans="1:5" x14ac:dyDescent="0.4">
      <c r="A1">
        <v>-0.5</v>
      </c>
      <c r="B1">
        <v>1.5</v>
      </c>
      <c r="D1">
        <v>0.5</v>
      </c>
      <c r="E1">
        <v>-1</v>
      </c>
    </row>
    <row r="2" spans="1:5" x14ac:dyDescent="0.4">
      <c r="A2">
        <v>0.8</v>
      </c>
      <c r="B2">
        <v>0.6</v>
      </c>
      <c r="D2">
        <v>0.5</v>
      </c>
      <c r="E2">
        <v>0.8</v>
      </c>
    </row>
    <row r="4" spans="1:5" x14ac:dyDescent="0.4">
      <c r="A4" t="s">
        <v>1</v>
      </c>
      <c r="B4" t="s">
        <v>3</v>
      </c>
      <c r="D4" t="s">
        <v>4</v>
      </c>
      <c r="E4" t="s">
        <v>5</v>
      </c>
    </row>
    <row r="5" spans="1:5" x14ac:dyDescent="0.4">
      <c r="A5">
        <f ca="1">NORMINV(RAND(), A$1, A$2)</f>
        <v>-1.1238026638063161</v>
      </c>
      <c r="B5">
        <f ca="1">NORMINV(RAND(), B$1, B$2)</f>
        <v>0.97264575449275181</v>
      </c>
      <c r="D5">
        <f ca="1">NORMINV(RAND(), D$1, D$2)</f>
        <v>-8.222684854968243E-3</v>
      </c>
      <c r="E5">
        <f ca="1">NORMINV(RAND(), E$1, E$2)</f>
        <v>-0.77459777306331734</v>
      </c>
    </row>
    <row r="6" spans="1:5" x14ac:dyDescent="0.4">
      <c r="A6">
        <f t="shared" ref="A6:E37" ca="1" si="0">NORMINV(RAND(), A$1, A$2)</f>
        <v>-0.67583403861657843</v>
      </c>
      <c r="B6">
        <f t="shared" ca="1" si="0"/>
        <v>1.2300276551571314</v>
      </c>
      <c r="D6">
        <f t="shared" ca="1" si="0"/>
        <v>0.57181757675308997</v>
      </c>
      <c r="E6">
        <f t="shared" ca="1" si="0"/>
        <v>-1.989545837878212</v>
      </c>
    </row>
    <row r="7" spans="1:5" x14ac:dyDescent="0.4">
      <c r="A7">
        <f t="shared" ca="1" si="0"/>
        <v>-1.3457193921328197</v>
      </c>
      <c r="B7">
        <f t="shared" ca="1" si="0"/>
        <v>0.85771673832969919</v>
      </c>
      <c r="D7">
        <f t="shared" ca="1" si="0"/>
        <v>0.53439039762845164</v>
      </c>
      <c r="E7">
        <f t="shared" ca="1" si="0"/>
        <v>6.2957461698739836E-2</v>
      </c>
    </row>
    <row r="8" spans="1:5" x14ac:dyDescent="0.4">
      <c r="A8">
        <f t="shared" ca="1" si="0"/>
        <v>-0.71501389702747986</v>
      </c>
      <c r="B8">
        <f t="shared" ca="1" si="0"/>
        <v>2.2806485933430847</v>
      </c>
      <c r="D8">
        <f t="shared" ca="1" si="0"/>
        <v>-4.6384989789299946E-2</v>
      </c>
      <c r="E8">
        <f t="shared" ca="1" si="0"/>
        <v>-1.6538350813084652</v>
      </c>
    </row>
    <row r="9" spans="1:5" x14ac:dyDescent="0.4">
      <c r="A9">
        <f t="shared" ca="1" si="0"/>
        <v>0.70035214062564966</v>
      </c>
      <c r="B9">
        <f t="shared" ca="1" si="0"/>
        <v>1.4158318188452297</v>
      </c>
      <c r="D9">
        <f t="shared" ca="1" si="0"/>
        <v>0.10954734858173648</v>
      </c>
      <c r="E9">
        <f t="shared" ca="1" si="0"/>
        <v>-0.78845750434090733</v>
      </c>
    </row>
    <row r="10" spans="1:5" x14ac:dyDescent="0.4">
      <c r="A10">
        <f t="shared" ca="1" si="0"/>
        <v>-0.97906851615124579</v>
      </c>
      <c r="B10">
        <f t="shared" ca="1" si="0"/>
        <v>1.4033528535583599</v>
      </c>
      <c r="D10">
        <f t="shared" ca="1" si="0"/>
        <v>1.0141525325794856</v>
      </c>
      <c r="E10">
        <f t="shared" ca="1" si="0"/>
        <v>-1.2909757162683664</v>
      </c>
    </row>
    <row r="11" spans="1:5" x14ac:dyDescent="0.4">
      <c r="A11">
        <f t="shared" ca="1" si="0"/>
        <v>-0.63606852006610648</v>
      </c>
      <c r="B11">
        <f t="shared" ca="1" si="0"/>
        <v>1.5104862901311489</v>
      </c>
      <c r="D11">
        <f t="shared" ca="1" si="0"/>
        <v>-0.331482314297603</v>
      </c>
      <c r="E11">
        <f t="shared" ca="1" si="0"/>
        <v>-0.68321414112798351</v>
      </c>
    </row>
    <row r="12" spans="1:5" x14ac:dyDescent="0.4">
      <c r="A12">
        <f t="shared" ca="1" si="0"/>
        <v>-1.5715497375269165</v>
      </c>
      <c r="B12">
        <f t="shared" ca="1" si="0"/>
        <v>1.373730899901028</v>
      </c>
      <c r="D12">
        <f t="shared" ca="1" si="0"/>
        <v>1.4061533492956544</v>
      </c>
      <c r="E12">
        <f t="shared" ca="1" si="0"/>
        <v>-0.23685426001624643</v>
      </c>
    </row>
    <row r="13" spans="1:5" x14ac:dyDescent="0.4">
      <c r="A13">
        <f t="shared" ca="1" si="0"/>
        <v>-1.1577094587274712</v>
      </c>
      <c r="B13">
        <f t="shared" ca="1" si="0"/>
        <v>0.93470895038480328</v>
      </c>
      <c r="D13">
        <f t="shared" ca="1" si="0"/>
        <v>7.2557198587259175E-2</v>
      </c>
      <c r="E13">
        <f t="shared" ca="1" si="0"/>
        <v>-0.71775450205518943</v>
      </c>
    </row>
    <row r="14" spans="1:5" x14ac:dyDescent="0.4">
      <c r="A14">
        <f t="shared" ca="1" si="0"/>
        <v>0.13512825427392294</v>
      </c>
      <c r="B14">
        <f t="shared" ca="1" si="0"/>
        <v>2.2319166646117665</v>
      </c>
      <c r="D14">
        <f t="shared" ca="1" si="0"/>
        <v>0.87331131412881291</v>
      </c>
      <c r="E14">
        <f t="shared" ca="1" si="0"/>
        <v>-0.59593311670556171</v>
      </c>
    </row>
    <row r="15" spans="1:5" x14ac:dyDescent="0.4">
      <c r="A15">
        <f t="shared" ca="1" si="0"/>
        <v>0.20045876546634811</v>
      </c>
      <c r="B15">
        <f t="shared" ca="1" si="0"/>
        <v>2.6513336413600159</v>
      </c>
      <c r="D15">
        <f t="shared" ca="1" si="0"/>
        <v>0.14723552280656371</v>
      </c>
      <c r="E15">
        <f t="shared" ca="1" si="0"/>
        <v>-1.8577076450817871</v>
      </c>
    </row>
    <row r="16" spans="1:5" x14ac:dyDescent="0.4">
      <c r="A16">
        <f t="shared" ca="1" si="0"/>
        <v>-0.19303455126469271</v>
      </c>
      <c r="B16">
        <f t="shared" ca="1" si="0"/>
        <v>1.7122193131213985</v>
      </c>
      <c r="D16">
        <f t="shared" ca="1" si="0"/>
        <v>1.2909215149014028</v>
      </c>
      <c r="E16">
        <f t="shared" ca="1" si="0"/>
        <v>-0.81150537849336246</v>
      </c>
    </row>
    <row r="17" spans="1:5" x14ac:dyDescent="0.4">
      <c r="A17">
        <f t="shared" ca="1" si="0"/>
        <v>-0.63955377748166065</v>
      </c>
      <c r="B17">
        <f t="shared" ca="1" si="0"/>
        <v>0.91921928919058915</v>
      </c>
      <c r="D17">
        <f t="shared" ca="1" si="0"/>
        <v>0.70613627714229366</v>
      </c>
      <c r="E17">
        <f t="shared" ca="1" si="0"/>
        <v>-0.50825069737121198</v>
      </c>
    </row>
    <row r="18" spans="1:5" x14ac:dyDescent="0.4">
      <c r="A18">
        <f t="shared" ca="1" si="0"/>
        <v>0.37326960279602595</v>
      </c>
      <c r="B18">
        <f t="shared" ca="1" si="0"/>
        <v>2.2388254542255046</v>
      </c>
      <c r="D18">
        <f t="shared" ca="1" si="0"/>
        <v>0.24865096166174211</v>
      </c>
      <c r="E18">
        <f t="shared" ca="1" si="0"/>
        <v>-0.43621359793300196</v>
      </c>
    </row>
    <row r="19" spans="1:5" x14ac:dyDescent="0.4">
      <c r="A19">
        <f t="shared" ca="1" si="0"/>
        <v>-0.52415968992875772</v>
      </c>
      <c r="B19">
        <f t="shared" ca="1" si="0"/>
        <v>1.5552843347177134</v>
      </c>
      <c r="D19">
        <f t="shared" ca="1" si="0"/>
        <v>0.50610240768440962</v>
      </c>
      <c r="E19">
        <f t="shared" ca="1" si="0"/>
        <v>-2.1246601541911514</v>
      </c>
    </row>
    <row r="20" spans="1:5" x14ac:dyDescent="0.4">
      <c r="A20">
        <f t="shared" ca="1" si="0"/>
        <v>-1.0598884802125124</v>
      </c>
      <c r="B20">
        <f t="shared" ca="1" si="0"/>
        <v>1.656514961521647</v>
      </c>
      <c r="D20">
        <f t="shared" ca="1" si="0"/>
        <v>6.1010026597740741E-2</v>
      </c>
      <c r="E20">
        <f t="shared" ca="1" si="0"/>
        <v>-1.4856962489451675</v>
      </c>
    </row>
    <row r="21" spans="1:5" x14ac:dyDescent="0.4">
      <c r="A21">
        <f t="shared" ca="1" si="0"/>
        <v>-2.5291129729560611</v>
      </c>
      <c r="B21">
        <f t="shared" ca="1" si="0"/>
        <v>2.0692672689812586</v>
      </c>
      <c r="D21">
        <f t="shared" ca="1" si="0"/>
        <v>1.1008155139880693</v>
      </c>
      <c r="E21">
        <f t="shared" ca="1" si="0"/>
        <v>-0.69220559441344731</v>
      </c>
    </row>
    <row r="22" spans="1:5" x14ac:dyDescent="0.4">
      <c r="A22">
        <f t="shared" ca="1" si="0"/>
        <v>-0.8844120776968879</v>
      </c>
      <c r="B22">
        <f t="shared" ca="1" si="0"/>
        <v>1.2937091803355854</v>
      </c>
      <c r="D22">
        <f t="shared" ca="1" si="0"/>
        <v>1.2396376212708988</v>
      </c>
      <c r="E22">
        <f t="shared" ca="1" si="0"/>
        <v>-1.8363832775020525</v>
      </c>
    </row>
    <row r="23" spans="1:5" x14ac:dyDescent="0.4">
      <c r="A23">
        <f t="shared" ca="1" si="0"/>
        <v>1.7144323492666813E-2</v>
      </c>
      <c r="B23">
        <f t="shared" ca="1" si="0"/>
        <v>0.67788468625373011</v>
      </c>
      <c r="D23">
        <f t="shared" ca="1" si="0"/>
        <v>0.13188918173076219</v>
      </c>
      <c r="E23">
        <f t="shared" ca="1" si="0"/>
        <v>-1.3290185470551452</v>
      </c>
    </row>
    <row r="24" spans="1:5" x14ac:dyDescent="0.4">
      <c r="A24">
        <f t="shared" ca="1" si="0"/>
        <v>-0.753079408864471</v>
      </c>
      <c r="B24">
        <f t="shared" ca="1" si="0"/>
        <v>0.73317798002135326</v>
      </c>
      <c r="D24">
        <f t="shared" ca="1" si="0"/>
        <v>0.7415341557823405</v>
      </c>
      <c r="E24">
        <f t="shared" ca="1" si="0"/>
        <v>-2.4170048703651266</v>
      </c>
    </row>
    <row r="25" spans="1:5" x14ac:dyDescent="0.4">
      <c r="A25">
        <f t="shared" ca="1" si="0"/>
        <v>-8.3462408022963508E-2</v>
      </c>
      <c r="B25">
        <f t="shared" ca="1" si="0"/>
        <v>1.1587729652173893</v>
      </c>
      <c r="D25">
        <f t="shared" ca="1" si="0"/>
        <v>1.2634374697825954</v>
      </c>
      <c r="E25">
        <f t="shared" ca="1" si="0"/>
        <v>6.2653109307023724E-2</v>
      </c>
    </row>
    <row r="26" spans="1:5" x14ac:dyDescent="0.4">
      <c r="A26">
        <f t="shared" ca="1" si="0"/>
        <v>-1.0645964607296783</v>
      </c>
      <c r="B26">
        <f t="shared" ca="1" si="0"/>
        <v>1.550847130743916</v>
      </c>
      <c r="D26">
        <f t="shared" ca="1" si="0"/>
        <v>0.98840386720010398</v>
      </c>
      <c r="E26">
        <f t="shared" ca="1" si="0"/>
        <v>-0.33755613420201525</v>
      </c>
    </row>
    <row r="27" spans="1:5" x14ac:dyDescent="0.4">
      <c r="A27">
        <f t="shared" ca="1" si="0"/>
        <v>0.78029676880361976</v>
      </c>
      <c r="B27">
        <f t="shared" ca="1" si="0"/>
        <v>1.1268594159062577</v>
      </c>
      <c r="D27">
        <f t="shared" ca="1" si="0"/>
        <v>0.62335337384250911</v>
      </c>
      <c r="E27">
        <f t="shared" ca="1" si="0"/>
        <v>-1.900741376458349</v>
      </c>
    </row>
    <row r="28" spans="1:5" x14ac:dyDescent="0.4">
      <c r="A28">
        <f t="shared" ca="1" si="0"/>
        <v>-1.4925456681461375</v>
      </c>
      <c r="B28">
        <f t="shared" ca="1" si="0"/>
        <v>2.0604598262301455</v>
      </c>
      <c r="D28">
        <f t="shared" ca="1" si="0"/>
        <v>0.46656131886200775</v>
      </c>
      <c r="E28">
        <f t="shared" ca="1" si="0"/>
        <v>-1.2920398702124209</v>
      </c>
    </row>
    <row r="29" spans="1:5" x14ac:dyDescent="0.4">
      <c r="A29">
        <f t="shared" ca="1" si="0"/>
        <v>-0.38816627031387474</v>
      </c>
      <c r="B29">
        <f t="shared" ca="1" si="0"/>
        <v>1.2967361304026594</v>
      </c>
      <c r="D29">
        <f t="shared" ca="1" si="0"/>
        <v>0.42281242146765963</v>
      </c>
      <c r="E29">
        <f t="shared" ca="1" si="0"/>
        <v>-1.4505486401041621</v>
      </c>
    </row>
    <row r="30" spans="1:5" x14ac:dyDescent="0.4">
      <c r="A30">
        <f t="shared" ca="1" si="0"/>
        <v>-0.1589019098134411</v>
      </c>
      <c r="B30">
        <f t="shared" ca="1" si="0"/>
        <v>2.0862520611703945</v>
      </c>
      <c r="D30">
        <f t="shared" ca="1" si="0"/>
        <v>0.10378837273295133</v>
      </c>
      <c r="E30">
        <f t="shared" ca="1" si="0"/>
        <v>-1.327362967979544</v>
      </c>
    </row>
    <row r="31" spans="1:5" x14ac:dyDescent="0.4">
      <c r="A31">
        <f t="shared" ca="1" si="0"/>
        <v>0.73202689080555183</v>
      </c>
      <c r="B31">
        <f t="shared" ca="1" si="0"/>
        <v>1.0854170015730433</v>
      </c>
      <c r="D31">
        <f t="shared" ca="1" si="0"/>
        <v>-8.5704457572226889E-2</v>
      </c>
      <c r="E31">
        <f t="shared" ca="1" si="0"/>
        <v>0.50433417398698643</v>
      </c>
    </row>
    <row r="32" spans="1:5" x14ac:dyDescent="0.4">
      <c r="A32">
        <f t="shared" ca="1" si="0"/>
        <v>-0.52144426820377832</v>
      </c>
      <c r="B32">
        <f t="shared" ca="1" si="0"/>
        <v>0.78326245356758772</v>
      </c>
      <c r="D32">
        <f t="shared" ca="1" si="0"/>
        <v>1.1460850177997011</v>
      </c>
      <c r="E32">
        <f t="shared" ca="1" si="0"/>
        <v>-0.99175548110231515</v>
      </c>
    </row>
    <row r="33" spans="1:5" x14ac:dyDescent="0.4">
      <c r="A33">
        <f t="shared" ca="1" si="0"/>
        <v>-4.6620180389790156E-2</v>
      </c>
      <c r="B33">
        <f t="shared" ca="1" si="0"/>
        <v>1.8295660494241699</v>
      </c>
      <c r="D33">
        <f t="shared" ca="1" si="0"/>
        <v>0.5097485991707118</v>
      </c>
      <c r="E33">
        <f t="shared" ca="1" si="0"/>
        <v>-1.3711849791773589</v>
      </c>
    </row>
    <row r="34" spans="1:5" x14ac:dyDescent="0.4">
      <c r="A34">
        <f t="shared" ca="1" si="0"/>
        <v>0.52247132640667293</v>
      </c>
      <c r="B34">
        <f t="shared" ca="1" si="0"/>
        <v>1.9393179359685866</v>
      </c>
      <c r="D34">
        <f t="shared" ca="1" si="0"/>
        <v>0.88258659965716435</v>
      </c>
      <c r="E34">
        <f t="shared" ca="1" si="0"/>
        <v>0.53746669182785256</v>
      </c>
    </row>
    <row r="35" spans="1:5" x14ac:dyDescent="0.4">
      <c r="A35">
        <f t="shared" ca="1" si="0"/>
        <v>-3.821557652252644E-2</v>
      </c>
      <c r="B35">
        <f t="shared" ca="1" si="0"/>
        <v>0.86341011658092237</v>
      </c>
      <c r="D35">
        <f t="shared" ca="1" si="0"/>
        <v>1.4152665315751489E-2</v>
      </c>
      <c r="E35">
        <f t="shared" ca="1" si="0"/>
        <v>-1.647667421359964</v>
      </c>
    </row>
    <row r="36" spans="1:5" x14ac:dyDescent="0.4">
      <c r="A36">
        <f t="shared" ca="1" si="0"/>
        <v>0.2160805598211829</v>
      </c>
      <c r="B36">
        <f t="shared" ca="1" si="0"/>
        <v>0.77628200316089757</v>
      </c>
      <c r="D36">
        <f t="shared" ca="1" si="0"/>
        <v>0.98411151951357301</v>
      </c>
      <c r="E36">
        <f t="shared" ca="1" si="0"/>
        <v>-1.263704259011964</v>
      </c>
    </row>
    <row r="37" spans="1:5" x14ac:dyDescent="0.4">
      <c r="A37">
        <f t="shared" ca="1" si="0"/>
        <v>-1.7616427582273477</v>
      </c>
      <c r="B37">
        <f t="shared" ca="1" si="0"/>
        <v>1.3225220455803186</v>
      </c>
      <c r="D37">
        <f t="shared" ca="1" si="0"/>
        <v>3.312844022720729E-2</v>
      </c>
      <c r="E37">
        <f t="shared" ca="1" si="0"/>
        <v>-1.4452477333080094</v>
      </c>
    </row>
    <row r="38" spans="1:5" x14ac:dyDescent="0.4">
      <c r="A38">
        <f t="shared" ref="A38:E104" ca="1" si="1">NORMINV(RAND(), A$1, A$2)</f>
        <v>-0.17510371463729313</v>
      </c>
      <c r="B38">
        <f t="shared" ca="1" si="1"/>
        <v>0.98494093980485931</v>
      </c>
      <c r="D38">
        <f t="shared" ca="1" si="1"/>
        <v>0.87605306721693443</v>
      </c>
      <c r="E38">
        <f t="shared" ca="1" si="1"/>
        <v>0.15068333442371307</v>
      </c>
    </row>
    <row r="39" spans="1:5" x14ac:dyDescent="0.4">
      <c r="A39">
        <f t="shared" ca="1" si="1"/>
        <v>-1.9573383202022532</v>
      </c>
      <c r="B39">
        <f t="shared" ca="1" si="1"/>
        <v>1.7516951074008942</v>
      </c>
      <c r="D39">
        <f t="shared" ca="1" si="1"/>
        <v>0.63331957264194694</v>
      </c>
      <c r="E39">
        <f t="shared" ca="1" si="1"/>
        <v>-1.7921459341355961</v>
      </c>
    </row>
    <row r="40" spans="1:5" x14ac:dyDescent="0.4">
      <c r="A40">
        <f t="shared" ca="1" si="1"/>
        <v>0.24537807618983587</v>
      </c>
      <c r="B40">
        <f t="shared" ca="1" si="1"/>
        <v>1.0828997129717317</v>
      </c>
      <c r="D40">
        <f t="shared" ca="1" si="1"/>
        <v>-0.44229526488291571</v>
      </c>
      <c r="E40">
        <f t="shared" ca="1" si="1"/>
        <v>-1.7057734029373284</v>
      </c>
    </row>
    <row r="41" spans="1:5" x14ac:dyDescent="0.4">
      <c r="A41">
        <f t="shared" ca="1" si="1"/>
        <v>-1.1055194952708969</v>
      </c>
      <c r="B41">
        <f t="shared" ca="1" si="1"/>
        <v>2.7252690711311844</v>
      </c>
      <c r="D41">
        <f t="shared" ca="1" si="1"/>
        <v>0.31644925540914737</v>
      </c>
      <c r="E41">
        <f t="shared" ca="1" si="1"/>
        <v>-2.3868053104728615</v>
      </c>
    </row>
    <row r="42" spans="1:5" x14ac:dyDescent="0.4">
      <c r="A42">
        <f t="shared" ca="1" si="1"/>
        <v>-2.1839188438380734</v>
      </c>
      <c r="B42">
        <f t="shared" ca="1" si="1"/>
        <v>1.1809235373645097</v>
      </c>
      <c r="D42">
        <f t="shared" ca="1" si="1"/>
        <v>0.10244326893198047</v>
      </c>
      <c r="E42">
        <f t="shared" ca="1" si="1"/>
        <v>-0.59367959858037289</v>
      </c>
    </row>
    <row r="43" spans="1:5" x14ac:dyDescent="0.4">
      <c r="A43">
        <f t="shared" ca="1" si="1"/>
        <v>-0.27617533619883761</v>
      </c>
      <c r="B43">
        <f t="shared" ca="1" si="1"/>
        <v>1.319539338450705</v>
      </c>
      <c r="D43">
        <f t="shared" ca="1" si="1"/>
        <v>-0.17569401526015771</v>
      </c>
      <c r="E43">
        <f t="shared" ca="1" si="1"/>
        <v>-1.4349537514969257</v>
      </c>
    </row>
    <row r="44" spans="1:5" x14ac:dyDescent="0.4">
      <c r="A44">
        <f t="shared" ca="1" si="1"/>
        <v>-0.67289874061175325</v>
      </c>
      <c r="B44">
        <f t="shared" ca="1" si="1"/>
        <v>1.389798658379648</v>
      </c>
      <c r="D44">
        <f t="shared" ca="1" si="1"/>
        <v>0.59695089054922823</v>
      </c>
      <c r="E44">
        <f t="shared" ca="1" si="1"/>
        <v>-0.35098054104975751</v>
      </c>
    </row>
    <row r="45" spans="1:5" x14ac:dyDescent="0.4">
      <c r="A45">
        <f t="shared" ca="1" si="1"/>
        <v>-0.70795591456914764</v>
      </c>
      <c r="B45">
        <f t="shared" ca="1" si="1"/>
        <v>1.3053354521924545</v>
      </c>
      <c r="D45">
        <f t="shared" ca="1" si="1"/>
        <v>1.543526658914729</v>
      </c>
      <c r="E45">
        <f t="shared" ca="1" si="1"/>
        <v>0.61316223335416642</v>
      </c>
    </row>
    <row r="46" spans="1:5" x14ac:dyDescent="0.4">
      <c r="A46">
        <f t="shared" ca="1" si="1"/>
        <v>-1.4769666638408652</v>
      </c>
      <c r="B46">
        <f t="shared" ca="1" si="1"/>
        <v>1.3857643538304767</v>
      </c>
      <c r="D46">
        <f t="shared" ca="1" si="1"/>
        <v>0.56399967538892726</v>
      </c>
      <c r="E46">
        <f t="shared" ca="1" si="1"/>
        <v>0.3402844781280705</v>
      </c>
    </row>
    <row r="47" spans="1:5" x14ac:dyDescent="0.4">
      <c r="A47">
        <f t="shared" ca="1" si="1"/>
        <v>1.3662645301092891</v>
      </c>
      <c r="B47">
        <f t="shared" ca="1" si="1"/>
        <v>2.9063153244065578</v>
      </c>
      <c r="D47">
        <f t="shared" ca="1" si="1"/>
        <v>1.1164081413728937</v>
      </c>
      <c r="E47">
        <f t="shared" ca="1" si="1"/>
        <v>-1.1209902945186081</v>
      </c>
    </row>
    <row r="48" spans="1:5" x14ac:dyDescent="0.4">
      <c r="A48">
        <f t="shared" ca="1" si="1"/>
        <v>-1.2167836185879728</v>
      </c>
      <c r="B48">
        <f t="shared" ca="1" si="1"/>
        <v>1.9376397643710572</v>
      </c>
      <c r="D48">
        <f t="shared" ca="1" si="1"/>
        <v>0.50133255126179266</v>
      </c>
      <c r="E48">
        <f t="shared" ca="1" si="1"/>
        <v>-0.77621026742796939</v>
      </c>
    </row>
    <row r="49" spans="1:5" x14ac:dyDescent="0.4">
      <c r="A49">
        <f t="shared" ca="1" si="1"/>
        <v>-0.58714540871197018</v>
      </c>
      <c r="B49">
        <f t="shared" ca="1" si="1"/>
        <v>1.4874937704700009</v>
      </c>
      <c r="D49">
        <f t="shared" ca="1" si="1"/>
        <v>0.89867688275804247</v>
      </c>
      <c r="E49">
        <f t="shared" ca="1" si="1"/>
        <v>-0.82033374436288065</v>
      </c>
    </row>
    <row r="50" spans="1:5" x14ac:dyDescent="0.4">
      <c r="A50">
        <f t="shared" ca="1" si="1"/>
        <v>-0.28950979631692064</v>
      </c>
      <c r="B50">
        <f t="shared" ca="1" si="1"/>
        <v>1.5343213483433662</v>
      </c>
      <c r="D50">
        <f t="shared" ca="1" si="1"/>
        <v>-0.17132758903201684</v>
      </c>
      <c r="E50">
        <f t="shared" ca="1" si="1"/>
        <v>-1.4843879694549114</v>
      </c>
    </row>
    <row r="51" spans="1:5" x14ac:dyDescent="0.4">
      <c r="A51">
        <f t="shared" ca="1" si="1"/>
        <v>-1.5314263683420435</v>
      </c>
      <c r="B51">
        <f t="shared" ca="1" si="1"/>
        <v>2.3536410034420725</v>
      </c>
      <c r="D51">
        <f t="shared" ca="1" si="1"/>
        <v>0.59528531871536017</v>
      </c>
      <c r="E51">
        <f t="shared" ca="1" si="1"/>
        <v>-1.7925191845102484</v>
      </c>
    </row>
    <row r="52" spans="1:5" x14ac:dyDescent="0.4">
      <c r="A52">
        <f t="shared" ca="1" si="1"/>
        <v>-0.53961600914250607</v>
      </c>
      <c r="B52">
        <f t="shared" ca="1" si="1"/>
        <v>1.3642797932058852</v>
      </c>
      <c r="D52">
        <f t="shared" ca="1" si="1"/>
        <v>-0.27383548702813187</v>
      </c>
      <c r="E52">
        <f t="shared" ca="1" si="1"/>
        <v>-0.60229104207980111</v>
      </c>
    </row>
    <row r="53" spans="1:5" x14ac:dyDescent="0.4">
      <c r="A53">
        <f t="shared" ca="1" si="1"/>
        <v>-0.29726599609279469</v>
      </c>
      <c r="B53">
        <f t="shared" ca="1" si="1"/>
        <v>1.1941616305952798</v>
      </c>
      <c r="D53">
        <f t="shared" ca="1" si="1"/>
        <v>0.44595275411699287</v>
      </c>
      <c r="E53">
        <f t="shared" ca="1" si="1"/>
        <v>-0.52577359299103454</v>
      </c>
    </row>
    <row r="54" spans="1:5" x14ac:dyDescent="0.4">
      <c r="A54">
        <f t="shared" ca="1" si="1"/>
        <v>-0.29440227305998579</v>
      </c>
      <c r="B54">
        <f t="shared" ca="1" si="1"/>
        <v>1.4251400099158658</v>
      </c>
      <c r="D54">
        <f t="shared" ca="1" si="1"/>
        <v>0.16746719031626017</v>
      </c>
      <c r="E54">
        <f t="shared" ca="1" si="1"/>
        <v>-0.40907421913804209</v>
      </c>
    </row>
    <row r="55" spans="1:5" x14ac:dyDescent="0.4">
      <c r="A55">
        <f t="shared" ca="1" si="1"/>
        <v>-1.2440802950855698</v>
      </c>
      <c r="B55">
        <f t="shared" ca="1" si="1"/>
        <v>1.2509016502367585</v>
      </c>
      <c r="D55">
        <f t="shared" ca="1" si="1"/>
        <v>0.65407686031667245</v>
      </c>
      <c r="E55">
        <f t="shared" ca="1" si="1"/>
        <v>-2.0223244131762543</v>
      </c>
    </row>
    <row r="56" spans="1:5" x14ac:dyDescent="0.4">
      <c r="A56">
        <f t="shared" ca="1" si="1"/>
        <v>0.24437728699977024</v>
      </c>
      <c r="B56">
        <f t="shared" ca="1" si="1"/>
        <v>2.0566806987970203</v>
      </c>
      <c r="D56">
        <f t="shared" ca="1" si="1"/>
        <v>0.15401266345113646</v>
      </c>
      <c r="E56">
        <f t="shared" ca="1" si="1"/>
        <v>-0.7115714876456094</v>
      </c>
    </row>
    <row r="57" spans="1:5" x14ac:dyDescent="0.4">
      <c r="A57">
        <f t="shared" ca="1" si="1"/>
        <v>5.7351005093023377E-2</v>
      </c>
      <c r="B57">
        <f t="shared" ca="1" si="1"/>
        <v>1.7584861760039558</v>
      </c>
      <c r="D57">
        <f t="shared" ca="1" si="1"/>
        <v>0.83233408937258413</v>
      </c>
      <c r="E57">
        <f t="shared" ca="1" si="1"/>
        <v>-1.8192513226120348</v>
      </c>
    </row>
    <row r="58" spans="1:5" x14ac:dyDescent="0.4">
      <c r="A58">
        <f t="shared" ca="1" si="1"/>
        <v>-0.58392377555468356</v>
      </c>
      <c r="B58">
        <f t="shared" ca="1" si="1"/>
        <v>1.3050213720439596</v>
      </c>
      <c r="D58">
        <f t="shared" ca="1" si="1"/>
        <v>0.60430141739141852</v>
      </c>
      <c r="E58">
        <f t="shared" ca="1" si="1"/>
        <v>-1.6430011948912981</v>
      </c>
    </row>
    <row r="59" spans="1:5" x14ac:dyDescent="0.4">
      <c r="A59">
        <f t="shared" ca="1" si="1"/>
        <v>-1.0169511327190637</v>
      </c>
      <c r="B59">
        <f t="shared" ca="1" si="1"/>
        <v>0.55631710981300031</v>
      </c>
      <c r="D59">
        <f t="shared" ca="1" si="1"/>
        <v>0.55911551287267214</v>
      </c>
      <c r="E59">
        <f t="shared" ca="1" si="1"/>
        <v>-0.52012176810180388</v>
      </c>
    </row>
    <row r="60" spans="1:5" x14ac:dyDescent="0.4">
      <c r="A60">
        <f t="shared" ca="1" si="1"/>
        <v>-1.0389031087369331</v>
      </c>
      <c r="B60">
        <f t="shared" ca="1" si="1"/>
        <v>1.1491120440583931</v>
      </c>
      <c r="D60">
        <f t="shared" ca="1" si="1"/>
        <v>0.76465323142743769</v>
      </c>
      <c r="E60">
        <f t="shared" ca="1" si="1"/>
        <v>-0.76854046903909767</v>
      </c>
    </row>
    <row r="61" spans="1:5" x14ac:dyDescent="0.4">
      <c r="A61">
        <f t="shared" ca="1" si="1"/>
        <v>-0.75045998954396098</v>
      </c>
      <c r="B61">
        <f t="shared" ca="1" si="1"/>
        <v>1.2582183602297596</v>
      </c>
      <c r="D61">
        <f t="shared" ca="1" si="1"/>
        <v>0.60010984521559319</v>
      </c>
      <c r="E61">
        <f t="shared" ca="1" si="1"/>
        <v>0.29051321840562849</v>
      </c>
    </row>
    <row r="62" spans="1:5" x14ac:dyDescent="0.4">
      <c r="A62">
        <f t="shared" ca="1" si="1"/>
        <v>-1.0421435190171198</v>
      </c>
      <c r="B62">
        <f t="shared" ca="1" si="1"/>
        <v>0.88688621496159192</v>
      </c>
      <c r="D62">
        <f t="shared" ca="1" si="1"/>
        <v>1.0274380404639993</v>
      </c>
      <c r="E62">
        <f t="shared" ca="1" si="1"/>
        <v>-0.90581374819637428</v>
      </c>
    </row>
    <row r="63" spans="1:5" x14ac:dyDescent="0.4">
      <c r="A63">
        <f t="shared" ca="1" si="1"/>
        <v>-0.76442131856052908</v>
      </c>
      <c r="B63">
        <f t="shared" ca="1" si="1"/>
        <v>0.93283422757388068</v>
      </c>
      <c r="D63">
        <f t="shared" ca="1" si="1"/>
        <v>0.20160705438685317</v>
      </c>
      <c r="E63">
        <f t="shared" ca="1" si="1"/>
        <v>-0.99550622061138416</v>
      </c>
    </row>
    <row r="64" spans="1:5" x14ac:dyDescent="0.4">
      <c r="A64">
        <f t="shared" ca="1" si="1"/>
        <v>-0.62325407240384711</v>
      </c>
      <c r="B64">
        <f t="shared" ca="1" si="1"/>
        <v>1.9811254899394282E-2</v>
      </c>
      <c r="D64">
        <f t="shared" ca="1" si="1"/>
        <v>0.47729773506778261</v>
      </c>
      <c r="E64">
        <f t="shared" ca="1" si="1"/>
        <v>-2.1064567614829848</v>
      </c>
    </row>
    <row r="65" spans="1:5" x14ac:dyDescent="0.4">
      <c r="A65">
        <f t="shared" ca="1" si="1"/>
        <v>-2.9288887786881102E-2</v>
      </c>
      <c r="B65">
        <f t="shared" ca="1" si="1"/>
        <v>-7.9747793513480492E-3</v>
      </c>
      <c r="D65">
        <f t="shared" ca="1" si="1"/>
        <v>-3.0147852637531058E-2</v>
      </c>
      <c r="E65">
        <f t="shared" ca="1" si="1"/>
        <v>0.22069210137611206</v>
      </c>
    </row>
    <row r="66" spans="1:5" x14ac:dyDescent="0.4">
      <c r="A66">
        <f t="shared" ca="1" si="1"/>
        <v>-0.77366998650830077</v>
      </c>
      <c r="B66">
        <f t="shared" ca="1" si="1"/>
        <v>1.2537372511459322</v>
      </c>
      <c r="D66">
        <f t="shared" ca="1" si="1"/>
        <v>5.1861895622158871E-2</v>
      </c>
      <c r="E66">
        <f t="shared" ca="1" si="1"/>
        <v>-1.2657190234300251</v>
      </c>
    </row>
    <row r="67" spans="1:5" x14ac:dyDescent="0.4">
      <c r="A67">
        <f t="shared" ca="1" si="1"/>
        <v>-1.1438364749710708</v>
      </c>
      <c r="B67">
        <f t="shared" ca="1" si="1"/>
        <v>1.4556073565493333</v>
      </c>
      <c r="D67">
        <f t="shared" ca="1" si="1"/>
        <v>0.55713878500207847</v>
      </c>
      <c r="E67">
        <f t="shared" ca="1" si="1"/>
        <v>-0.99723254297715613</v>
      </c>
    </row>
    <row r="68" spans="1:5" x14ac:dyDescent="0.4">
      <c r="A68">
        <f t="shared" ca="1" si="1"/>
        <v>0.13437700347892245</v>
      </c>
      <c r="B68">
        <f t="shared" ca="1" si="1"/>
        <v>2.5869660773483485</v>
      </c>
      <c r="D68">
        <f t="shared" ca="1" si="1"/>
        <v>0.47033342499929731</v>
      </c>
      <c r="E68">
        <f t="shared" ca="1" si="1"/>
        <v>-1.1112725779171184</v>
      </c>
    </row>
    <row r="69" spans="1:5" x14ac:dyDescent="0.4">
      <c r="A69">
        <f t="shared" ca="1" si="1"/>
        <v>-0.5826008080909173</v>
      </c>
      <c r="B69">
        <f t="shared" ca="1" si="1"/>
        <v>2.1860938787698787</v>
      </c>
      <c r="D69">
        <f t="shared" ca="1" si="1"/>
        <v>0.55256022377321368</v>
      </c>
      <c r="E69">
        <f t="shared" ca="1" si="1"/>
        <v>-1.8930452721680224</v>
      </c>
    </row>
    <row r="70" spans="1:5" x14ac:dyDescent="0.4">
      <c r="A70">
        <f t="shared" ca="1" si="1"/>
        <v>0.15021869483375949</v>
      </c>
      <c r="B70">
        <f t="shared" ca="1" si="1"/>
        <v>2.1658696590669644</v>
      </c>
      <c r="D70">
        <f t="shared" ca="1" si="1"/>
        <v>1.2346918219690011</v>
      </c>
      <c r="E70">
        <f t="shared" ca="1" si="1"/>
        <v>-1.0722131461453959</v>
      </c>
    </row>
    <row r="71" spans="1:5" x14ac:dyDescent="0.4">
      <c r="A71">
        <f t="shared" ca="1" si="1"/>
        <v>-1.3326811570359522</v>
      </c>
      <c r="B71">
        <f t="shared" ca="1" si="1"/>
        <v>1.2823723385916472</v>
      </c>
      <c r="D71">
        <f t="shared" ca="1" si="1"/>
        <v>0.32466447074680693</v>
      </c>
      <c r="E71">
        <f t="shared" ca="1" si="1"/>
        <v>-0.3073929587865597</v>
      </c>
    </row>
    <row r="72" spans="1:5" x14ac:dyDescent="0.4">
      <c r="A72">
        <f t="shared" ca="1" si="1"/>
        <v>-0.3531099291760792</v>
      </c>
      <c r="B72">
        <f t="shared" ca="1" si="1"/>
        <v>1.7295657061201022</v>
      </c>
      <c r="D72">
        <f t="shared" ca="1" si="1"/>
        <v>0.6282331402225747</v>
      </c>
      <c r="E72">
        <f t="shared" ca="1" si="1"/>
        <v>-0.15856802176948748</v>
      </c>
    </row>
    <row r="73" spans="1:5" x14ac:dyDescent="0.4">
      <c r="A73">
        <f t="shared" ca="1" si="1"/>
        <v>-1.8544720212171395</v>
      </c>
      <c r="B73">
        <f t="shared" ca="1" si="1"/>
        <v>2.1641686383007386</v>
      </c>
      <c r="D73">
        <f t="shared" ca="1" si="1"/>
        <v>0.22797665281485646</v>
      </c>
      <c r="E73">
        <f t="shared" ca="1" si="1"/>
        <v>-0.64993526926313439</v>
      </c>
    </row>
    <row r="74" spans="1:5" x14ac:dyDescent="0.4">
      <c r="A74">
        <f t="shared" ca="1" si="1"/>
        <v>-1.6957929101236759</v>
      </c>
      <c r="B74">
        <f t="shared" ca="1" si="1"/>
        <v>0.84374757113062226</v>
      </c>
      <c r="D74">
        <f t="shared" ca="1" si="1"/>
        <v>1.1020372933171005</v>
      </c>
      <c r="E74">
        <f t="shared" ca="1" si="1"/>
        <v>-0.66827953705477317</v>
      </c>
    </row>
    <row r="75" spans="1:5" x14ac:dyDescent="0.4">
      <c r="A75">
        <f t="shared" ca="1" si="1"/>
        <v>0.34350232700234029</v>
      </c>
      <c r="B75">
        <f t="shared" ca="1" si="1"/>
        <v>1.5531344206235624</v>
      </c>
      <c r="D75">
        <f t="shared" ca="1" si="1"/>
        <v>-0.60948007385030589</v>
      </c>
      <c r="E75">
        <f t="shared" ca="1" si="1"/>
        <v>0.62538174362080579</v>
      </c>
    </row>
    <row r="76" spans="1:5" x14ac:dyDescent="0.4">
      <c r="A76">
        <f t="shared" ca="1" si="1"/>
        <v>-0.4493153648971549</v>
      </c>
      <c r="B76">
        <f t="shared" ca="1" si="1"/>
        <v>1.02654546754342</v>
      </c>
      <c r="D76">
        <f t="shared" ca="1" si="1"/>
        <v>0.85040174084121523</v>
      </c>
      <c r="E76">
        <f t="shared" ca="1" si="1"/>
        <v>-0.33326014431851947</v>
      </c>
    </row>
    <row r="77" spans="1:5" x14ac:dyDescent="0.4">
      <c r="A77">
        <f t="shared" ca="1" si="1"/>
        <v>-0.19840518452972988</v>
      </c>
      <c r="B77">
        <f t="shared" ca="1" si="1"/>
        <v>2.7329833874652296</v>
      </c>
      <c r="D77">
        <f t="shared" ca="1" si="1"/>
        <v>5.9650841970881885E-4</v>
      </c>
      <c r="E77">
        <f t="shared" ca="1" si="1"/>
        <v>5.0121588654870486E-2</v>
      </c>
    </row>
    <row r="78" spans="1:5" x14ac:dyDescent="0.4">
      <c r="A78">
        <f t="shared" ca="1" si="1"/>
        <v>2.0654021946449719E-2</v>
      </c>
      <c r="B78">
        <f t="shared" ca="1" si="1"/>
        <v>1.4345033305451598</v>
      </c>
      <c r="D78">
        <f t="shared" ca="1" si="1"/>
        <v>0.56310965964361603</v>
      </c>
      <c r="E78">
        <f t="shared" ca="1" si="1"/>
        <v>-0.40899068911201142</v>
      </c>
    </row>
    <row r="79" spans="1:5" x14ac:dyDescent="0.4">
      <c r="A79">
        <f t="shared" ca="1" si="1"/>
        <v>1.096834740676764</v>
      </c>
      <c r="B79">
        <f t="shared" ca="1" si="1"/>
        <v>1.2642057960911925</v>
      </c>
      <c r="D79">
        <f t="shared" ca="1" si="1"/>
        <v>0.92085904236531668</v>
      </c>
      <c r="E79">
        <f t="shared" ca="1" si="1"/>
        <v>-0.74396208770833461</v>
      </c>
    </row>
    <row r="80" spans="1:5" x14ac:dyDescent="0.4">
      <c r="A80">
        <f t="shared" ca="1" si="1"/>
        <v>-1.750227181159314</v>
      </c>
      <c r="B80">
        <f t="shared" ca="1" si="1"/>
        <v>2.0342390191568458</v>
      </c>
      <c r="D80">
        <f t="shared" ca="1" si="1"/>
        <v>0.83476301186221047</v>
      </c>
      <c r="E80">
        <f t="shared" ca="1" si="1"/>
        <v>-7.89059490384314E-2</v>
      </c>
    </row>
    <row r="81" spans="1:5" x14ac:dyDescent="0.4">
      <c r="A81">
        <f t="shared" ca="1" si="1"/>
        <v>-0.89596836573844008</v>
      </c>
      <c r="B81">
        <f t="shared" ca="1" si="1"/>
        <v>1.1224891584543861</v>
      </c>
      <c r="D81">
        <f t="shared" ca="1" si="1"/>
        <v>0.24503646152704284</v>
      </c>
      <c r="E81">
        <f t="shared" ca="1" si="1"/>
        <v>-2.1476847271705575</v>
      </c>
    </row>
    <row r="82" spans="1:5" x14ac:dyDescent="0.4">
      <c r="A82">
        <f t="shared" ca="1" si="1"/>
        <v>-1.3957227691071215</v>
      </c>
      <c r="B82">
        <f t="shared" ca="1" si="1"/>
        <v>1.1301487260465881</v>
      </c>
      <c r="D82">
        <f t="shared" ca="1" si="1"/>
        <v>1.5803867362916362</v>
      </c>
      <c r="E82">
        <f t="shared" ca="1" si="1"/>
        <v>-1.3478514453932862</v>
      </c>
    </row>
    <row r="83" spans="1:5" x14ac:dyDescent="0.4">
      <c r="A83">
        <f t="shared" ca="1" si="1"/>
        <v>-0.71574211934796583</v>
      </c>
      <c r="B83">
        <f t="shared" ca="1" si="1"/>
        <v>0.81880964694294267</v>
      </c>
      <c r="D83">
        <f t="shared" ca="1" si="1"/>
        <v>0.15495969445224278</v>
      </c>
      <c r="E83">
        <f t="shared" ca="1" si="1"/>
        <v>-1.8012145431185891</v>
      </c>
    </row>
    <row r="84" spans="1:5" x14ac:dyDescent="0.4">
      <c r="A84">
        <f t="shared" ca="1" si="1"/>
        <v>-0.38606622973471399</v>
      </c>
      <c r="B84">
        <f t="shared" ca="1" si="1"/>
        <v>1.0537401833338098</v>
      </c>
      <c r="D84">
        <f t="shared" ca="1" si="1"/>
        <v>1.3784660894454535</v>
      </c>
      <c r="E84">
        <f t="shared" ca="1" si="1"/>
        <v>-1.3503897676614058</v>
      </c>
    </row>
    <row r="85" spans="1:5" x14ac:dyDescent="0.4">
      <c r="A85">
        <f t="shared" ca="1" si="1"/>
        <v>-0.65320853989692229</v>
      </c>
      <c r="B85">
        <f t="shared" ca="1" si="1"/>
        <v>1.7233171230297772</v>
      </c>
      <c r="D85">
        <f t="shared" ca="1" si="1"/>
        <v>0.84545782579104056</v>
      </c>
      <c r="E85">
        <f t="shared" ca="1" si="1"/>
        <v>-9.4380517136481767E-2</v>
      </c>
    </row>
    <row r="86" spans="1:5" x14ac:dyDescent="0.4">
      <c r="A86">
        <f t="shared" ca="1" si="1"/>
        <v>1.9076745452484798</v>
      </c>
      <c r="B86">
        <f t="shared" ca="1" si="1"/>
        <v>1.9802849250175749</v>
      </c>
      <c r="D86">
        <f t="shared" ca="1" si="1"/>
        <v>1.6654807143700936</v>
      </c>
      <c r="E86">
        <f t="shared" ca="1" si="1"/>
        <v>-1.9093765819911326</v>
      </c>
    </row>
    <row r="87" spans="1:5" x14ac:dyDescent="0.4">
      <c r="A87">
        <f t="shared" ca="1" si="1"/>
        <v>0.29110829912582392</v>
      </c>
      <c r="B87">
        <f t="shared" ca="1" si="1"/>
        <v>1.3854662693117403</v>
      </c>
      <c r="D87">
        <f t="shared" ca="1" si="1"/>
        <v>1.3031130687679813</v>
      </c>
      <c r="E87">
        <f t="shared" ca="1" si="1"/>
        <v>-0.80105459147910252</v>
      </c>
    </row>
    <row r="88" spans="1:5" x14ac:dyDescent="0.4">
      <c r="A88">
        <f t="shared" ca="1" si="1"/>
        <v>0.55269033658209277</v>
      </c>
      <c r="B88">
        <f t="shared" ca="1" si="1"/>
        <v>0.73096675535975575</v>
      </c>
      <c r="D88">
        <f t="shared" ca="1" si="1"/>
        <v>-0.23206457735143227</v>
      </c>
      <c r="E88">
        <f t="shared" ca="1" si="1"/>
        <v>0.63920619783440813</v>
      </c>
    </row>
    <row r="89" spans="1:5" x14ac:dyDescent="0.4">
      <c r="A89">
        <f t="shared" ca="1" si="1"/>
        <v>-1.5617669589939234</v>
      </c>
      <c r="B89">
        <f t="shared" ca="1" si="1"/>
        <v>0.90586865461114818</v>
      </c>
      <c r="D89">
        <f t="shared" ca="1" si="1"/>
        <v>0.98903226906930675</v>
      </c>
      <c r="E89">
        <f t="shared" ca="1" si="1"/>
        <v>0.12857507604546914</v>
      </c>
    </row>
    <row r="90" spans="1:5" x14ac:dyDescent="0.4">
      <c r="A90">
        <f t="shared" ca="1" si="1"/>
        <v>-0.37568331938842164</v>
      </c>
      <c r="B90">
        <f t="shared" ca="1" si="1"/>
        <v>1.2169486746424383</v>
      </c>
      <c r="D90">
        <f t="shared" ca="1" si="1"/>
        <v>1.0766748522657674</v>
      </c>
      <c r="E90">
        <f t="shared" ca="1" si="1"/>
        <v>-0.53114062044300026</v>
      </c>
    </row>
    <row r="91" spans="1:5" x14ac:dyDescent="0.4">
      <c r="A91">
        <f t="shared" ca="1" si="1"/>
        <v>0.10077155336718857</v>
      </c>
      <c r="B91">
        <f t="shared" ca="1" si="1"/>
        <v>1.7406024646507654</v>
      </c>
      <c r="D91">
        <f t="shared" ca="1" si="1"/>
        <v>-0.40683192996873396</v>
      </c>
      <c r="E91">
        <f t="shared" ca="1" si="1"/>
        <v>-2.2253071057290938</v>
      </c>
    </row>
    <row r="92" spans="1:5" x14ac:dyDescent="0.4">
      <c r="A92">
        <f t="shared" ca="1" si="1"/>
        <v>-0.14207752798746903</v>
      </c>
      <c r="B92">
        <f t="shared" ca="1" si="1"/>
        <v>1.991061551577459</v>
      </c>
      <c r="D92">
        <f t="shared" ca="1" si="1"/>
        <v>0.39240492258764181</v>
      </c>
      <c r="E92">
        <f t="shared" ca="1" si="1"/>
        <v>0.92936766392477388</v>
      </c>
    </row>
    <row r="93" spans="1:5" x14ac:dyDescent="0.4">
      <c r="A93">
        <f t="shared" ca="1" si="1"/>
        <v>-0.86170433132829483</v>
      </c>
      <c r="B93">
        <f t="shared" ca="1" si="1"/>
        <v>1.5603118135600409</v>
      </c>
      <c r="D93">
        <f t="shared" ca="1" si="1"/>
        <v>4.7229397919826277E-3</v>
      </c>
      <c r="E93">
        <f t="shared" ca="1" si="1"/>
        <v>-0.14819028789448507</v>
      </c>
    </row>
    <row r="94" spans="1:5" x14ac:dyDescent="0.4">
      <c r="A94">
        <f t="shared" ca="1" si="1"/>
        <v>4.0995016670570927E-2</v>
      </c>
      <c r="B94">
        <f t="shared" ca="1" si="1"/>
        <v>1.3176216366174882</v>
      </c>
      <c r="D94">
        <f t="shared" ca="1" si="1"/>
        <v>-0.11026332301212061</v>
      </c>
      <c r="E94">
        <f t="shared" ca="1" si="1"/>
        <v>-1.2230668258549158</v>
      </c>
    </row>
    <row r="95" spans="1:5" x14ac:dyDescent="0.4">
      <c r="A95">
        <f t="shared" ca="1" si="1"/>
        <v>1.2658169461782152</v>
      </c>
      <c r="B95">
        <f t="shared" ca="1" si="1"/>
        <v>1.0980824920752461</v>
      </c>
      <c r="D95">
        <f t="shared" ca="1" si="1"/>
        <v>1.0969040835479658</v>
      </c>
      <c r="E95">
        <f t="shared" ca="1" si="1"/>
        <v>-4.4309102048452065E-2</v>
      </c>
    </row>
    <row r="96" spans="1:5" x14ac:dyDescent="0.4">
      <c r="A96">
        <f t="shared" ca="1" si="1"/>
        <v>-1.1505102571074948</v>
      </c>
      <c r="B96">
        <f t="shared" ca="1" si="1"/>
        <v>2.3864449821328333</v>
      </c>
      <c r="D96">
        <f t="shared" ca="1" si="1"/>
        <v>0.61552320439929264</v>
      </c>
      <c r="E96">
        <f t="shared" ca="1" si="1"/>
        <v>-1.1238210636720747</v>
      </c>
    </row>
    <row r="97" spans="1:5" x14ac:dyDescent="0.4">
      <c r="A97">
        <f t="shared" ca="1" si="1"/>
        <v>0.59827568586067037</v>
      </c>
      <c r="B97">
        <f t="shared" ca="1" si="1"/>
        <v>1.1585074332626761</v>
      </c>
      <c r="D97">
        <f t="shared" ca="1" si="1"/>
        <v>0.6128499991993307</v>
      </c>
      <c r="E97">
        <f t="shared" ref="A97:E100" ca="1" si="2">NORMINV(RAND(), E$1, E$2)</f>
        <v>-1.8065755326379946</v>
      </c>
    </row>
    <row r="98" spans="1:5" x14ac:dyDescent="0.4">
      <c r="A98">
        <f t="shared" ca="1" si="2"/>
        <v>-2.6578821714218401</v>
      </c>
      <c r="B98">
        <f t="shared" ca="1" si="2"/>
        <v>0.84736396721920881</v>
      </c>
      <c r="D98">
        <f t="shared" ca="1" si="2"/>
        <v>0.84585571499156054</v>
      </c>
      <c r="E98">
        <f t="shared" ca="1" si="2"/>
        <v>-0.27243887015266566</v>
      </c>
    </row>
    <row r="99" spans="1:5" x14ac:dyDescent="0.4">
      <c r="A99">
        <f t="shared" ca="1" si="2"/>
        <v>-0.78878640407184841</v>
      </c>
      <c r="B99">
        <f t="shared" ca="1" si="2"/>
        <v>0.2582911669731438</v>
      </c>
      <c r="D99">
        <f t="shared" ca="1" si="2"/>
        <v>1.5022628286640844</v>
      </c>
      <c r="E99">
        <f t="shared" ca="1" si="2"/>
        <v>-1.7498542654179641</v>
      </c>
    </row>
    <row r="100" spans="1:5" x14ac:dyDescent="0.4">
      <c r="A100">
        <f t="shared" ca="1" si="2"/>
        <v>0.30367641079503549</v>
      </c>
      <c r="B100">
        <f t="shared" ca="1" si="2"/>
        <v>1.1652516708879928</v>
      </c>
      <c r="D100">
        <f t="shared" ca="1" si="2"/>
        <v>0.51219442174919871</v>
      </c>
      <c r="E100">
        <f t="shared" ca="1" si="2"/>
        <v>-1.3909405631575185</v>
      </c>
    </row>
    <row r="101" spans="1:5" x14ac:dyDescent="0.4">
      <c r="A101">
        <f t="shared" ca="1" si="1"/>
        <v>5.9024191994144992E-2</v>
      </c>
      <c r="B101">
        <f t="shared" ca="1" si="1"/>
        <v>1.2879798163760383</v>
      </c>
      <c r="D101">
        <f t="shared" ca="1" si="1"/>
        <v>0.65347334592371653</v>
      </c>
      <c r="E101">
        <f t="shared" ca="1" si="1"/>
        <v>-1.5335609116558784</v>
      </c>
    </row>
    <row r="102" spans="1:5" x14ac:dyDescent="0.4">
      <c r="A102">
        <f t="shared" ca="1" si="1"/>
        <v>0.78701729094735029</v>
      </c>
      <c r="B102">
        <f t="shared" ca="1" si="1"/>
        <v>1.6263814176659017</v>
      </c>
      <c r="D102">
        <f t="shared" ca="1" si="1"/>
        <v>1.0470793711976154</v>
      </c>
      <c r="E102">
        <f t="shared" ca="1" si="1"/>
        <v>-2.2228480061819602</v>
      </c>
    </row>
    <row r="103" spans="1:5" x14ac:dyDescent="0.4">
      <c r="A103">
        <f t="shared" ca="1" si="1"/>
        <v>-0.98930665970561082</v>
      </c>
      <c r="B103">
        <f t="shared" ca="1" si="1"/>
        <v>1.8637585295677326</v>
      </c>
      <c r="D103">
        <f t="shared" ca="1" si="1"/>
        <v>0.93002063981948735</v>
      </c>
      <c r="E103">
        <f t="shared" ca="1" si="1"/>
        <v>-0.25705548762446162</v>
      </c>
    </row>
    <row r="104" spans="1:5" x14ac:dyDescent="0.4">
      <c r="A104">
        <f t="shared" ca="1" si="1"/>
        <v>1.206881134122664</v>
      </c>
      <c r="B104">
        <f t="shared" ca="1" si="1"/>
        <v>1.4525331575138998</v>
      </c>
      <c r="D104">
        <f t="shared" ca="1" si="1"/>
        <v>2.2413651486527797E-2</v>
      </c>
      <c r="E104">
        <f t="shared" ca="1" si="1"/>
        <v>-2.8958323854923926</v>
      </c>
    </row>
    <row r="105" spans="1:5" x14ac:dyDescent="0.4">
      <c r="A105">
        <f t="shared" ref="A105:A136" ca="1" si="3">D5</f>
        <v>-8.222684854968243E-3</v>
      </c>
      <c r="B105">
        <f t="shared" ref="B105:B136" ca="1" si="4">E5</f>
        <v>-0.77459777306331734</v>
      </c>
    </row>
    <row r="106" spans="1:5" x14ac:dyDescent="0.4">
      <c r="A106">
        <f t="shared" ca="1" si="3"/>
        <v>0.57181757675308997</v>
      </c>
      <c r="B106">
        <f t="shared" ca="1" si="4"/>
        <v>-1.989545837878212</v>
      </c>
    </row>
    <row r="107" spans="1:5" x14ac:dyDescent="0.4">
      <c r="A107">
        <f t="shared" ca="1" si="3"/>
        <v>0.53439039762845164</v>
      </c>
      <c r="B107">
        <f t="shared" ca="1" si="4"/>
        <v>6.2957461698739836E-2</v>
      </c>
    </row>
    <row r="108" spans="1:5" x14ac:dyDescent="0.4">
      <c r="A108">
        <f t="shared" ca="1" si="3"/>
        <v>-4.6384989789299946E-2</v>
      </c>
      <c r="B108">
        <f t="shared" ca="1" si="4"/>
        <v>-1.6538350813084652</v>
      </c>
    </row>
    <row r="109" spans="1:5" x14ac:dyDescent="0.4">
      <c r="A109">
        <f t="shared" ca="1" si="3"/>
        <v>0.10954734858173648</v>
      </c>
      <c r="B109">
        <f t="shared" ca="1" si="4"/>
        <v>-0.78845750434090733</v>
      </c>
    </row>
    <row r="110" spans="1:5" x14ac:dyDescent="0.4">
      <c r="A110">
        <f t="shared" ca="1" si="3"/>
        <v>1.0141525325794856</v>
      </c>
      <c r="B110">
        <f t="shared" ca="1" si="4"/>
        <v>-1.2909757162683664</v>
      </c>
    </row>
    <row r="111" spans="1:5" x14ac:dyDescent="0.4">
      <c r="A111">
        <f t="shared" ca="1" si="3"/>
        <v>-0.331482314297603</v>
      </c>
      <c r="B111">
        <f t="shared" ca="1" si="4"/>
        <v>-0.68321414112798351</v>
      </c>
    </row>
    <row r="112" spans="1:5" x14ac:dyDescent="0.4">
      <c r="A112">
        <f t="shared" ca="1" si="3"/>
        <v>1.4061533492956544</v>
      </c>
      <c r="B112">
        <f t="shared" ca="1" si="4"/>
        <v>-0.23685426001624643</v>
      </c>
    </row>
    <row r="113" spans="1:2" x14ac:dyDescent="0.4">
      <c r="A113">
        <f t="shared" ca="1" si="3"/>
        <v>7.2557198587259175E-2</v>
      </c>
      <c r="B113">
        <f t="shared" ca="1" si="4"/>
        <v>-0.71775450205518943</v>
      </c>
    </row>
    <row r="114" spans="1:2" x14ac:dyDescent="0.4">
      <c r="A114">
        <f t="shared" ca="1" si="3"/>
        <v>0.87331131412881291</v>
      </c>
      <c r="B114">
        <f t="shared" ca="1" si="4"/>
        <v>-0.59593311670556171</v>
      </c>
    </row>
    <row r="115" spans="1:2" x14ac:dyDescent="0.4">
      <c r="A115">
        <f t="shared" ca="1" si="3"/>
        <v>0.14723552280656371</v>
      </c>
      <c r="B115">
        <f t="shared" ca="1" si="4"/>
        <v>-1.8577076450817871</v>
      </c>
    </row>
    <row r="116" spans="1:2" x14ac:dyDescent="0.4">
      <c r="A116">
        <f t="shared" ca="1" si="3"/>
        <v>1.2909215149014028</v>
      </c>
      <c r="B116">
        <f t="shared" ca="1" si="4"/>
        <v>-0.81150537849336246</v>
      </c>
    </row>
    <row r="117" spans="1:2" x14ac:dyDescent="0.4">
      <c r="A117">
        <f t="shared" ca="1" si="3"/>
        <v>0.70613627714229366</v>
      </c>
      <c r="B117">
        <f t="shared" ca="1" si="4"/>
        <v>-0.50825069737121198</v>
      </c>
    </row>
    <row r="118" spans="1:2" x14ac:dyDescent="0.4">
      <c r="A118">
        <f t="shared" ca="1" si="3"/>
        <v>0.24865096166174211</v>
      </c>
      <c r="B118">
        <f t="shared" ca="1" si="4"/>
        <v>-0.43621359793300196</v>
      </c>
    </row>
    <row r="119" spans="1:2" x14ac:dyDescent="0.4">
      <c r="A119">
        <f t="shared" ca="1" si="3"/>
        <v>0.50610240768440962</v>
      </c>
      <c r="B119">
        <f t="shared" ca="1" si="4"/>
        <v>-2.1246601541911514</v>
      </c>
    </row>
    <row r="120" spans="1:2" x14ac:dyDescent="0.4">
      <c r="A120">
        <f t="shared" ca="1" si="3"/>
        <v>6.1010026597740741E-2</v>
      </c>
      <c r="B120">
        <f t="shared" ca="1" si="4"/>
        <v>-1.4856962489451675</v>
      </c>
    </row>
    <row r="121" spans="1:2" x14ac:dyDescent="0.4">
      <c r="A121">
        <f t="shared" ca="1" si="3"/>
        <v>1.1008155139880693</v>
      </c>
      <c r="B121">
        <f t="shared" ca="1" si="4"/>
        <v>-0.69220559441344731</v>
      </c>
    </row>
    <row r="122" spans="1:2" x14ac:dyDescent="0.4">
      <c r="A122">
        <f t="shared" ca="1" si="3"/>
        <v>1.2396376212708988</v>
      </c>
      <c r="B122">
        <f t="shared" ca="1" si="4"/>
        <v>-1.8363832775020525</v>
      </c>
    </row>
    <row r="123" spans="1:2" x14ac:dyDescent="0.4">
      <c r="A123">
        <f t="shared" ca="1" si="3"/>
        <v>0.13188918173076219</v>
      </c>
      <c r="B123">
        <f t="shared" ca="1" si="4"/>
        <v>-1.3290185470551452</v>
      </c>
    </row>
    <row r="124" spans="1:2" x14ac:dyDescent="0.4">
      <c r="A124">
        <f t="shared" ca="1" si="3"/>
        <v>0.7415341557823405</v>
      </c>
      <c r="B124">
        <f t="shared" ca="1" si="4"/>
        <v>-2.4170048703651266</v>
      </c>
    </row>
    <row r="125" spans="1:2" x14ac:dyDescent="0.4">
      <c r="A125">
        <f t="shared" ca="1" si="3"/>
        <v>1.2634374697825954</v>
      </c>
      <c r="B125">
        <f t="shared" ca="1" si="4"/>
        <v>6.2653109307023724E-2</v>
      </c>
    </row>
    <row r="126" spans="1:2" x14ac:dyDescent="0.4">
      <c r="A126">
        <f t="shared" ca="1" si="3"/>
        <v>0.98840386720010398</v>
      </c>
      <c r="B126">
        <f t="shared" ca="1" si="4"/>
        <v>-0.33755613420201525</v>
      </c>
    </row>
    <row r="127" spans="1:2" x14ac:dyDescent="0.4">
      <c r="A127">
        <f t="shared" ca="1" si="3"/>
        <v>0.62335337384250911</v>
      </c>
      <c r="B127">
        <f t="shared" ca="1" si="4"/>
        <v>-1.900741376458349</v>
      </c>
    </row>
    <row r="128" spans="1:2" x14ac:dyDescent="0.4">
      <c r="A128">
        <f t="shared" ca="1" si="3"/>
        <v>0.46656131886200775</v>
      </c>
      <c r="B128">
        <f t="shared" ca="1" si="4"/>
        <v>-1.2920398702124209</v>
      </c>
    </row>
    <row r="129" spans="1:2" x14ac:dyDescent="0.4">
      <c r="A129">
        <f t="shared" ca="1" si="3"/>
        <v>0.42281242146765963</v>
      </c>
      <c r="B129">
        <f t="shared" ca="1" si="4"/>
        <v>-1.4505486401041621</v>
      </c>
    </row>
    <row r="130" spans="1:2" x14ac:dyDescent="0.4">
      <c r="A130">
        <f t="shared" ca="1" si="3"/>
        <v>0.10378837273295133</v>
      </c>
      <c r="B130">
        <f t="shared" ca="1" si="4"/>
        <v>-1.327362967979544</v>
      </c>
    </row>
    <row r="131" spans="1:2" x14ac:dyDescent="0.4">
      <c r="A131">
        <f t="shared" ca="1" si="3"/>
        <v>-8.5704457572226889E-2</v>
      </c>
      <c r="B131">
        <f t="shared" ca="1" si="4"/>
        <v>0.50433417398698643</v>
      </c>
    </row>
    <row r="132" spans="1:2" x14ac:dyDescent="0.4">
      <c r="A132">
        <f t="shared" ca="1" si="3"/>
        <v>1.1460850177997011</v>
      </c>
      <c r="B132">
        <f t="shared" ca="1" si="4"/>
        <v>-0.99175548110231515</v>
      </c>
    </row>
    <row r="133" spans="1:2" x14ac:dyDescent="0.4">
      <c r="A133">
        <f t="shared" ca="1" si="3"/>
        <v>0.5097485991707118</v>
      </c>
      <c r="B133">
        <f t="shared" ca="1" si="4"/>
        <v>-1.3711849791773589</v>
      </c>
    </row>
    <row r="134" spans="1:2" x14ac:dyDescent="0.4">
      <c r="A134">
        <f t="shared" ca="1" si="3"/>
        <v>0.88258659965716435</v>
      </c>
      <c r="B134">
        <f t="shared" ca="1" si="4"/>
        <v>0.53746669182785256</v>
      </c>
    </row>
    <row r="135" spans="1:2" x14ac:dyDescent="0.4">
      <c r="A135">
        <f t="shared" ca="1" si="3"/>
        <v>1.4152665315751489E-2</v>
      </c>
      <c r="B135">
        <f t="shared" ca="1" si="4"/>
        <v>-1.647667421359964</v>
      </c>
    </row>
    <row r="136" spans="1:2" x14ac:dyDescent="0.4">
      <c r="A136">
        <f t="shared" ca="1" si="3"/>
        <v>0.98411151951357301</v>
      </c>
      <c r="B136">
        <f t="shared" ca="1" si="4"/>
        <v>-1.263704259011964</v>
      </c>
    </row>
    <row r="137" spans="1:2" x14ac:dyDescent="0.4">
      <c r="A137">
        <f t="shared" ref="A137:A168" ca="1" si="5">D37</f>
        <v>3.312844022720729E-2</v>
      </c>
      <c r="B137">
        <f t="shared" ref="B137:B168" ca="1" si="6">E37</f>
        <v>-1.4452477333080094</v>
      </c>
    </row>
    <row r="138" spans="1:2" x14ac:dyDescent="0.4">
      <c r="A138">
        <f t="shared" ca="1" si="5"/>
        <v>0.87605306721693443</v>
      </c>
      <c r="B138">
        <f t="shared" ca="1" si="6"/>
        <v>0.15068333442371307</v>
      </c>
    </row>
    <row r="139" spans="1:2" x14ac:dyDescent="0.4">
      <c r="A139">
        <f t="shared" ca="1" si="5"/>
        <v>0.63331957264194694</v>
      </c>
      <c r="B139">
        <f t="shared" ca="1" si="6"/>
        <v>-1.7921459341355961</v>
      </c>
    </row>
    <row r="140" spans="1:2" x14ac:dyDescent="0.4">
      <c r="A140">
        <f t="shared" ca="1" si="5"/>
        <v>-0.44229526488291571</v>
      </c>
      <c r="B140">
        <f t="shared" ca="1" si="6"/>
        <v>-1.7057734029373284</v>
      </c>
    </row>
    <row r="141" spans="1:2" x14ac:dyDescent="0.4">
      <c r="A141">
        <f t="shared" ca="1" si="5"/>
        <v>0.31644925540914737</v>
      </c>
      <c r="B141">
        <f t="shared" ca="1" si="6"/>
        <v>-2.3868053104728615</v>
      </c>
    </row>
    <row r="142" spans="1:2" x14ac:dyDescent="0.4">
      <c r="A142">
        <f t="shared" ca="1" si="5"/>
        <v>0.10244326893198047</v>
      </c>
      <c r="B142">
        <f t="shared" ca="1" si="6"/>
        <v>-0.59367959858037289</v>
      </c>
    </row>
    <row r="143" spans="1:2" x14ac:dyDescent="0.4">
      <c r="A143">
        <f t="shared" ca="1" si="5"/>
        <v>-0.17569401526015771</v>
      </c>
      <c r="B143">
        <f t="shared" ca="1" si="6"/>
        <v>-1.4349537514969257</v>
      </c>
    </row>
    <row r="144" spans="1:2" x14ac:dyDescent="0.4">
      <c r="A144">
        <f t="shared" ca="1" si="5"/>
        <v>0.59695089054922823</v>
      </c>
      <c r="B144">
        <f t="shared" ca="1" si="6"/>
        <v>-0.35098054104975751</v>
      </c>
    </row>
    <row r="145" spans="1:2" x14ac:dyDescent="0.4">
      <c r="A145">
        <f t="shared" ca="1" si="5"/>
        <v>1.543526658914729</v>
      </c>
      <c r="B145">
        <f t="shared" ca="1" si="6"/>
        <v>0.61316223335416642</v>
      </c>
    </row>
    <row r="146" spans="1:2" x14ac:dyDescent="0.4">
      <c r="A146">
        <f t="shared" ca="1" si="5"/>
        <v>0.56399967538892726</v>
      </c>
      <c r="B146">
        <f t="shared" ca="1" si="6"/>
        <v>0.3402844781280705</v>
      </c>
    </row>
    <row r="147" spans="1:2" x14ac:dyDescent="0.4">
      <c r="A147">
        <f t="shared" ca="1" si="5"/>
        <v>1.1164081413728937</v>
      </c>
      <c r="B147">
        <f t="shared" ca="1" si="6"/>
        <v>-1.1209902945186081</v>
      </c>
    </row>
    <row r="148" spans="1:2" x14ac:dyDescent="0.4">
      <c r="A148">
        <f t="shared" ca="1" si="5"/>
        <v>0.50133255126179266</v>
      </c>
      <c r="B148">
        <f t="shared" ca="1" si="6"/>
        <v>-0.77621026742796939</v>
      </c>
    </row>
    <row r="149" spans="1:2" x14ac:dyDescent="0.4">
      <c r="A149">
        <f t="shared" ca="1" si="5"/>
        <v>0.89867688275804247</v>
      </c>
      <c r="B149">
        <f t="shared" ca="1" si="6"/>
        <v>-0.82033374436288065</v>
      </c>
    </row>
    <row r="150" spans="1:2" x14ac:dyDescent="0.4">
      <c r="A150">
        <f t="shared" ca="1" si="5"/>
        <v>-0.17132758903201684</v>
      </c>
      <c r="B150">
        <f t="shared" ca="1" si="6"/>
        <v>-1.4843879694549114</v>
      </c>
    </row>
    <row r="151" spans="1:2" x14ac:dyDescent="0.4">
      <c r="A151">
        <f t="shared" ca="1" si="5"/>
        <v>0.59528531871536017</v>
      </c>
      <c r="B151">
        <f t="shared" ca="1" si="6"/>
        <v>-1.7925191845102484</v>
      </c>
    </row>
    <row r="152" spans="1:2" x14ac:dyDescent="0.4">
      <c r="A152">
        <f t="shared" ca="1" si="5"/>
        <v>-0.27383548702813187</v>
      </c>
      <c r="B152">
        <f t="shared" ca="1" si="6"/>
        <v>-0.60229104207980111</v>
      </c>
    </row>
    <row r="153" spans="1:2" x14ac:dyDescent="0.4">
      <c r="A153">
        <f t="shared" ca="1" si="5"/>
        <v>0.44595275411699287</v>
      </c>
      <c r="B153">
        <f t="shared" ca="1" si="6"/>
        <v>-0.52577359299103454</v>
      </c>
    </row>
    <row r="154" spans="1:2" x14ac:dyDescent="0.4">
      <c r="A154">
        <f t="shared" ca="1" si="5"/>
        <v>0.16746719031626017</v>
      </c>
      <c r="B154">
        <f t="shared" ca="1" si="6"/>
        <v>-0.40907421913804209</v>
      </c>
    </row>
    <row r="155" spans="1:2" x14ac:dyDescent="0.4">
      <c r="A155">
        <f t="shared" ca="1" si="5"/>
        <v>0.65407686031667245</v>
      </c>
      <c r="B155">
        <f t="shared" ca="1" si="6"/>
        <v>-2.0223244131762543</v>
      </c>
    </row>
    <row r="156" spans="1:2" x14ac:dyDescent="0.4">
      <c r="A156">
        <f t="shared" ca="1" si="5"/>
        <v>0.15401266345113646</v>
      </c>
      <c r="B156">
        <f t="shared" ca="1" si="6"/>
        <v>-0.7115714876456094</v>
      </c>
    </row>
    <row r="157" spans="1:2" x14ac:dyDescent="0.4">
      <c r="A157">
        <f t="shared" ca="1" si="5"/>
        <v>0.83233408937258413</v>
      </c>
      <c r="B157">
        <f t="shared" ca="1" si="6"/>
        <v>-1.8192513226120348</v>
      </c>
    </row>
    <row r="158" spans="1:2" x14ac:dyDescent="0.4">
      <c r="A158">
        <f t="shared" ca="1" si="5"/>
        <v>0.60430141739141852</v>
      </c>
      <c r="B158">
        <f t="shared" ca="1" si="6"/>
        <v>-1.6430011948912981</v>
      </c>
    </row>
    <row r="159" spans="1:2" x14ac:dyDescent="0.4">
      <c r="A159">
        <f t="shared" ca="1" si="5"/>
        <v>0.55911551287267214</v>
      </c>
      <c r="B159">
        <f t="shared" ca="1" si="6"/>
        <v>-0.52012176810180388</v>
      </c>
    </row>
    <row r="160" spans="1:2" x14ac:dyDescent="0.4">
      <c r="A160">
        <f t="shared" ca="1" si="5"/>
        <v>0.76465323142743769</v>
      </c>
      <c r="B160">
        <f t="shared" ca="1" si="6"/>
        <v>-0.76854046903909767</v>
      </c>
    </row>
    <row r="161" spans="1:2" x14ac:dyDescent="0.4">
      <c r="A161">
        <f t="shared" ca="1" si="5"/>
        <v>0.60010984521559319</v>
      </c>
      <c r="B161">
        <f t="shared" ca="1" si="6"/>
        <v>0.29051321840562849</v>
      </c>
    </row>
    <row r="162" spans="1:2" x14ac:dyDescent="0.4">
      <c r="A162">
        <f t="shared" ca="1" si="5"/>
        <v>1.0274380404639993</v>
      </c>
      <c r="B162">
        <f t="shared" ca="1" si="6"/>
        <v>-0.90581374819637428</v>
      </c>
    </row>
    <row r="163" spans="1:2" x14ac:dyDescent="0.4">
      <c r="A163">
        <f t="shared" ca="1" si="5"/>
        <v>0.20160705438685317</v>
      </c>
      <c r="B163">
        <f t="shared" ca="1" si="6"/>
        <v>-0.99550622061138416</v>
      </c>
    </row>
    <row r="164" spans="1:2" x14ac:dyDescent="0.4">
      <c r="A164">
        <f t="shared" ca="1" si="5"/>
        <v>0.47729773506778261</v>
      </c>
      <c r="B164">
        <f t="shared" ca="1" si="6"/>
        <v>-2.1064567614829848</v>
      </c>
    </row>
    <row r="165" spans="1:2" x14ac:dyDescent="0.4">
      <c r="A165">
        <f t="shared" ca="1" si="5"/>
        <v>-3.0147852637531058E-2</v>
      </c>
      <c r="B165">
        <f t="shared" ca="1" si="6"/>
        <v>0.22069210137611206</v>
      </c>
    </row>
    <row r="166" spans="1:2" x14ac:dyDescent="0.4">
      <c r="A166">
        <f t="shared" ca="1" si="5"/>
        <v>5.1861895622158871E-2</v>
      </c>
      <c r="B166">
        <f t="shared" ca="1" si="6"/>
        <v>-1.2657190234300251</v>
      </c>
    </row>
    <row r="167" spans="1:2" x14ac:dyDescent="0.4">
      <c r="A167">
        <f t="shared" ca="1" si="5"/>
        <v>0.55713878500207847</v>
      </c>
      <c r="B167">
        <f t="shared" ca="1" si="6"/>
        <v>-0.99723254297715613</v>
      </c>
    </row>
    <row r="168" spans="1:2" x14ac:dyDescent="0.4">
      <c r="A168">
        <f t="shared" ca="1" si="5"/>
        <v>0.47033342499929731</v>
      </c>
      <c r="B168">
        <f t="shared" ca="1" si="6"/>
        <v>-1.1112725779171184</v>
      </c>
    </row>
    <row r="169" spans="1:2" x14ac:dyDescent="0.4">
      <c r="A169">
        <f t="shared" ref="A169:A200" ca="1" si="7">D69</f>
        <v>0.55256022377321368</v>
      </c>
      <c r="B169">
        <f t="shared" ref="B169:B200" ca="1" si="8">E69</f>
        <v>-1.8930452721680224</v>
      </c>
    </row>
    <row r="170" spans="1:2" x14ac:dyDescent="0.4">
      <c r="A170">
        <f t="shared" ca="1" si="7"/>
        <v>1.2346918219690011</v>
      </c>
      <c r="B170">
        <f t="shared" ca="1" si="8"/>
        <v>-1.0722131461453959</v>
      </c>
    </row>
    <row r="171" spans="1:2" x14ac:dyDescent="0.4">
      <c r="A171">
        <f t="shared" ca="1" si="7"/>
        <v>0.32466447074680693</v>
      </c>
      <c r="B171">
        <f t="shared" ca="1" si="8"/>
        <v>-0.3073929587865597</v>
      </c>
    </row>
    <row r="172" spans="1:2" x14ac:dyDescent="0.4">
      <c r="A172">
        <f t="shared" ca="1" si="7"/>
        <v>0.6282331402225747</v>
      </c>
      <c r="B172">
        <f t="shared" ca="1" si="8"/>
        <v>-0.15856802176948748</v>
      </c>
    </row>
    <row r="173" spans="1:2" x14ac:dyDescent="0.4">
      <c r="A173">
        <f t="shared" ca="1" si="7"/>
        <v>0.22797665281485646</v>
      </c>
      <c r="B173">
        <f t="shared" ca="1" si="8"/>
        <v>-0.64993526926313439</v>
      </c>
    </row>
    <row r="174" spans="1:2" x14ac:dyDescent="0.4">
      <c r="A174">
        <f t="shared" ca="1" si="7"/>
        <v>1.1020372933171005</v>
      </c>
      <c r="B174">
        <f t="shared" ca="1" si="8"/>
        <v>-0.66827953705477317</v>
      </c>
    </row>
    <row r="175" spans="1:2" x14ac:dyDescent="0.4">
      <c r="A175">
        <f t="shared" ca="1" si="7"/>
        <v>-0.60948007385030589</v>
      </c>
      <c r="B175">
        <f t="shared" ca="1" si="8"/>
        <v>0.62538174362080579</v>
      </c>
    </row>
    <row r="176" spans="1:2" x14ac:dyDescent="0.4">
      <c r="A176">
        <f t="shared" ca="1" si="7"/>
        <v>0.85040174084121523</v>
      </c>
      <c r="B176">
        <f t="shared" ca="1" si="8"/>
        <v>-0.33326014431851947</v>
      </c>
    </row>
    <row r="177" spans="1:2" x14ac:dyDescent="0.4">
      <c r="A177">
        <f t="shared" ca="1" si="7"/>
        <v>5.9650841970881885E-4</v>
      </c>
      <c r="B177">
        <f t="shared" ca="1" si="8"/>
        <v>5.0121588654870486E-2</v>
      </c>
    </row>
    <row r="178" spans="1:2" x14ac:dyDescent="0.4">
      <c r="A178">
        <f t="shared" ca="1" si="7"/>
        <v>0.56310965964361603</v>
      </c>
      <c r="B178">
        <f t="shared" ca="1" si="8"/>
        <v>-0.40899068911201142</v>
      </c>
    </row>
    <row r="179" spans="1:2" x14ac:dyDescent="0.4">
      <c r="A179">
        <f t="shared" ca="1" si="7"/>
        <v>0.92085904236531668</v>
      </c>
      <c r="B179">
        <f t="shared" ca="1" si="8"/>
        <v>-0.74396208770833461</v>
      </c>
    </row>
    <row r="180" spans="1:2" x14ac:dyDescent="0.4">
      <c r="A180">
        <f t="shared" ca="1" si="7"/>
        <v>0.83476301186221047</v>
      </c>
      <c r="B180">
        <f t="shared" ca="1" si="8"/>
        <v>-7.89059490384314E-2</v>
      </c>
    </row>
    <row r="181" spans="1:2" x14ac:dyDescent="0.4">
      <c r="A181">
        <f t="shared" ca="1" si="7"/>
        <v>0.24503646152704284</v>
      </c>
      <c r="B181">
        <f t="shared" ca="1" si="8"/>
        <v>-2.1476847271705575</v>
      </c>
    </row>
    <row r="182" spans="1:2" x14ac:dyDescent="0.4">
      <c r="A182">
        <f t="shared" ca="1" si="7"/>
        <v>1.5803867362916362</v>
      </c>
      <c r="B182">
        <f t="shared" ca="1" si="8"/>
        <v>-1.3478514453932862</v>
      </c>
    </row>
    <row r="183" spans="1:2" x14ac:dyDescent="0.4">
      <c r="A183">
        <f t="shared" ca="1" si="7"/>
        <v>0.15495969445224278</v>
      </c>
      <c r="B183">
        <f t="shared" ca="1" si="8"/>
        <v>-1.8012145431185891</v>
      </c>
    </row>
    <row r="184" spans="1:2" x14ac:dyDescent="0.4">
      <c r="A184">
        <f t="shared" ca="1" si="7"/>
        <v>1.3784660894454535</v>
      </c>
      <c r="B184">
        <f t="shared" ca="1" si="8"/>
        <v>-1.3503897676614058</v>
      </c>
    </row>
    <row r="185" spans="1:2" x14ac:dyDescent="0.4">
      <c r="A185">
        <f t="shared" ca="1" si="7"/>
        <v>0.84545782579104056</v>
      </c>
      <c r="B185">
        <f t="shared" ca="1" si="8"/>
        <v>-9.4380517136481767E-2</v>
      </c>
    </row>
    <row r="186" spans="1:2" x14ac:dyDescent="0.4">
      <c r="A186">
        <f t="shared" ca="1" si="7"/>
        <v>1.6654807143700936</v>
      </c>
      <c r="B186">
        <f t="shared" ca="1" si="8"/>
        <v>-1.9093765819911326</v>
      </c>
    </row>
    <row r="187" spans="1:2" x14ac:dyDescent="0.4">
      <c r="A187">
        <f t="shared" ca="1" si="7"/>
        <v>1.3031130687679813</v>
      </c>
      <c r="B187">
        <f t="shared" ca="1" si="8"/>
        <v>-0.80105459147910252</v>
      </c>
    </row>
    <row r="188" spans="1:2" x14ac:dyDescent="0.4">
      <c r="A188">
        <f t="shared" ca="1" si="7"/>
        <v>-0.23206457735143227</v>
      </c>
      <c r="B188">
        <f t="shared" ca="1" si="8"/>
        <v>0.63920619783440813</v>
      </c>
    </row>
    <row r="189" spans="1:2" x14ac:dyDescent="0.4">
      <c r="A189">
        <f t="shared" ca="1" si="7"/>
        <v>0.98903226906930675</v>
      </c>
      <c r="B189">
        <f t="shared" ca="1" si="8"/>
        <v>0.12857507604546914</v>
      </c>
    </row>
    <row r="190" spans="1:2" x14ac:dyDescent="0.4">
      <c r="A190">
        <f t="shared" ca="1" si="7"/>
        <v>1.0766748522657674</v>
      </c>
      <c r="B190">
        <f t="shared" ca="1" si="8"/>
        <v>-0.53114062044300026</v>
      </c>
    </row>
    <row r="191" spans="1:2" x14ac:dyDescent="0.4">
      <c r="A191">
        <f t="shared" ca="1" si="7"/>
        <v>-0.40683192996873396</v>
      </c>
      <c r="B191">
        <f t="shared" ca="1" si="8"/>
        <v>-2.2253071057290938</v>
      </c>
    </row>
    <row r="192" spans="1:2" x14ac:dyDescent="0.4">
      <c r="A192">
        <f t="shared" ca="1" si="7"/>
        <v>0.39240492258764181</v>
      </c>
      <c r="B192">
        <f t="shared" ca="1" si="8"/>
        <v>0.92936766392477388</v>
      </c>
    </row>
    <row r="193" spans="1:2" x14ac:dyDescent="0.4">
      <c r="A193">
        <f t="shared" ca="1" si="7"/>
        <v>4.7229397919826277E-3</v>
      </c>
      <c r="B193">
        <f t="shared" ca="1" si="8"/>
        <v>-0.14819028789448507</v>
      </c>
    </row>
    <row r="194" spans="1:2" x14ac:dyDescent="0.4">
      <c r="A194">
        <f t="shared" ca="1" si="7"/>
        <v>-0.11026332301212061</v>
      </c>
      <c r="B194">
        <f t="shared" ca="1" si="8"/>
        <v>-1.2230668258549158</v>
      </c>
    </row>
    <row r="195" spans="1:2" x14ac:dyDescent="0.4">
      <c r="A195">
        <f t="shared" ca="1" si="7"/>
        <v>1.0969040835479658</v>
      </c>
      <c r="B195">
        <f t="shared" ca="1" si="8"/>
        <v>-4.4309102048452065E-2</v>
      </c>
    </row>
    <row r="196" spans="1:2" x14ac:dyDescent="0.4">
      <c r="A196">
        <f t="shared" ca="1" si="7"/>
        <v>0.61552320439929264</v>
      </c>
      <c r="B196">
        <f t="shared" ca="1" si="8"/>
        <v>-1.1238210636720747</v>
      </c>
    </row>
    <row r="197" spans="1:2" x14ac:dyDescent="0.4">
      <c r="A197">
        <f t="shared" ca="1" si="7"/>
        <v>0.6128499991993307</v>
      </c>
      <c r="B197">
        <f t="shared" ca="1" si="8"/>
        <v>-1.8065755326379946</v>
      </c>
    </row>
    <row r="198" spans="1:2" x14ac:dyDescent="0.4">
      <c r="A198">
        <f t="shared" ca="1" si="7"/>
        <v>0.84585571499156054</v>
      </c>
      <c r="B198">
        <f t="shared" ca="1" si="8"/>
        <v>-0.27243887015266566</v>
      </c>
    </row>
    <row r="199" spans="1:2" x14ac:dyDescent="0.4">
      <c r="A199">
        <f t="shared" ca="1" si="7"/>
        <v>1.5022628286640844</v>
      </c>
      <c r="B199">
        <f t="shared" ca="1" si="8"/>
        <v>-1.7498542654179641</v>
      </c>
    </row>
    <row r="200" spans="1:2" x14ac:dyDescent="0.4">
      <c r="A200">
        <f t="shared" ca="1" si="7"/>
        <v>0.51219442174919871</v>
      </c>
      <c r="B200">
        <f t="shared" ca="1" si="8"/>
        <v>-1.3909405631575185</v>
      </c>
    </row>
    <row r="201" spans="1:2" x14ac:dyDescent="0.4">
      <c r="A201">
        <f t="shared" ref="A201:A204" ca="1" si="9">D101</f>
        <v>0.65347334592371653</v>
      </c>
      <c r="B201">
        <f t="shared" ref="B201:B204" ca="1" si="10">E101</f>
        <v>-1.5335609116558784</v>
      </c>
    </row>
    <row r="202" spans="1:2" x14ac:dyDescent="0.4">
      <c r="A202">
        <f t="shared" ca="1" si="9"/>
        <v>1.0470793711976154</v>
      </c>
      <c r="B202">
        <f t="shared" ca="1" si="10"/>
        <v>-2.2228480061819602</v>
      </c>
    </row>
    <row r="203" spans="1:2" x14ac:dyDescent="0.4">
      <c r="A203">
        <f t="shared" ca="1" si="9"/>
        <v>0.93002063981948735</v>
      </c>
      <c r="B203">
        <f t="shared" ca="1" si="10"/>
        <v>-0.25705548762446162</v>
      </c>
    </row>
    <row r="204" spans="1:2" x14ac:dyDescent="0.4">
      <c r="A204">
        <f t="shared" ca="1" si="9"/>
        <v>2.2413651486527797E-2</v>
      </c>
      <c r="B204">
        <f t="shared" ca="1" si="10"/>
        <v>-2.8958323854923926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F4FD-2D0B-44D9-9E98-17ABEF44EA0D}">
  <dimension ref="A1:N208"/>
  <sheetViews>
    <sheetView workbookViewId="0">
      <selection activeCell="B23" sqref="B23"/>
    </sheetView>
  </sheetViews>
  <sheetFormatPr defaultRowHeight="18.75" x14ac:dyDescent="0.4"/>
  <sheetData>
    <row r="1" spans="1:13" x14ac:dyDescent="0.4">
      <c r="A1" t="s">
        <v>13</v>
      </c>
      <c r="B1" t="s">
        <v>14</v>
      </c>
      <c r="L1" t="s">
        <v>0</v>
      </c>
      <c r="M1" t="s">
        <v>2</v>
      </c>
    </row>
    <row r="2" spans="1:13" x14ac:dyDescent="0.4">
      <c r="A2">
        <v>3</v>
      </c>
      <c r="B2">
        <v>4</v>
      </c>
      <c r="L2">
        <v>3.2866365378063827</v>
      </c>
      <c r="M2">
        <v>4.4297985973593299</v>
      </c>
    </row>
    <row r="3" spans="1:13" x14ac:dyDescent="0.4">
      <c r="A3">
        <v>1</v>
      </c>
      <c r="B3">
        <v>0.7</v>
      </c>
      <c r="L3">
        <v>2.9045376786603661</v>
      </c>
      <c r="M3">
        <v>4.7962705710627027</v>
      </c>
    </row>
    <row r="4" spans="1:13" x14ac:dyDescent="0.4">
      <c r="L4">
        <v>4.8468985361332768</v>
      </c>
      <c r="M4">
        <v>5.4383240918826896</v>
      </c>
    </row>
    <row r="5" spans="1:13" x14ac:dyDescent="0.4">
      <c r="A5">
        <v>4</v>
      </c>
      <c r="B5">
        <v>2</v>
      </c>
      <c r="L5">
        <v>4.9014080278140577</v>
      </c>
      <c r="M5">
        <v>5.5221341792995302</v>
      </c>
    </row>
    <row r="6" spans="1:13" x14ac:dyDescent="0.4">
      <c r="A6">
        <v>0.6</v>
      </c>
      <c r="B6">
        <v>0.6</v>
      </c>
      <c r="L6">
        <v>3.5430314413515012</v>
      </c>
      <c r="M6">
        <v>4.5961449979481834</v>
      </c>
    </row>
    <row r="7" spans="1:13" x14ac:dyDescent="0.4">
      <c r="L7">
        <v>5.0398463355443859</v>
      </c>
      <c r="M7">
        <v>5.2151445514970245</v>
      </c>
    </row>
    <row r="8" spans="1:13" x14ac:dyDescent="0.4">
      <c r="A8" t="s">
        <v>1</v>
      </c>
      <c r="B8" t="s">
        <v>3</v>
      </c>
      <c r="L8">
        <v>2.4222113598259281</v>
      </c>
      <c r="M8">
        <v>5.3046223049375083</v>
      </c>
    </row>
    <row r="9" spans="1:13" x14ac:dyDescent="0.4">
      <c r="A9">
        <f t="shared" ref="A9:A40" ca="1" si="0">NORMINV(RAND(), A$2, A$3)</f>
        <v>2.0501355641369847</v>
      </c>
      <c r="B9" s="2">
        <f t="shared" ref="B9:B40" ca="1" si="1">((NORMINV(RAND(), B$2, B$3)-2)*3)^(1/2)+2</f>
        <v>4.5694629926952715</v>
      </c>
      <c r="L9">
        <v>2.8321621054956263</v>
      </c>
      <c r="M9">
        <v>5.1156508604008737</v>
      </c>
    </row>
    <row r="10" spans="1:13" x14ac:dyDescent="0.4">
      <c r="A10">
        <f t="shared" ca="1" si="0"/>
        <v>2.3740000111360269</v>
      </c>
      <c r="B10" s="2">
        <f t="shared" ca="1" si="1"/>
        <v>4.8175058045508532</v>
      </c>
      <c r="L10">
        <v>3.9538409555397829</v>
      </c>
      <c r="M10">
        <v>4.6591443328938196</v>
      </c>
    </row>
    <row r="11" spans="1:13" x14ac:dyDescent="0.4">
      <c r="A11">
        <f t="shared" ca="1" si="0"/>
        <v>1.2439181335908709</v>
      </c>
      <c r="B11" s="2">
        <f t="shared" ca="1" si="1"/>
        <v>4.440986704869637</v>
      </c>
      <c r="L11">
        <v>3.0153065091847093</v>
      </c>
      <c r="M11">
        <v>4.8648670651312917</v>
      </c>
    </row>
    <row r="12" spans="1:13" x14ac:dyDescent="0.4">
      <c r="A12">
        <f t="shared" ca="1" si="0"/>
        <v>2.096495359102426</v>
      </c>
      <c r="B12" s="2">
        <f t="shared" ca="1" si="1"/>
        <v>3.3786600344613431</v>
      </c>
      <c r="L12">
        <v>3.9506708975180533</v>
      </c>
      <c r="M12">
        <v>5.7954970470084124</v>
      </c>
    </row>
    <row r="13" spans="1:13" x14ac:dyDescent="0.4">
      <c r="A13">
        <f t="shared" ca="1" si="0"/>
        <v>1.3470041722608412</v>
      </c>
      <c r="B13" s="2">
        <f t="shared" ca="1" si="1"/>
        <v>4.5105407583063784</v>
      </c>
      <c r="L13">
        <v>4.8957104215162746</v>
      </c>
      <c r="M13">
        <v>4.3030449042673276</v>
      </c>
    </row>
    <row r="14" spans="1:13" x14ac:dyDescent="0.4">
      <c r="A14">
        <f t="shared" ca="1" si="0"/>
        <v>2.7185892801227811</v>
      </c>
      <c r="B14" s="2">
        <f t="shared" ca="1" si="1"/>
        <v>4.1366620204812339</v>
      </c>
      <c r="L14">
        <v>4.0401200629616092</v>
      </c>
      <c r="M14">
        <v>5.5841043535526005</v>
      </c>
    </row>
    <row r="15" spans="1:13" x14ac:dyDescent="0.4">
      <c r="A15">
        <f t="shared" ca="1" si="0"/>
        <v>3.480459956909431</v>
      </c>
      <c r="B15" s="2">
        <f t="shared" ca="1" si="1"/>
        <v>4.2624436936825276</v>
      </c>
      <c r="L15">
        <v>4.7046885990975023</v>
      </c>
      <c r="M15">
        <v>5.3825319109445573</v>
      </c>
    </row>
    <row r="16" spans="1:13" x14ac:dyDescent="0.4">
      <c r="A16">
        <f t="shared" ca="1" si="0"/>
        <v>2.6853526518190391</v>
      </c>
      <c r="B16" s="2">
        <f t="shared" ca="1" si="1"/>
        <v>4.5592431997487584</v>
      </c>
      <c r="L16">
        <v>2.0106414772263155</v>
      </c>
      <c r="M16">
        <v>5.2785296267129542</v>
      </c>
    </row>
    <row r="17" spans="1:13" x14ac:dyDescent="0.4">
      <c r="A17">
        <f t="shared" ca="1" si="0"/>
        <v>3.0944828879454889</v>
      </c>
      <c r="B17" s="2">
        <f t="shared" ca="1" si="1"/>
        <v>3.6238098941664623</v>
      </c>
      <c r="L17">
        <v>1.8233190551257021</v>
      </c>
      <c r="M17">
        <v>5.4179032576009369</v>
      </c>
    </row>
    <row r="18" spans="1:13" x14ac:dyDescent="0.4">
      <c r="A18">
        <f t="shared" ca="1" si="0"/>
        <v>3.1101626892748513</v>
      </c>
      <c r="B18" s="2">
        <f t="shared" ca="1" si="1"/>
        <v>3.9477473902230056</v>
      </c>
      <c r="L18">
        <v>1.884523654421306</v>
      </c>
      <c r="M18">
        <v>4.6716865979947402</v>
      </c>
    </row>
    <row r="19" spans="1:13" x14ac:dyDescent="0.4">
      <c r="A19">
        <f t="shared" ca="1" si="0"/>
        <v>2.3188087268572573</v>
      </c>
      <c r="B19" s="2">
        <f t="shared" ca="1" si="1"/>
        <v>4.3833803379756784</v>
      </c>
      <c r="L19">
        <v>2.2405349209707244</v>
      </c>
      <c r="M19">
        <v>5.5822321479006707</v>
      </c>
    </row>
    <row r="20" spans="1:13" x14ac:dyDescent="0.4">
      <c r="A20">
        <f t="shared" ca="1" si="0"/>
        <v>3.435076372021197</v>
      </c>
      <c r="B20" s="2">
        <f t="shared" ca="1" si="1"/>
        <v>4.5048704438823544</v>
      </c>
      <c r="L20">
        <v>4.5693503391064647</v>
      </c>
      <c r="M20">
        <v>5.4800195576635655</v>
      </c>
    </row>
    <row r="21" spans="1:13" x14ac:dyDescent="0.4">
      <c r="A21">
        <f t="shared" ca="1" si="0"/>
        <v>3.0714889483671661</v>
      </c>
      <c r="B21" s="2">
        <f t="shared" ca="1" si="1"/>
        <v>3.8657623854513297</v>
      </c>
      <c r="L21">
        <v>4.4235486696962685</v>
      </c>
      <c r="M21">
        <v>4.7968377103507711</v>
      </c>
    </row>
    <row r="22" spans="1:13" x14ac:dyDescent="0.4">
      <c r="A22">
        <f t="shared" ca="1" si="0"/>
        <v>3.2457336030147355</v>
      </c>
      <c r="B22" s="2">
        <f t="shared" ca="1" si="1"/>
        <v>3.8100104632201539</v>
      </c>
      <c r="L22">
        <v>3.4003173133512425</v>
      </c>
      <c r="M22">
        <v>5.1005275681273385</v>
      </c>
    </row>
    <row r="23" spans="1:13" x14ac:dyDescent="0.4">
      <c r="A23">
        <f t="shared" ca="1" si="0"/>
        <v>3.6335759265381591</v>
      </c>
      <c r="B23" s="2">
        <f t="shared" ca="1" si="1"/>
        <v>5.098232752346</v>
      </c>
      <c r="L23">
        <v>3.1937001670942782</v>
      </c>
      <c r="M23">
        <v>4.2515344486867868</v>
      </c>
    </row>
    <row r="24" spans="1:13" x14ac:dyDescent="0.4">
      <c r="A24">
        <f t="shared" ca="1" si="0"/>
        <v>2.2224112447442366</v>
      </c>
      <c r="B24" s="2">
        <f t="shared" ca="1" si="1"/>
        <v>4.5596973621107626</v>
      </c>
      <c r="L24">
        <v>7.418338018456011E-3</v>
      </c>
      <c r="M24">
        <v>4.7702755187598624</v>
      </c>
    </row>
    <row r="25" spans="1:13" x14ac:dyDescent="0.4">
      <c r="A25">
        <f t="shared" ca="1" si="0"/>
        <v>2.5942876330011435</v>
      </c>
      <c r="B25" s="2">
        <f t="shared" ca="1" si="1"/>
        <v>3.3800240574560503</v>
      </c>
      <c r="L25">
        <v>5.2724666834986227</v>
      </c>
      <c r="M25">
        <v>4.1542476363473018</v>
      </c>
    </row>
    <row r="26" spans="1:13" x14ac:dyDescent="0.4">
      <c r="A26">
        <f t="shared" ca="1" si="0"/>
        <v>4.8632355896629509</v>
      </c>
      <c r="B26" s="2">
        <f t="shared" ca="1" si="1"/>
        <v>5.5164829057741267</v>
      </c>
      <c r="L26">
        <v>3.9510663813082125</v>
      </c>
      <c r="M26">
        <v>4.8339287484635021</v>
      </c>
    </row>
    <row r="27" spans="1:13" x14ac:dyDescent="0.4">
      <c r="A27">
        <f t="shared" ca="1" si="0"/>
        <v>2.7814558170284056</v>
      </c>
      <c r="B27" s="2">
        <f t="shared" ca="1" si="1"/>
        <v>4.6349260772117642</v>
      </c>
      <c r="L27">
        <v>3.9252893617991496</v>
      </c>
      <c r="M27">
        <v>5.4269476507392298</v>
      </c>
    </row>
    <row r="28" spans="1:13" x14ac:dyDescent="0.4">
      <c r="A28">
        <f t="shared" ca="1" si="0"/>
        <v>2.2719743692138303</v>
      </c>
      <c r="B28" s="2">
        <f t="shared" ca="1" si="1"/>
        <v>3.6277490042726983</v>
      </c>
      <c r="L28">
        <v>4.0326121424751022</v>
      </c>
      <c r="M28">
        <v>5.5731719234529411</v>
      </c>
    </row>
    <row r="29" spans="1:13" x14ac:dyDescent="0.4">
      <c r="A29">
        <f t="shared" ca="1" si="0"/>
        <v>3.0274004468218281</v>
      </c>
      <c r="B29" s="2">
        <f t="shared" ca="1" si="1"/>
        <v>4.8046003856105814</v>
      </c>
      <c r="L29">
        <v>4.5152997608384347</v>
      </c>
      <c r="M29">
        <v>4.6427858949761376</v>
      </c>
    </row>
    <row r="30" spans="1:13" x14ac:dyDescent="0.4">
      <c r="A30">
        <f t="shared" ca="1" si="0"/>
        <v>2.8569528651279081</v>
      </c>
      <c r="B30" s="2">
        <f t="shared" ca="1" si="1"/>
        <v>4.4508238096241834</v>
      </c>
      <c r="L30">
        <v>3.6850184647939503</v>
      </c>
      <c r="M30">
        <v>5.332983455222867</v>
      </c>
    </row>
    <row r="31" spans="1:13" x14ac:dyDescent="0.4">
      <c r="A31">
        <f t="shared" ca="1" si="0"/>
        <v>3.1307457693690193</v>
      </c>
      <c r="B31" s="2">
        <f t="shared" ca="1" si="1"/>
        <v>4.5882886989350267</v>
      </c>
      <c r="L31">
        <v>3.8300202279432081</v>
      </c>
      <c r="M31">
        <v>5.0470307653190059</v>
      </c>
    </row>
    <row r="32" spans="1:13" x14ac:dyDescent="0.4">
      <c r="A32">
        <f t="shared" ca="1" si="0"/>
        <v>4.2579277506980793</v>
      </c>
      <c r="B32" s="2">
        <f t="shared" ca="1" si="1"/>
        <v>4.9939255129229227</v>
      </c>
      <c r="L32">
        <v>3.7957106622043018</v>
      </c>
      <c r="M32">
        <v>4.9986398308022935</v>
      </c>
    </row>
    <row r="33" spans="1:13" x14ac:dyDescent="0.4">
      <c r="A33">
        <f t="shared" ca="1" si="0"/>
        <v>0.96911055807730939</v>
      </c>
      <c r="B33" s="2">
        <f t="shared" ca="1" si="1"/>
        <v>4.3695949642839906</v>
      </c>
      <c r="L33">
        <v>3.5143488707417205</v>
      </c>
      <c r="M33">
        <v>5.2571137575409352</v>
      </c>
    </row>
    <row r="34" spans="1:13" x14ac:dyDescent="0.4">
      <c r="A34">
        <f t="shared" ca="1" si="0"/>
        <v>3.9778247374372215</v>
      </c>
      <c r="B34" s="2">
        <f t="shared" ca="1" si="1"/>
        <v>4.8327352118195659</v>
      </c>
      <c r="L34">
        <v>2.038887981766714</v>
      </c>
      <c r="M34">
        <v>5.4427528601932424</v>
      </c>
    </row>
    <row r="35" spans="1:13" x14ac:dyDescent="0.4">
      <c r="A35">
        <f t="shared" ca="1" si="0"/>
        <v>2.982005304467112</v>
      </c>
      <c r="B35" s="2">
        <f t="shared" ca="1" si="1"/>
        <v>4.3642377330128941</v>
      </c>
      <c r="L35">
        <v>5.5088972950895068</v>
      </c>
      <c r="M35">
        <v>4.6035646385951123</v>
      </c>
    </row>
    <row r="36" spans="1:13" x14ac:dyDescent="0.4">
      <c r="A36">
        <f t="shared" ca="1" si="0"/>
        <v>4.8423591511290294</v>
      </c>
      <c r="B36" s="2">
        <f t="shared" ca="1" si="1"/>
        <v>4.9304401692549362</v>
      </c>
      <c r="L36">
        <v>3.9553924824821656</v>
      </c>
      <c r="M36">
        <v>4.2176807486700119</v>
      </c>
    </row>
    <row r="37" spans="1:13" x14ac:dyDescent="0.4">
      <c r="A37">
        <f t="shared" ca="1" si="0"/>
        <v>0.93421187002391148</v>
      </c>
      <c r="B37" s="2">
        <f t="shared" ca="1" si="1"/>
        <v>4.1189181788409384</v>
      </c>
      <c r="L37">
        <v>4.3245248318060483</v>
      </c>
      <c r="M37">
        <v>4.8290264577533231</v>
      </c>
    </row>
    <row r="38" spans="1:13" x14ac:dyDescent="0.4">
      <c r="A38">
        <f t="shared" ca="1" si="0"/>
        <v>4.3365158380018478</v>
      </c>
      <c r="B38" s="2">
        <f t="shared" ca="1" si="1"/>
        <v>4.9548885410244177</v>
      </c>
      <c r="L38">
        <v>3.6736820317559378</v>
      </c>
      <c r="M38">
        <v>4.8511940505102853</v>
      </c>
    </row>
    <row r="39" spans="1:13" x14ac:dyDescent="0.4">
      <c r="A39">
        <f t="shared" ca="1" si="0"/>
        <v>4.0157580589742672</v>
      </c>
      <c r="B39" s="2">
        <f t="shared" ca="1" si="1"/>
        <v>4.4765845523376289</v>
      </c>
      <c r="L39">
        <v>3.6756823383704638</v>
      </c>
      <c r="M39">
        <v>4.5898669111447425</v>
      </c>
    </row>
    <row r="40" spans="1:13" x14ac:dyDescent="0.4">
      <c r="A40">
        <f t="shared" ca="1" si="0"/>
        <v>2.6119100807443871</v>
      </c>
      <c r="B40" s="2">
        <f t="shared" ca="1" si="1"/>
        <v>3.978822549806353</v>
      </c>
      <c r="L40">
        <v>4.3788721221461921</v>
      </c>
      <c r="M40">
        <v>5.6429389534586409</v>
      </c>
    </row>
    <row r="41" spans="1:13" x14ac:dyDescent="0.4">
      <c r="A41">
        <f t="shared" ref="A41:A72" ca="1" si="2">NORMINV(RAND(), A$2, A$3)</f>
        <v>1.9652060446308903</v>
      </c>
      <c r="B41" s="2">
        <f t="shared" ref="B41:B72" ca="1" si="3">((NORMINV(RAND(), B$2, B$3)-2)*3)^(1/2)+2</f>
        <v>4.3606338631876742</v>
      </c>
      <c r="L41">
        <v>3.4597600374340538</v>
      </c>
      <c r="M41">
        <v>4.2227818234919763</v>
      </c>
    </row>
    <row r="42" spans="1:13" x14ac:dyDescent="0.4">
      <c r="A42">
        <f t="shared" ca="1" si="2"/>
        <v>2.5919770517564387</v>
      </c>
      <c r="B42" s="2">
        <f t="shared" ca="1" si="3"/>
        <v>4.2648763579996842</v>
      </c>
      <c r="L42">
        <v>3.512656523110715</v>
      </c>
      <c r="M42">
        <v>5.4324405584463218</v>
      </c>
    </row>
    <row r="43" spans="1:13" x14ac:dyDescent="0.4">
      <c r="A43">
        <f t="shared" ca="1" si="2"/>
        <v>3.4351677587354326</v>
      </c>
      <c r="B43" s="2">
        <f t="shared" ca="1" si="3"/>
        <v>4.9545399453782215</v>
      </c>
      <c r="L43">
        <v>2.8793066133562619</v>
      </c>
      <c r="M43">
        <v>5.1072365476385269</v>
      </c>
    </row>
    <row r="44" spans="1:13" x14ac:dyDescent="0.4">
      <c r="A44">
        <f t="shared" ca="1" si="2"/>
        <v>2.0670625628666883</v>
      </c>
      <c r="B44" s="2">
        <f t="shared" ca="1" si="3"/>
        <v>4.299448969786134</v>
      </c>
      <c r="L44">
        <v>4.6753287802182655</v>
      </c>
      <c r="M44">
        <v>4.8990377839920027</v>
      </c>
    </row>
    <row r="45" spans="1:13" x14ac:dyDescent="0.4">
      <c r="A45">
        <f t="shared" ca="1" si="2"/>
        <v>2.2970929389832491</v>
      </c>
      <c r="B45" s="2">
        <f t="shared" ca="1" si="3"/>
        <v>4.041573282700794</v>
      </c>
      <c r="L45">
        <v>4.7286669033037221</v>
      </c>
      <c r="M45">
        <v>5.6842237230693886</v>
      </c>
    </row>
    <row r="46" spans="1:13" x14ac:dyDescent="0.4">
      <c r="A46">
        <f t="shared" ca="1" si="2"/>
        <v>2.7486240876688846</v>
      </c>
      <c r="B46" s="2">
        <f t="shared" ca="1" si="3"/>
        <v>4.7186585380487465</v>
      </c>
      <c r="L46">
        <v>3.8196236115766573</v>
      </c>
      <c r="M46">
        <v>5.5415312304939892</v>
      </c>
    </row>
    <row r="47" spans="1:13" x14ac:dyDescent="0.4">
      <c r="A47">
        <f t="shared" ca="1" si="2"/>
        <v>3.1181637521732717</v>
      </c>
      <c r="B47" s="2">
        <f t="shared" ca="1" si="3"/>
        <v>4.2476148477345426</v>
      </c>
      <c r="L47">
        <v>4.3307913261007744</v>
      </c>
      <c r="M47">
        <v>4.9872590778583525</v>
      </c>
    </row>
    <row r="48" spans="1:13" x14ac:dyDescent="0.4">
      <c r="A48">
        <f t="shared" ca="1" si="2"/>
        <v>4.5897559809082722</v>
      </c>
      <c r="B48" s="2">
        <f t="shared" ca="1" si="3"/>
        <v>4.438611713284466</v>
      </c>
      <c r="L48">
        <v>4.3350594797515125</v>
      </c>
      <c r="M48">
        <v>5.2626786123096565</v>
      </c>
    </row>
    <row r="49" spans="1:13" x14ac:dyDescent="0.4">
      <c r="A49">
        <f t="shared" ca="1" si="2"/>
        <v>2.8548553265380869</v>
      </c>
      <c r="B49" s="2">
        <f t="shared" ca="1" si="3"/>
        <v>4.4659899995460393</v>
      </c>
      <c r="L49">
        <v>2.174032391054296</v>
      </c>
      <c r="M49">
        <v>5.3005286254757022</v>
      </c>
    </row>
    <row r="50" spans="1:13" x14ac:dyDescent="0.4">
      <c r="A50">
        <f t="shared" ca="1" si="2"/>
        <v>3.2696786822916444</v>
      </c>
      <c r="B50" s="2">
        <f t="shared" ca="1" si="3"/>
        <v>4.9164251363153326</v>
      </c>
      <c r="L50">
        <v>4.6152448197447367</v>
      </c>
      <c r="M50">
        <v>5.5703809344517135</v>
      </c>
    </row>
    <row r="51" spans="1:13" x14ac:dyDescent="0.4">
      <c r="A51">
        <f t="shared" ca="1" si="2"/>
        <v>4.891263995639985</v>
      </c>
      <c r="B51" s="2">
        <f t="shared" ca="1" si="3"/>
        <v>4.1585853277045191</v>
      </c>
      <c r="L51">
        <v>3.697595839470321</v>
      </c>
      <c r="M51">
        <v>5.0615278491567892</v>
      </c>
    </row>
    <row r="52" spans="1:13" x14ac:dyDescent="0.4">
      <c r="A52">
        <f t="shared" ca="1" si="2"/>
        <v>3.7549788852507966</v>
      </c>
      <c r="B52" s="2">
        <f t="shared" ca="1" si="3"/>
        <v>4.885626335288956</v>
      </c>
      <c r="L52">
        <v>4.609776125874653</v>
      </c>
      <c r="M52">
        <v>5.2789525315633199</v>
      </c>
    </row>
    <row r="53" spans="1:13" x14ac:dyDescent="0.4">
      <c r="A53">
        <f t="shared" ca="1" si="2"/>
        <v>3.2381831927791223</v>
      </c>
      <c r="B53" s="2">
        <f t="shared" ca="1" si="3"/>
        <v>4.5717505218615049</v>
      </c>
      <c r="L53">
        <v>3.3083719060280692</v>
      </c>
      <c r="M53">
        <v>4.9107963027911046</v>
      </c>
    </row>
    <row r="54" spans="1:13" x14ac:dyDescent="0.4">
      <c r="A54">
        <f t="shared" ca="1" si="2"/>
        <v>4.1192407714762158</v>
      </c>
      <c r="B54" s="2">
        <f t="shared" ca="1" si="3"/>
        <v>4.2632614879005564</v>
      </c>
      <c r="L54">
        <v>4.9635585724232394</v>
      </c>
      <c r="M54">
        <v>5.481639986552814</v>
      </c>
    </row>
    <row r="55" spans="1:13" x14ac:dyDescent="0.4">
      <c r="A55">
        <f t="shared" ca="1" si="2"/>
        <v>3.3435747340418525</v>
      </c>
      <c r="B55" s="2">
        <f t="shared" ca="1" si="3"/>
        <v>4.2041149570620906</v>
      </c>
      <c r="L55">
        <v>3.7712772392045206</v>
      </c>
      <c r="M55">
        <v>4.8058152102880989</v>
      </c>
    </row>
    <row r="56" spans="1:13" x14ac:dyDescent="0.4">
      <c r="A56">
        <f t="shared" ca="1" si="2"/>
        <v>0.48658161777377895</v>
      </c>
      <c r="B56" s="2">
        <f t="shared" ca="1" si="3"/>
        <v>5.0418438724902801</v>
      </c>
      <c r="L56">
        <v>3.5947046618520342</v>
      </c>
      <c r="M56">
        <v>5.3673816521250099</v>
      </c>
    </row>
    <row r="57" spans="1:13" x14ac:dyDescent="0.4">
      <c r="A57">
        <f t="shared" ca="1" si="2"/>
        <v>3.0888923775767636</v>
      </c>
      <c r="B57" s="2">
        <f t="shared" ca="1" si="3"/>
        <v>4.4729235540616434</v>
      </c>
      <c r="L57">
        <v>4.5007126712014562</v>
      </c>
      <c r="M57">
        <v>5.5857165515641398</v>
      </c>
    </row>
    <row r="58" spans="1:13" x14ac:dyDescent="0.4">
      <c r="A58">
        <f t="shared" ca="1" si="2"/>
        <v>3.4653625278655973</v>
      </c>
      <c r="B58" s="2">
        <f t="shared" ca="1" si="3"/>
        <v>4.1765475071821312</v>
      </c>
      <c r="L58">
        <v>5.8441413786096934</v>
      </c>
      <c r="M58">
        <v>4.9031757282163291</v>
      </c>
    </row>
    <row r="59" spans="1:13" x14ac:dyDescent="0.4">
      <c r="A59">
        <f t="shared" ca="1" si="2"/>
        <v>3.2984007962459208</v>
      </c>
      <c r="B59" s="2">
        <f t="shared" ca="1" si="3"/>
        <v>4.7470766699376643</v>
      </c>
      <c r="L59">
        <v>3.7040697523803678</v>
      </c>
      <c r="M59">
        <v>5.5548045741473642</v>
      </c>
    </row>
    <row r="60" spans="1:13" x14ac:dyDescent="0.4">
      <c r="A60">
        <f t="shared" ca="1" si="2"/>
        <v>3.2392414150871449</v>
      </c>
      <c r="B60" s="2">
        <f t="shared" ca="1" si="3"/>
        <v>4.4639379429465365</v>
      </c>
      <c r="L60">
        <v>4.8666603312984602</v>
      </c>
      <c r="M60">
        <v>4.3998867158916664</v>
      </c>
    </row>
    <row r="61" spans="1:13" x14ac:dyDescent="0.4">
      <c r="A61">
        <f t="shared" ca="1" si="2"/>
        <v>1.6407383623483254</v>
      </c>
      <c r="B61" s="2">
        <f t="shared" ca="1" si="3"/>
        <v>4.4962966598092953</v>
      </c>
      <c r="L61">
        <v>5.690760157265693</v>
      </c>
      <c r="M61">
        <v>5.4037353671509827</v>
      </c>
    </row>
    <row r="62" spans="1:13" x14ac:dyDescent="0.4">
      <c r="A62">
        <f t="shared" ca="1" si="2"/>
        <v>4.5580199106319546</v>
      </c>
      <c r="B62" s="2">
        <f t="shared" ca="1" si="3"/>
        <v>4.0651607099729992</v>
      </c>
      <c r="L62">
        <v>3.9239310649462027</v>
      </c>
      <c r="M62">
        <v>5.4296906629040631</v>
      </c>
    </row>
    <row r="63" spans="1:13" x14ac:dyDescent="0.4">
      <c r="A63">
        <f t="shared" ca="1" si="2"/>
        <v>0.77921765768612206</v>
      </c>
      <c r="B63" s="2">
        <f t="shared" ca="1" si="3"/>
        <v>4.3875154756383399</v>
      </c>
      <c r="L63">
        <v>1.0476714014284783</v>
      </c>
      <c r="M63">
        <v>5.2764964355166724</v>
      </c>
    </row>
    <row r="64" spans="1:13" x14ac:dyDescent="0.4">
      <c r="A64">
        <f t="shared" ca="1" si="2"/>
        <v>2.8378894373372479</v>
      </c>
      <c r="B64" s="2">
        <f t="shared" ca="1" si="3"/>
        <v>4.3302216384845442</v>
      </c>
      <c r="L64">
        <v>3.7500746317336557</v>
      </c>
      <c r="M64">
        <v>5.3149254771725651</v>
      </c>
    </row>
    <row r="65" spans="1:13" x14ac:dyDescent="0.4">
      <c r="A65">
        <f t="shared" ca="1" si="2"/>
        <v>4.2994148971659794</v>
      </c>
      <c r="B65" s="2">
        <f t="shared" ca="1" si="3"/>
        <v>4.819833304795976</v>
      </c>
      <c r="L65">
        <v>2.9773436924462251</v>
      </c>
      <c r="M65">
        <v>4.6675492594917092</v>
      </c>
    </row>
    <row r="66" spans="1:13" x14ac:dyDescent="0.4">
      <c r="A66">
        <f t="shared" ca="1" si="2"/>
        <v>1.8068253262445866</v>
      </c>
      <c r="B66" s="2">
        <f t="shared" ca="1" si="3"/>
        <v>4.5884880715194445</v>
      </c>
      <c r="L66">
        <v>4.8695224389117273</v>
      </c>
      <c r="M66">
        <v>5.2994921823306207</v>
      </c>
    </row>
    <row r="67" spans="1:13" x14ac:dyDescent="0.4">
      <c r="A67">
        <f t="shared" ca="1" si="2"/>
        <v>2.612468818253463</v>
      </c>
      <c r="B67" s="2">
        <f t="shared" ca="1" si="3"/>
        <v>4.2953646255888795</v>
      </c>
      <c r="L67">
        <v>3.3158493610007511</v>
      </c>
      <c r="M67">
        <v>4.1669591069417731</v>
      </c>
    </row>
    <row r="68" spans="1:13" x14ac:dyDescent="0.4">
      <c r="A68">
        <f t="shared" ca="1" si="2"/>
        <v>4.0543303431767725</v>
      </c>
      <c r="B68" s="2">
        <f t="shared" ca="1" si="3"/>
        <v>4.3945242534554509</v>
      </c>
      <c r="L68">
        <v>2.8038383604856083</v>
      </c>
      <c r="M68">
        <v>4.773064946477219</v>
      </c>
    </row>
    <row r="69" spans="1:13" x14ac:dyDescent="0.4">
      <c r="A69">
        <f t="shared" ca="1" si="2"/>
        <v>4.357696525091888</v>
      </c>
      <c r="B69" s="2">
        <f t="shared" ca="1" si="3"/>
        <v>4.3740793607434636</v>
      </c>
      <c r="L69">
        <v>3.391467636750348</v>
      </c>
      <c r="M69">
        <v>5.5068521821170027</v>
      </c>
    </row>
    <row r="70" spans="1:13" x14ac:dyDescent="0.4">
      <c r="A70">
        <f t="shared" ca="1" si="2"/>
        <v>3.9881583431480134</v>
      </c>
      <c r="B70" s="2">
        <f t="shared" ca="1" si="3"/>
        <v>4.1706693715743386</v>
      </c>
      <c r="L70">
        <v>5.2252437771214266</v>
      </c>
      <c r="M70">
        <v>5.4807894224703908</v>
      </c>
    </row>
    <row r="71" spans="1:13" x14ac:dyDescent="0.4">
      <c r="A71">
        <f t="shared" ca="1" si="2"/>
        <v>2.1727403339439846</v>
      </c>
      <c r="B71" s="2">
        <f t="shared" ca="1" si="3"/>
        <v>4.4597312386075671</v>
      </c>
      <c r="L71">
        <v>3.3012565767240996</v>
      </c>
      <c r="M71">
        <v>4.9698876680393669</v>
      </c>
    </row>
    <row r="72" spans="1:13" x14ac:dyDescent="0.4">
      <c r="A72">
        <f t="shared" ca="1" si="2"/>
        <v>3.346523525040161</v>
      </c>
      <c r="B72" s="2">
        <f t="shared" ca="1" si="3"/>
        <v>4.3345119600417785</v>
      </c>
      <c r="L72">
        <v>3.9846169017417297</v>
      </c>
      <c r="M72">
        <v>5.3274293879534582</v>
      </c>
    </row>
    <row r="73" spans="1:13" x14ac:dyDescent="0.4">
      <c r="A73">
        <f t="shared" ref="A73:A108" ca="1" si="4">NORMINV(RAND(), A$2, A$3)</f>
        <v>3.749529201475724</v>
      </c>
      <c r="B73" s="2">
        <f t="shared" ref="B73:B108" ca="1" si="5">((NORMINV(RAND(), B$2, B$3)-2)*3)^(1/2)+2</f>
        <v>4.438512395023908</v>
      </c>
      <c r="L73">
        <v>4.0046274557978148</v>
      </c>
      <c r="M73">
        <v>4.4938689337592725</v>
      </c>
    </row>
    <row r="74" spans="1:13" x14ac:dyDescent="0.4">
      <c r="A74">
        <f t="shared" ca="1" si="4"/>
        <v>3.0859680398847491</v>
      </c>
      <c r="B74" s="2">
        <f t="shared" ca="1" si="5"/>
        <v>4.3716018993754115</v>
      </c>
      <c r="L74">
        <v>3.1266115735939177</v>
      </c>
      <c r="M74">
        <v>5.5526673804268807</v>
      </c>
    </row>
    <row r="75" spans="1:13" x14ac:dyDescent="0.4">
      <c r="A75">
        <f t="shared" ca="1" si="4"/>
        <v>1.5389488321465097</v>
      </c>
      <c r="B75" s="2">
        <f t="shared" ca="1" si="5"/>
        <v>4.1597124759223618</v>
      </c>
      <c r="L75">
        <v>4.4709409935652236</v>
      </c>
      <c r="M75">
        <v>5.2368165958216526</v>
      </c>
    </row>
    <row r="76" spans="1:13" x14ac:dyDescent="0.4">
      <c r="A76">
        <f t="shared" ca="1" si="4"/>
        <v>3.2692784676915951</v>
      </c>
      <c r="B76" s="2">
        <f t="shared" ca="1" si="5"/>
        <v>4.4154374484209082</v>
      </c>
      <c r="L76">
        <v>4.1915434579132338</v>
      </c>
      <c r="M76">
        <v>5.5736345017372351</v>
      </c>
    </row>
    <row r="77" spans="1:13" x14ac:dyDescent="0.4">
      <c r="A77">
        <f t="shared" ca="1" si="4"/>
        <v>4.0964923118767302</v>
      </c>
      <c r="B77" s="2">
        <f t="shared" ca="1" si="5"/>
        <v>4.5455045556617808</v>
      </c>
      <c r="L77">
        <v>4.6692338419145516</v>
      </c>
      <c r="M77">
        <v>5.1113781215318816</v>
      </c>
    </row>
    <row r="78" spans="1:13" x14ac:dyDescent="0.4">
      <c r="A78">
        <f t="shared" ca="1" si="4"/>
        <v>4.0388103404393467</v>
      </c>
      <c r="B78" s="2">
        <f t="shared" ca="1" si="5"/>
        <v>4.7530333844505988</v>
      </c>
      <c r="L78">
        <v>3.8358830581939687</v>
      </c>
      <c r="M78">
        <v>4.8048223828221213</v>
      </c>
    </row>
    <row r="79" spans="1:13" x14ac:dyDescent="0.4">
      <c r="A79">
        <f t="shared" ca="1" si="4"/>
        <v>3.7560965152252805</v>
      </c>
      <c r="B79" s="2">
        <f t="shared" ca="1" si="5"/>
        <v>5.0410488121863981</v>
      </c>
      <c r="L79">
        <v>4.3799592196540456</v>
      </c>
      <c r="M79">
        <v>5.3881807163655866</v>
      </c>
    </row>
    <row r="80" spans="1:13" x14ac:dyDescent="0.4">
      <c r="A80">
        <f t="shared" ca="1" si="4"/>
        <v>3.3323402845430508</v>
      </c>
      <c r="B80" s="2">
        <f t="shared" ca="1" si="5"/>
        <v>4.485700459623299</v>
      </c>
      <c r="L80">
        <v>3.4612655720672123</v>
      </c>
      <c r="M80">
        <v>5.6689234281546552</v>
      </c>
    </row>
    <row r="81" spans="1:13" x14ac:dyDescent="0.4">
      <c r="A81">
        <f t="shared" ca="1" si="4"/>
        <v>4.4574208192573872</v>
      </c>
      <c r="B81" s="2">
        <f t="shared" ca="1" si="5"/>
        <v>3.052271445337575</v>
      </c>
      <c r="L81">
        <v>3.7456355137560808</v>
      </c>
      <c r="M81">
        <v>5.576833593675687</v>
      </c>
    </row>
    <row r="82" spans="1:13" x14ac:dyDescent="0.4">
      <c r="A82">
        <f t="shared" ca="1" si="4"/>
        <v>3.7540740306921991</v>
      </c>
      <c r="B82" s="2">
        <f t="shared" ca="1" si="5"/>
        <v>3.9176774581875891</v>
      </c>
      <c r="L82">
        <v>3.9485636406853635</v>
      </c>
      <c r="M82">
        <v>5.5133487269345096</v>
      </c>
    </row>
    <row r="83" spans="1:13" x14ac:dyDescent="0.4">
      <c r="A83">
        <f t="shared" ca="1" si="4"/>
        <v>3.0028173974232089</v>
      </c>
      <c r="B83" s="2">
        <f t="shared" ca="1" si="5"/>
        <v>3.736032163065941</v>
      </c>
      <c r="L83">
        <v>2.4636999657348762</v>
      </c>
      <c r="M83">
        <v>4.3251573917230308</v>
      </c>
    </row>
    <row r="84" spans="1:13" x14ac:dyDescent="0.4">
      <c r="A84">
        <f t="shared" ca="1" si="4"/>
        <v>4.0125340534081673</v>
      </c>
      <c r="B84" s="2">
        <f t="shared" ca="1" si="5"/>
        <v>4.0134770125857626</v>
      </c>
      <c r="L84">
        <v>3.9881658216263287</v>
      </c>
      <c r="M84">
        <v>5.3463603264046728</v>
      </c>
    </row>
    <row r="85" spans="1:13" x14ac:dyDescent="0.4">
      <c r="A85">
        <f t="shared" ca="1" si="4"/>
        <v>3.8964641678197918</v>
      </c>
      <c r="B85" s="2">
        <f t="shared" ca="1" si="5"/>
        <v>4.6302838540088551</v>
      </c>
      <c r="L85">
        <v>3.1659468665183743</v>
      </c>
      <c r="M85">
        <v>5.5566428982357507</v>
      </c>
    </row>
    <row r="86" spans="1:13" x14ac:dyDescent="0.4">
      <c r="A86">
        <f t="shared" ca="1" si="4"/>
        <v>3.7147879144791882</v>
      </c>
      <c r="B86" s="2">
        <f t="shared" ca="1" si="5"/>
        <v>4.7397897767541686</v>
      </c>
      <c r="L86">
        <v>3.4102599710133976</v>
      </c>
      <c r="M86">
        <v>5.0543724088582085</v>
      </c>
    </row>
    <row r="87" spans="1:13" x14ac:dyDescent="0.4">
      <c r="A87">
        <f t="shared" ca="1" si="4"/>
        <v>1.8240878631693347</v>
      </c>
      <c r="B87" s="2">
        <f t="shared" ca="1" si="5"/>
        <v>4.2822206845742947</v>
      </c>
      <c r="L87">
        <v>2.1617104634665001</v>
      </c>
      <c r="M87">
        <v>5.1720421325114714</v>
      </c>
    </row>
    <row r="88" spans="1:13" x14ac:dyDescent="0.4">
      <c r="A88">
        <f t="shared" ca="1" si="4"/>
        <v>3.4437038634411401</v>
      </c>
      <c r="B88" s="2">
        <f t="shared" ca="1" si="5"/>
        <v>4.3884797432932654</v>
      </c>
      <c r="L88">
        <v>3.1784850424965363</v>
      </c>
      <c r="M88">
        <v>4.9663335287046451</v>
      </c>
    </row>
    <row r="89" spans="1:13" x14ac:dyDescent="0.4">
      <c r="A89">
        <f t="shared" ca="1" si="4"/>
        <v>4.1723967078879056</v>
      </c>
      <c r="B89" s="2">
        <f t="shared" ca="1" si="5"/>
        <v>4.2811715857187895</v>
      </c>
      <c r="L89">
        <v>2.3551166474216698</v>
      </c>
      <c r="M89">
        <v>5.2265233400566569</v>
      </c>
    </row>
    <row r="90" spans="1:13" x14ac:dyDescent="0.4">
      <c r="A90">
        <f t="shared" ca="1" si="4"/>
        <v>3.592262304494461</v>
      </c>
      <c r="B90" s="2">
        <f t="shared" ca="1" si="5"/>
        <v>4.4050218288595016</v>
      </c>
      <c r="L90">
        <v>3.135692267390187</v>
      </c>
      <c r="M90">
        <v>4.7394864431611179</v>
      </c>
    </row>
    <row r="91" spans="1:13" x14ac:dyDescent="0.4">
      <c r="A91">
        <f t="shared" ca="1" si="4"/>
        <v>3.8959658188448221</v>
      </c>
      <c r="B91" s="2">
        <f t="shared" ca="1" si="5"/>
        <v>4.9091173045134315</v>
      </c>
      <c r="L91">
        <v>3.6856008849425246</v>
      </c>
      <c r="M91">
        <v>5.5635082911383051</v>
      </c>
    </row>
    <row r="92" spans="1:13" x14ac:dyDescent="0.4">
      <c r="A92">
        <f t="shared" ca="1" si="4"/>
        <v>3.1497178568136333</v>
      </c>
      <c r="B92" s="2">
        <f t="shared" ca="1" si="5"/>
        <v>4.3450358119271657</v>
      </c>
      <c r="L92">
        <v>2.3100978434932085</v>
      </c>
      <c r="M92">
        <v>5.0556566370629241</v>
      </c>
    </row>
    <row r="93" spans="1:13" x14ac:dyDescent="0.4">
      <c r="A93">
        <f t="shared" ca="1" si="4"/>
        <v>2.8960231369052174</v>
      </c>
      <c r="B93" s="2">
        <f t="shared" ca="1" si="5"/>
        <v>4.0895656498339381</v>
      </c>
      <c r="L93">
        <v>4.3246068782927587</v>
      </c>
      <c r="M93">
        <v>5.1526847663058106</v>
      </c>
    </row>
    <row r="94" spans="1:13" x14ac:dyDescent="0.4">
      <c r="A94">
        <f t="shared" ca="1" si="4"/>
        <v>4.5054070564091502</v>
      </c>
      <c r="B94" s="2">
        <f t="shared" ca="1" si="5"/>
        <v>5.18271125467529</v>
      </c>
      <c r="L94">
        <v>3.6024397985348777</v>
      </c>
      <c r="M94">
        <v>4.5966714668922775</v>
      </c>
    </row>
    <row r="95" spans="1:13" x14ac:dyDescent="0.4">
      <c r="A95">
        <f t="shared" ca="1" si="4"/>
        <v>2.9112323748789017</v>
      </c>
      <c r="B95" s="2">
        <f t="shared" ca="1" si="5"/>
        <v>4.0465779252500544</v>
      </c>
      <c r="L95">
        <v>3.2123669898469043</v>
      </c>
      <c r="M95">
        <v>4.6448500115588134</v>
      </c>
    </row>
    <row r="96" spans="1:13" x14ac:dyDescent="0.4">
      <c r="A96">
        <f t="shared" ca="1" si="4"/>
        <v>3.2237541870489048</v>
      </c>
      <c r="B96" s="2">
        <f t="shared" ca="1" si="5"/>
        <v>4.6551140901267711</v>
      </c>
      <c r="L96">
        <v>2.5438686279122651</v>
      </c>
      <c r="M96">
        <v>5.5459401606374419</v>
      </c>
    </row>
    <row r="97" spans="1:14" x14ac:dyDescent="0.4">
      <c r="A97">
        <f t="shared" ca="1" si="4"/>
        <v>1.1553360637714414</v>
      </c>
      <c r="B97" s="2">
        <f t="shared" ca="1" si="5"/>
        <v>4.1639231132507639</v>
      </c>
      <c r="L97">
        <v>4.5830209964031106</v>
      </c>
      <c r="M97">
        <v>5.2521483722436351</v>
      </c>
    </row>
    <row r="98" spans="1:14" x14ac:dyDescent="0.4">
      <c r="A98">
        <f t="shared" ca="1" si="4"/>
        <v>2.987800247217399</v>
      </c>
      <c r="B98" s="2">
        <f t="shared" ca="1" si="5"/>
        <v>4.0992866076712051</v>
      </c>
      <c r="L98">
        <v>5.2776526542295503</v>
      </c>
      <c r="M98">
        <v>4.8832137360229773</v>
      </c>
    </row>
    <row r="99" spans="1:14" x14ac:dyDescent="0.4">
      <c r="A99">
        <f t="shared" ca="1" si="4"/>
        <v>4.1363804314858461</v>
      </c>
      <c r="B99" s="2">
        <f t="shared" ca="1" si="5"/>
        <v>3.6021624254411568</v>
      </c>
      <c r="L99">
        <v>1.7712625967524231</v>
      </c>
      <c r="M99">
        <v>5.3103719587498341</v>
      </c>
    </row>
    <row r="100" spans="1:14" x14ac:dyDescent="0.4">
      <c r="A100">
        <f t="shared" ca="1" si="4"/>
        <v>2.6550031210698442</v>
      </c>
      <c r="B100" s="2">
        <f t="shared" ca="1" si="5"/>
        <v>4.2823009579973164</v>
      </c>
      <c r="L100">
        <v>4.0483756789097676</v>
      </c>
      <c r="M100">
        <v>5.3742157285370187</v>
      </c>
    </row>
    <row r="101" spans="1:14" ht="19.5" thickBot="1" x14ac:dyDescent="0.45">
      <c r="A101">
        <f t="shared" ca="1" si="4"/>
        <v>2.595144613141986</v>
      </c>
      <c r="B101" s="2">
        <f t="shared" ca="1" si="5"/>
        <v>5.0990233186287313</v>
      </c>
      <c r="K101" s="1"/>
      <c r="L101" s="1">
        <v>4.8595810516261553</v>
      </c>
      <c r="M101" s="1">
        <v>5.0439412959594705</v>
      </c>
      <c r="N101" s="1"/>
    </row>
    <row r="102" spans="1:14" ht="19.5" thickTop="1" x14ac:dyDescent="0.4">
      <c r="A102">
        <f t="shared" ca="1" si="4"/>
        <v>1.221673795515146</v>
      </c>
      <c r="B102" s="2">
        <f t="shared" ca="1" si="5"/>
        <v>5.0397840335692159</v>
      </c>
      <c r="L102">
        <v>4.2954285294389321</v>
      </c>
      <c r="M102">
        <v>1.7698584085180376</v>
      </c>
    </row>
    <row r="103" spans="1:14" x14ac:dyDescent="0.4">
      <c r="A103">
        <f t="shared" ca="1" si="4"/>
        <v>2.0347236581516386</v>
      </c>
      <c r="B103" s="2">
        <f t="shared" ca="1" si="5"/>
        <v>4.4437477254624937</v>
      </c>
      <c r="L103">
        <v>3.8236899999533227</v>
      </c>
      <c r="M103">
        <v>0.73011511379885807</v>
      </c>
    </row>
    <row r="104" spans="1:14" x14ac:dyDescent="0.4">
      <c r="A104">
        <f t="shared" ca="1" si="4"/>
        <v>2.6902217526112127</v>
      </c>
      <c r="B104" s="2">
        <f t="shared" ca="1" si="5"/>
        <v>4.3196004260331247</v>
      </c>
      <c r="L104">
        <v>4.548335905704926</v>
      </c>
      <c r="M104">
        <v>0.87136862046099439</v>
      </c>
    </row>
    <row r="105" spans="1:14" x14ac:dyDescent="0.4">
      <c r="A105">
        <f t="shared" ca="1" si="4"/>
        <v>3.5922309397786281</v>
      </c>
      <c r="B105" s="2">
        <f t="shared" ca="1" si="5"/>
        <v>4.8230557964610936</v>
      </c>
      <c r="L105">
        <v>4.2127734735583662</v>
      </c>
      <c r="M105">
        <v>1.1035255383934321</v>
      </c>
    </row>
    <row r="106" spans="1:14" x14ac:dyDescent="0.4">
      <c r="A106">
        <f t="shared" ca="1" si="4"/>
        <v>2.2450051628558714</v>
      </c>
      <c r="B106" s="2">
        <f t="shared" ca="1" si="5"/>
        <v>4.50045825046349</v>
      </c>
      <c r="L106">
        <v>4.7609795097779442</v>
      </c>
      <c r="M106">
        <v>0.74431382445709271</v>
      </c>
    </row>
    <row r="107" spans="1:14" x14ac:dyDescent="0.4">
      <c r="A107">
        <f t="shared" ca="1" si="4"/>
        <v>2.2700536999701901</v>
      </c>
      <c r="B107" s="2">
        <f t="shared" ca="1" si="5"/>
        <v>4.4359411531572102</v>
      </c>
      <c r="L107">
        <v>5.0709087405374751</v>
      </c>
      <c r="M107">
        <v>1.2553587161146136</v>
      </c>
    </row>
    <row r="108" spans="1:14" ht="19.5" thickBot="1" x14ac:dyDescent="0.45">
      <c r="A108" s="1">
        <f t="shared" ca="1" si="4"/>
        <v>4.7527199862572083</v>
      </c>
      <c r="B108" s="1">
        <f t="shared" ca="1" si="5"/>
        <v>4.57017601358279</v>
      </c>
      <c r="C108" s="1"/>
      <c r="L108">
        <v>5.1774333177749234</v>
      </c>
      <c r="M108">
        <v>0.89581212510636643</v>
      </c>
    </row>
    <row r="109" spans="1:14" ht="19.5" thickTop="1" x14ac:dyDescent="0.4">
      <c r="A109">
        <f t="shared" ref="A109:A140" ca="1" si="6">NORMINV(RAND(), A$5, A$6)</f>
        <v>3.2200761155484656</v>
      </c>
      <c r="B109">
        <f t="shared" ref="B109:B140" ca="1" si="7">(NORMINV(RAND(), B$5, B$6))^2/3</f>
        <v>0.76581294265626887</v>
      </c>
      <c r="L109">
        <v>5.0279607172318839</v>
      </c>
      <c r="M109">
        <v>1.2621730571059422</v>
      </c>
    </row>
    <row r="110" spans="1:14" x14ac:dyDescent="0.4">
      <c r="A110">
        <f t="shared" ca="1" si="6"/>
        <v>3.9105170520271777</v>
      </c>
      <c r="B110">
        <f t="shared" ca="1" si="7"/>
        <v>0.43205071610583806</v>
      </c>
      <c r="L110">
        <v>4.7512015154229248</v>
      </c>
      <c r="M110">
        <v>3.227274600719813</v>
      </c>
    </row>
    <row r="111" spans="1:14" x14ac:dyDescent="0.4">
      <c r="A111">
        <f t="shared" ca="1" si="6"/>
        <v>4.2352788591894495</v>
      </c>
      <c r="B111">
        <f t="shared" ca="1" si="7"/>
        <v>1.6262986226018639</v>
      </c>
      <c r="L111">
        <v>4.6232123968546102</v>
      </c>
      <c r="M111">
        <v>1.190432341500866</v>
      </c>
    </row>
    <row r="112" spans="1:14" x14ac:dyDescent="0.4">
      <c r="A112">
        <f t="shared" ca="1" si="6"/>
        <v>4.6800268762972932</v>
      </c>
      <c r="B112">
        <f t="shared" ca="1" si="7"/>
        <v>1.796489827342499</v>
      </c>
      <c r="L112">
        <v>4.6831775143582073</v>
      </c>
      <c r="M112">
        <v>0.93733076505952517</v>
      </c>
    </row>
    <row r="113" spans="1:13" x14ac:dyDescent="0.4">
      <c r="A113">
        <f t="shared" ca="1" si="6"/>
        <v>4.3234491841900224</v>
      </c>
      <c r="B113">
        <f t="shared" ca="1" si="7"/>
        <v>1.27587920934278</v>
      </c>
      <c r="L113">
        <v>5.3209164346100604</v>
      </c>
      <c r="M113">
        <v>1.1548148620982608</v>
      </c>
    </row>
    <row r="114" spans="1:13" x14ac:dyDescent="0.4">
      <c r="A114">
        <f t="shared" ca="1" si="6"/>
        <v>4.4194747990919216</v>
      </c>
      <c r="B114">
        <f t="shared" ca="1" si="7"/>
        <v>1.1380255914238262</v>
      </c>
      <c r="L114">
        <v>5.0098392178123854</v>
      </c>
      <c r="M114">
        <v>1.1316914678937797</v>
      </c>
    </row>
    <row r="115" spans="1:13" x14ac:dyDescent="0.4">
      <c r="A115">
        <f t="shared" ca="1" si="6"/>
        <v>4.1312024258742994</v>
      </c>
      <c r="B115">
        <f t="shared" ca="1" si="7"/>
        <v>0.18750884317331606</v>
      </c>
      <c r="L115">
        <v>4.9566331404763488</v>
      </c>
      <c r="M115">
        <v>1.7354001016921561</v>
      </c>
    </row>
    <row r="116" spans="1:13" x14ac:dyDescent="0.4">
      <c r="A116">
        <f t="shared" ca="1" si="6"/>
        <v>4.4428361360912572</v>
      </c>
      <c r="B116">
        <f t="shared" ca="1" si="7"/>
        <v>1.890654528078942</v>
      </c>
      <c r="L116">
        <v>4.887282495572336</v>
      </c>
      <c r="M116">
        <v>2.5092394424874329</v>
      </c>
    </row>
    <row r="117" spans="1:13" x14ac:dyDescent="0.4">
      <c r="A117">
        <f t="shared" ca="1" si="6"/>
        <v>4.1325928713774074</v>
      </c>
      <c r="B117">
        <f t="shared" ca="1" si="7"/>
        <v>0.89613971740124565</v>
      </c>
      <c r="L117">
        <v>5.8102082952416119</v>
      </c>
      <c r="M117">
        <v>1.0496841875802569</v>
      </c>
    </row>
    <row r="118" spans="1:13" x14ac:dyDescent="0.4">
      <c r="A118">
        <f t="shared" ca="1" si="6"/>
        <v>4.8303052270440316</v>
      </c>
      <c r="B118">
        <f t="shared" ca="1" si="7"/>
        <v>0.71587732393504755</v>
      </c>
      <c r="L118">
        <v>4.8727146567444422</v>
      </c>
      <c r="M118">
        <v>3.9915265346145072</v>
      </c>
    </row>
    <row r="119" spans="1:13" x14ac:dyDescent="0.4">
      <c r="A119">
        <f t="shared" ca="1" si="6"/>
        <v>2.3156481118714538</v>
      </c>
      <c r="B119">
        <f t="shared" ca="1" si="7"/>
        <v>0.96974867397340148</v>
      </c>
      <c r="L119">
        <v>5.2061663958413309</v>
      </c>
      <c r="M119">
        <v>0.78963806235016909</v>
      </c>
    </row>
    <row r="120" spans="1:13" x14ac:dyDescent="0.4">
      <c r="A120">
        <f t="shared" ca="1" si="6"/>
        <v>3.607515318707601</v>
      </c>
      <c r="B120">
        <f t="shared" ca="1" si="7"/>
        <v>0.39864134214685482</v>
      </c>
      <c r="L120">
        <v>3.8421849008924607</v>
      </c>
      <c r="M120">
        <v>0.73468494805839113</v>
      </c>
    </row>
    <row r="121" spans="1:13" x14ac:dyDescent="0.4">
      <c r="A121">
        <f t="shared" ca="1" si="6"/>
        <v>4.4444560213426918</v>
      </c>
      <c r="B121">
        <f t="shared" ca="1" si="7"/>
        <v>1.0913947285713828</v>
      </c>
      <c r="L121">
        <v>5.8025539082546613</v>
      </c>
      <c r="M121">
        <v>1.9858044603115221</v>
      </c>
    </row>
    <row r="122" spans="1:13" x14ac:dyDescent="0.4">
      <c r="A122">
        <f t="shared" ca="1" si="6"/>
        <v>3.9346918918659806</v>
      </c>
      <c r="B122">
        <f t="shared" ca="1" si="7"/>
        <v>2.918051692198159</v>
      </c>
      <c r="L122">
        <v>5.6870350762949364</v>
      </c>
      <c r="M122">
        <v>0.41459384338149546</v>
      </c>
    </row>
    <row r="123" spans="1:13" x14ac:dyDescent="0.4">
      <c r="A123">
        <f t="shared" ca="1" si="6"/>
        <v>2.9839175138977474</v>
      </c>
      <c r="B123">
        <f t="shared" ca="1" si="7"/>
        <v>1.5988499751457372</v>
      </c>
      <c r="L123">
        <v>5.6282413961455413</v>
      </c>
      <c r="M123">
        <v>2.9414787076910791</v>
      </c>
    </row>
    <row r="124" spans="1:13" x14ac:dyDescent="0.4">
      <c r="A124">
        <f t="shared" ca="1" si="6"/>
        <v>4.5793911482997212</v>
      </c>
      <c r="B124">
        <f t="shared" ca="1" si="7"/>
        <v>0.9477920845775184</v>
      </c>
      <c r="L124">
        <v>4.9234374976274111</v>
      </c>
      <c r="M124">
        <v>0.72936407879984877</v>
      </c>
    </row>
    <row r="125" spans="1:13" x14ac:dyDescent="0.4">
      <c r="A125">
        <f t="shared" ca="1" si="6"/>
        <v>4.3450419485773795</v>
      </c>
      <c r="B125">
        <f t="shared" ca="1" si="7"/>
        <v>0.35811355076545931</v>
      </c>
      <c r="L125">
        <v>4.9731401419569963</v>
      </c>
      <c r="M125">
        <v>1.7275315305600198</v>
      </c>
    </row>
    <row r="126" spans="1:13" x14ac:dyDescent="0.4">
      <c r="A126">
        <f t="shared" ca="1" si="6"/>
        <v>2.4827862369603686</v>
      </c>
      <c r="B126">
        <f t="shared" ca="1" si="7"/>
        <v>2.3440780408459694</v>
      </c>
      <c r="L126">
        <v>4.9057529084807312</v>
      </c>
      <c r="M126">
        <v>1.1538325669990817</v>
      </c>
    </row>
    <row r="127" spans="1:13" x14ac:dyDescent="0.4">
      <c r="A127">
        <f t="shared" ca="1" si="6"/>
        <v>4.0059988885010069</v>
      </c>
      <c r="B127">
        <f t="shared" ca="1" si="7"/>
        <v>3.500550894919201</v>
      </c>
      <c r="L127">
        <v>4.3626089654405584</v>
      </c>
      <c r="M127">
        <v>1.0117578200422213</v>
      </c>
    </row>
    <row r="128" spans="1:13" x14ac:dyDescent="0.4">
      <c r="A128">
        <f t="shared" ca="1" si="6"/>
        <v>3.7334653507427054</v>
      </c>
      <c r="B128">
        <f t="shared" ca="1" si="7"/>
        <v>1.9967205419211969</v>
      </c>
      <c r="L128">
        <v>5.2940179763373418</v>
      </c>
      <c r="M128">
        <v>2.276808521745425</v>
      </c>
    </row>
    <row r="129" spans="1:13" x14ac:dyDescent="0.4">
      <c r="A129">
        <f t="shared" ca="1" si="6"/>
        <v>3.5431752533418068</v>
      </c>
      <c r="B129">
        <f t="shared" ca="1" si="7"/>
        <v>2.3259188365518213</v>
      </c>
      <c r="L129">
        <v>4.7675598197462099</v>
      </c>
      <c r="M129">
        <v>1.4978031230435549</v>
      </c>
    </row>
    <row r="130" spans="1:13" x14ac:dyDescent="0.4">
      <c r="A130">
        <f t="shared" ca="1" si="6"/>
        <v>3.9562470849947746</v>
      </c>
      <c r="B130">
        <f t="shared" ca="1" si="7"/>
        <v>1.528824306856297</v>
      </c>
      <c r="L130">
        <v>4.7298942474429539</v>
      </c>
      <c r="M130">
        <v>2.255728830289589</v>
      </c>
    </row>
    <row r="131" spans="1:13" x14ac:dyDescent="0.4">
      <c r="A131">
        <f t="shared" ca="1" si="6"/>
        <v>3.1661360828495164</v>
      </c>
      <c r="B131">
        <f t="shared" ca="1" si="7"/>
        <v>1.298938407436429</v>
      </c>
      <c r="L131">
        <v>5.1757556624429029</v>
      </c>
      <c r="M131">
        <v>1.0264597663976975</v>
      </c>
    </row>
    <row r="132" spans="1:13" x14ac:dyDescent="0.4">
      <c r="A132">
        <f t="shared" ca="1" si="6"/>
        <v>4.3004051242043513</v>
      </c>
      <c r="B132">
        <f t="shared" ca="1" si="7"/>
        <v>2.1887885911715732</v>
      </c>
      <c r="L132">
        <v>4.5406271898056705</v>
      </c>
      <c r="M132">
        <v>0.5670774339819793</v>
      </c>
    </row>
    <row r="133" spans="1:13" x14ac:dyDescent="0.4">
      <c r="A133">
        <f t="shared" ca="1" si="6"/>
        <v>3.8691407892789118</v>
      </c>
      <c r="B133">
        <f t="shared" ca="1" si="7"/>
        <v>1.806098808353797</v>
      </c>
      <c r="L133">
        <v>5.1741066626249417</v>
      </c>
      <c r="M133">
        <v>1.1104911788099618</v>
      </c>
    </row>
    <row r="134" spans="1:13" x14ac:dyDescent="0.4">
      <c r="A134">
        <f t="shared" ca="1" si="6"/>
        <v>3.3967688110064005</v>
      </c>
      <c r="B134">
        <f t="shared" ca="1" si="7"/>
        <v>0.53241035303798723</v>
      </c>
      <c r="L134">
        <v>4.9727527470696584</v>
      </c>
      <c r="M134">
        <v>2.1991019464553938</v>
      </c>
    </row>
    <row r="135" spans="1:13" x14ac:dyDescent="0.4">
      <c r="A135">
        <f t="shared" ca="1" si="6"/>
        <v>4.5990060139738604</v>
      </c>
      <c r="B135">
        <f t="shared" ca="1" si="7"/>
        <v>1.0627538551932354</v>
      </c>
      <c r="L135">
        <v>4.8374080597217848</v>
      </c>
      <c r="M135">
        <v>1.78140528976323</v>
      </c>
    </row>
    <row r="136" spans="1:13" x14ac:dyDescent="0.4">
      <c r="A136">
        <f t="shared" ca="1" si="6"/>
        <v>4.1298479300921072</v>
      </c>
      <c r="B136">
        <f t="shared" ca="1" si="7"/>
        <v>1.6338565924467174</v>
      </c>
      <c r="L136">
        <v>5.6516927645593924</v>
      </c>
      <c r="M136">
        <v>0.52594596888662404</v>
      </c>
    </row>
    <row r="137" spans="1:13" x14ac:dyDescent="0.4">
      <c r="A137">
        <f t="shared" ca="1" si="6"/>
        <v>3.7352898721072529</v>
      </c>
      <c r="B137">
        <f t="shared" ca="1" si="7"/>
        <v>0.39766449085407068</v>
      </c>
      <c r="L137">
        <v>4.9177352327340556</v>
      </c>
      <c r="M137">
        <v>0.62589147630703346</v>
      </c>
    </row>
    <row r="138" spans="1:13" x14ac:dyDescent="0.4">
      <c r="A138">
        <f t="shared" ca="1" si="6"/>
        <v>3.3046412772512732</v>
      </c>
      <c r="B138">
        <f t="shared" ca="1" si="7"/>
        <v>0.9573669121101146</v>
      </c>
      <c r="L138">
        <v>4.4834521398185307</v>
      </c>
      <c r="M138">
        <v>1.4350006858650117</v>
      </c>
    </row>
    <row r="139" spans="1:13" x14ac:dyDescent="0.4">
      <c r="A139">
        <f t="shared" ca="1" si="6"/>
        <v>3.0628808062730353</v>
      </c>
      <c r="B139">
        <f t="shared" ca="1" si="7"/>
        <v>0.52971644316097188</v>
      </c>
      <c r="L139">
        <v>4.8783873243322518</v>
      </c>
      <c r="M139">
        <v>1.1836280958645526</v>
      </c>
    </row>
    <row r="140" spans="1:13" x14ac:dyDescent="0.4">
      <c r="A140">
        <f t="shared" ca="1" si="6"/>
        <v>3.7813987686438426</v>
      </c>
      <c r="B140">
        <f t="shared" ca="1" si="7"/>
        <v>1.488685173042489</v>
      </c>
      <c r="L140">
        <v>5.8134858861555632</v>
      </c>
      <c r="M140">
        <v>0.79775963043097475</v>
      </c>
    </row>
    <row r="141" spans="1:13" x14ac:dyDescent="0.4">
      <c r="A141">
        <f t="shared" ref="A141:A172" ca="1" si="8">NORMINV(RAND(), A$5, A$6)</f>
        <v>4.0714079102826846</v>
      </c>
      <c r="B141">
        <f t="shared" ref="B141:B172" ca="1" si="9">(NORMINV(RAND(), B$5, B$6))^2/3</f>
        <v>1.527119867423113</v>
      </c>
      <c r="L141">
        <v>4.5928582455679825</v>
      </c>
      <c r="M141">
        <v>0.9419460975659395</v>
      </c>
    </row>
    <row r="142" spans="1:13" x14ac:dyDescent="0.4">
      <c r="A142">
        <f t="shared" ca="1" si="8"/>
        <v>5.1536271266000746</v>
      </c>
      <c r="B142">
        <f t="shared" ca="1" si="9"/>
        <v>1.0684682597511446</v>
      </c>
      <c r="L142">
        <v>4.7210475280071718</v>
      </c>
      <c r="M142">
        <v>3.2655827468444323</v>
      </c>
    </row>
    <row r="143" spans="1:13" x14ac:dyDescent="0.4">
      <c r="A143">
        <f t="shared" ca="1" si="8"/>
        <v>3.3776448501640104</v>
      </c>
      <c r="B143">
        <f t="shared" ca="1" si="9"/>
        <v>2.8986941586533206</v>
      </c>
      <c r="L143">
        <v>5.5646406369321095</v>
      </c>
      <c r="M143">
        <v>1.9470273077007292</v>
      </c>
    </row>
    <row r="144" spans="1:13" x14ac:dyDescent="0.4">
      <c r="A144">
        <f t="shared" ca="1" si="8"/>
        <v>4.4097588499206237</v>
      </c>
      <c r="B144">
        <f t="shared" ca="1" si="9"/>
        <v>2.5693229177737118</v>
      </c>
      <c r="L144">
        <v>5.2385659428674742</v>
      </c>
      <c r="M144">
        <v>3.5443713349145818</v>
      </c>
    </row>
    <row r="145" spans="1:13" x14ac:dyDescent="0.4">
      <c r="A145">
        <f t="shared" ca="1" si="8"/>
        <v>4.7480303402487607</v>
      </c>
      <c r="B145">
        <f t="shared" ca="1" si="9"/>
        <v>0.73984213922080633</v>
      </c>
      <c r="L145">
        <v>4.9959874683193091</v>
      </c>
      <c r="M145">
        <v>0.55519237503089436</v>
      </c>
    </row>
    <row r="146" spans="1:13" x14ac:dyDescent="0.4">
      <c r="A146">
        <f t="shared" ca="1" si="8"/>
        <v>4.3851856233875335</v>
      </c>
      <c r="B146">
        <f t="shared" ca="1" si="9"/>
        <v>0.35085309996364167</v>
      </c>
      <c r="L146">
        <v>4.7194784259971669</v>
      </c>
      <c r="M146">
        <v>1.0328697634674853</v>
      </c>
    </row>
    <row r="147" spans="1:13" x14ac:dyDescent="0.4">
      <c r="A147">
        <f t="shared" ca="1" si="8"/>
        <v>4.1991154676046598</v>
      </c>
      <c r="B147">
        <f t="shared" ca="1" si="9"/>
        <v>1.6145813637963979</v>
      </c>
      <c r="L147">
        <v>4.891782652656854</v>
      </c>
      <c r="M147">
        <v>2.4727455219448458</v>
      </c>
    </row>
    <row r="148" spans="1:13" x14ac:dyDescent="0.4">
      <c r="A148">
        <f t="shared" ca="1" si="8"/>
        <v>3.9635127196475595</v>
      </c>
      <c r="B148">
        <f t="shared" ca="1" si="9"/>
        <v>1.4198183422147717</v>
      </c>
      <c r="L148">
        <v>5.4676236143634291</v>
      </c>
      <c r="M148">
        <v>0.55449655763868577</v>
      </c>
    </row>
    <row r="149" spans="1:13" x14ac:dyDescent="0.4">
      <c r="A149">
        <f t="shared" ca="1" si="8"/>
        <v>5.1349705101502803</v>
      </c>
      <c r="B149">
        <f t="shared" ca="1" si="9"/>
        <v>0.95903824089926604</v>
      </c>
      <c r="L149">
        <v>4.5483010316490793</v>
      </c>
      <c r="M149">
        <v>1.4189522633495493</v>
      </c>
    </row>
    <row r="150" spans="1:13" x14ac:dyDescent="0.4">
      <c r="A150">
        <f t="shared" ca="1" si="8"/>
        <v>4.8116515263959023</v>
      </c>
      <c r="B150">
        <f t="shared" ca="1" si="9"/>
        <v>0.97584741988681334</v>
      </c>
      <c r="L150">
        <v>5.2542182854862025</v>
      </c>
      <c r="M150">
        <v>0.29261630104435565</v>
      </c>
    </row>
    <row r="151" spans="1:13" x14ac:dyDescent="0.4">
      <c r="A151">
        <f t="shared" ca="1" si="8"/>
        <v>4.1698833456588655</v>
      </c>
      <c r="B151">
        <f t="shared" ca="1" si="9"/>
        <v>0.81618143745001459</v>
      </c>
      <c r="L151">
        <v>4.5836125271516064</v>
      </c>
      <c r="M151">
        <v>2.0335288079615781</v>
      </c>
    </row>
    <row r="152" spans="1:13" x14ac:dyDescent="0.4">
      <c r="A152">
        <f t="shared" ca="1" si="8"/>
        <v>4.2203201621334205</v>
      </c>
      <c r="B152">
        <f t="shared" ca="1" si="9"/>
        <v>1.2082027712032146</v>
      </c>
      <c r="L152">
        <v>4.7443523153019473</v>
      </c>
      <c r="M152">
        <v>1.3207626433569748</v>
      </c>
    </row>
    <row r="153" spans="1:13" x14ac:dyDescent="0.4">
      <c r="A153">
        <f t="shared" ca="1" si="8"/>
        <v>4.354870300334869</v>
      </c>
      <c r="B153">
        <f t="shared" ca="1" si="9"/>
        <v>0.72625814147104295</v>
      </c>
      <c r="L153">
        <v>5.0335257107722811</v>
      </c>
      <c r="M153">
        <v>1.6094413809692725</v>
      </c>
    </row>
    <row r="154" spans="1:13" x14ac:dyDescent="0.4">
      <c r="A154">
        <f t="shared" ca="1" si="8"/>
        <v>4.5949633609304037</v>
      </c>
      <c r="B154">
        <f t="shared" ca="1" si="9"/>
        <v>1.4237804047394975</v>
      </c>
      <c r="L154">
        <v>4.2507426615341606</v>
      </c>
      <c r="M154">
        <v>2.434441919189076</v>
      </c>
    </row>
    <row r="155" spans="1:13" x14ac:dyDescent="0.4">
      <c r="A155">
        <f t="shared" ca="1" si="8"/>
        <v>3.7019928857879232</v>
      </c>
      <c r="B155">
        <f t="shared" ca="1" si="9"/>
        <v>1.4923386216739256</v>
      </c>
      <c r="L155">
        <v>4.818640252330666</v>
      </c>
      <c r="M155">
        <v>2.9196607342830165</v>
      </c>
    </row>
    <row r="156" spans="1:13" x14ac:dyDescent="0.4">
      <c r="A156">
        <f t="shared" ca="1" si="8"/>
        <v>4.2484389196536831</v>
      </c>
      <c r="B156">
        <f t="shared" ca="1" si="9"/>
        <v>2.7748073324607865</v>
      </c>
      <c r="L156">
        <v>5.0901481301630556</v>
      </c>
      <c r="M156">
        <v>2.1728370244794029</v>
      </c>
    </row>
    <row r="157" spans="1:13" x14ac:dyDescent="0.4">
      <c r="A157">
        <f t="shared" ca="1" si="8"/>
        <v>3.2086443861825762</v>
      </c>
      <c r="B157">
        <f t="shared" ca="1" si="9"/>
        <v>0.22570377521884641</v>
      </c>
      <c r="L157">
        <v>5.1460570843228632</v>
      </c>
      <c r="M157">
        <v>1.1844845948826304</v>
      </c>
    </row>
    <row r="158" spans="1:13" x14ac:dyDescent="0.4">
      <c r="A158">
        <f t="shared" ca="1" si="8"/>
        <v>5.2024821854590337</v>
      </c>
      <c r="B158">
        <f t="shared" ca="1" si="9"/>
        <v>1.0019168403392953</v>
      </c>
      <c r="L158">
        <v>4.8702709031360945</v>
      </c>
      <c r="M158">
        <v>1.1720720921523435</v>
      </c>
    </row>
    <row r="159" spans="1:13" x14ac:dyDescent="0.4">
      <c r="A159">
        <f t="shared" ca="1" si="8"/>
        <v>4.3739427946446998</v>
      </c>
      <c r="B159">
        <f t="shared" ca="1" si="9"/>
        <v>0.97112022970813261</v>
      </c>
      <c r="L159">
        <v>4.7791520494415076</v>
      </c>
      <c r="M159">
        <v>1.5410522481465823</v>
      </c>
    </row>
    <row r="160" spans="1:13" x14ac:dyDescent="0.4">
      <c r="A160">
        <f t="shared" ca="1" si="8"/>
        <v>4.256159852503262</v>
      </c>
      <c r="B160">
        <f t="shared" ca="1" si="9"/>
        <v>0.30400000162485324</v>
      </c>
      <c r="L160">
        <v>4.727360335064474</v>
      </c>
      <c r="M160">
        <v>0.86636419793745656</v>
      </c>
    </row>
    <row r="161" spans="1:13" x14ac:dyDescent="0.4">
      <c r="A161">
        <f t="shared" ca="1" si="8"/>
        <v>3.5357124260096078</v>
      </c>
      <c r="B161">
        <f t="shared" ca="1" si="9"/>
        <v>0.83313259165056941</v>
      </c>
      <c r="L161">
        <v>4.5423902170914037</v>
      </c>
      <c r="M161">
        <v>1.2112659278581199</v>
      </c>
    </row>
    <row r="162" spans="1:13" x14ac:dyDescent="0.4">
      <c r="A162">
        <f t="shared" ca="1" si="8"/>
        <v>3.5655578368628076</v>
      </c>
      <c r="B162">
        <f t="shared" ca="1" si="9"/>
        <v>3.1524825402117655</v>
      </c>
      <c r="L162">
        <v>4.6848641536098157</v>
      </c>
      <c r="M162">
        <v>1.5080509150603252</v>
      </c>
    </row>
    <row r="163" spans="1:13" x14ac:dyDescent="0.4">
      <c r="A163">
        <f t="shared" ca="1" si="8"/>
        <v>3.9576006850720291</v>
      </c>
      <c r="B163">
        <f t="shared" ca="1" si="9"/>
        <v>0.53846753935113634</v>
      </c>
      <c r="L163">
        <v>5.075625279153142</v>
      </c>
      <c r="M163">
        <v>1.9690337764525907</v>
      </c>
    </row>
    <row r="164" spans="1:13" x14ac:dyDescent="0.4">
      <c r="A164">
        <f t="shared" ca="1" si="8"/>
        <v>3.861290776203218</v>
      </c>
      <c r="B164">
        <f t="shared" ca="1" si="9"/>
        <v>1.1618309712065653</v>
      </c>
      <c r="L164">
        <v>4.5189525531651871</v>
      </c>
      <c r="M164">
        <v>1.6447992084491927</v>
      </c>
    </row>
    <row r="165" spans="1:13" x14ac:dyDescent="0.4">
      <c r="A165">
        <f t="shared" ca="1" si="8"/>
        <v>4.2110093450027248</v>
      </c>
      <c r="B165">
        <f t="shared" ca="1" si="9"/>
        <v>0.95454544977282429</v>
      </c>
      <c r="L165">
        <v>5.3595668614817162</v>
      </c>
      <c r="M165">
        <v>1.287602353602</v>
      </c>
    </row>
    <row r="166" spans="1:13" x14ac:dyDescent="0.4">
      <c r="A166">
        <f t="shared" ca="1" si="8"/>
        <v>3.8793808345972081</v>
      </c>
      <c r="B166">
        <f t="shared" ca="1" si="9"/>
        <v>3.0996042945724072</v>
      </c>
      <c r="L166">
        <v>4.2963056433408902</v>
      </c>
      <c r="M166">
        <v>1.9952234379924245</v>
      </c>
    </row>
    <row r="167" spans="1:13" x14ac:dyDescent="0.4">
      <c r="A167">
        <f t="shared" ca="1" si="8"/>
        <v>3.089162372228754</v>
      </c>
      <c r="B167">
        <f t="shared" ca="1" si="9"/>
        <v>2.3607860845186281</v>
      </c>
      <c r="L167">
        <v>4.9094478334560492</v>
      </c>
      <c r="M167">
        <v>1.3860883955895706</v>
      </c>
    </row>
    <row r="168" spans="1:13" x14ac:dyDescent="0.4">
      <c r="A168">
        <f t="shared" ca="1" si="8"/>
        <v>3.9854687718918611</v>
      </c>
      <c r="B168">
        <f t="shared" ca="1" si="9"/>
        <v>1.474770549258908</v>
      </c>
      <c r="L168">
        <v>5.2963544631756099</v>
      </c>
      <c r="M168">
        <v>6.9252028218394601E-2</v>
      </c>
    </row>
    <row r="169" spans="1:13" x14ac:dyDescent="0.4">
      <c r="A169">
        <f t="shared" ca="1" si="8"/>
        <v>4.0753627978883555</v>
      </c>
      <c r="B169">
        <f t="shared" ca="1" si="9"/>
        <v>0.75002794124057948</v>
      </c>
      <c r="L169">
        <v>4.587328686790344</v>
      </c>
      <c r="M169">
        <v>1.8810787444561992</v>
      </c>
    </row>
    <row r="170" spans="1:13" x14ac:dyDescent="0.4">
      <c r="A170">
        <f t="shared" ca="1" si="8"/>
        <v>3.9304734090613067</v>
      </c>
      <c r="B170">
        <f t="shared" ca="1" si="9"/>
        <v>0.50602924806727034</v>
      </c>
      <c r="L170">
        <v>4.8191540210160131</v>
      </c>
      <c r="M170">
        <v>0.18046274841553323</v>
      </c>
    </row>
    <row r="171" spans="1:13" x14ac:dyDescent="0.4">
      <c r="A171">
        <f t="shared" ca="1" si="8"/>
        <v>4.4789809801626621</v>
      </c>
      <c r="B171">
        <f t="shared" ca="1" si="9"/>
        <v>0.88576018133048484</v>
      </c>
      <c r="L171">
        <v>4.8588425289932164</v>
      </c>
      <c r="M171">
        <v>3.3058089943696225</v>
      </c>
    </row>
    <row r="172" spans="1:13" x14ac:dyDescent="0.4">
      <c r="A172">
        <f t="shared" ca="1" si="8"/>
        <v>4.2810637085572321</v>
      </c>
      <c r="B172">
        <f t="shared" ca="1" si="9"/>
        <v>3.5618106743257916</v>
      </c>
      <c r="L172">
        <v>5.0634578695559336</v>
      </c>
      <c r="M172">
        <v>0.94701374017944751</v>
      </c>
    </row>
    <row r="173" spans="1:13" x14ac:dyDescent="0.4">
      <c r="A173">
        <f t="shared" ref="A173:A208" ca="1" si="10">NORMINV(RAND(), A$5, A$6)</f>
        <v>2.9906481721857481</v>
      </c>
      <c r="B173">
        <f t="shared" ref="B173:B208" ca="1" si="11">(NORMINV(RAND(), B$5, B$6))^2/3</f>
        <v>2.0968048039236753</v>
      </c>
      <c r="L173">
        <v>5.0088440870148396</v>
      </c>
      <c r="M173">
        <v>0.98639266580307361</v>
      </c>
    </row>
    <row r="174" spans="1:13" x14ac:dyDescent="0.4">
      <c r="A174">
        <f t="shared" ca="1" si="10"/>
        <v>4.0672140062894577</v>
      </c>
      <c r="B174">
        <f t="shared" ca="1" si="11"/>
        <v>1.4010747804871546</v>
      </c>
      <c r="L174">
        <v>5.1911671407060895</v>
      </c>
      <c r="M174">
        <v>1.3610063745956491</v>
      </c>
    </row>
    <row r="175" spans="1:13" x14ac:dyDescent="0.4">
      <c r="A175">
        <f t="shared" ca="1" si="10"/>
        <v>3.5299624207334248</v>
      </c>
      <c r="B175">
        <f t="shared" ca="1" si="11"/>
        <v>1.2303046313105044</v>
      </c>
      <c r="L175">
        <v>5.08907295804112</v>
      </c>
      <c r="M175">
        <v>0.44161984791912201</v>
      </c>
    </row>
    <row r="176" spans="1:13" x14ac:dyDescent="0.4">
      <c r="A176">
        <f t="shared" ca="1" si="10"/>
        <v>3.7788967659280233</v>
      </c>
      <c r="B176">
        <f t="shared" ca="1" si="11"/>
        <v>1.017617488393155</v>
      </c>
      <c r="L176">
        <v>5.05335928378903</v>
      </c>
      <c r="M176">
        <v>1.273159959870257</v>
      </c>
    </row>
    <row r="177" spans="1:13" x14ac:dyDescent="0.4">
      <c r="A177">
        <f t="shared" ca="1" si="10"/>
        <v>4.5573197338437161</v>
      </c>
      <c r="B177">
        <f t="shared" ca="1" si="11"/>
        <v>1.1226348289568724</v>
      </c>
      <c r="L177">
        <v>5.0092611421923374</v>
      </c>
      <c r="M177">
        <v>1.9727522612134878</v>
      </c>
    </row>
    <row r="178" spans="1:13" x14ac:dyDescent="0.4">
      <c r="A178">
        <f t="shared" ca="1" si="10"/>
        <v>4.0918522423446708</v>
      </c>
      <c r="B178">
        <f t="shared" ca="1" si="11"/>
        <v>1.474196843024105</v>
      </c>
      <c r="L178">
        <v>5.6527692738769577</v>
      </c>
      <c r="M178">
        <v>3.2330335145614075</v>
      </c>
    </row>
    <row r="179" spans="1:13" x14ac:dyDescent="0.4">
      <c r="A179">
        <f t="shared" ca="1" si="10"/>
        <v>4.3839488845059789</v>
      </c>
      <c r="B179">
        <f t="shared" ca="1" si="11"/>
        <v>1.1453624674932548</v>
      </c>
      <c r="L179">
        <v>5.1404069534009187</v>
      </c>
      <c r="M179">
        <v>2.1500415678785409</v>
      </c>
    </row>
    <row r="180" spans="1:13" x14ac:dyDescent="0.4">
      <c r="A180">
        <f t="shared" ca="1" si="10"/>
        <v>4.7358285983369237</v>
      </c>
      <c r="B180">
        <f t="shared" ca="1" si="11"/>
        <v>2.3933100449809208</v>
      </c>
      <c r="L180">
        <v>4.3676328948235934</v>
      </c>
      <c r="M180">
        <v>2.3462990938064165</v>
      </c>
    </row>
    <row r="181" spans="1:13" x14ac:dyDescent="0.4">
      <c r="A181">
        <f t="shared" ca="1" si="10"/>
        <v>4.1898738163553588</v>
      </c>
      <c r="B181">
        <f t="shared" ca="1" si="11"/>
        <v>0.7722104373383355</v>
      </c>
      <c r="L181">
        <v>4.7384531649689459</v>
      </c>
      <c r="M181">
        <v>1.1295970742905961</v>
      </c>
    </row>
    <row r="182" spans="1:13" x14ac:dyDescent="0.4">
      <c r="A182">
        <f t="shared" ca="1" si="10"/>
        <v>4.5051002244654006</v>
      </c>
      <c r="B182">
        <f t="shared" ca="1" si="11"/>
        <v>1.3808649089714786</v>
      </c>
      <c r="L182">
        <v>4.1938020023414202</v>
      </c>
      <c r="M182">
        <v>1.9700584156151895</v>
      </c>
    </row>
    <row r="183" spans="1:13" x14ac:dyDescent="0.4">
      <c r="A183">
        <f t="shared" ca="1" si="10"/>
        <v>4.1301278878850445</v>
      </c>
      <c r="B183">
        <f t="shared" ca="1" si="11"/>
        <v>1.4435938784261948</v>
      </c>
      <c r="L183">
        <v>4.7032003530294473</v>
      </c>
      <c r="M183">
        <v>0.49678524192391255</v>
      </c>
    </row>
    <row r="184" spans="1:13" x14ac:dyDescent="0.4">
      <c r="A184">
        <f t="shared" ca="1" si="10"/>
        <v>4.1109031109084526</v>
      </c>
      <c r="B184">
        <f t="shared" ca="1" si="11"/>
        <v>2.4428773807130311</v>
      </c>
      <c r="L184">
        <v>4.5366617266830378</v>
      </c>
      <c r="M184">
        <v>1.1147816147882501</v>
      </c>
    </row>
    <row r="185" spans="1:13" x14ac:dyDescent="0.4">
      <c r="A185">
        <f t="shared" ca="1" si="10"/>
        <v>3.6752302364130043</v>
      </c>
      <c r="B185">
        <f t="shared" ca="1" si="11"/>
        <v>0.78326360142067741</v>
      </c>
      <c r="L185">
        <v>3.8200895949531786</v>
      </c>
      <c r="M185">
        <v>0.79433685260889086</v>
      </c>
    </row>
    <row r="186" spans="1:13" x14ac:dyDescent="0.4">
      <c r="A186">
        <f t="shared" ca="1" si="10"/>
        <v>3.8354065438492309</v>
      </c>
      <c r="B186">
        <f t="shared" ca="1" si="11"/>
        <v>1.6695604659014023</v>
      </c>
      <c r="L186">
        <v>3.8579506560583647</v>
      </c>
      <c r="M186">
        <v>0.29873357460087901</v>
      </c>
    </row>
    <row r="187" spans="1:13" x14ac:dyDescent="0.4">
      <c r="A187">
        <f t="shared" ca="1" si="10"/>
        <v>3.1498316875910368</v>
      </c>
      <c r="B187">
        <f t="shared" ca="1" si="11"/>
        <v>1.3464020544805217</v>
      </c>
      <c r="L187">
        <v>4.9515676613681876</v>
      </c>
      <c r="M187">
        <v>1.9287390551243824</v>
      </c>
    </row>
    <row r="188" spans="1:13" x14ac:dyDescent="0.4">
      <c r="A188">
        <f t="shared" ca="1" si="10"/>
        <v>3.1552964233871634</v>
      </c>
      <c r="B188">
        <f t="shared" ca="1" si="11"/>
        <v>3.2178544784280931</v>
      </c>
      <c r="L188">
        <v>5.5869883879603677</v>
      </c>
      <c r="M188">
        <v>2.643158265299693</v>
      </c>
    </row>
    <row r="189" spans="1:13" x14ac:dyDescent="0.4">
      <c r="A189">
        <f t="shared" ca="1" si="10"/>
        <v>3.6864833528699275</v>
      </c>
      <c r="B189">
        <f t="shared" ca="1" si="11"/>
        <v>0.690538425178571</v>
      </c>
      <c r="L189">
        <v>5.8214158620294985</v>
      </c>
      <c r="M189">
        <v>0.90226771527244454</v>
      </c>
    </row>
    <row r="190" spans="1:13" x14ac:dyDescent="0.4">
      <c r="A190">
        <f t="shared" ca="1" si="10"/>
        <v>4.2211394735072414</v>
      </c>
      <c r="B190">
        <f t="shared" ca="1" si="11"/>
        <v>1.3944666305523041</v>
      </c>
      <c r="L190">
        <v>4.5553226079141478</v>
      </c>
      <c r="M190">
        <v>0.53616018611506233</v>
      </c>
    </row>
    <row r="191" spans="1:13" x14ac:dyDescent="0.4">
      <c r="A191">
        <f t="shared" ca="1" si="10"/>
        <v>4.4469469935134027</v>
      </c>
      <c r="B191">
        <f t="shared" ca="1" si="11"/>
        <v>0.57337935176056354</v>
      </c>
      <c r="L191">
        <v>5.1304236739140707</v>
      </c>
      <c r="M191">
        <v>3.4153408018985729</v>
      </c>
    </row>
    <row r="192" spans="1:13" x14ac:dyDescent="0.4">
      <c r="A192">
        <f t="shared" ca="1" si="10"/>
        <v>4.16755439124133</v>
      </c>
      <c r="B192">
        <f t="shared" ca="1" si="11"/>
        <v>0.51892468656628576</v>
      </c>
      <c r="L192">
        <v>5.2769614803450153</v>
      </c>
      <c r="M192">
        <v>2.2474240259639213</v>
      </c>
    </row>
    <row r="193" spans="1:13" x14ac:dyDescent="0.4">
      <c r="A193">
        <f t="shared" ca="1" si="10"/>
        <v>4.1050010063148124</v>
      </c>
      <c r="B193">
        <f t="shared" ca="1" si="11"/>
        <v>1.4079121032025339</v>
      </c>
      <c r="L193">
        <v>5.4590098132147826</v>
      </c>
      <c r="M193">
        <v>0.93350545286158226</v>
      </c>
    </row>
    <row r="194" spans="1:13" x14ac:dyDescent="0.4">
      <c r="A194">
        <f t="shared" ca="1" si="10"/>
        <v>4.6134361989160793</v>
      </c>
      <c r="B194">
        <f t="shared" ca="1" si="11"/>
        <v>0.52684173153076241</v>
      </c>
      <c r="L194">
        <v>5.0814951999006563</v>
      </c>
      <c r="M194">
        <v>1.6382446869423051</v>
      </c>
    </row>
    <row r="195" spans="1:13" x14ac:dyDescent="0.4">
      <c r="A195">
        <f t="shared" ca="1" si="10"/>
        <v>3.948175193483229</v>
      </c>
      <c r="B195">
        <f t="shared" ca="1" si="11"/>
        <v>0.7554930122153164</v>
      </c>
      <c r="L195">
        <v>5.2268767248883261</v>
      </c>
      <c r="M195">
        <v>0.63739703769666545</v>
      </c>
    </row>
    <row r="196" spans="1:13" x14ac:dyDescent="0.4">
      <c r="A196">
        <f t="shared" ca="1" si="10"/>
        <v>3.6248155817330092</v>
      </c>
      <c r="B196">
        <f t="shared" ca="1" si="11"/>
        <v>0.69134035858133291</v>
      </c>
      <c r="L196">
        <v>4.993019288102162</v>
      </c>
      <c r="M196">
        <v>1.606495426716452</v>
      </c>
    </row>
    <row r="197" spans="1:13" x14ac:dyDescent="0.4">
      <c r="A197">
        <f t="shared" ca="1" si="10"/>
        <v>3.2002443694677849</v>
      </c>
      <c r="B197">
        <f t="shared" ca="1" si="11"/>
        <v>1.1284300078809548</v>
      </c>
      <c r="L197">
        <v>4.6798922706546637</v>
      </c>
      <c r="M197">
        <v>0.46781113399126784</v>
      </c>
    </row>
    <row r="198" spans="1:13" x14ac:dyDescent="0.4">
      <c r="A198">
        <f t="shared" ca="1" si="10"/>
        <v>3.4678105427108132</v>
      </c>
      <c r="B198">
        <f t="shared" ca="1" si="11"/>
        <v>0.89505123088713179</v>
      </c>
      <c r="L198">
        <v>5.2794884035982887</v>
      </c>
      <c r="M198">
        <v>1.0963059249205207</v>
      </c>
    </row>
    <row r="199" spans="1:13" x14ac:dyDescent="0.4">
      <c r="A199">
        <f t="shared" ca="1" si="10"/>
        <v>4.7623326351314565</v>
      </c>
      <c r="B199">
        <f t="shared" ca="1" si="11"/>
        <v>1.5124807364546771</v>
      </c>
      <c r="L199">
        <v>4.1589991813443712</v>
      </c>
      <c r="M199">
        <v>1.1315665230652532</v>
      </c>
    </row>
    <row r="200" spans="1:13" x14ac:dyDescent="0.4">
      <c r="A200">
        <f t="shared" ca="1" si="10"/>
        <v>4.3628926104362176</v>
      </c>
      <c r="B200">
        <f t="shared" ca="1" si="11"/>
        <v>0.91269216888780724</v>
      </c>
      <c r="L200">
        <v>5.0305137186110818</v>
      </c>
      <c r="M200">
        <v>4.4616368694288777</v>
      </c>
    </row>
    <row r="201" spans="1:13" x14ac:dyDescent="0.4">
      <c r="A201">
        <f t="shared" ca="1" si="10"/>
        <v>3.6806899807348934</v>
      </c>
      <c r="B201">
        <f t="shared" ca="1" si="11"/>
        <v>1.4888957080893348</v>
      </c>
      <c r="L201">
        <v>4.9577397500168887</v>
      </c>
      <c r="M201">
        <v>0.40618641765447161</v>
      </c>
    </row>
    <row r="202" spans="1:13" x14ac:dyDescent="0.4">
      <c r="A202">
        <f t="shared" ca="1" si="10"/>
        <v>4.0691070232176241</v>
      </c>
      <c r="B202">
        <f t="shared" ca="1" si="11"/>
        <v>2.6532024951825695</v>
      </c>
    </row>
    <row r="203" spans="1:13" x14ac:dyDescent="0.4">
      <c r="A203">
        <f t="shared" ca="1" si="10"/>
        <v>3.2641452132752251</v>
      </c>
      <c r="B203">
        <f t="shared" ca="1" si="11"/>
        <v>1.802581635941503</v>
      </c>
    </row>
    <row r="204" spans="1:13" x14ac:dyDescent="0.4">
      <c r="A204">
        <f t="shared" ca="1" si="10"/>
        <v>3.3191760216380333</v>
      </c>
      <c r="B204">
        <f t="shared" ca="1" si="11"/>
        <v>0.53084493399188937</v>
      </c>
    </row>
    <row r="205" spans="1:13" x14ac:dyDescent="0.4">
      <c r="A205">
        <f t="shared" ca="1" si="10"/>
        <v>2.9089732665185233</v>
      </c>
      <c r="B205">
        <f t="shared" ca="1" si="11"/>
        <v>0.79382669966464048</v>
      </c>
    </row>
    <row r="206" spans="1:13" x14ac:dyDescent="0.4">
      <c r="A206">
        <f t="shared" ca="1" si="10"/>
        <v>3.8035296321769447</v>
      </c>
      <c r="B206">
        <f t="shared" ca="1" si="11"/>
        <v>1.214418766242009</v>
      </c>
    </row>
    <row r="207" spans="1:13" x14ac:dyDescent="0.4">
      <c r="A207">
        <f t="shared" ca="1" si="10"/>
        <v>3.6642617058294054</v>
      </c>
      <c r="B207">
        <f t="shared" ca="1" si="11"/>
        <v>1.1406428053853774</v>
      </c>
    </row>
    <row r="208" spans="1:13" x14ac:dyDescent="0.4">
      <c r="A208">
        <f t="shared" ca="1" si="10"/>
        <v>4.0801468753391417</v>
      </c>
      <c r="B208">
        <f t="shared" ca="1" si="11"/>
        <v>2.57391564466419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0C4E-4F59-4CC4-9588-50517DE3C085}">
  <dimension ref="A1:AI201"/>
  <sheetViews>
    <sheetView topLeftCell="V1" workbookViewId="0">
      <selection activeCell="AH56" sqref="AH56"/>
    </sheetView>
  </sheetViews>
  <sheetFormatPr defaultRowHeight="18.75" x14ac:dyDescent="0.4"/>
  <sheetData>
    <row r="1" spans="1:32" x14ac:dyDescent="0.4">
      <c r="A1" s="10" t="s">
        <v>8</v>
      </c>
      <c r="B1">
        <v>2</v>
      </c>
      <c r="H1" s="10" t="s">
        <v>15</v>
      </c>
      <c r="I1">
        <v>2.5</v>
      </c>
      <c r="P1" s="10"/>
      <c r="Q1" s="10" t="s">
        <v>20</v>
      </c>
      <c r="R1">
        <v>1</v>
      </c>
      <c r="S1" t="s">
        <v>22</v>
      </c>
      <c r="T1">
        <v>1.2</v>
      </c>
      <c r="V1" s="10" t="s">
        <v>20</v>
      </c>
      <c r="W1">
        <v>2.1</v>
      </c>
      <c r="X1" s="10" t="s">
        <v>22</v>
      </c>
      <c r="Y1">
        <v>0.9</v>
      </c>
      <c r="AA1" t="s">
        <v>26</v>
      </c>
      <c r="AB1" t="s">
        <v>27</v>
      </c>
    </row>
    <row r="2" spans="1:32" x14ac:dyDescent="0.4">
      <c r="C2" s="3"/>
      <c r="K2" t="s">
        <v>11</v>
      </c>
      <c r="L2">
        <v>0.8</v>
      </c>
      <c r="AA2" s="4">
        <f t="shared" ref="AA2:AA33" si="0">R12</f>
        <v>1.3157782332375592</v>
      </c>
      <c r="AB2" s="5">
        <f t="shared" ref="AB2:AB33" si="1">S12</f>
        <v>2.0004667662649669</v>
      </c>
    </row>
    <row r="3" spans="1:32" x14ac:dyDescent="0.4">
      <c r="K3" t="s">
        <v>12</v>
      </c>
      <c r="L3">
        <v>0.5</v>
      </c>
      <c r="AA3" s="8">
        <f t="shared" si="0"/>
        <v>1.7691877133509926</v>
      </c>
      <c r="AB3" s="9">
        <f t="shared" si="1"/>
        <v>2.0561434717737654</v>
      </c>
    </row>
    <row r="4" spans="1:32" x14ac:dyDescent="0.4">
      <c r="K4" t="s">
        <v>7</v>
      </c>
      <c r="L4">
        <v>-90</v>
      </c>
      <c r="AA4" s="8">
        <f t="shared" si="0"/>
        <v>1.5826651642836089</v>
      </c>
      <c r="AB4" s="9">
        <f t="shared" si="1"/>
        <v>1.9005092139973034</v>
      </c>
    </row>
    <row r="5" spans="1:32" x14ac:dyDescent="0.4">
      <c r="AA5" s="8">
        <f t="shared" si="0"/>
        <v>1.5418026893520982</v>
      </c>
      <c r="AB5" s="9">
        <f t="shared" si="1"/>
        <v>1.7185543506513166</v>
      </c>
    </row>
    <row r="6" spans="1:32" x14ac:dyDescent="0.4">
      <c r="K6" s="4">
        <f>$L$2*COS($L$4*PI()/180)</f>
        <v>4.90059381963448E-17</v>
      </c>
      <c r="L6" s="5">
        <f>-$L$3*SIN($L$4*PI()/180)</f>
        <v>0.5</v>
      </c>
      <c r="AA6" s="8">
        <f t="shared" si="0"/>
        <v>0.71042978920343036</v>
      </c>
      <c r="AB6" s="9">
        <f t="shared" si="1"/>
        <v>1.3586280137942683</v>
      </c>
    </row>
    <row r="7" spans="1:32" x14ac:dyDescent="0.4">
      <c r="K7" s="6">
        <f>$L$2*SIN($L$4*PI()/180)</f>
        <v>-0.8</v>
      </c>
      <c r="L7" s="7">
        <f>$L$3*COS($L$4*PI()/180)</f>
        <v>3.06287113727155E-17</v>
      </c>
      <c r="AA7" s="8">
        <f t="shared" si="0"/>
        <v>1.3541676732153767</v>
      </c>
      <c r="AB7" s="9">
        <f t="shared" si="1"/>
        <v>1.8692380516906195</v>
      </c>
    </row>
    <row r="8" spans="1:32" x14ac:dyDescent="0.4">
      <c r="AA8" s="8">
        <f t="shared" si="0"/>
        <v>0.13420806447425926</v>
      </c>
      <c r="AB8" s="9">
        <f t="shared" si="1"/>
        <v>0.39549889258489257</v>
      </c>
    </row>
    <row r="9" spans="1:32" x14ac:dyDescent="0.4">
      <c r="AA9" s="8">
        <f t="shared" si="0"/>
        <v>1.6387035248641617</v>
      </c>
      <c r="AB9" s="9">
        <f t="shared" si="1"/>
        <v>2.0785005197584514</v>
      </c>
    </row>
    <row r="10" spans="1:32" x14ac:dyDescent="0.4">
      <c r="AA10" s="8">
        <f t="shared" si="0"/>
        <v>1.7096141664852671</v>
      </c>
      <c r="AB10" s="9">
        <f t="shared" si="1"/>
        <v>1.9047331891945087</v>
      </c>
    </row>
    <row r="11" spans="1:32" x14ac:dyDescent="0.4">
      <c r="A11" t="s">
        <v>6</v>
      </c>
      <c r="B11" t="s">
        <v>7</v>
      </c>
      <c r="D11" t="s">
        <v>1</v>
      </c>
      <c r="E11" t="s">
        <v>3</v>
      </c>
      <c r="H11" t="s">
        <v>9</v>
      </c>
      <c r="I11" t="s">
        <v>10</v>
      </c>
      <c r="K11" t="s">
        <v>4</v>
      </c>
      <c r="L11" t="s">
        <v>5</v>
      </c>
      <c r="Q11" t="s">
        <v>16</v>
      </c>
      <c r="R11" s="4" t="s">
        <v>25</v>
      </c>
      <c r="S11" s="5" t="s">
        <v>23</v>
      </c>
      <c r="T11" s="2" t="s">
        <v>17</v>
      </c>
      <c r="V11" t="s">
        <v>18</v>
      </c>
      <c r="W11" s="4" t="s">
        <v>21</v>
      </c>
      <c r="X11" s="5" t="s">
        <v>24</v>
      </c>
      <c r="Y11" t="s">
        <v>19</v>
      </c>
      <c r="AA11" s="8">
        <f t="shared" si="0"/>
        <v>1.4172526098472522</v>
      </c>
      <c r="AB11" s="9">
        <f t="shared" si="1"/>
        <v>1.7839674730815718</v>
      </c>
    </row>
    <row r="12" spans="1:32" x14ac:dyDescent="0.4">
      <c r="A12">
        <f t="shared" ref="A12:A43" ca="1" si="2">RAND()^($B$1/2)</f>
        <v>0.94650460977172513</v>
      </c>
      <c r="B12">
        <f ca="1">2*PI()*RAND()</f>
        <v>2.8039375163828097</v>
      </c>
      <c r="D12">
        <f ca="1">A12*COS(B12)</f>
        <v>-0.89305933203702914</v>
      </c>
      <c r="E12">
        <f ca="1">A12*SIN(B12)</f>
        <v>0.31355383234893019</v>
      </c>
      <c r="H12">
        <f ca="1">1-2*((1-D12)/2)^I$1</f>
        <v>-0.74327367094210328</v>
      </c>
      <c r="I12">
        <f ca="1">E12</f>
        <v>0.31355383234893019</v>
      </c>
      <c r="K12">
        <f t="array" aca="1" ref="K12:L12" ca="1">MMULT(H12:I12,TRANSPOSE($K$6:$L$7))</f>
        <v>0.15677691617446507</v>
      </c>
      <c r="L12">
        <f ca="1"/>
        <v>0.5946189367536826</v>
      </c>
      <c r="Q12">
        <v>0.31577823323755921</v>
      </c>
      <c r="R12" s="8">
        <f>Q12+R$1</f>
        <v>1.3157782332375592</v>
      </c>
      <c r="S12" s="9">
        <f t="shared" ref="S12:S43" si="3">T12+T$1</f>
        <v>2.0004667662649669</v>
      </c>
      <c r="T12" s="2">
        <v>0.80046676626496693</v>
      </c>
      <c r="V12">
        <v>-5.5586254030077747E-2</v>
      </c>
      <c r="W12" s="8">
        <f>V12+W$1</f>
        <v>2.0444137459699223</v>
      </c>
      <c r="X12" s="9">
        <f>Y12+Y$1</f>
        <v>0.28444746098561124</v>
      </c>
      <c r="Y12">
        <v>-0.61555253901438878</v>
      </c>
      <c r="AA12" s="8">
        <f t="shared" si="0"/>
        <v>1.4822338350801516</v>
      </c>
      <c r="AB12" s="9">
        <f t="shared" si="1"/>
        <v>1.8344985924719168</v>
      </c>
    </row>
    <row r="13" spans="1:32" x14ac:dyDescent="0.4">
      <c r="A13">
        <f t="shared" ca="1" si="2"/>
        <v>0.69623483138722375</v>
      </c>
      <c r="B13">
        <f t="shared" ref="B13:B76" ca="1" si="4">2*PI()*RAND()</f>
        <v>3.9633925310707694</v>
      </c>
      <c r="D13">
        <f t="shared" ref="D13:D21" ca="1" si="5">A13*COS(B13)</f>
        <v>-0.47406917216668593</v>
      </c>
      <c r="E13">
        <f t="shared" ref="E13:E21" ca="1" si="6">A13*SIN(B13)</f>
        <v>-0.5099032853767359</v>
      </c>
      <c r="H13">
        <f t="shared" ref="H13:H76" ca="1" si="7">1-2*((1-D13)/2)^I$1</f>
        <v>6.7283486797337533E-2</v>
      </c>
      <c r="I13">
        <f t="shared" ref="I13:I76" ca="1" si="8">E13</f>
        <v>-0.5099032853767359</v>
      </c>
      <c r="K13">
        <f t="array" aca="1" ref="K13:L13" ca="1">MMULT(H13:I13,TRANSPOSE($K$6:$L$7))</f>
        <v>-0.25495164268836795</v>
      </c>
      <c r="L13">
        <f ca="1"/>
        <v>-5.3826789437870046E-2</v>
      </c>
      <c r="Q13">
        <v>0.76918771335099267</v>
      </c>
      <c r="R13" s="8">
        <f t="shared" ref="R13:R76" si="9">Q13+R$1</f>
        <v>1.7691877133509926</v>
      </c>
      <c r="S13" s="9">
        <f t="shared" si="3"/>
        <v>2.0561434717737654</v>
      </c>
      <c r="T13" s="2">
        <v>0.85614347177376549</v>
      </c>
      <c r="V13">
        <v>-0.13442407668750547</v>
      </c>
      <c r="W13" s="8">
        <f t="shared" ref="W13:W76" si="10">V13+W$1</f>
        <v>1.9655759233124945</v>
      </c>
      <c r="X13" s="9">
        <f t="shared" ref="X13:X76" si="11">Y13+Y$1</f>
        <v>0.12860410630752017</v>
      </c>
      <c r="Y13">
        <v>-0.77139589369247985</v>
      </c>
      <c r="AA13" s="8">
        <f t="shared" si="0"/>
        <v>1.6129814083333902</v>
      </c>
      <c r="AB13" s="9">
        <f t="shared" si="1"/>
        <v>1.7086726183478078</v>
      </c>
    </row>
    <row r="14" spans="1:32" x14ac:dyDescent="0.4">
      <c r="A14">
        <f t="shared" ca="1" si="2"/>
        <v>0.4849511590083182</v>
      </c>
      <c r="B14">
        <f t="shared" ca="1" si="4"/>
        <v>1.3656460965328814</v>
      </c>
      <c r="D14">
        <f t="shared" ca="1" si="5"/>
        <v>9.879145785910759E-2</v>
      </c>
      <c r="E14">
        <f t="shared" ca="1" si="6"/>
        <v>0.47478192307372374</v>
      </c>
      <c r="H14">
        <f t="shared" ca="1" si="7"/>
        <v>0.72740476792828113</v>
      </c>
      <c r="I14">
        <f t="shared" ca="1" si="8"/>
        <v>0.47478192307372374</v>
      </c>
      <c r="K14">
        <f t="array" aca="1" ref="K14:L14" ca="1">MMULT(H14:I14,TRANSPOSE($K$6:$L$7))</f>
        <v>0.2373909615368619</v>
      </c>
      <c r="L14">
        <f ca="1"/>
        <v>-0.58192381434262497</v>
      </c>
      <c r="Q14">
        <v>0.58266516428360893</v>
      </c>
      <c r="R14" s="8">
        <f t="shared" si="9"/>
        <v>1.5826651642836089</v>
      </c>
      <c r="S14" s="9">
        <f t="shared" si="3"/>
        <v>1.9005092139973034</v>
      </c>
      <c r="T14" s="2">
        <v>0.70050921399730337</v>
      </c>
      <c r="V14">
        <v>-0.13179743093090041</v>
      </c>
      <c r="W14" s="8">
        <f t="shared" si="10"/>
        <v>1.9682025690690996</v>
      </c>
      <c r="X14" s="9">
        <f t="shared" si="11"/>
        <v>1.2643251135336162</v>
      </c>
      <c r="Y14">
        <v>0.36432511353361613</v>
      </c>
      <c r="AA14" s="8">
        <f t="shared" si="0"/>
        <v>0.69649262154951364</v>
      </c>
      <c r="AB14" s="9">
        <f t="shared" si="1"/>
        <v>0.99196728892428099</v>
      </c>
      <c r="AE14" t="s">
        <v>26</v>
      </c>
      <c r="AF14" t="s">
        <v>27</v>
      </c>
    </row>
    <row r="15" spans="1:32" x14ac:dyDescent="0.4">
      <c r="A15">
        <f t="shared" ca="1" si="2"/>
        <v>0.16256593793235907</v>
      </c>
      <c r="B15">
        <f t="shared" ca="1" si="4"/>
        <v>1.4945273561224652</v>
      </c>
      <c r="D15">
        <f t="shared" ca="1" si="5"/>
        <v>1.2386719764021656E-2</v>
      </c>
      <c r="E15">
        <f t="shared" ca="1" si="6"/>
        <v>0.16209334764053465</v>
      </c>
      <c r="H15">
        <f t="shared" ca="1" si="7"/>
        <v>0.65729352540913366</v>
      </c>
      <c r="I15">
        <f t="shared" ca="1" si="8"/>
        <v>0.16209334764053465</v>
      </c>
      <c r="K15">
        <f t="array" aca="1" ref="K15:L15" ca="1">MMULT(H15:I15,TRANSPOSE($K$6:$L$7))</f>
        <v>8.1046673820267354E-2</v>
      </c>
      <c r="L15">
        <f ca="1"/>
        <v>-0.525834820327307</v>
      </c>
      <c r="Q15">
        <v>0.5418026893520983</v>
      </c>
      <c r="R15" s="8">
        <f t="shared" si="9"/>
        <v>1.5418026893520982</v>
      </c>
      <c r="S15" s="9">
        <f t="shared" si="3"/>
        <v>1.7185543506513166</v>
      </c>
      <c r="T15" s="2">
        <v>0.5185543506513165</v>
      </c>
      <c r="V15">
        <v>1.7437207623532101E-3</v>
      </c>
      <c r="W15" s="8">
        <f t="shared" si="10"/>
        <v>2.1017437207623533</v>
      </c>
      <c r="X15" s="9">
        <f t="shared" si="11"/>
        <v>0.33888239220928396</v>
      </c>
      <c r="Y15">
        <v>-0.56111760779071607</v>
      </c>
      <c r="AA15" s="8">
        <f t="shared" si="0"/>
        <v>1.757969886441316</v>
      </c>
      <c r="AB15" s="9">
        <f t="shared" si="1"/>
        <v>2.1074969839935203</v>
      </c>
      <c r="AD15">
        <v>0.2</v>
      </c>
      <c r="AE15">
        <f t="array" ref="AE15:AE27">FREQUENCY(AA$2:AA$201,$AD$15:$AD$27)</f>
        <v>1</v>
      </c>
      <c r="AF15">
        <f t="array" ref="AF15:AF27">FREQUENCY(AB$2:AB$201,$AD$15:$AD$27)</f>
        <v>15</v>
      </c>
    </row>
    <row r="16" spans="1:32" x14ac:dyDescent="0.4">
      <c r="A16">
        <f t="shared" ca="1" si="2"/>
        <v>0.37212729248534127</v>
      </c>
      <c r="B16">
        <f t="shared" ca="1" si="4"/>
        <v>3.3569560067990452</v>
      </c>
      <c r="D16">
        <f t="shared" ca="1" si="5"/>
        <v>-0.36353070891570866</v>
      </c>
      <c r="E16">
        <f t="shared" ca="1" si="6"/>
        <v>-7.9524496148752996E-2</v>
      </c>
      <c r="H16">
        <f t="shared" ca="1" si="7"/>
        <v>0.23243119697679215</v>
      </c>
      <c r="I16">
        <f t="shared" ca="1" si="8"/>
        <v>-7.9524496148752996E-2</v>
      </c>
      <c r="K16">
        <f t="array" aca="1" ref="K16:L16" ca="1">MMULT(H16:I16,TRANSPOSE($K$6:$L$7))</f>
        <v>-3.9762248074376484E-2</v>
      </c>
      <c r="L16">
        <f ca="1"/>
        <v>-0.18594495758143373</v>
      </c>
      <c r="Q16">
        <v>-0.28957021079656964</v>
      </c>
      <c r="R16" s="8">
        <f t="shared" si="9"/>
        <v>0.71042978920343036</v>
      </c>
      <c r="S16" s="9">
        <f t="shared" si="3"/>
        <v>1.3586280137942683</v>
      </c>
      <c r="T16" s="2">
        <v>0.1586280137942685</v>
      </c>
      <c r="V16">
        <v>-0.15191377247665069</v>
      </c>
      <c r="W16" s="8">
        <f t="shared" si="10"/>
        <v>1.9480862275233495</v>
      </c>
      <c r="X16" s="9">
        <f t="shared" si="11"/>
        <v>0.55639495531568695</v>
      </c>
      <c r="Y16">
        <v>-0.34360504468431308</v>
      </c>
      <c r="AA16" s="8">
        <f t="shared" si="0"/>
        <v>0.56594529197996835</v>
      </c>
      <c r="AB16" s="9">
        <f t="shared" si="1"/>
        <v>1.1324001317694452</v>
      </c>
      <c r="AD16">
        <v>0.4</v>
      </c>
      <c r="AE16">
        <v>0</v>
      </c>
      <c r="AF16">
        <v>42</v>
      </c>
    </row>
    <row r="17" spans="1:32" x14ac:dyDescent="0.4">
      <c r="A17">
        <f t="shared" ca="1" si="2"/>
        <v>0.85547017725533447</v>
      </c>
      <c r="B17">
        <f t="shared" ca="1" si="4"/>
        <v>1.730482279088825</v>
      </c>
      <c r="D17">
        <f t="shared" ca="1" si="5"/>
        <v>-0.13602674078711699</v>
      </c>
      <c r="E17">
        <f t="shared" ca="1" si="6"/>
        <v>0.84458625963492195</v>
      </c>
      <c r="H17">
        <f t="shared" ca="1" si="7"/>
        <v>0.51367522756293282</v>
      </c>
      <c r="I17">
        <f t="shared" ca="1" si="8"/>
        <v>0.84458625963492195</v>
      </c>
      <c r="K17">
        <f t="array" aca="1" ref="K17:L17" ca="1">MMULT(H17:I17,TRANSPOSE($K$6:$L$7))</f>
        <v>0.42229312981746098</v>
      </c>
      <c r="L17">
        <f ca="1"/>
        <v>-0.41094018205034627</v>
      </c>
      <c r="Q17">
        <v>0.35416767321537668</v>
      </c>
      <c r="R17" s="8">
        <f t="shared" si="9"/>
        <v>1.3541676732153767</v>
      </c>
      <c r="S17" s="9">
        <f t="shared" si="3"/>
        <v>1.8692380516906195</v>
      </c>
      <c r="T17" s="2">
        <v>0.66923805169061956</v>
      </c>
      <c r="V17">
        <v>-7.6076706698095494E-3</v>
      </c>
      <c r="W17" s="8">
        <f t="shared" si="10"/>
        <v>2.0923923293301905</v>
      </c>
      <c r="X17" s="9">
        <f t="shared" si="11"/>
        <v>0.25924843583003787</v>
      </c>
      <c r="Y17">
        <v>-0.64075156416996215</v>
      </c>
      <c r="AA17" s="8">
        <f t="shared" si="0"/>
        <v>1.4184358906271761</v>
      </c>
      <c r="AB17" s="9">
        <f t="shared" si="1"/>
        <v>1.6235112711113451</v>
      </c>
      <c r="AD17">
        <v>0.6</v>
      </c>
      <c r="AE17">
        <v>3</v>
      </c>
      <c r="AF17">
        <v>19</v>
      </c>
    </row>
    <row r="18" spans="1:32" x14ac:dyDescent="0.4">
      <c r="A18">
        <f t="shared" ca="1" si="2"/>
        <v>0.78755519807648744</v>
      </c>
      <c r="B18">
        <f t="shared" ca="1" si="4"/>
        <v>2.2390685264230967</v>
      </c>
      <c r="D18">
        <f t="shared" ca="1" si="5"/>
        <v>-0.48799343650450339</v>
      </c>
      <c r="E18">
        <f t="shared" ca="1" si="6"/>
        <v>0.61814690482588408</v>
      </c>
      <c r="H18">
        <f t="shared" ca="1" si="7"/>
        <v>4.5100765055255509E-2</v>
      </c>
      <c r="I18">
        <f t="shared" ca="1" si="8"/>
        <v>0.61814690482588408</v>
      </c>
      <c r="K18">
        <f t="array" aca="1" ref="K18:L18" ca="1">MMULT(H18:I18,TRANSPOSE($K$6:$L$7))</f>
        <v>0.30907345241294204</v>
      </c>
      <c r="L18">
        <f ca="1"/>
        <v>-3.6080612044204388E-2</v>
      </c>
      <c r="Q18">
        <v>-0.86579193552574074</v>
      </c>
      <c r="R18" s="8">
        <f t="shared" si="9"/>
        <v>0.13420806447425926</v>
      </c>
      <c r="S18" s="9">
        <f t="shared" si="3"/>
        <v>0.39549889258489257</v>
      </c>
      <c r="T18" s="2">
        <v>-0.80450110741510739</v>
      </c>
      <c r="V18">
        <v>0.22762698214566782</v>
      </c>
      <c r="W18" s="8">
        <f t="shared" si="10"/>
        <v>2.3276269821456679</v>
      </c>
      <c r="X18" s="9">
        <f t="shared" si="11"/>
        <v>1.0699038695582666</v>
      </c>
      <c r="Y18">
        <v>0.16990386955826656</v>
      </c>
      <c r="AA18" s="8">
        <f t="shared" si="0"/>
        <v>1.3262466789709335</v>
      </c>
      <c r="AB18" s="9">
        <f t="shared" si="1"/>
        <v>1.7414785843068161</v>
      </c>
      <c r="AD18">
        <v>0.8</v>
      </c>
      <c r="AE18">
        <v>8</v>
      </c>
      <c r="AF18">
        <v>10</v>
      </c>
    </row>
    <row r="19" spans="1:32" x14ac:dyDescent="0.4">
      <c r="A19">
        <f t="shared" ca="1" si="2"/>
        <v>0.80165462402021603</v>
      </c>
      <c r="B19">
        <f t="shared" ca="1" si="4"/>
        <v>5.7872799357852456</v>
      </c>
      <c r="D19">
        <f t="shared" ca="1" si="5"/>
        <v>0.70508592048487417</v>
      </c>
      <c r="E19">
        <f t="shared" ca="1" si="6"/>
        <v>-0.38144984066976834</v>
      </c>
      <c r="H19">
        <f t="shared" ca="1" si="7"/>
        <v>0.98330087278009215</v>
      </c>
      <c r="I19">
        <f t="shared" ca="1" si="8"/>
        <v>-0.38144984066976834</v>
      </c>
      <c r="K19">
        <f t="array" aca="1" ref="K19:L19" ca="1">MMULT(H19:I19,TRANSPOSE($K$6:$L$7))</f>
        <v>-0.19072492033488411</v>
      </c>
      <c r="L19">
        <f ca="1"/>
        <v>-0.78664069822407379</v>
      </c>
      <c r="Q19">
        <v>0.63870352486416171</v>
      </c>
      <c r="R19" s="8">
        <f t="shared" si="9"/>
        <v>1.6387035248641617</v>
      </c>
      <c r="S19" s="9">
        <f t="shared" si="3"/>
        <v>2.0785005197584514</v>
      </c>
      <c r="T19" s="2">
        <v>0.87850051975845167</v>
      </c>
      <c r="V19">
        <v>-7.2633268995221465E-3</v>
      </c>
      <c r="W19" s="8">
        <f t="shared" si="10"/>
        <v>2.092736673100478</v>
      </c>
      <c r="X19" s="9">
        <f t="shared" si="11"/>
        <v>0.45248932216244936</v>
      </c>
      <c r="Y19">
        <v>-0.44751067783755066</v>
      </c>
      <c r="AA19" s="8">
        <f t="shared" si="0"/>
        <v>1.3267866243502497</v>
      </c>
      <c r="AB19" s="9">
        <f t="shared" si="1"/>
        <v>1.5941465128407937</v>
      </c>
      <c r="AD19">
        <v>1</v>
      </c>
      <c r="AE19">
        <v>2</v>
      </c>
      <c r="AF19">
        <v>12</v>
      </c>
    </row>
    <row r="20" spans="1:32" x14ac:dyDescent="0.4">
      <c r="A20">
        <f t="shared" ca="1" si="2"/>
        <v>0.40817430385468811</v>
      </c>
      <c r="B20">
        <f t="shared" ca="1" si="4"/>
        <v>0.60166803673916447</v>
      </c>
      <c r="D20">
        <f t="shared" ca="1" si="5"/>
        <v>0.33649588490279114</v>
      </c>
      <c r="E20">
        <f t="shared" ca="1" si="6"/>
        <v>0.23103415715159267</v>
      </c>
      <c r="H20">
        <f t="shared" ca="1" si="7"/>
        <v>0.87321611419963452</v>
      </c>
      <c r="I20">
        <f t="shared" ca="1" si="8"/>
        <v>0.23103415715159267</v>
      </c>
      <c r="K20">
        <f t="array" aca="1" ref="K20:L20" ca="1">MMULT(H20:I20,TRANSPOSE($K$6:$L$7))</f>
        <v>0.11551707857579638</v>
      </c>
      <c r="L20">
        <f ca="1"/>
        <v>-0.69857289135970768</v>
      </c>
      <c r="Q20">
        <v>0.70961416648526709</v>
      </c>
      <c r="R20" s="8">
        <f t="shared" si="9"/>
        <v>1.7096141664852671</v>
      </c>
      <c r="S20" s="9">
        <f t="shared" si="3"/>
        <v>1.9047331891945087</v>
      </c>
      <c r="T20" s="2">
        <v>0.70473318919450867</v>
      </c>
      <c r="V20">
        <v>3.4595987939309812E-2</v>
      </c>
      <c r="W20" s="8">
        <f t="shared" si="10"/>
        <v>2.1345959879393099</v>
      </c>
      <c r="X20" s="9">
        <f t="shared" si="11"/>
        <v>1.3635935033934006</v>
      </c>
      <c r="Y20">
        <v>0.46359350339340044</v>
      </c>
      <c r="AA20" s="8">
        <f t="shared" si="0"/>
        <v>0.49806785998968728</v>
      </c>
      <c r="AB20" s="9">
        <f t="shared" si="1"/>
        <v>0.81700180498618402</v>
      </c>
      <c r="AD20">
        <v>1.2</v>
      </c>
      <c r="AE20">
        <v>6</v>
      </c>
      <c r="AF20">
        <v>12</v>
      </c>
    </row>
    <row r="21" spans="1:32" x14ac:dyDescent="0.4">
      <c r="A21">
        <f t="shared" ca="1" si="2"/>
        <v>0.17110332067504486</v>
      </c>
      <c r="B21">
        <f t="shared" ca="1" si="4"/>
        <v>1.6598672472749691</v>
      </c>
      <c r="D21">
        <f t="shared" ca="1" si="5"/>
        <v>-1.5220186408030826E-2</v>
      </c>
      <c r="E21">
        <f t="shared" ca="1" si="6"/>
        <v>0.17042503416966659</v>
      </c>
      <c r="H21">
        <f t="shared" ca="1" si="7"/>
        <v>0.63283978291148957</v>
      </c>
      <c r="I21">
        <f t="shared" ca="1" si="8"/>
        <v>0.17042503416966659</v>
      </c>
      <c r="K21">
        <f t="array" aca="1" ref="K21:L21" ca="1">MMULT(H21:I21,TRANSPOSE($K$6:$L$7))</f>
        <v>8.5212517084833322E-2</v>
      </c>
      <c r="L21">
        <f ca="1"/>
        <v>-0.50627182632919165</v>
      </c>
      <c r="Q21">
        <v>0.41725260984725226</v>
      </c>
      <c r="R21" s="8">
        <f t="shared" si="9"/>
        <v>1.4172526098472522</v>
      </c>
      <c r="S21" s="9">
        <f t="shared" si="3"/>
        <v>1.7839674730815718</v>
      </c>
      <c r="T21" s="2">
        <v>0.58396747308157193</v>
      </c>
      <c r="V21">
        <v>-0.19212917863483919</v>
      </c>
      <c r="W21" s="8">
        <f t="shared" si="10"/>
        <v>1.907870821365161</v>
      </c>
      <c r="X21" s="9">
        <f t="shared" si="11"/>
        <v>0.10284795587064788</v>
      </c>
      <c r="Y21">
        <v>-0.79715204412935214</v>
      </c>
      <c r="AA21" s="8">
        <f t="shared" si="0"/>
        <v>1.4066107031813235</v>
      </c>
      <c r="AB21" s="9">
        <f t="shared" si="1"/>
        <v>1.9526890876792189</v>
      </c>
      <c r="AD21">
        <v>1.4</v>
      </c>
      <c r="AE21">
        <v>16</v>
      </c>
      <c r="AF21">
        <v>12</v>
      </c>
    </row>
    <row r="22" spans="1:32" x14ac:dyDescent="0.4">
      <c r="A22">
        <f t="shared" ca="1" si="2"/>
        <v>4.8003842985596235E-2</v>
      </c>
      <c r="B22">
        <f t="shared" ca="1" si="4"/>
        <v>4.2095306213536761</v>
      </c>
      <c r="D22">
        <f t="shared" ref="D22:D85" ca="1" si="12">A22*COS(B22)</f>
        <v>-2.313458914866166E-2</v>
      </c>
      <c r="E22">
        <f t="shared" ref="E22:E85" ca="1" si="13">A22*SIN(B22)</f>
        <v>-4.2061380461278289E-2</v>
      </c>
      <c r="H22">
        <f t="shared" ca="1" si="7"/>
        <v>0.62564216730204625</v>
      </c>
      <c r="I22">
        <f t="shared" ca="1" si="8"/>
        <v>-4.2061380461278289E-2</v>
      </c>
      <c r="K22">
        <f t="array" aca="1" ref="K22:L22" ca="1">MMULT(H22:I22,TRANSPOSE($K$6:$L$7))</f>
        <v>-2.1030690230639113E-2</v>
      </c>
      <c r="L22">
        <f ca="1"/>
        <v>-0.500513733841637</v>
      </c>
      <c r="Q22">
        <v>0.48223383508015172</v>
      </c>
      <c r="R22" s="8">
        <f t="shared" si="9"/>
        <v>1.4822338350801516</v>
      </c>
      <c r="S22" s="9">
        <f t="shared" si="3"/>
        <v>1.8344985924719168</v>
      </c>
      <c r="T22" s="2">
        <v>0.63449859247191687</v>
      </c>
      <c r="V22">
        <v>-0.20523890314233312</v>
      </c>
      <c r="W22" s="8">
        <f t="shared" si="10"/>
        <v>1.8947610968576669</v>
      </c>
      <c r="X22" s="9">
        <f t="shared" si="11"/>
        <v>0.20086690195520318</v>
      </c>
      <c r="Y22">
        <v>-0.69913309804479684</v>
      </c>
      <c r="AA22" s="8">
        <f t="shared" si="0"/>
        <v>1.6767041894713433</v>
      </c>
      <c r="AB22" s="9">
        <f t="shared" si="1"/>
        <v>2.0788794064700231</v>
      </c>
      <c r="AD22">
        <v>1.6</v>
      </c>
      <c r="AE22">
        <v>33</v>
      </c>
      <c r="AF22">
        <v>12</v>
      </c>
    </row>
    <row r="23" spans="1:32" x14ac:dyDescent="0.4">
      <c r="A23">
        <f t="shared" ca="1" si="2"/>
        <v>0.60449385297044145</v>
      </c>
      <c r="B23">
        <f t="shared" ca="1" si="4"/>
        <v>3.9001276176773003</v>
      </c>
      <c r="D23">
        <f t="shared" ca="1" si="12"/>
        <v>-0.4387685548860496</v>
      </c>
      <c r="E23">
        <f t="shared" ca="1" si="13"/>
        <v>-0.41580641351746539</v>
      </c>
      <c r="H23">
        <f t="shared" ca="1" si="7"/>
        <v>0.12212566944867298</v>
      </c>
      <c r="I23">
        <f t="shared" ca="1" si="8"/>
        <v>-0.41580641351746539</v>
      </c>
      <c r="K23">
        <f t="array" aca="1" ref="K23:L23" ca="1">MMULT(H23:I23,TRANSPOSE($K$6:$L$7))</f>
        <v>-0.20790320675873269</v>
      </c>
      <c r="L23">
        <f ca="1"/>
        <v>-9.7700535558938401E-2</v>
      </c>
      <c r="Q23">
        <v>0.61298140833339021</v>
      </c>
      <c r="R23" s="8">
        <f t="shared" si="9"/>
        <v>1.6129814083333902</v>
      </c>
      <c r="S23" s="9">
        <f t="shared" si="3"/>
        <v>1.7086726183478078</v>
      </c>
      <c r="T23" s="2">
        <v>0.50867261834780786</v>
      </c>
      <c r="V23">
        <v>0.10974982551824422</v>
      </c>
      <c r="W23" s="8">
        <f t="shared" si="10"/>
        <v>2.2097498255182444</v>
      </c>
      <c r="X23" s="9">
        <f t="shared" si="11"/>
        <v>0.19765519742373494</v>
      </c>
      <c r="Y23">
        <v>-0.70234480257626508</v>
      </c>
      <c r="AA23" s="8">
        <f t="shared" si="0"/>
        <v>1.8378052847128874</v>
      </c>
      <c r="AB23" s="9">
        <f t="shared" si="1"/>
        <v>2.0449781253916379</v>
      </c>
      <c r="AD23">
        <v>1.8</v>
      </c>
      <c r="AE23">
        <v>27</v>
      </c>
      <c r="AF23">
        <v>25</v>
      </c>
    </row>
    <row r="24" spans="1:32" x14ac:dyDescent="0.4">
      <c r="A24">
        <f t="shared" ca="1" si="2"/>
        <v>0.35661602460158026</v>
      </c>
      <c r="B24">
        <f t="shared" ca="1" si="4"/>
        <v>5.8522131809551414</v>
      </c>
      <c r="D24">
        <f t="shared" ca="1" si="12"/>
        <v>0.32400707998977801</v>
      </c>
      <c r="E24">
        <f t="shared" ca="1" si="13"/>
        <v>-0.14897785445875</v>
      </c>
      <c r="H24">
        <f t="shared" ca="1" si="7"/>
        <v>0.86716565610655816</v>
      </c>
      <c r="I24">
        <f t="shared" ca="1" si="8"/>
        <v>-0.14897785445875</v>
      </c>
      <c r="K24">
        <f t="array" aca="1" ref="K24:L24" ca="1">MMULT(H24:I24,TRANSPOSE($K$6:$L$7))</f>
        <v>-7.448892722937496E-2</v>
      </c>
      <c r="L24">
        <f ca="1"/>
        <v>-0.69373252488524662</v>
      </c>
      <c r="Q24">
        <v>-0.30350737845048636</v>
      </c>
      <c r="R24" s="8">
        <f t="shared" si="9"/>
        <v>0.69649262154951364</v>
      </c>
      <c r="S24" s="9">
        <f t="shared" si="3"/>
        <v>0.99196728892428099</v>
      </c>
      <c r="T24" s="2">
        <v>-0.20803271107571891</v>
      </c>
      <c r="V24">
        <v>-2.5482190735872046E-2</v>
      </c>
      <c r="W24" s="8">
        <f t="shared" si="10"/>
        <v>2.0745178092641279</v>
      </c>
      <c r="X24" s="9">
        <f t="shared" si="11"/>
        <v>0.32491301409134787</v>
      </c>
      <c r="Y24">
        <v>-0.57508698590865215</v>
      </c>
      <c r="AA24" s="8">
        <f t="shared" si="0"/>
        <v>1.1648652700950664</v>
      </c>
      <c r="AB24" s="9">
        <f t="shared" si="1"/>
        <v>0.99010310930192114</v>
      </c>
      <c r="AD24">
        <v>2</v>
      </c>
      <c r="AE24">
        <v>30</v>
      </c>
      <c r="AF24">
        <v>24</v>
      </c>
    </row>
    <row r="25" spans="1:32" x14ac:dyDescent="0.4">
      <c r="A25">
        <f t="shared" ca="1" si="2"/>
        <v>0.21047583337874054</v>
      </c>
      <c r="B25">
        <f t="shared" ca="1" si="4"/>
        <v>5.8076930043395851</v>
      </c>
      <c r="D25">
        <f t="shared" ca="1" si="12"/>
        <v>0.1871272155943241</v>
      </c>
      <c r="E25">
        <f t="shared" ca="1" si="13"/>
        <v>-9.6350825737980525E-2</v>
      </c>
      <c r="H25">
        <f t="shared" ca="1" si="7"/>
        <v>0.78937424996811489</v>
      </c>
      <c r="I25">
        <f t="shared" ca="1" si="8"/>
        <v>-9.6350825737980525E-2</v>
      </c>
      <c r="K25">
        <f t="array" aca="1" ref="K25:L25" ca="1">MMULT(H25:I25,TRANSPOSE($K$6:$L$7))</f>
        <v>-4.8175412868990221E-2</v>
      </c>
      <c r="L25">
        <f ca="1"/>
        <v>-0.631499399974492</v>
      </c>
      <c r="Q25">
        <v>0.75796988644131613</v>
      </c>
      <c r="R25" s="8">
        <f t="shared" si="9"/>
        <v>1.757969886441316</v>
      </c>
      <c r="S25" s="9">
        <f t="shared" si="3"/>
        <v>2.1074969839935203</v>
      </c>
      <c r="T25" s="2">
        <v>0.9074969839935203</v>
      </c>
      <c r="V25">
        <v>-0.27925834424987134</v>
      </c>
      <c r="W25" s="8">
        <f t="shared" si="10"/>
        <v>1.8207416557501288</v>
      </c>
      <c r="X25" s="9">
        <f t="shared" si="11"/>
        <v>0.12963891656677218</v>
      </c>
      <c r="Y25">
        <v>-0.77036108343322784</v>
      </c>
      <c r="AA25" s="8">
        <f t="shared" si="0"/>
        <v>1.7634974313985594</v>
      </c>
      <c r="AB25" s="9">
        <f t="shared" si="1"/>
        <v>2.0603942178571502</v>
      </c>
      <c r="AD25">
        <v>2.2000000000000002</v>
      </c>
      <c r="AE25">
        <v>47</v>
      </c>
      <c r="AF25">
        <v>16</v>
      </c>
    </row>
    <row r="26" spans="1:32" x14ac:dyDescent="0.4">
      <c r="A26">
        <f t="shared" ca="1" si="2"/>
        <v>0.74823480701913614</v>
      </c>
      <c r="B26">
        <f t="shared" ca="1" si="4"/>
        <v>1.0498136338919202</v>
      </c>
      <c r="D26">
        <f t="shared" ca="1" si="12"/>
        <v>0.37242092889133249</v>
      </c>
      <c r="E26">
        <f t="shared" ca="1" si="13"/>
        <v>0.64896685443763691</v>
      </c>
      <c r="H26">
        <f t="shared" ca="1" si="7"/>
        <v>0.88968714197302678</v>
      </c>
      <c r="I26">
        <f t="shared" ca="1" si="8"/>
        <v>0.64896685443763691</v>
      </c>
      <c r="K26">
        <f t="array" aca="1" ref="K26:L26" ca="1">MMULT(H26:I26,TRANSPOSE($K$6:$L$7))</f>
        <v>0.32448342721881851</v>
      </c>
      <c r="L26">
        <f ca="1"/>
        <v>-0.71174971357842143</v>
      </c>
      <c r="Q26">
        <v>-0.4340547080200316</v>
      </c>
      <c r="R26" s="8">
        <f t="shared" si="9"/>
        <v>0.56594529197996835</v>
      </c>
      <c r="S26" s="9">
        <f t="shared" si="3"/>
        <v>1.1324001317694452</v>
      </c>
      <c r="T26" s="2">
        <v>-6.7599868230554833E-2</v>
      </c>
      <c r="V26">
        <v>-2.5695455489620239E-2</v>
      </c>
      <c r="W26" s="8">
        <f t="shared" si="10"/>
        <v>2.07430454451038</v>
      </c>
      <c r="X26" s="9">
        <f t="shared" si="11"/>
        <v>0.18018842814779046</v>
      </c>
      <c r="Y26">
        <v>-0.71981157185220956</v>
      </c>
      <c r="AA26" s="8">
        <f t="shared" si="0"/>
        <v>1.8402250800943332</v>
      </c>
      <c r="AB26" s="9">
        <f t="shared" si="1"/>
        <v>2.0538122478064658</v>
      </c>
      <c r="AD26">
        <v>2.4</v>
      </c>
      <c r="AE26">
        <v>17</v>
      </c>
      <c r="AF26">
        <v>1</v>
      </c>
    </row>
    <row r="27" spans="1:32" x14ac:dyDescent="0.4">
      <c r="A27">
        <f t="shared" ca="1" si="2"/>
        <v>0.5153535724502476</v>
      </c>
      <c r="B27">
        <f t="shared" ca="1" si="4"/>
        <v>1.2679799145419315</v>
      </c>
      <c r="D27">
        <f t="shared" ca="1" si="12"/>
        <v>0.15368340972372693</v>
      </c>
      <c r="E27">
        <f t="shared" ca="1" si="13"/>
        <v>0.49190518823541768</v>
      </c>
      <c r="H27">
        <f t="shared" ca="1" si="7"/>
        <v>0.76703689691750632</v>
      </c>
      <c r="I27">
        <f t="shared" ca="1" si="8"/>
        <v>0.49190518823541768</v>
      </c>
      <c r="K27">
        <f t="array" aca="1" ref="K27:L27" ca="1">MMULT(H27:I27,TRANSPOSE($K$6:$L$7))</f>
        <v>0.24595259411770887</v>
      </c>
      <c r="L27">
        <f ca="1"/>
        <v>-0.61362951753400508</v>
      </c>
      <c r="Q27">
        <v>0.41843589062717623</v>
      </c>
      <c r="R27" s="8">
        <f t="shared" si="9"/>
        <v>1.4184358906271761</v>
      </c>
      <c r="S27" s="9">
        <f t="shared" si="3"/>
        <v>1.6235112711113451</v>
      </c>
      <c r="T27" s="2">
        <v>0.42351127111134518</v>
      </c>
      <c r="V27">
        <v>6.8555954793435535E-3</v>
      </c>
      <c r="W27" s="8">
        <f t="shared" si="10"/>
        <v>2.1068555954793435</v>
      </c>
      <c r="X27" s="9">
        <f t="shared" si="11"/>
        <v>0.39789893359010797</v>
      </c>
      <c r="Y27">
        <v>-0.50210106640989205</v>
      </c>
      <c r="AA27" s="8">
        <f t="shared" si="0"/>
        <v>1.5475210198194382</v>
      </c>
      <c r="AB27" s="9">
        <f t="shared" si="1"/>
        <v>1.988527105737139</v>
      </c>
      <c r="AD27">
        <v>2.6</v>
      </c>
      <c r="AE27">
        <v>10</v>
      </c>
      <c r="AF27">
        <v>0</v>
      </c>
    </row>
    <row r="28" spans="1:32" x14ac:dyDescent="0.4">
      <c r="A28">
        <f t="shared" ca="1" si="2"/>
        <v>0.87006508858857279</v>
      </c>
      <c r="B28">
        <f t="shared" ca="1" si="4"/>
        <v>5.8058718738725128</v>
      </c>
      <c r="D28">
        <f t="shared" ca="1" si="12"/>
        <v>0.77281993291545781</v>
      </c>
      <c r="E28">
        <f t="shared" ca="1" si="13"/>
        <v>-0.39970315193802053</v>
      </c>
      <c r="H28">
        <f t="shared" ca="1" si="7"/>
        <v>0.99130277781213294</v>
      </c>
      <c r="I28">
        <f t="shared" ca="1" si="8"/>
        <v>-0.39970315193802053</v>
      </c>
      <c r="K28">
        <f t="array" aca="1" ref="K28:L28" ca="1">MMULT(H28:I28,TRANSPOSE($K$6:$L$7))</f>
        <v>-0.19985157596901021</v>
      </c>
      <c r="L28">
        <f ca="1"/>
        <v>-0.79304222224970644</v>
      </c>
      <c r="Q28">
        <v>0.32624667897093362</v>
      </c>
      <c r="R28" s="8">
        <f t="shared" si="9"/>
        <v>1.3262466789709335</v>
      </c>
      <c r="S28" s="9">
        <f t="shared" si="3"/>
        <v>1.7414785843068161</v>
      </c>
      <c r="T28" s="2">
        <v>0.54147858430681617</v>
      </c>
      <c r="V28">
        <v>0.43624003879666812</v>
      </c>
      <c r="W28" s="8">
        <f t="shared" si="10"/>
        <v>2.5362400387966684</v>
      </c>
      <c r="X28" s="9">
        <f t="shared" si="11"/>
        <v>0.3118133172079639</v>
      </c>
      <c r="Y28">
        <v>-0.58818668279203612</v>
      </c>
      <c r="AA28" s="8">
        <f t="shared" si="0"/>
        <v>0.92439257582626289</v>
      </c>
      <c r="AB28" s="9">
        <f t="shared" si="1"/>
        <v>1.4955044863607561</v>
      </c>
    </row>
    <row r="29" spans="1:32" x14ac:dyDescent="0.4">
      <c r="A29">
        <f t="shared" ca="1" si="2"/>
        <v>0.93735068092064655</v>
      </c>
      <c r="B29">
        <f t="shared" ca="1" si="4"/>
        <v>4.0405070184233152</v>
      </c>
      <c r="D29">
        <f t="shared" ca="1" si="12"/>
        <v>-0.58346331330797041</v>
      </c>
      <c r="E29">
        <f t="shared" ca="1" si="13"/>
        <v>-0.73361901627894366</v>
      </c>
      <c r="H29">
        <f t="shared" ca="1" si="7"/>
        <v>-0.11551398938480761</v>
      </c>
      <c r="I29">
        <f t="shared" ca="1" si="8"/>
        <v>-0.73361901627894366</v>
      </c>
      <c r="K29">
        <f t="array" aca="1" ref="K29:L29" ca="1">MMULT(H29:I29,TRANSPOSE($K$6:$L$7))</f>
        <v>-0.36680950813947183</v>
      </c>
      <c r="L29">
        <f ca="1"/>
        <v>9.2411191507846074E-2</v>
      </c>
      <c r="Q29">
        <v>0.32678662435024974</v>
      </c>
      <c r="R29" s="8">
        <f t="shared" si="9"/>
        <v>1.3267866243502497</v>
      </c>
      <c r="S29" s="9">
        <f t="shared" si="3"/>
        <v>1.5941465128407937</v>
      </c>
      <c r="T29" s="2">
        <v>0.39414651284079366</v>
      </c>
      <c r="V29">
        <v>4.149569867638242E-2</v>
      </c>
      <c r="W29" s="8">
        <f t="shared" si="10"/>
        <v>2.1414956986763825</v>
      </c>
      <c r="X29" s="9">
        <f t="shared" si="11"/>
        <v>0.47217073526774261</v>
      </c>
      <c r="Y29">
        <v>-0.42782926473225741</v>
      </c>
      <c r="AA29" s="8">
        <f t="shared" si="0"/>
        <v>1.2575421418265182</v>
      </c>
      <c r="AB29" s="9">
        <f t="shared" si="1"/>
        <v>1.1082189464280101</v>
      </c>
    </row>
    <row r="30" spans="1:32" x14ac:dyDescent="0.4">
      <c r="A30">
        <f t="shared" ca="1" si="2"/>
        <v>1.2177193983199497E-2</v>
      </c>
      <c r="B30">
        <f t="shared" ca="1" si="4"/>
        <v>5.5750531316820107</v>
      </c>
      <c r="D30">
        <f t="shared" ca="1" si="12"/>
        <v>9.249529424592267E-3</v>
      </c>
      <c r="E30">
        <f t="shared" ca="1" si="13"/>
        <v>-7.9202436028238347E-3</v>
      </c>
      <c r="H30">
        <f t="shared" ca="1" si="7"/>
        <v>0.65456548847340157</v>
      </c>
      <c r="I30">
        <f t="shared" ca="1" si="8"/>
        <v>-7.9202436028238347E-3</v>
      </c>
      <c r="K30">
        <f t="array" aca="1" ref="K30:L30" ca="1">MMULT(H30:I30,TRANSPOSE($K$6:$L$7))</f>
        <v>-3.9601218014118852E-3</v>
      </c>
      <c r="L30">
        <f ca="1"/>
        <v>-0.52365239077872128</v>
      </c>
      <c r="Q30">
        <v>-0.50193214001031272</v>
      </c>
      <c r="R30" s="8">
        <f t="shared" si="9"/>
        <v>0.49806785998968728</v>
      </c>
      <c r="S30" s="9">
        <f t="shared" si="3"/>
        <v>0.81700180498618402</v>
      </c>
      <c r="T30" s="2">
        <v>-0.38299819501381588</v>
      </c>
      <c r="V30">
        <v>3.8217461699717735E-4</v>
      </c>
      <c r="W30" s="8">
        <f t="shared" si="10"/>
        <v>2.1003821746169971</v>
      </c>
      <c r="X30" s="9">
        <f t="shared" si="11"/>
        <v>0.40764564293354183</v>
      </c>
      <c r="Y30">
        <v>-0.49235435706645819</v>
      </c>
      <c r="AA30" s="8">
        <f t="shared" si="0"/>
        <v>1.6370466154167505</v>
      </c>
      <c r="AB30" s="9">
        <f t="shared" si="1"/>
        <v>1.4640505434714333</v>
      </c>
    </row>
    <row r="31" spans="1:32" x14ac:dyDescent="0.4">
      <c r="A31">
        <f t="shared" ca="1" si="2"/>
        <v>0.63384904992351232</v>
      </c>
      <c r="B31">
        <f t="shared" ca="1" si="4"/>
        <v>1.1822349933230065</v>
      </c>
      <c r="D31">
        <f t="shared" ca="1" si="12"/>
        <v>0.24013839444302701</v>
      </c>
      <c r="E31">
        <f t="shared" ca="1" si="13"/>
        <v>0.5865988148669109</v>
      </c>
      <c r="H31">
        <f t="shared" ca="1" si="7"/>
        <v>0.82205275898683627</v>
      </c>
      <c r="I31">
        <f t="shared" ca="1" si="8"/>
        <v>0.5865988148669109</v>
      </c>
      <c r="K31">
        <f t="array" aca="1" ref="K31:L31" ca="1">MMULT(H31:I31,TRANSPOSE($K$6:$L$7))</f>
        <v>0.29329940743345551</v>
      </c>
      <c r="L31">
        <f ca="1"/>
        <v>-0.65764220718946909</v>
      </c>
      <c r="Q31">
        <v>0.40661070318132347</v>
      </c>
      <c r="R31" s="8">
        <f t="shared" si="9"/>
        <v>1.4066107031813235</v>
      </c>
      <c r="S31" s="9">
        <f t="shared" si="3"/>
        <v>1.9526890876792189</v>
      </c>
      <c r="T31" s="2">
        <v>0.75268908767921883</v>
      </c>
      <c r="V31">
        <v>7.5859320471072855E-2</v>
      </c>
      <c r="W31" s="8">
        <f t="shared" si="10"/>
        <v>2.1758593204710728</v>
      </c>
      <c r="X31" s="9">
        <f t="shared" si="11"/>
        <v>0.53778307126086689</v>
      </c>
      <c r="Y31">
        <v>-0.36221692873913308</v>
      </c>
      <c r="AA31" s="8">
        <f t="shared" si="0"/>
        <v>1.6006471645763307</v>
      </c>
      <c r="AB31" s="9">
        <f t="shared" si="1"/>
        <v>1.8210153581220738</v>
      </c>
    </row>
    <row r="32" spans="1:32" x14ac:dyDescent="0.4">
      <c r="A32">
        <f t="shared" ca="1" si="2"/>
        <v>0.35843706871976133</v>
      </c>
      <c r="B32">
        <f t="shared" ca="1" si="4"/>
        <v>1.8293299457832253</v>
      </c>
      <c r="D32">
        <f t="shared" ca="1" si="12"/>
        <v>-9.1639160850865806E-2</v>
      </c>
      <c r="E32">
        <f t="shared" ca="1" si="13"/>
        <v>0.34652474144130613</v>
      </c>
      <c r="H32">
        <f t="shared" ca="1" si="7"/>
        <v>0.55979722722156855</v>
      </c>
      <c r="I32">
        <f t="shared" ca="1" si="8"/>
        <v>0.34652474144130613</v>
      </c>
      <c r="K32">
        <f t="array" aca="1" ref="K32:L32" ca="1">MMULT(H32:I32,TRANSPOSE($K$6:$L$7))</f>
        <v>0.17326237072065309</v>
      </c>
      <c r="L32">
        <f ca="1"/>
        <v>-0.44783778177725486</v>
      </c>
      <c r="Q32">
        <v>0.67670418947134325</v>
      </c>
      <c r="R32" s="8">
        <f t="shared" si="9"/>
        <v>1.6767041894713433</v>
      </c>
      <c r="S32" s="9">
        <f t="shared" si="3"/>
        <v>2.0788794064700231</v>
      </c>
      <c r="T32" s="2">
        <v>0.87887940647002305</v>
      </c>
      <c r="V32">
        <v>-0.34032295096309895</v>
      </c>
      <c r="W32" s="8">
        <f t="shared" si="10"/>
        <v>1.7596770490369011</v>
      </c>
      <c r="X32" s="9">
        <f t="shared" si="11"/>
        <v>1.003361040744998</v>
      </c>
      <c r="Y32">
        <v>0.10336104074499805</v>
      </c>
      <c r="AA32" s="8">
        <f t="shared" si="0"/>
        <v>1.5295738218931554</v>
      </c>
      <c r="AB32" s="9">
        <f t="shared" si="1"/>
        <v>2.1524641630933847</v>
      </c>
    </row>
    <row r="33" spans="1:28" x14ac:dyDescent="0.4">
      <c r="A33">
        <f t="shared" ca="1" si="2"/>
        <v>0.81295879270703442</v>
      </c>
      <c r="B33">
        <f t="shared" ca="1" si="4"/>
        <v>0.5968474051695537</v>
      </c>
      <c r="D33">
        <f t="shared" ca="1" si="12"/>
        <v>0.67240764733254776</v>
      </c>
      <c r="E33">
        <f t="shared" ca="1" si="13"/>
        <v>0.45691350871733577</v>
      </c>
      <c r="H33">
        <f t="shared" ca="1" si="7"/>
        <v>0.97828352191385004</v>
      </c>
      <c r="I33">
        <f t="shared" ca="1" si="8"/>
        <v>0.45691350871733577</v>
      </c>
      <c r="K33">
        <f t="array" aca="1" ref="K33:L33" ca="1">MMULT(H33:I33,TRANSPOSE($K$6:$L$7))</f>
        <v>0.22845675435866794</v>
      </c>
      <c r="L33">
        <f ca="1"/>
        <v>-0.7826268175310801</v>
      </c>
      <c r="Q33">
        <v>0.83780528471288751</v>
      </c>
      <c r="R33" s="8">
        <f t="shared" si="9"/>
        <v>1.8378052847128874</v>
      </c>
      <c r="S33" s="9">
        <f t="shared" si="3"/>
        <v>2.0449781253916379</v>
      </c>
      <c r="T33" s="2">
        <v>0.84497812539163819</v>
      </c>
      <c r="V33">
        <v>0.19541630497542911</v>
      </c>
      <c r="W33" s="8">
        <f t="shared" si="10"/>
        <v>2.2954163049754293</v>
      </c>
      <c r="X33" s="9">
        <f t="shared" si="11"/>
        <v>0.11919501606859617</v>
      </c>
      <c r="Y33">
        <v>-0.78080498393140385</v>
      </c>
      <c r="AA33" s="8">
        <f t="shared" si="0"/>
        <v>1.2054184367955227</v>
      </c>
      <c r="AB33" s="9">
        <f t="shared" si="1"/>
        <v>1.1426050355572972</v>
      </c>
    </row>
    <row r="34" spans="1:28" x14ac:dyDescent="0.4">
      <c r="A34">
        <f t="shared" ca="1" si="2"/>
        <v>0.87923774667014343</v>
      </c>
      <c r="B34">
        <f t="shared" ca="1" si="4"/>
        <v>4.8523784336358178</v>
      </c>
      <c r="D34">
        <f t="shared" ca="1" si="12"/>
        <v>0.12268239130463815</v>
      </c>
      <c r="E34">
        <f t="shared" ca="1" si="13"/>
        <v>-0.87063657517552462</v>
      </c>
      <c r="H34">
        <f t="shared" ca="1" si="7"/>
        <v>0.74511333084567566</v>
      </c>
      <c r="I34">
        <f t="shared" ca="1" si="8"/>
        <v>-0.87063657517552462</v>
      </c>
      <c r="K34">
        <f t="array" aca="1" ref="K34:L34" ca="1">MMULT(H34:I34,TRANSPOSE($K$6:$L$7))</f>
        <v>-0.43531828758776225</v>
      </c>
      <c r="L34">
        <f ca="1"/>
        <v>-0.59609066467654059</v>
      </c>
      <c r="Q34">
        <v>0.16486527009506641</v>
      </c>
      <c r="R34" s="8">
        <f t="shared" si="9"/>
        <v>1.1648652700950664</v>
      </c>
      <c r="S34" s="9">
        <f t="shared" si="3"/>
        <v>0.99010310930192114</v>
      </c>
      <c r="T34" s="2">
        <v>-0.20989689069807885</v>
      </c>
      <c r="V34">
        <v>9.4563801324797931E-3</v>
      </c>
      <c r="W34" s="8">
        <f t="shared" si="10"/>
        <v>2.1094563801324799</v>
      </c>
      <c r="X34" s="9">
        <f t="shared" si="11"/>
        <v>0.39509409795425099</v>
      </c>
      <c r="Y34">
        <v>-0.50490590204574903</v>
      </c>
      <c r="AA34" s="8">
        <f t="shared" ref="AA34:AA65" si="14">R44</f>
        <v>1.6900064317629504</v>
      </c>
      <c r="AB34" s="9">
        <f t="shared" ref="AB34:AB65" si="15">S44</f>
        <v>1.8382677896619222</v>
      </c>
    </row>
    <row r="35" spans="1:28" x14ac:dyDescent="0.4">
      <c r="A35">
        <f t="shared" ca="1" si="2"/>
        <v>0.38477476159153212</v>
      </c>
      <c r="B35">
        <f t="shared" ca="1" si="4"/>
        <v>5.0478974426647039</v>
      </c>
      <c r="D35">
        <f t="shared" ca="1" si="12"/>
        <v>0.12668683028999847</v>
      </c>
      <c r="E35">
        <f t="shared" ca="1" si="13"/>
        <v>-0.36332088322706352</v>
      </c>
      <c r="H35">
        <f t="shared" ca="1" si="7"/>
        <v>0.74801190106638149</v>
      </c>
      <c r="I35">
        <f t="shared" ca="1" si="8"/>
        <v>-0.36332088322706352</v>
      </c>
      <c r="K35">
        <f t="array" aca="1" ref="K35:L35" ca="1">MMULT(H35:I35,TRANSPOSE($K$6:$L$7))</f>
        <v>-0.18166044161353173</v>
      </c>
      <c r="L35">
        <f ca="1"/>
        <v>-0.59840952085310517</v>
      </c>
      <c r="Q35">
        <v>0.76349743139855941</v>
      </c>
      <c r="R35" s="8">
        <f t="shared" si="9"/>
        <v>1.7634974313985594</v>
      </c>
      <c r="S35" s="9">
        <f t="shared" si="3"/>
        <v>2.0603942178571502</v>
      </c>
      <c r="T35" s="2">
        <v>0.86039421785715031</v>
      </c>
      <c r="V35">
        <v>-0.21294645499530895</v>
      </c>
      <c r="W35" s="8">
        <f t="shared" si="10"/>
        <v>1.887053545004691</v>
      </c>
      <c r="X35" s="9">
        <f t="shared" si="11"/>
        <v>0.5839207913165142</v>
      </c>
      <c r="Y35">
        <v>-0.31607920868348582</v>
      </c>
      <c r="AA35" s="8">
        <f t="shared" si="14"/>
        <v>1.5989291733582558</v>
      </c>
      <c r="AB35" s="9">
        <f t="shared" si="15"/>
        <v>1.7811018103661038</v>
      </c>
    </row>
    <row r="36" spans="1:28" x14ac:dyDescent="0.4">
      <c r="A36">
        <f t="shared" ca="1" si="2"/>
        <v>9.8223765237474892E-2</v>
      </c>
      <c r="B36">
        <f t="shared" ca="1" si="4"/>
        <v>2.8021371838465843</v>
      </c>
      <c r="D36">
        <f t="shared" ca="1" si="12"/>
        <v>-9.2618736041763378E-2</v>
      </c>
      <c r="E36">
        <f t="shared" ca="1" si="13"/>
        <v>3.2705928995409125E-2</v>
      </c>
      <c r="H36">
        <f t="shared" ca="1" si="7"/>
        <v>0.55880902987855174</v>
      </c>
      <c r="I36">
        <f t="shared" ca="1" si="8"/>
        <v>3.2705928995409125E-2</v>
      </c>
      <c r="K36">
        <f t="array" aca="1" ref="K36:L36" ca="1">MMULT(H36:I36,TRANSPOSE($K$6:$L$7))</f>
        <v>1.635296449770459E-2</v>
      </c>
      <c r="L36">
        <f ca="1"/>
        <v>-0.44704722390284141</v>
      </c>
      <c r="Q36">
        <v>0.84022508009433305</v>
      </c>
      <c r="R36" s="8">
        <f t="shared" si="9"/>
        <v>1.8402250800943332</v>
      </c>
      <c r="S36" s="9">
        <f t="shared" si="3"/>
        <v>2.0538122478064658</v>
      </c>
      <c r="T36" s="2">
        <v>0.85381224780646559</v>
      </c>
      <c r="V36">
        <v>0.13136195675640083</v>
      </c>
      <c r="W36" s="8">
        <f t="shared" si="10"/>
        <v>2.2313619567564009</v>
      </c>
      <c r="X36" s="9">
        <f t="shared" si="11"/>
        <v>0.23188668383434374</v>
      </c>
      <c r="Y36">
        <v>-0.66811331616565628</v>
      </c>
      <c r="AA36" s="8">
        <f t="shared" si="14"/>
        <v>1.4607404057961992</v>
      </c>
      <c r="AB36" s="9">
        <f t="shared" si="15"/>
        <v>1.2186531299826318</v>
      </c>
    </row>
    <row r="37" spans="1:28" x14ac:dyDescent="0.4">
      <c r="A37">
        <f t="shared" ca="1" si="2"/>
        <v>0.88520625703312139</v>
      </c>
      <c r="B37">
        <f t="shared" ca="1" si="4"/>
        <v>0.47946310913749146</v>
      </c>
      <c r="D37">
        <f t="shared" ca="1" si="12"/>
        <v>0.78539280720530347</v>
      </c>
      <c r="E37">
        <f t="shared" ca="1" si="13"/>
        <v>0.40834820420905688</v>
      </c>
      <c r="H37">
        <f t="shared" ca="1" si="7"/>
        <v>0.99245662512663402</v>
      </c>
      <c r="I37">
        <f t="shared" ca="1" si="8"/>
        <v>0.40834820420905688</v>
      </c>
      <c r="K37">
        <f t="array" aca="1" ref="K37:L37" ca="1">MMULT(H37:I37,TRANSPOSE($K$6:$L$7))</f>
        <v>0.20417410210452849</v>
      </c>
      <c r="L37">
        <f ca="1"/>
        <v>-0.79396530010130728</v>
      </c>
      <c r="Q37">
        <v>0.54752101981943835</v>
      </c>
      <c r="R37" s="8">
        <f t="shared" si="9"/>
        <v>1.5475210198194382</v>
      </c>
      <c r="S37" s="9">
        <f t="shared" si="3"/>
        <v>1.988527105737139</v>
      </c>
      <c r="T37" s="2">
        <v>0.78852710573713902</v>
      </c>
      <c r="V37">
        <v>-0.28388467834028414</v>
      </c>
      <c r="W37" s="8">
        <f t="shared" si="10"/>
        <v>1.8161153216597159</v>
      </c>
      <c r="X37" s="9">
        <f t="shared" si="11"/>
        <v>0.38997567549698964</v>
      </c>
      <c r="Y37">
        <v>-0.51002432450301038</v>
      </c>
      <c r="AA37" s="8">
        <f t="shared" si="14"/>
        <v>1.5389065231700982</v>
      </c>
      <c r="AB37" s="9">
        <f t="shared" si="15"/>
        <v>1.9834689977117874</v>
      </c>
    </row>
    <row r="38" spans="1:28" x14ac:dyDescent="0.4">
      <c r="A38">
        <f t="shared" ca="1" si="2"/>
        <v>0.87606863011862335</v>
      </c>
      <c r="B38">
        <f t="shared" ca="1" si="4"/>
        <v>1.9320709020187574</v>
      </c>
      <c r="D38">
        <f t="shared" ca="1" si="12"/>
        <v>-0.30966119078670462</v>
      </c>
      <c r="E38">
        <f t="shared" ca="1" si="13"/>
        <v>0.81951582754604646</v>
      </c>
      <c r="H38">
        <f t="shared" ca="1" si="7"/>
        <v>0.30601129505529157</v>
      </c>
      <c r="I38">
        <f t="shared" ca="1" si="8"/>
        <v>0.81951582754604646</v>
      </c>
      <c r="K38">
        <f t="array" aca="1" ref="K38:L38" ca="1">MMULT(H38:I38,TRANSPOSE($K$6:$L$7))</f>
        <v>0.40975791377302323</v>
      </c>
      <c r="L38">
        <f ca="1"/>
        <v>-0.24480903604423324</v>
      </c>
      <c r="Q38">
        <v>-7.5607424173737073E-2</v>
      </c>
      <c r="R38" s="8">
        <f t="shared" si="9"/>
        <v>0.92439257582626289</v>
      </c>
      <c r="S38" s="9">
        <f t="shared" si="3"/>
        <v>1.4955044863607561</v>
      </c>
      <c r="T38" s="2">
        <v>0.29550448636075616</v>
      </c>
      <c r="V38">
        <v>-0.11358967852600975</v>
      </c>
      <c r="W38" s="8">
        <f t="shared" si="10"/>
        <v>1.9864103214739903</v>
      </c>
      <c r="X38" s="9">
        <f t="shared" si="11"/>
        <v>0.82036841073343147</v>
      </c>
      <c r="Y38">
        <v>-7.9631589266568548E-2</v>
      </c>
      <c r="AA38" s="8">
        <f t="shared" si="14"/>
        <v>2.0125540573745102</v>
      </c>
      <c r="AB38" s="9">
        <f t="shared" si="15"/>
        <v>1.809050598653861</v>
      </c>
    </row>
    <row r="39" spans="1:28" x14ac:dyDescent="0.4">
      <c r="A39">
        <f t="shared" ca="1" si="2"/>
        <v>0.40258052805492406</v>
      </c>
      <c r="B39">
        <f t="shared" ca="1" si="4"/>
        <v>2.5276870818530899</v>
      </c>
      <c r="D39">
        <f t="shared" ca="1" si="12"/>
        <v>-0.32907109391300776</v>
      </c>
      <c r="E39">
        <f t="shared" ca="1" si="13"/>
        <v>0.23191226082266089</v>
      </c>
      <c r="H39">
        <f t="shared" ca="1" si="7"/>
        <v>0.28001153602768192</v>
      </c>
      <c r="I39">
        <f t="shared" ca="1" si="8"/>
        <v>0.23191226082266089</v>
      </c>
      <c r="K39">
        <f t="array" aca="1" ref="K39:L39" ca="1">MMULT(H39:I39,TRANSPOSE($K$6:$L$7))</f>
        <v>0.11595613041133046</v>
      </c>
      <c r="L39">
        <f ca="1"/>
        <v>-0.22400922882214555</v>
      </c>
      <c r="Q39">
        <v>0.25754214182651819</v>
      </c>
      <c r="R39" s="8">
        <f t="shared" si="9"/>
        <v>1.2575421418265182</v>
      </c>
      <c r="S39" s="9">
        <f t="shared" si="3"/>
        <v>1.1082189464280101</v>
      </c>
      <c r="T39" s="2">
        <v>-9.1781053571989818E-2</v>
      </c>
      <c r="V39">
        <v>-0.29817112372812127</v>
      </c>
      <c r="W39" s="8">
        <f t="shared" si="10"/>
        <v>1.8018288762718788</v>
      </c>
      <c r="X39" s="9">
        <f t="shared" si="11"/>
        <v>0.19562874569284994</v>
      </c>
      <c r="Y39">
        <v>-0.70437125430715009</v>
      </c>
      <c r="AA39" s="8">
        <f t="shared" si="14"/>
        <v>0.66610100255059446</v>
      </c>
      <c r="AB39" s="9">
        <f t="shared" si="15"/>
        <v>1.1305448827564544</v>
      </c>
    </row>
    <row r="40" spans="1:28" x14ac:dyDescent="0.4">
      <c r="A40">
        <f t="shared" ca="1" si="2"/>
        <v>0.54864580891916026</v>
      </c>
      <c r="B40">
        <f t="shared" ca="1" si="4"/>
        <v>0.78102027084081893</v>
      </c>
      <c r="D40">
        <f t="shared" ca="1" si="12"/>
        <v>0.38964585735996593</v>
      </c>
      <c r="E40">
        <f t="shared" ca="1" si="13"/>
        <v>0.38624905111440311</v>
      </c>
      <c r="H40">
        <f t="shared" ca="1" si="7"/>
        <v>0.89710133317654084</v>
      </c>
      <c r="I40">
        <f t="shared" ca="1" si="8"/>
        <v>0.38624905111440311</v>
      </c>
      <c r="K40">
        <f t="array" aca="1" ref="K40:L40" ca="1">MMULT(H40:I40,TRANSPOSE($K$6:$L$7))</f>
        <v>0.19312452555720161</v>
      </c>
      <c r="L40">
        <f ca="1"/>
        <v>-0.71768106654123276</v>
      </c>
      <c r="Q40">
        <v>0.63704661541675045</v>
      </c>
      <c r="R40" s="8">
        <f t="shared" si="9"/>
        <v>1.6370466154167505</v>
      </c>
      <c r="S40" s="9">
        <f t="shared" si="3"/>
        <v>1.4640505434714333</v>
      </c>
      <c r="T40" s="2">
        <v>0.26405054347143331</v>
      </c>
      <c r="V40">
        <v>1.9760051366225816E-3</v>
      </c>
      <c r="W40" s="8">
        <f t="shared" si="10"/>
        <v>2.1019760051366227</v>
      </c>
      <c r="X40" s="9">
        <f t="shared" si="11"/>
        <v>1.5055423554021989</v>
      </c>
      <c r="Y40">
        <v>0.60554235540219892</v>
      </c>
      <c r="AA40" s="8">
        <f t="shared" si="14"/>
        <v>1.0453214208214687</v>
      </c>
      <c r="AB40" s="9">
        <f t="shared" si="15"/>
        <v>0.82822049503658279</v>
      </c>
    </row>
    <row r="41" spans="1:28" x14ac:dyDescent="0.4">
      <c r="A41">
        <f t="shared" ca="1" si="2"/>
        <v>0.76408553478307706</v>
      </c>
      <c r="B41">
        <f t="shared" ca="1" si="4"/>
        <v>4.1152632937228049</v>
      </c>
      <c r="D41">
        <f t="shared" ca="1" si="12"/>
        <v>-0.42962074694247565</v>
      </c>
      <c r="E41">
        <f t="shared" ca="1" si="13"/>
        <v>-0.63186447776507437</v>
      </c>
      <c r="H41">
        <f t="shared" ca="1" si="7"/>
        <v>0.13601319122700561</v>
      </c>
      <c r="I41">
        <f t="shared" ca="1" si="8"/>
        <v>-0.63186447776507437</v>
      </c>
      <c r="K41">
        <f t="array" aca="1" ref="K41:L41" ca="1">MMULT(H41:I41,TRANSPOSE($K$6:$L$7))</f>
        <v>-0.31593223888253719</v>
      </c>
      <c r="L41">
        <f ca="1"/>
        <v>-0.10881055298160451</v>
      </c>
      <c r="Q41">
        <v>0.60064716457633072</v>
      </c>
      <c r="R41" s="8">
        <f t="shared" si="9"/>
        <v>1.6006471645763307</v>
      </c>
      <c r="S41" s="9">
        <f t="shared" si="3"/>
        <v>1.8210153581220738</v>
      </c>
      <c r="T41" s="2">
        <v>0.62101535812207387</v>
      </c>
      <c r="V41">
        <v>-0.41611926441105196</v>
      </c>
      <c r="W41" s="8">
        <f t="shared" si="10"/>
        <v>1.6838807355889482</v>
      </c>
      <c r="X41" s="9">
        <f t="shared" si="11"/>
        <v>0.24778424586418035</v>
      </c>
      <c r="Y41">
        <v>-0.65221575413581967</v>
      </c>
      <c r="AA41" s="8">
        <f t="shared" si="14"/>
        <v>0.88574502124289078</v>
      </c>
      <c r="AB41" s="9">
        <f t="shared" si="15"/>
        <v>1.2093537997030641</v>
      </c>
    </row>
    <row r="42" spans="1:28" x14ac:dyDescent="0.4">
      <c r="A42">
        <f t="shared" ca="1" si="2"/>
        <v>0.24321999075008338</v>
      </c>
      <c r="B42">
        <f t="shared" ca="1" si="4"/>
        <v>1.9672286072604719</v>
      </c>
      <c r="D42">
        <f t="shared" ca="1" si="12"/>
        <v>-9.3914482396066201E-2</v>
      </c>
      <c r="E42">
        <f t="shared" ca="1" si="13"/>
        <v>0.2243569341401099</v>
      </c>
      <c r="H42">
        <f t="shared" ca="1" si="7"/>
        <v>0.55749983542776993</v>
      </c>
      <c r="I42">
        <f t="shared" ca="1" si="8"/>
        <v>0.2243569341401099</v>
      </c>
      <c r="K42">
        <f t="array" aca="1" ref="K42:L42" ca="1">MMULT(H42:I42,TRANSPOSE($K$6:$L$7))</f>
        <v>0.11217846707005498</v>
      </c>
      <c r="L42">
        <f ca="1"/>
        <v>-0.44599986834221594</v>
      </c>
      <c r="Q42">
        <v>0.52957382189315538</v>
      </c>
      <c r="R42" s="8">
        <f t="shared" si="9"/>
        <v>1.5295738218931554</v>
      </c>
      <c r="S42" s="9">
        <f t="shared" si="3"/>
        <v>2.1524641630933847</v>
      </c>
      <c r="T42" s="2">
        <v>0.95246416309338477</v>
      </c>
      <c r="V42">
        <v>7.7878439727107465E-2</v>
      </c>
      <c r="W42" s="8">
        <f t="shared" si="10"/>
        <v>2.1778784397271074</v>
      </c>
      <c r="X42" s="9">
        <f t="shared" si="11"/>
        <v>0.37418086502593939</v>
      </c>
      <c r="Y42">
        <v>-0.52581913497406063</v>
      </c>
      <c r="AA42" s="8">
        <f t="shared" si="14"/>
        <v>0.70541618899252501</v>
      </c>
      <c r="AB42" s="9">
        <f t="shared" si="15"/>
        <v>0.86950705066881939</v>
      </c>
    </row>
    <row r="43" spans="1:28" x14ac:dyDescent="0.4">
      <c r="A43">
        <f t="shared" ca="1" si="2"/>
        <v>0.57323090534984156</v>
      </c>
      <c r="B43">
        <f t="shared" ca="1" si="4"/>
        <v>3.2011323491740615</v>
      </c>
      <c r="D43">
        <f t="shared" ca="1" si="12"/>
        <v>-0.57221516075409318</v>
      </c>
      <c r="E43">
        <f t="shared" ca="1" si="13"/>
        <v>-3.4109832180271554E-2</v>
      </c>
      <c r="H43">
        <f t="shared" ca="1" si="7"/>
        <v>-9.5809234797382459E-2</v>
      </c>
      <c r="I43">
        <f t="shared" ca="1" si="8"/>
        <v>-3.4109832180271554E-2</v>
      </c>
      <c r="K43">
        <f t="array" aca="1" ref="K43:L43" ca="1">MMULT(H43:I43,TRANSPOSE($K$6:$L$7))</f>
        <v>-1.7054916090135781E-2</v>
      </c>
      <c r="L43">
        <f ca="1"/>
        <v>7.6647387837905978E-2</v>
      </c>
      <c r="Q43">
        <v>0.20541843679552269</v>
      </c>
      <c r="R43" s="8">
        <f t="shared" si="9"/>
        <v>1.2054184367955227</v>
      </c>
      <c r="S43" s="9">
        <f t="shared" si="3"/>
        <v>1.1426050355572972</v>
      </c>
      <c r="T43" s="2">
        <v>-5.7394964442702756E-2</v>
      </c>
      <c r="V43">
        <v>-2.0671755021481594E-2</v>
      </c>
      <c r="W43" s="8">
        <f t="shared" si="10"/>
        <v>2.0793282449785186</v>
      </c>
      <c r="X43" s="9">
        <f t="shared" si="11"/>
        <v>0.38081019638452673</v>
      </c>
      <c r="Y43">
        <v>-0.51918980361547329</v>
      </c>
      <c r="AA43" s="8">
        <f t="shared" si="14"/>
        <v>1.4202531306851376</v>
      </c>
      <c r="AB43" s="9">
        <f t="shared" si="15"/>
        <v>1.7311102729081693</v>
      </c>
    </row>
    <row r="44" spans="1:28" x14ac:dyDescent="0.4">
      <c r="A44">
        <f t="shared" ref="A44:A75" ca="1" si="16">RAND()^($B$1/2)</f>
        <v>0.31877600638515313</v>
      </c>
      <c r="B44">
        <f t="shared" ca="1" si="4"/>
        <v>1.2073592659043011</v>
      </c>
      <c r="D44">
        <f t="shared" ca="1" si="12"/>
        <v>0.11332132565223019</v>
      </c>
      <c r="E44">
        <f t="shared" ca="1" si="13"/>
        <v>0.29795372023065664</v>
      </c>
      <c r="H44">
        <f t="shared" ca="1" si="7"/>
        <v>0.73825965847014552</v>
      </c>
      <c r="I44">
        <f t="shared" ca="1" si="8"/>
        <v>0.29795372023065664</v>
      </c>
      <c r="K44">
        <f t="array" aca="1" ref="K44:L44" ca="1">MMULT(H44:I44,TRANSPOSE($K$6:$L$7))</f>
        <v>0.14897686011532835</v>
      </c>
      <c r="L44">
        <f ca="1"/>
        <v>-0.59060772677611639</v>
      </c>
      <c r="Q44">
        <v>0.6900064317629504</v>
      </c>
      <c r="R44" s="8">
        <f t="shared" si="9"/>
        <v>1.6900064317629504</v>
      </c>
      <c r="S44" s="9">
        <f t="shared" ref="S44:S75" si="17">T44+T$1</f>
        <v>1.8382677896619222</v>
      </c>
      <c r="T44" s="2">
        <v>0.6382677896619221</v>
      </c>
      <c r="V44">
        <v>1.0770108605236101E-2</v>
      </c>
      <c r="W44" s="8">
        <f t="shared" si="10"/>
        <v>2.1107701086052364</v>
      </c>
      <c r="X44" s="9">
        <f t="shared" si="11"/>
        <v>0.41943878676440499</v>
      </c>
      <c r="Y44">
        <v>-0.48056121323559503</v>
      </c>
      <c r="AA44" s="8">
        <f t="shared" si="14"/>
        <v>0.59833644268650699</v>
      </c>
      <c r="AB44" s="9">
        <f t="shared" si="15"/>
        <v>1.080307872107342</v>
      </c>
    </row>
    <row r="45" spans="1:28" x14ac:dyDescent="0.4">
      <c r="A45">
        <f t="shared" ca="1" si="16"/>
        <v>0.3958391653582799</v>
      </c>
      <c r="B45">
        <f t="shared" ca="1" si="4"/>
        <v>2.4780770264623277</v>
      </c>
      <c r="D45">
        <f t="shared" ca="1" si="12"/>
        <v>-0.31185470736887594</v>
      </c>
      <c r="E45">
        <f t="shared" ca="1" si="13"/>
        <v>0.24379353216074542</v>
      </c>
      <c r="H45">
        <f t="shared" ca="1" si="7"/>
        <v>0.30310178591890968</v>
      </c>
      <c r="I45">
        <f t="shared" ca="1" si="8"/>
        <v>0.24379353216074542</v>
      </c>
      <c r="K45">
        <f t="array" aca="1" ref="K45:L45" ca="1">MMULT(H45:I45,TRANSPOSE($K$6:$L$7))</f>
        <v>0.12189676608037273</v>
      </c>
      <c r="L45">
        <f ca="1"/>
        <v>-0.24248142873512776</v>
      </c>
      <c r="Q45">
        <v>0.59892917335825591</v>
      </c>
      <c r="R45" s="8">
        <f t="shared" si="9"/>
        <v>1.5989291733582558</v>
      </c>
      <c r="S45" s="9">
        <f t="shared" si="17"/>
        <v>1.7811018103661038</v>
      </c>
      <c r="T45" s="2">
        <v>0.58110181036610387</v>
      </c>
      <c r="V45">
        <v>4.1906169866470187E-2</v>
      </c>
      <c r="W45" s="8">
        <f t="shared" si="10"/>
        <v>2.1419061698664703</v>
      </c>
      <c r="X45" s="9">
        <f t="shared" si="11"/>
        <v>0.47959886580217576</v>
      </c>
      <c r="Y45">
        <v>-0.42040113419782427</v>
      </c>
      <c r="AA45" s="8">
        <f t="shared" si="14"/>
        <v>1.5940372777495746</v>
      </c>
      <c r="AB45" s="9">
        <f t="shared" si="15"/>
        <v>1.8209927654792306</v>
      </c>
    </row>
    <row r="46" spans="1:28" x14ac:dyDescent="0.4">
      <c r="A46">
        <f t="shared" ca="1" si="16"/>
        <v>0.50801458687567713</v>
      </c>
      <c r="B46">
        <f t="shared" ca="1" si="4"/>
        <v>2.7861547514424809</v>
      </c>
      <c r="D46">
        <f t="shared" ca="1" si="12"/>
        <v>-0.47626072279609755</v>
      </c>
      <c r="E46">
        <f t="shared" ca="1" si="13"/>
        <v>0.17678954833418076</v>
      </c>
      <c r="H46">
        <f t="shared" ca="1" si="7"/>
        <v>6.3812863884078586E-2</v>
      </c>
      <c r="I46">
        <f t="shared" ca="1" si="8"/>
        <v>0.17678954833418076</v>
      </c>
      <c r="K46">
        <f t="array" aca="1" ref="K46:L46" ca="1">MMULT(H46:I46,TRANSPOSE($K$6:$L$7))</f>
        <v>8.8394774167090379E-2</v>
      </c>
      <c r="L46">
        <f ca="1"/>
        <v>-5.1050291107262863E-2</v>
      </c>
      <c r="Q46">
        <v>0.46074040579619935</v>
      </c>
      <c r="R46" s="8">
        <f t="shared" si="9"/>
        <v>1.4607404057961992</v>
      </c>
      <c r="S46" s="9">
        <f t="shared" si="17"/>
        <v>1.2186531299826318</v>
      </c>
      <c r="T46" s="2">
        <v>1.8653129982631717E-2</v>
      </c>
      <c r="V46">
        <v>-0.12094259446534922</v>
      </c>
      <c r="W46" s="8">
        <f t="shared" si="10"/>
        <v>1.9790574055346508</v>
      </c>
      <c r="X46" s="9">
        <f t="shared" si="11"/>
        <v>0.21838872479609794</v>
      </c>
      <c r="Y46">
        <v>-0.68161127520390208</v>
      </c>
      <c r="AA46" s="8">
        <f t="shared" si="14"/>
        <v>1.593379632236835</v>
      </c>
      <c r="AB46" s="9">
        <f t="shared" si="15"/>
        <v>1.704108057370417</v>
      </c>
    </row>
    <row r="47" spans="1:28" x14ac:dyDescent="0.4">
      <c r="A47">
        <f t="shared" ca="1" si="16"/>
        <v>0.529308711562824</v>
      </c>
      <c r="B47">
        <f t="shared" ca="1" si="4"/>
        <v>1.5531714284412608</v>
      </c>
      <c r="D47">
        <f t="shared" ca="1" si="12"/>
        <v>9.3285292570293148E-3</v>
      </c>
      <c r="E47">
        <f t="shared" ca="1" si="13"/>
        <v>0.529226502244736</v>
      </c>
      <c r="H47">
        <f t="shared" ca="1" si="7"/>
        <v>0.65463434445020896</v>
      </c>
      <c r="I47">
        <f t="shared" ca="1" si="8"/>
        <v>0.529226502244736</v>
      </c>
      <c r="K47">
        <f t="array" aca="1" ref="K47:L47" ca="1">MMULT(H47:I47,TRANSPOSE($K$6:$L$7))</f>
        <v>0.26461325112236805</v>
      </c>
      <c r="L47">
        <f ca="1"/>
        <v>-0.52370747556016717</v>
      </c>
      <c r="Q47">
        <v>0.53890652317009813</v>
      </c>
      <c r="R47" s="8">
        <f t="shared" si="9"/>
        <v>1.5389065231700982</v>
      </c>
      <c r="S47" s="9">
        <f t="shared" si="17"/>
        <v>1.9834689977117874</v>
      </c>
      <c r="T47" s="2">
        <v>0.78346899771178746</v>
      </c>
      <c r="V47">
        <v>5.3269460850436989E-2</v>
      </c>
      <c r="W47" s="8">
        <f t="shared" si="10"/>
        <v>2.1532694608504372</v>
      </c>
      <c r="X47" s="9">
        <f t="shared" si="11"/>
        <v>0.2378629245778261</v>
      </c>
      <c r="Y47">
        <v>-0.66213707542217393</v>
      </c>
      <c r="AA47" s="8">
        <f t="shared" si="14"/>
        <v>1.4292323369091862</v>
      </c>
      <c r="AB47" s="9">
        <f t="shared" si="15"/>
        <v>1.9426933640562123</v>
      </c>
    </row>
    <row r="48" spans="1:28" x14ac:dyDescent="0.4">
      <c r="A48">
        <f t="shared" ca="1" si="16"/>
        <v>0.49224204444829345</v>
      </c>
      <c r="B48">
        <f t="shared" ca="1" si="4"/>
        <v>3.4305829933809049</v>
      </c>
      <c r="D48">
        <f t="shared" ca="1" si="12"/>
        <v>-0.47182980137248659</v>
      </c>
      <c r="E48">
        <f t="shared" ca="1" si="13"/>
        <v>-0.14028139170765158</v>
      </c>
      <c r="H48">
        <f t="shared" ca="1" si="7"/>
        <v>7.0821853475883656E-2</v>
      </c>
      <c r="I48">
        <f t="shared" ca="1" si="8"/>
        <v>-0.14028139170765158</v>
      </c>
      <c r="K48">
        <f t="array" aca="1" ref="K48:L48" ca="1">MMULT(H48:I48,TRANSPOSE($K$6:$L$7))</f>
        <v>-7.0140695853825791E-2</v>
      </c>
      <c r="L48">
        <f ca="1"/>
        <v>-5.6657482780706932E-2</v>
      </c>
      <c r="Q48">
        <v>1.0125540573745102</v>
      </c>
      <c r="R48" s="8">
        <f t="shared" si="9"/>
        <v>2.0125540573745102</v>
      </c>
      <c r="S48" s="9">
        <f t="shared" si="17"/>
        <v>1.809050598653861</v>
      </c>
      <c r="T48" s="2">
        <v>0.60905059865386102</v>
      </c>
      <c r="V48">
        <v>-5.235093646834753E-3</v>
      </c>
      <c r="W48" s="8">
        <f t="shared" si="10"/>
        <v>2.0947649063531655</v>
      </c>
      <c r="X48" s="9">
        <f t="shared" si="11"/>
        <v>0.41973656529673481</v>
      </c>
      <c r="Y48">
        <v>-0.48026343470326521</v>
      </c>
      <c r="AA48" s="8">
        <f t="shared" si="14"/>
        <v>0.73054312289269507</v>
      </c>
      <c r="AB48" s="9">
        <f t="shared" si="15"/>
        <v>0.63628087299623082</v>
      </c>
    </row>
    <row r="49" spans="1:35" x14ac:dyDescent="0.4">
      <c r="A49">
        <f t="shared" ca="1" si="16"/>
        <v>0.46101096022122312</v>
      </c>
      <c r="B49">
        <f t="shared" ca="1" si="4"/>
        <v>0.41202152474761272</v>
      </c>
      <c r="D49">
        <f t="shared" ca="1" si="12"/>
        <v>0.42243040551789562</v>
      </c>
      <c r="E49">
        <f t="shared" ca="1" si="13"/>
        <v>0.18461759921004395</v>
      </c>
      <c r="H49">
        <f t="shared" ca="1" si="7"/>
        <v>0.91036743762362804</v>
      </c>
      <c r="I49">
        <f t="shared" ca="1" si="8"/>
        <v>0.18461759921004395</v>
      </c>
      <c r="K49">
        <f t="array" aca="1" ref="K49:L49" ca="1">MMULT(H49:I49,TRANSPOSE($K$6:$L$7))</f>
        <v>9.2308799605022016E-2</v>
      </c>
      <c r="L49">
        <f ca="1"/>
        <v>-0.72829395009890252</v>
      </c>
      <c r="Q49">
        <v>-0.33389899744940549</v>
      </c>
      <c r="R49" s="8">
        <f t="shared" si="9"/>
        <v>0.66610100255059446</v>
      </c>
      <c r="S49" s="9">
        <f t="shared" si="17"/>
        <v>1.1305448827564544</v>
      </c>
      <c r="T49" s="2">
        <v>-6.9455117243545583E-2</v>
      </c>
      <c r="V49">
        <v>0.33050100123052784</v>
      </c>
      <c r="W49" s="8">
        <f t="shared" si="10"/>
        <v>2.4305010012305281</v>
      </c>
      <c r="X49" s="9">
        <f t="shared" si="11"/>
        <v>0.3129118657703932</v>
      </c>
      <c r="Y49">
        <v>-0.58708813422960682</v>
      </c>
      <c r="AA49" s="8">
        <f t="shared" si="14"/>
        <v>1.5876394070760136</v>
      </c>
      <c r="AB49" s="9">
        <f t="shared" si="15"/>
        <v>1.926137794853761</v>
      </c>
    </row>
    <row r="50" spans="1:35" x14ac:dyDescent="0.4">
      <c r="A50">
        <f t="shared" ca="1" si="16"/>
        <v>0.78946927363760266</v>
      </c>
      <c r="B50">
        <f t="shared" ca="1" si="4"/>
        <v>2.0051559146226761</v>
      </c>
      <c r="D50">
        <f t="shared" ca="1" si="12"/>
        <v>-0.33223199472422882</v>
      </c>
      <c r="E50">
        <f t="shared" ca="1" si="13"/>
        <v>0.71615894583496198</v>
      </c>
      <c r="H50">
        <f t="shared" ca="1" si="7"/>
        <v>0.27572306507110822</v>
      </c>
      <c r="I50">
        <f t="shared" ca="1" si="8"/>
        <v>0.71615894583496198</v>
      </c>
      <c r="K50">
        <f t="array" aca="1" ref="K50:L50" ca="1">MMULT(H50:I50,TRANSPOSE($K$6:$L$7))</f>
        <v>0.35807947291748099</v>
      </c>
      <c r="L50">
        <f ca="1"/>
        <v>-0.22057845205688656</v>
      </c>
      <c r="Q50">
        <v>4.53214208214687E-2</v>
      </c>
      <c r="R50" s="8">
        <f t="shared" si="9"/>
        <v>1.0453214208214687</v>
      </c>
      <c r="S50" s="9">
        <f t="shared" si="17"/>
        <v>0.82822049503658279</v>
      </c>
      <c r="T50" s="2">
        <v>-0.37177950496341716</v>
      </c>
      <c r="V50">
        <v>-0.44548289990736761</v>
      </c>
      <c r="W50" s="8">
        <f t="shared" si="10"/>
        <v>1.6545171000926324</v>
      </c>
      <c r="X50" s="9">
        <f t="shared" si="11"/>
        <v>0.3568410760256423</v>
      </c>
      <c r="Y50">
        <v>-0.54315892397435772</v>
      </c>
      <c r="AA50" s="8">
        <f t="shared" si="14"/>
        <v>1.4319767927832183</v>
      </c>
      <c r="AB50" s="9">
        <f t="shared" si="15"/>
        <v>1.6878806927880148</v>
      </c>
    </row>
    <row r="51" spans="1:35" x14ac:dyDescent="0.4">
      <c r="A51">
        <f t="shared" ca="1" si="16"/>
        <v>0.85319282495583504</v>
      </c>
      <c r="B51">
        <f t="shared" ca="1" si="4"/>
        <v>1.71428963722839</v>
      </c>
      <c r="D51">
        <f t="shared" ca="1" si="12"/>
        <v>-0.12200775823714571</v>
      </c>
      <c r="E51">
        <f t="shared" ca="1" si="13"/>
        <v>0.84442412535766909</v>
      </c>
      <c r="H51">
        <f t="shared" ca="1" si="7"/>
        <v>0.52854021233866688</v>
      </c>
      <c r="I51">
        <f t="shared" ca="1" si="8"/>
        <v>0.84442412535766909</v>
      </c>
      <c r="K51">
        <f t="array" aca="1" ref="K51:L51" ca="1">MMULT(H51:I51,TRANSPOSE($K$6:$L$7))</f>
        <v>0.42221206267883454</v>
      </c>
      <c r="L51">
        <f ca="1"/>
        <v>-0.42283216987093353</v>
      </c>
      <c r="Q51">
        <v>-0.11425497875710923</v>
      </c>
      <c r="R51" s="8">
        <f t="shared" si="9"/>
        <v>0.88574502124289078</v>
      </c>
      <c r="S51" s="9">
        <f t="shared" si="17"/>
        <v>1.2093537997030641</v>
      </c>
      <c r="T51" s="2">
        <v>9.3537997030641931E-3</v>
      </c>
      <c r="V51">
        <v>-1.218933158658142E-2</v>
      </c>
      <c r="W51" s="8">
        <f t="shared" si="10"/>
        <v>2.0878106684134186</v>
      </c>
      <c r="X51" s="9">
        <f t="shared" si="11"/>
        <v>1.0327932862823133</v>
      </c>
      <c r="Y51">
        <v>0.13279328628231327</v>
      </c>
      <c r="AA51" s="8">
        <f t="shared" si="14"/>
        <v>0.67547965402606425</v>
      </c>
      <c r="AB51" s="9">
        <f t="shared" si="15"/>
        <v>0.69968294462713432</v>
      </c>
    </row>
    <row r="52" spans="1:35" x14ac:dyDescent="0.4">
      <c r="A52">
        <f t="shared" ca="1" si="16"/>
        <v>0.18943841732635736</v>
      </c>
      <c r="B52">
        <f t="shared" ca="1" si="4"/>
        <v>5.5661524043148702</v>
      </c>
      <c r="D52">
        <f t="shared" ca="1" si="12"/>
        <v>0.1427908883864801</v>
      </c>
      <c r="E52">
        <f t="shared" ca="1" si="13"/>
        <v>-0.12448966283557406</v>
      </c>
      <c r="H52">
        <f t="shared" ca="1" si="7"/>
        <v>0.75946850355697737</v>
      </c>
      <c r="I52">
        <f t="shared" ca="1" si="8"/>
        <v>-0.12448966283557406</v>
      </c>
      <c r="K52">
        <f t="array" aca="1" ref="K52:L52" ca="1">MMULT(H52:I52,TRANSPOSE($K$6:$L$7))</f>
        <v>-6.2244831417786993E-2</v>
      </c>
      <c r="L52">
        <f ca="1"/>
        <v>-0.60757480284558196</v>
      </c>
      <c r="Q52">
        <v>-0.29458381100747494</v>
      </c>
      <c r="R52" s="8">
        <f t="shared" si="9"/>
        <v>0.70541618899252501</v>
      </c>
      <c r="S52" s="9">
        <f t="shared" si="17"/>
        <v>0.86950705066881939</v>
      </c>
      <c r="T52" s="2">
        <v>-0.33049294933118056</v>
      </c>
      <c r="V52">
        <v>-0.28391262477737311</v>
      </c>
      <c r="W52" s="8">
        <f t="shared" si="10"/>
        <v>1.816087375222627</v>
      </c>
      <c r="X52" s="9">
        <f t="shared" si="11"/>
        <v>0.13001455982560384</v>
      </c>
      <c r="Y52">
        <v>-0.76998544017439619</v>
      </c>
      <c r="AA52" s="8">
        <f t="shared" si="14"/>
        <v>1.4222967969345894</v>
      </c>
      <c r="AB52" s="9">
        <f t="shared" si="15"/>
        <v>1.5444628939825586</v>
      </c>
    </row>
    <row r="53" spans="1:35" x14ac:dyDescent="0.4">
      <c r="A53">
        <f t="shared" ca="1" si="16"/>
        <v>0.66569241985337624</v>
      </c>
      <c r="B53">
        <f t="shared" ca="1" si="4"/>
        <v>5.5426981148378891</v>
      </c>
      <c r="D53">
        <f t="shared" ca="1" si="12"/>
        <v>0.49137417829031399</v>
      </c>
      <c r="E53">
        <f t="shared" ca="1" si="13"/>
        <v>-0.44910779859601913</v>
      </c>
      <c r="H53">
        <f t="shared" ca="1" si="7"/>
        <v>0.93476945339913942</v>
      </c>
      <c r="I53">
        <f t="shared" ca="1" si="8"/>
        <v>-0.44910779859601913</v>
      </c>
      <c r="K53">
        <f t="array" aca="1" ref="K53:L53" ca="1">MMULT(H53:I53,TRANSPOSE($K$6:$L$7))</f>
        <v>-0.22455389929800951</v>
      </c>
      <c r="L53">
        <f ca="1"/>
        <v>-0.7478155627193116</v>
      </c>
      <c r="Q53">
        <v>0.42025313068513759</v>
      </c>
      <c r="R53" s="8">
        <f t="shared" si="9"/>
        <v>1.4202531306851376</v>
      </c>
      <c r="S53" s="9">
        <f t="shared" si="17"/>
        <v>1.7311102729081693</v>
      </c>
      <c r="T53" s="2">
        <v>0.53111027290816937</v>
      </c>
      <c r="V53">
        <v>-0.35211656366706073</v>
      </c>
      <c r="W53" s="8">
        <f t="shared" si="10"/>
        <v>1.7478834363329394</v>
      </c>
      <c r="X53" s="9">
        <f t="shared" si="11"/>
        <v>0.83178318204745438</v>
      </c>
      <c r="Y53">
        <v>-6.8216817952545694E-2</v>
      </c>
      <c r="AA53" s="8">
        <f t="shared" si="14"/>
        <v>1.5672228850657799</v>
      </c>
      <c r="AB53" s="9">
        <f t="shared" si="15"/>
        <v>2.2407920002449089</v>
      </c>
      <c r="AE53" t="s">
        <v>26</v>
      </c>
      <c r="AF53" t="s">
        <v>27</v>
      </c>
    </row>
    <row r="54" spans="1:35" x14ac:dyDescent="0.4">
      <c r="A54">
        <f t="shared" ca="1" si="16"/>
        <v>0.77470500412823262</v>
      </c>
      <c r="B54">
        <f t="shared" ca="1" si="4"/>
        <v>0.27754158240794058</v>
      </c>
      <c r="D54">
        <f t="shared" ca="1" si="12"/>
        <v>0.7450585395712267</v>
      </c>
      <c r="E54">
        <f t="shared" ca="1" si="13"/>
        <v>0.21226308212526204</v>
      </c>
      <c r="H54">
        <f t="shared" ca="1" si="7"/>
        <v>0.98839737703375063</v>
      </c>
      <c r="I54">
        <f t="shared" ca="1" si="8"/>
        <v>0.21226308212526204</v>
      </c>
      <c r="K54">
        <f t="array" aca="1" ref="K54:L54" ca="1">MMULT(H54:I54,TRANSPOSE($K$6:$L$7))</f>
        <v>0.10613154106263106</v>
      </c>
      <c r="L54">
        <f ca="1"/>
        <v>-0.79071790162700051</v>
      </c>
      <c r="Q54">
        <v>-0.40166355731349301</v>
      </c>
      <c r="R54" s="8">
        <f t="shared" si="9"/>
        <v>0.59833644268650699</v>
      </c>
      <c r="S54" s="9">
        <f t="shared" si="17"/>
        <v>1.080307872107342</v>
      </c>
      <c r="T54" s="2">
        <v>-0.11969212789265787</v>
      </c>
      <c r="V54">
        <v>0.34517442443442048</v>
      </c>
      <c r="W54" s="8">
        <f t="shared" si="10"/>
        <v>2.4451744244344207</v>
      </c>
      <c r="X54" s="9">
        <f t="shared" si="11"/>
        <v>0.13172313849205397</v>
      </c>
      <c r="Y54">
        <v>-0.76827686150794605</v>
      </c>
      <c r="AA54" s="8">
        <f t="shared" si="14"/>
        <v>1.5686553338018536</v>
      </c>
      <c r="AB54" s="9">
        <f t="shared" si="15"/>
        <v>1.6092098002124726</v>
      </c>
      <c r="AD54" t="s">
        <v>32</v>
      </c>
      <c r="AE54">
        <f>MAX(AA$2:AA$201)</f>
        <v>2.5721347939533721</v>
      </c>
      <c r="AF54">
        <f>MAX(AB$2:AB$201)</f>
        <v>2.2407920002449089</v>
      </c>
      <c r="AH54" t="s">
        <v>31</v>
      </c>
      <c r="AI54">
        <f>CORREL(AA2:AA201,AB2:AB201)</f>
        <v>-0.44800521799519161</v>
      </c>
    </row>
    <row r="55" spans="1:35" x14ac:dyDescent="0.4">
      <c r="A55">
        <f t="shared" ca="1" si="16"/>
        <v>0.50427552476184734</v>
      </c>
      <c r="B55">
        <f t="shared" ca="1" si="4"/>
        <v>2.5851430523068757</v>
      </c>
      <c r="D55">
        <f t="shared" ca="1" si="12"/>
        <v>-0.42819834561176273</v>
      </c>
      <c r="E55">
        <f t="shared" ca="1" si="13"/>
        <v>0.26634560572531674</v>
      </c>
      <c r="H55">
        <f t="shared" ca="1" si="7"/>
        <v>0.13816064728087207</v>
      </c>
      <c r="I55">
        <f t="shared" ca="1" si="8"/>
        <v>0.26634560572531674</v>
      </c>
      <c r="K55">
        <f t="array" aca="1" ref="K55:L55" ca="1">MMULT(H55:I55,TRANSPOSE($K$6:$L$7))</f>
        <v>0.13317280286265837</v>
      </c>
      <c r="L55">
        <f ca="1"/>
        <v>-0.11052851782469765</v>
      </c>
      <c r="Q55">
        <v>0.5940372777495746</v>
      </c>
      <c r="R55" s="8">
        <f t="shared" si="9"/>
        <v>1.5940372777495746</v>
      </c>
      <c r="S55" s="9">
        <f t="shared" si="17"/>
        <v>1.8209927654792306</v>
      </c>
      <c r="T55" s="2">
        <v>0.62099276547923077</v>
      </c>
      <c r="V55">
        <v>0.24335614692566065</v>
      </c>
      <c r="W55" s="8">
        <f t="shared" si="10"/>
        <v>2.343356146925661</v>
      </c>
      <c r="X55" s="9">
        <f t="shared" si="11"/>
        <v>0.68704415609804625</v>
      </c>
      <c r="Y55">
        <v>-0.21295584390195382</v>
      </c>
      <c r="AA55" s="8">
        <f t="shared" si="14"/>
        <v>1.3118616126942275</v>
      </c>
      <c r="AB55" s="9">
        <f t="shared" si="15"/>
        <v>1.4578026742953047</v>
      </c>
      <c r="AD55" t="s">
        <v>28</v>
      </c>
      <c r="AE55">
        <f>_xlfn.QUARTILE.EXC(AA$2:AA$201,3)</f>
        <v>2.1007270632064223</v>
      </c>
      <c r="AF55">
        <f>_xlfn.QUARTILE.EXC(AB$2:AB$201,3)</f>
        <v>1.7394627142990524</v>
      </c>
      <c r="AH55" t="s">
        <v>35</v>
      </c>
      <c r="AI55">
        <f>_xlfn.COVARIANCE.P(AA2:AA201,AB2:AB201)</f>
        <v>-0.14041792662890468</v>
      </c>
    </row>
    <row r="56" spans="1:35" x14ac:dyDescent="0.4">
      <c r="A56">
        <f t="shared" ca="1" si="16"/>
        <v>0.96282824641273845</v>
      </c>
      <c r="B56">
        <f t="shared" ca="1" si="4"/>
        <v>3.9003561378719942</v>
      </c>
      <c r="D56">
        <f t="shared" ca="1" si="12"/>
        <v>-0.69871224840432244</v>
      </c>
      <c r="E56">
        <f t="shared" ca="1" si="13"/>
        <v>-0.66244956488777718</v>
      </c>
      <c r="H56">
        <f t="shared" ca="1" si="7"/>
        <v>-0.32970270456785622</v>
      </c>
      <c r="I56">
        <f t="shared" ca="1" si="8"/>
        <v>-0.66244956488777718</v>
      </c>
      <c r="K56">
        <f t="array" aca="1" ref="K56:L56" ca="1">MMULT(H56:I56,TRANSPOSE($K$6:$L$7))</f>
        <v>-0.33122478244388859</v>
      </c>
      <c r="L56">
        <f ca="1"/>
        <v>0.26376216365428501</v>
      </c>
      <c r="Q56">
        <v>0.5933796322368351</v>
      </c>
      <c r="R56" s="8">
        <f t="shared" si="9"/>
        <v>1.593379632236835</v>
      </c>
      <c r="S56" s="9">
        <f t="shared" si="17"/>
        <v>1.704108057370417</v>
      </c>
      <c r="T56" s="2">
        <v>0.5041080573704172</v>
      </c>
      <c r="V56">
        <v>-1.2141263615915845E-2</v>
      </c>
      <c r="W56" s="8">
        <f t="shared" si="10"/>
        <v>2.0878587363840841</v>
      </c>
      <c r="X56" s="9">
        <f t="shared" si="11"/>
        <v>1.1537191289024311</v>
      </c>
      <c r="Y56">
        <v>0.25371912890243103</v>
      </c>
      <c r="AA56" s="8">
        <f t="shared" si="14"/>
        <v>1.5787898913536158</v>
      </c>
      <c r="AB56" s="9">
        <f t="shared" si="15"/>
        <v>2.0121533846112989</v>
      </c>
      <c r="AD56" t="s">
        <v>29</v>
      </c>
      <c r="AE56">
        <f>MEDIAN(AA$2:AA$201)</f>
        <v>1.8184284887049222</v>
      </c>
      <c r="AF56">
        <f>MEDIAN(AB$2:AB$201)</f>
        <v>1.0180771635136556</v>
      </c>
    </row>
    <row r="57" spans="1:35" x14ac:dyDescent="0.4">
      <c r="A57">
        <f t="shared" ca="1" si="16"/>
        <v>0.72958488486328843</v>
      </c>
      <c r="B57">
        <f t="shared" ca="1" si="4"/>
        <v>2.0880508737513015</v>
      </c>
      <c r="D57">
        <f t="shared" ca="1" si="12"/>
        <v>-0.36077659667428236</v>
      </c>
      <c r="E57">
        <f t="shared" ca="1" si="13"/>
        <v>0.63414064016833049</v>
      </c>
      <c r="H57">
        <f t="shared" ca="1" si="7"/>
        <v>0.2363012405539644</v>
      </c>
      <c r="I57">
        <f t="shared" ca="1" si="8"/>
        <v>0.63414064016833049</v>
      </c>
      <c r="K57">
        <f t="array" aca="1" ref="K57:L57" ca="1">MMULT(H57:I57,TRANSPOSE($K$6:$L$7))</f>
        <v>0.31707032008416525</v>
      </c>
      <c r="L57">
        <f ca="1"/>
        <v>-0.18904099244317149</v>
      </c>
      <c r="Q57">
        <v>0.42923233690918611</v>
      </c>
      <c r="R57" s="8">
        <f t="shared" si="9"/>
        <v>1.4292323369091862</v>
      </c>
      <c r="S57" s="9">
        <f t="shared" si="17"/>
        <v>1.9426933640562123</v>
      </c>
      <c r="T57" s="2">
        <v>0.74269336405621234</v>
      </c>
      <c r="V57">
        <v>-0.14829540355281076</v>
      </c>
      <c r="W57" s="8">
        <f t="shared" si="10"/>
        <v>1.9517045964471893</v>
      </c>
      <c r="X57" s="9">
        <f t="shared" si="11"/>
        <v>0.7737300462254032</v>
      </c>
      <c r="Y57">
        <v>-0.12626995377459682</v>
      </c>
      <c r="AA57" s="8">
        <f t="shared" si="14"/>
        <v>0.66978477770995826</v>
      </c>
      <c r="AB57" s="9">
        <f t="shared" si="15"/>
        <v>1.281590104719015</v>
      </c>
      <c r="AD57" t="s">
        <v>34</v>
      </c>
      <c r="AE57">
        <f>AVERAGE(AA$2:AA$201)</f>
        <v>1.755512265975173</v>
      </c>
      <c r="AF57">
        <f>AVERAGE(AB$2:AB$201)</f>
        <v>1.057510200834227</v>
      </c>
    </row>
    <row r="58" spans="1:35" x14ac:dyDescent="0.4">
      <c r="A58">
        <f t="shared" ca="1" si="16"/>
        <v>0.99698362756875858</v>
      </c>
      <c r="B58">
        <f t="shared" ca="1" si="4"/>
        <v>5.0894024823228596</v>
      </c>
      <c r="D58">
        <f t="shared" ca="1" si="12"/>
        <v>0.36703490072388734</v>
      </c>
      <c r="E58">
        <f t="shared" ca="1" si="13"/>
        <v>-0.92696371843280223</v>
      </c>
      <c r="H58">
        <f t="shared" ca="1" si="7"/>
        <v>0.88730505981893038</v>
      </c>
      <c r="I58">
        <f t="shared" ca="1" si="8"/>
        <v>-0.92696371843280223</v>
      </c>
      <c r="K58">
        <f t="array" aca="1" ref="K58:L58" ca="1">MMULT(H58:I58,TRANSPOSE($K$6:$L$7))</f>
        <v>-0.46348185921640106</v>
      </c>
      <c r="L58">
        <f ca="1"/>
        <v>-0.70984404785514432</v>
      </c>
      <c r="Q58">
        <v>-0.26945687710730498</v>
      </c>
      <c r="R58" s="8">
        <f t="shared" si="9"/>
        <v>0.73054312289269507</v>
      </c>
      <c r="S58" s="9">
        <f t="shared" si="17"/>
        <v>0.63628087299623082</v>
      </c>
      <c r="T58" s="2">
        <v>-0.56371912700376914</v>
      </c>
      <c r="V58">
        <v>9.4346112264877102E-2</v>
      </c>
      <c r="W58" s="8">
        <f t="shared" si="10"/>
        <v>2.1943461122648773</v>
      </c>
      <c r="X58" s="9">
        <f t="shared" si="11"/>
        <v>0.45594131771193069</v>
      </c>
      <c r="Y58">
        <v>-0.44405868228806933</v>
      </c>
      <c r="AA58" s="8">
        <f t="shared" si="14"/>
        <v>0.79617717983221148</v>
      </c>
      <c r="AB58" s="9">
        <f t="shared" si="15"/>
        <v>0.65619271676913971</v>
      </c>
      <c r="AD58" t="s">
        <v>30</v>
      </c>
      <c r="AE58">
        <f>_xlfn.QUARTILE.EXC(AA$2:AA$201,1)</f>
        <v>1.4661137631171872</v>
      </c>
      <c r="AF58">
        <f>_xlfn.QUARTILE.EXC(AB$2:AB$201,1)</f>
        <v>0.38089104030255572</v>
      </c>
    </row>
    <row r="59" spans="1:35" x14ac:dyDescent="0.4">
      <c r="A59">
        <f t="shared" ca="1" si="16"/>
        <v>0.97575367048595774</v>
      </c>
      <c r="B59">
        <f t="shared" ca="1" si="4"/>
        <v>4.1378422942034874</v>
      </c>
      <c r="D59">
        <f t="shared" ca="1" si="12"/>
        <v>-0.53027754489777312</v>
      </c>
      <c r="E59">
        <f t="shared" ca="1" si="13"/>
        <v>-0.81908543561951408</v>
      </c>
      <c r="H59">
        <f t="shared" ca="1" si="7"/>
        <v>-2.4189974392082148E-2</v>
      </c>
      <c r="I59">
        <f t="shared" ca="1" si="8"/>
        <v>-0.81908543561951408</v>
      </c>
      <c r="K59">
        <f t="array" aca="1" ref="K59:L59" ca="1">MMULT(H59:I59,TRANSPOSE($K$6:$L$7))</f>
        <v>-0.40954271780975704</v>
      </c>
      <c r="L59">
        <f ca="1"/>
        <v>1.9351979513665695E-2</v>
      </c>
      <c r="Q59">
        <v>0.58763940707601359</v>
      </c>
      <c r="R59" s="8">
        <f t="shared" si="9"/>
        <v>1.5876394070760136</v>
      </c>
      <c r="S59" s="9">
        <f t="shared" si="17"/>
        <v>1.926137794853761</v>
      </c>
      <c r="T59" s="2">
        <v>0.72613779485376106</v>
      </c>
      <c r="V59">
        <v>0.12589520208883473</v>
      </c>
      <c r="W59" s="8">
        <f t="shared" si="10"/>
        <v>2.225895202088835</v>
      </c>
      <c r="X59" s="9">
        <f t="shared" si="11"/>
        <v>0.19831897963111789</v>
      </c>
      <c r="Y59">
        <v>-0.70168102036888214</v>
      </c>
      <c r="AA59" s="8">
        <f t="shared" si="14"/>
        <v>1.8772413952629297</v>
      </c>
      <c r="AB59" s="9">
        <f t="shared" si="15"/>
        <v>1.9848821316016545</v>
      </c>
      <c r="AD59" t="s">
        <v>33</v>
      </c>
      <c r="AE59">
        <f>MIN(AA$2:AA$201)</f>
        <v>0.13420806447425926</v>
      </c>
      <c r="AF59">
        <f>MIN(AB$2:AB$201)</f>
        <v>0.10031839982945512</v>
      </c>
    </row>
    <row r="60" spans="1:35" x14ac:dyDescent="0.4">
      <c r="A60">
        <f t="shared" ca="1" si="16"/>
        <v>0.45959141751772181</v>
      </c>
      <c r="B60">
        <f t="shared" ca="1" si="4"/>
        <v>0.67728505072027911</v>
      </c>
      <c r="D60">
        <f t="shared" ca="1" si="12"/>
        <v>0.35814901743748506</v>
      </c>
      <c r="E60">
        <f t="shared" ca="1" si="13"/>
        <v>0.28801658348871662</v>
      </c>
      <c r="H60">
        <f t="shared" ca="1" si="7"/>
        <v>0.88330814802568203</v>
      </c>
      <c r="I60">
        <f t="shared" ca="1" si="8"/>
        <v>0.28801658348871662</v>
      </c>
      <c r="K60">
        <f t="array" aca="1" ref="K60:L60" ca="1">MMULT(H60:I60,TRANSPOSE($K$6:$L$7))</f>
        <v>0.14400829174435836</v>
      </c>
      <c r="L60">
        <f ca="1"/>
        <v>-0.70664651842054571</v>
      </c>
      <c r="Q60">
        <v>0.43197679278321843</v>
      </c>
      <c r="R60" s="8">
        <f t="shared" si="9"/>
        <v>1.4319767927832183</v>
      </c>
      <c r="S60" s="9">
        <f t="shared" si="17"/>
        <v>1.6878806927880148</v>
      </c>
      <c r="T60" s="2">
        <v>0.48788069278801482</v>
      </c>
      <c r="V60">
        <v>0.25156709234466451</v>
      </c>
      <c r="W60" s="8">
        <f t="shared" si="10"/>
        <v>2.3515670923446645</v>
      </c>
      <c r="X60" s="9">
        <f t="shared" si="11"/>
        <v>0.12757022401590057</v>
      </c>
      <c r="Y60">
        <v>-0.77242977598409945</v>
      </c>
      <c r="AA60" s="8">
        <f t="shared" si="14"/>
        <v>1.7843805512927233</v>
      </c>
      <c r="AB60" s="9">
        <f t="shared" si="15"/>
        <v>2.0809956742811937</v>
      </c>
    </row>
    <row r="61" spans="1:35" x14ac:dyDescent="0.4">
      <c r="A61">
        <f t="shared" ca="1" si="16"/>
        <v>0.32275740510983375</v>
      </c>
      <c r="B61">
        <f t="shared" ca="1" si="4"/>
        <v>1.9433050101960272</v>
      </c>
      <c r="D61">
        <f t="shared" ca="1" si="12"/>
        <v>-0.11746859226494751</v>
      </c>
      <c r="E61">
        <f t="shared" ca="1" si="13"/>
        <v>0.30062180956232176</v>
      </c>
      <c r="H61">
        <f t="shared" ca="1" si="7"/>
        <v>0.53329406840429305</v>
      </c>
      <c r="I61">
        <f t="shared" ca="1" si="8"/>
        <v>0.30062180956232176</v>
      </c>
      <c r="K61">
        <f t="array" aca="1" ref="K61:L61" ca="1">MMULT(H61:I61,TRANSPOSE($K$6:$L$7))</f>
        <v>0.15031090478116091</v>
      </c>
      <c r="L61">
        <f ca="1"/>
        <v>-0.42663525472343444</v>
      </c>
      <c r="Q61">
        <v>-0.32452034597393575</v>
      </c>
      <c r="R61" s="8">
        <f t="shared" si="9"/>
        <v>0.67547965402606425</v>
      </c>
      <c r="S61" s="9">
        <f t="shared" si="17"/>
        <v>0.69968294462713432</v>
      </c>
      <c r="T61" s="2">
        <v>-0.50031705537286564</v>
      </c>
      <c r="V61">
        <v>2.6430160310122654E-2</v>
      </c>
      <c r="W61" s="8">
        <f t="shared" si="10"/>
        <v>2.1264301603101226</v>
      </c>
      <c r="X61" s="9">
        <f t="shared" si="11"/>
        <v>0.11863774236858426</v>
      </c>
      <c r="Y61">
        <v>-0.78136225763141576</v>
      </c>
      <c r="AA61" s="8">
        <f t="shared" si="14"/>
        <v>1.2040896542704418</v>
      </c>
      <c r="AB61" s="9">
        <f t="shared" si="15"/>
        <v>1.2030533638583052</v>
      </c>
    </row>
    <row r="62" spans="1:35" x14ac:dyDescent="0.4">
      <c r="A62">
        <f t="shared" ca="1" si="16"/>
        <v>0.72310508786806837</v>
      </c>
      <c r="B62">
        <f t="shared" ca="1" si="4"/>
        <v>4.2223106007439242</v>
      </c>
      <c r="D62">
        <f t="shared" ca="1" si="12"/>
        <v>-0.3403619809033584</v>
      </c>
      <c r="E62">
        <f t="shared" ca="1" si="13"/>
        <v>-0.63799270376410167</v>
      </c>
      <c r="H62">
        <f t="shared" ca="1" si="7"/>
        <v>0.26462263490430848</v>
      </c>
      <c r="I62">
        <f t="shared" ca="1" si="8"/>
        <v>-0.63799270376410167</v>
      </c>
      <c r="K62">
        <f t="array" aca="1" ref="K62:L62" ca="1">MMULT(H62:I62,TRANSPOSE($K$6:$L$7))</f>
        <v>-0.31899635188205083</v>
      </c>
      <c r="L62">
        <f ca="1"/>
        <v>-0.21169810792344682</v>
      </c>
      <c r="Q62">
        <v>0.42229679693458944</v>
      </c>
      <c r="R62" s="8">
        <f t="shared" si="9"/>
        <v>1.4222967969345894</v>
      </c>
      <c r="S62" s="9">
        <f t="shared" si="17"/>
        <v>1.5444628939825586</v>
      </c>
      <c r="T62" s="2">
        <v>0.34446289398255875</v>
      </c>
      <c r="V62">
        <v>-0.42425956354481564</v>
      </c>
      <c r="W62" s="8">
        <f t="shared" si="10"/>
        <v>1.6757404364551844</v>
      </c>
      <c r="X62" s="9">
        <f t="shared" si="11"/>
        <v>0.65068863177703151</v>
      </c>
      <c r="Y62">
        <v>-0.24931136822296857</v>
      </c>
      <c r="AA62" s="8">
        <f t="shared" si="14"/>
        <v>1.4523814364441141</v>
      </c>
      <c r="AB62" s="9">
        <f t="shared" si="15"/>
        <v>1.6193830301116985</v>
      </c>
    </row>
    <row r="63" spans="1:35" x14ac:dyDescent="0.4">
      <c r="A63">
        <f t="shared" ca="1" si="16"/>
        <v>0.49951123904174977</v>
      </c>
      <c r="B63">
        <f t="shared" ca="1" si="4"/>
        <v>2.8964038728778805</v>
      </c>
      <c r="D63">
        <f t="shared" ca="1" si="12"/>
        <v>-0.48457161600534454</v>
      </c>
      <c r="E63">
        <f t="shared" ca="1" si="13"/>
        <v>0.12125109026723427</v>
      </c>
      <c r="H63">
        <f t="shared" ca="1" si="7"/>
        <v>5.058106550559982E-2</v>
      </c>
      <c r="I63">
        <f t="shared" ca="1" si="8"/>
        <v>0.12125109026723427</v>
      </c>
      <c r="K63">
        <f t="array" aca="1" ref="K63:L63" ca="1">MMULT(H63:I63,TRANSPOSE($K$6:$L$7))</f>
        <v>6.0625545133617134E-2</v>
      </c>
      <c r="L63">
        <f ca="1"/>
        <v>-4.0464852404479855E-2</v>
      </c>
      <c r="Q63">
        <v>0.56722288506578</v>
      </c>
      <c r="R63" s="8">
        <f t="shared" si="9"/>
        <v>1.5672228850657799</v>
      </c>
      <c r="S63" s="9">
        <f t="shared" si="17"/>
        <v>2.2407920002449089</v>
      </c>
      <c r="T63" s="2">
        <v>1.0407920002449089</v>
      </c>
      <c r="V63">
        <v>-0.18476128286874716</v>
      </c>
      <c r="W63" s="8">
        <f t="shared" si="10"/>
        <v>1.915238717131253</v>
      </c>
      <c r="X63" s="9">
        <f t="shared" si="11"/>
        <v>0.27348126641594661</v>
      </c>
      <c r="Y63">
        <v>-0.62651873358405341</v>
      </c>
      <c r="AA63" s="8">
        <f t="shared" si="14"/>
        <v>1.4569207585762061</v>
      </c>
      <c r="AB63" s="9">
        <f t="shared" si="15"/>
        <v>1.7702010036530318</v>
      </c>
    </row>
    <row r="64" spans="1:35" x14ac:dyDescent="0.4">
      <c r="A64">
        <f t="shared" ca="1" si="16"/>
        <v>0.92742945148585954</v>
      </c>
      <c r="B64">
        <f t="shared" ca="1" si="4"/>
        <v>1.5040445843747272</v>
      </c>
      <c r="D64">
        <f t="shared" ca="1" si="12"/>
        <v>6.186156755368339E-2</v>
      </c>
      <c r="E64">
        <f t="shared" ca="1" si="13"/>
        <v>0.92536400078194281</v>
      </c>
      <c r="H64">
        <f t="shared" ca="1" si="7"/>
        <v>0.69861451923347984</v>
      </c>
      <c r="I64">
        <f t="shared" ca="1" si="8"/>
        <v>0.92536400078194281</v>
      </c>
      <c r="K64">
        <f t="array" aca="1" ref="K64:L64" ca="1">MMULT(H64:I64,TRANSPOSE($K$6:$L$7))</f>
        <v>0.46268200039097146</v>
      </c>
      <c r="L64">
        <f ca="1"/>
        <v>-0.55889161538678389</v>
      </c>
      <c r="Q64">
        <v>0.56865533380185362</v>
      </c>
      <c r="R64" s="8">
        <f t="shared" si="9"/>
        <v>1.5686553338018536</v>
      </c>
      <c r="S64" s="9">
        <f t="shared" si="17"/>
        <v>1.6092098002124726</v>
      </c>
      <c r="T64" s="2">
        <v>0.40920980021247255</v>
      </c>
      <c r="V64">
        <v>0.1212058842118522</v>
      </c>
      <c r="W64" s="8">
        <f t="shared" si="10"/>
        <v>2.2212058842118525</v>
      </c>
      <c r="X64" s="9">
        <f t="shared" si="11"/>
        <v>0.21173901272132067</v>
      </c>
      <c r="Y64">
        <v>-0.68826098727867935</v>
      </c>
      <c r="AA64" s="8">
        <f t="shared" si="14"/>
        <v>1.4895671560713069</v>
      </c>
      <c r="AB64" s="9">
        <f t="shared" si="15"/>
        <v>1.7541320590151668</v>
      </c>
    </row>
    <row r="65" spans="1:28" x14ac:dyDescent="0.4">
      <c r="A65">
        <f t="shared" ca="1" si="16"/>
        <v>0.82381227054891393</v>
      </c>
      <c r="B65">
        <f t="shared" ca="1" si="4"/>
        <v>4.4777470847465839</v>
      </c>
      <c r="D65">
        <f t="shared" ca="1" si="12"/>
        <v>-0.19153199408098942</v>
      </c>
      <c r="E65">
        <f t="shared" ca="1" si="13"/>
        <v>-0.80123788749054847</v>
      </c>
      <c r="H65">
        <f t="shared" ca="1" si="7"/>
        <v>0.45207732062006534</v>
      </c>
      <c r="I65">
        <f t="shared" ca="1" si="8"/>
        <v>-0.80123788749054847</v>
      </c>
      <c r="K65">
        <f t="array" aca="1" ref="K65:L65" ca="1">MMULT(H65:I65,TRANSPOSE($K$6:$L$7))</f>
        <v>-0.40061894374527424</v>
      </c>
      <c r="L65">
        <f ca="1"/>
        <v>-0.36166185649605231</v>
      </c>
      <c r="Q65">
        <v>0.31186161269422752</v>
      </c>
      <c r="R65" s="8">
        <f t="shared" si="9"/>
        <v>1.3118616126942275</v>
      </c>
      <c r="S65" s="9">
        <f t="shared" si="17"/>
        <v>1.4578026742953047</v>
      </c>
      <c r="T65" s="2">
        <v>0.25780267429530485</v>
      </c>
      <c r="V65">
        <v>5.0425203314441294E-2</v>
      </c>
      <c r="W65" s="8">
        <f t="shared" si="10"/>
        <v>2.1504252033144415</v>
      </c>
      <c r="X65" s="9">
        <f t="shared" si="11"/>
        <v>0.23981853649710427</v>
      </c>
      <c r="Y65">
        <v>-0.66018146350289575</v>
      </c>
      <c r="AA65" s="8">
        <f t="shared" si="14"/>
        <v>1.6879287321794925</v>
      </c>
      <c r="AB65" s="9">
        <f t="shared" si="15"/>
        <v>2.1223068599127162</v>
      </c>
    </row>
    <row r="66" spans="1:28" x14ac:dyDescent="0.4">
      <c r="A66">
        <f t="shared" ca="1" si="16"/>
        <v>0.24735200736649765</v>
      </c>
      <c r="B66">
        <f t="shared" ca="1" si="4"/>
        <v>1.5284793441061124</v>
      </c>
      <c r="D66">
        <f t="shared" ca="1" si="12"/>
        <v>1.0464066913279266E-2</v>
      </c>
      <c r="E66">
        <f t="shared" ca="1" si="13"/>
        <v>0.24713057045187736</v>
      </c>
      <c r="H66">
        <f t="shared" ca="1" si="7"/>
        <v>0.65562316526589348</v>
      </c>
      <c r="I66">
        <f t="shared" ca="1" si="8"/>
        <v>0.24713057045187736</v>
      </c>
      <c r="K66">
        <f t="array" aca="1" ref="K66:L66" ca="1">MMULT(H66:I66,TRANSPOSE($K$6:$L$7))</f>
        <v>0.12356528522593871</v>
      </c>
      <c r="L66">
        <f ca="1"/>
        <v>-0.52449853221271481</v>
      </c>
      <c r="Q66">
        <v>0.5787898913536158</v>
      </c>
      <c r="R66" s="8">
        <f t="shared" si="9"/>
        <v>1.5787898913536158</v>
      </c>
      <c r="S66" s="9">
        <f t="shared" si="17"/>
        <v>2.0121533846112989</v>
      </c>
      <c r="T66" s="2">
        <v>0.81215338461129893</v>
      </c>
      <c r="V66">
        <v>6.8554023131982181E-2</v>
      </c>
      <c r="W66" s="8">
        <f t="shared" si="10"/>
        <v>2.1685540231319824</v>
      </c>
      <c r="X66" s="9">
        <f t="shared" si="11"/>
        <v>0.79991324616554227</v>
      </c>
      <c r="Y66">
        <v>-0.10008675383445774</v>
      </c>
      <c r="AA66" s="8">
        <f t="shared" ref="AA66:AA97" si="18">R76</f>
        <v>1.8916654164461844</v>
      </c>
      <c r="AB66" s="9">
        <f t="shared" ref="AB66:AB97" si="19">S76</f>
        <v>2.0015945398139068</v>
      </c>
    </row>
    <row r="67" spans="1:28" x14ac:dyDescent="0.4">
      <c r="A67">
        <f t="shared" ca="1" si="16"/>
        <v>0.13811458027926415</v>
      </c>
      <c r="B67">
        <f t="shared" ca="1" si="4"/>
        <v>3.5048339214058388</v>
      </c>
      <c r="D67">
        <f t="shared" ca="1" si="12"/>
        <v>-0.12910261694941494</v>
      </c>
      <c r="E67">
        <f t="shared" ca="1" si="13"/>
        <v>-4.9072921071910351E-2</v>
      </c>
      <c r="H67">
        <f t="shared" ca="1" si="7"/>
        <v>0.52105180437199827</v>
      </c>
      <c r="I67">
        <f t="shared" ca="1" si="8"/>
        <v>-4.9072921071910351E-2</v>
      </c>
      <c r="K67">
        <f t="array" aca="1" ref="K67:L67" ca="1">MMULT(H67:I67,TRANSPOSE($K$6:$L$7))</f>
        <v>-2.4536460535955151E-2</v>
      </c>
      <c r="L67">
        <f ca="1"/>
        <v>-0.41684144349759866</v>
      </c>
      <c r="Q67">
        <v>-0.33021522229004174</v>
      </c>
      <c r="R67" s="8">
        <f t="shared" si="9"/>
        <v>0.66978477770995826</v>
      </c>
      <c r="S67" s="9">
        <f t="shared" si="17"/>
        <v>1.281590104719015</v>
      </c>
      <c r="T67" s="2">
        <v>8.1590104719015136E-2</v>
      </c>
      <c r="V67">
        <v>-7.4118784279656735E-2</v>
      </c>
      <c r="W67" s="8">
        <f t="shared" si="10"/>
        <v>2.0258812157203434</v>
      </c>
      <c r="X67" s="9">
        <f t="shared" si="11"/>
        <v>1.0824132438400342</v>
      </c>
      <c r="Y67">
        <v>0.18241324384003424</v>
      </c>
      <c r="AA67" s="8">
        <f t="shared" si="18"/>
        <v>1.3086835832811714</v>
      </c>
      <c r="AB67" s="9">
        <f t="shared" si="19"/>
        <v>1.5097834538889254</v>
      </c>
    </row>
    <row r="68" spans="1:28" x14ac:dyDescent="0.4">
      <c r="A68">
        <f t="shared" ca="1" si="16"/>
        <v>0.71067215443966314</v>
      </c>
      <c r="B68">
        <f t="shared" ca="1" si="4"/>
        <v>0.80341452225281884</v>
      </c>
      <c r="D68">
        <f t="shared" ca="1" si="12"/>
        <v>0.49338643466595267</v>
      </c>
      <c r="E68">
        <f t="shared" ca="1" si="13"/>
        <v>0.51149265604066307</v>
      </c>
      <c r="H68">
        <f t="shared" ca="1" si="7"/>
        <v>0.9354127129369767</v>
      </c>
      <c r="I68">
        <f t="shared" ca="1" si="8"/>
        <v>0.51149265604066307</v>
      </c>
      <c r="K68">
        <f t="array" aca="1" ref="K68:L68" ca="1">MMULT(H68:I68,TRANSPOSE($K$6:$L$7))</f>
        <v>0.25574632802033159</v>
      </c>
      <c r="L68">
        <f ca="1"/>
        <v>-0.74833017034958138</v>
      </c>
      <c r="Q68">
        <v>-0.20382282016778852</v>
      </c>
      <c r="R68" s="8">
        <f t="shared" si="9"/>
        <v>0.79617717983221148</v>
      </c>
      <c r="S68" s="9">
        <f t="shared" si="17"/>
        <v>0.65619271676913971</v>
      </c>
      <c r="T68" s="2">
        <v>-0.54380728323086025</v>
      </c>
      <c r="V68">
        <v>0.47213479395337216</v>
      </c>
      <c r="W68" s="8">
        <f t="shared" si="10"/>
        <v>2.5721347939533721</v>
      </c>
      <c r="X68" s="9">
        <f t="shared" si="11"/>
        <v>0.52912820325282994</v>
      </c>
      <c r="Y68">
        <v>-0.37087179674717008</v>
      </c>
      <c r="AA68" s="8">
        <f t="shared" si="18"/>
        <v>1.4580621563425875</v>
      </c>
      <c r="AB68" s="9">
        <f t="shared" si="19"/>
        <v>1.7294150081960775</v>
      </c>
    </row>
    <row r="69" spans="1:28" x14ac:dyDescent="0.4">
      <c r="A69">
        <f t="shared" ca="1" si="16"/>
        <v>0.18815183300981297</v>
      </c>
      <c r="B69">
        <f t="shared" ca="1" si="4"/>
        <v>2.4651580513259139</v>
      </c>
      <c r="D69">
        <f t="shared" ca="1" si="12"/>
        <v>-0.14672261861260447</v>
      </c>
      <c r="E69">
        <f t="shared" ca="1" si="13"/>
        <v>0.11778618532074446</v>
      </c>
      <c r="H69">
        <f t="shared" ca="1" si="7"/>
        <v>0.50214720039278671</v>
      </c>
      <c r="I69">
        <f t="shared" ca="1" si="8"/>
        <v>0.11778618532074446</v>
      </c>
      <c r="K69">
        <f t="array" aca="1" ref="K69:L69" ca="1">MMULT(H69:I69,TRANSPOSE($K$6:$L$7))</f>
        <v>5.8893092660372258E-2</v>
      </c>
      <c r="L69">
        <f ca="1"/>
        <v>-0.4017177603142294</v>
      </c>
      <c r="Q69">
        <v>0.87724139526292977</v>
      </c>
      <c r="R69" s="8">
        <f t="shared" si="9"/>
        <v>1.8772413952629297</v>
      </c>
      <c r="S69" s="9">
        <f t="shared" si="17"/>
        <v>1.9848821316016545</v>
      </c>
      <c r="T69" s="2">
        <v>0.78488213160165454</v>
      </c>
      <c r="V69">
        <v>2.8844373246104345E-2</v>
      </c>
      <c r="W69" s="8">
        <f t="shared" si="10"/>
        <v>2.1288443732461046</v>
      </c>
      <c r="X69" s="9">
        <f t="shared" si="11"/>
        <v>0.3957878538355406</v>
      </c>
      <c r="Y69">
        <v>-0.50421214616445942</v>
      </c>
      <c r="AA69" s="8">
        <f t="shared" si="18"/>
        <v>1.0510769605853509</v>
      </c>
      <c r="AB69" s="9">
        <f t="shared" si="19"/>
        <v>1.2681953917196063</v>
      </c>
    </row>
    <row r="70" spans="1:28" x14ac:dyDescent="0.4">
      <c r="A70">
        <f t="shared" ca="1" si="16"/>
        <v>7.8111141768544612E-2</v>
      </c>
      <c r="B70">
        <f t="shared" ca="1" si="4"/>
        <v>0.28742756447584961</v>
      </c>
      <c r="D70">
        <f t="shared" ca="1" si="12"/>
        <v>7.4906733551064392E-2</v>
      </c>
      <c r="E70">
        <f t="shared" ca="1" si="13"/>
        <v>2.2143435530547588E-2</v>
      </c>
      <c r="H70">
        <f t="shared" ca="1" si="7"/>
        <v>0.70898270067860159</v>
      </c>
      <c r="I70">
        <f t="shared" ca="1" si="8"/>
        <v>2.2143435530547588E-2</v>
      </c>
      <c r="K70">
        <f t="array" aca="1" ref="K70:L70" ca="1">MMULT(H70:I70,TRANSPOSE($K$6:$L$7))</f>
        <v>1.1071717765273829E-2</v>
      </c>
      <c r="L70">
        <f ca="1"/>
        <v>-0.56718616054288129</v>
      </c>
      <c r="Q70">
        <v>0.78438055129272333</v>
      </c>
      <c r="R70" s="8">
        <f t="shared" si="9"/>
        <v>1.7843805512927233</v>
      </c>
      <c r="S70" s="9">
        <f t="shared" si="17"/>
        <v>2.0809956742811937</v>
      </c>
      <c r="T70" s="2">
        <v>0.88099567428119385</v>
      </c>
      <c r="V70">
        <v>-4.9195550213508542E-2</v>
      </c>
      <c r="W70" s="8">
        <f t="shared" si="10"/>
        <v>2.0508044497864915</v>
      </c>
      <c r="X70" s="9">
        <f t="shared" si="11"/>
        <v>0.34020072822606362</v>
      </c>
      <c r="Y70">
        <v>-0.5597992717739364</v>
      </c>
      <c r="AA70" s="8">
        <f t="shared" si="18"/>
        <v>1.6570048543546725</v>
      </c>
      <c r="AB70" s="9">
        <f t="shared" si="19"/>
        <v>1.8386134955540061</v>
      </c>
    </row>
    <row r="71" spans="1:28" x14ac:dyDescent="0.4">
      <c r="A71">
        <f t="shared" ca="1" si="16"/>
        <v>0.94265068959781029</v>
      </c>
      <c r="B71">
        <f t="shared" ca="1" si="4"/>
        <v>3.1449544871986927</v>
      </c>
      <c r="D71">
        <f t="shared" ca="1" si="12"/>
        <v>-0.94264536271902888</v>
      </c>
      <c r="E71">
        <f t="shared" ca="1" si="13"/>
        <v>-3.1690288003799316E-3</v>
      </c>
      <c r="H71">
        <f t="shared" ca="1" si="7"/>
        <v>-0.85968257082874744</v>
      </c>
      <c r="I71">
        <f t="shared" ca="1" si="8"/>
        <v>-3.1690288003799316E-3</v>
      </c>
      <c r="K71">
        <f t="array" aca="1" ref="K71:L71" ca="1">MMULT(H71:I71,TRANSPOSE($K$6:$L$7))</f>
        <v>-1.5845144001900078E-3</v>
      </c>
      <c r="L71">
        <f ca="1"/>
        <v>0.68774605666299804</v>
      </c>
      <c r="Q71">
        <v>0.20408965427044179</v>
      </c>
      <c r="R71" s="8">
        <f t="shared" si="9"/>
        <v>1.2040896542704418</v>
      </c>
      <c r="S71" s="9">
        <f t="shared" si="17"/>
        <v>1.2030533638583052</v>
      </c>
      <c r="T71" s="2">
        <v>3.0533638583052219E-3</v>
      </c>
      <c r="V71">
        <v>-6.7921533018004257E-2</v>
      </c>
      <c r="W71" s="8">
        <f t="shared" si="10"/>
        <v>2.032078466981996</v>
      </c>
      <c r="X71" s="9">
        <f t="shared" si="11"/>
        <v>0.70498675338566097</v>
      </c>
      <c r="Y71">
        <v>-0.19501324661433905</v>
      </c>
      <c r="AA71" s="8">
        <f t="shared" si="18"/>
        <v>1.8833720814061492</v>
      </c>
      <c r="AB71" s="9">
        <f t="shared" si="19"/>
        <v>1.99976896888001</v>
      </c>
    </row>
    <row r="72" spans="1:28" x14ac:dyDescent="0.4">
      <c r="A72">
        <f t="shared" ca="1" si="16"/>
        <v>0.44524143043126996</v>
      </c>
      <c r="B72">
        <f t="shared" ca="1" si="4"/>
        <v>5.8850166243251412</v>
      </c>
      <c r="D72">
        <f t="shared" ca="1" si="12"/>
        <v>0.41041134988789563</v>
      </c>
      <c r="E72">
        <f t="shared" ca="1" si="13"/>
        <v>-0.17263387632697905</v>
      </c>
      <c r="H72">
        <f t="shared" ca="1" si="7"/>
        <v>0.9056313390059072</v>
      </c>
      <c r="I72">
        <f t="shared" ca="1" si="8"/>
        <v>-0.17263387632697905</v>
      </c>
      <c r="K72">
        <f t="array" aca="1" ref="K72:L72" ca="1">MMULT(H72:I72,TRANSPOSE($K$6:$L$7))</f>
        <v>-8.6316938163489482E-2</v>
      </c>
      <c r="L72">
        <f ca="1"/>
        <v>-0.72450507120472585</v>
      </c>
      <c r="Q72">
        <v>0.45238143644411399</v>
      </c>
      <c r="R72" s="8">
        <f t="shared" si="9"/>
        <v>1.4523814364441141</v>
      </c>
      <c r="S72" s="9">
        <f t="shared" si="17"/>
        <v>1.6193830301116985</v>
      </c>
      <c r="T72" s="2">
        <v>0.41938303011169842</v>
      </c>
      <c r="V72">
        <v>-1.0747385735912199E-2</v>
      </c>
      <c r="W72" s="8">
        <f t="shared" si="10"/>
        <v>2.0892526142640877</v>
      </c>
      <c r="X72" s="9">
        <f t="shared" si="11"/>
        <v>0.31654707901973045</v>
      </c>
      <c r="Y72">
        <v>-0.58345292098026957</v>
      </c>
      <c r="AA72" s="8">
        <f t="shared" si="18"/>
        <v>1.7122100706631347</v>
      </c>
      <c r="AB72" s="9">
        <f t="shared" si="19"/>
        <v>1.7683951181255007</v>
      </c>
    </row>
    <row r="73" spans="1:28" x14ac:dyDescent="0.4">
      <c r="A73">
        <f t="shared" ca="1" si="16"/>
        <v>4.4325512422286106E-2</v>
      </c>
      <c r="B73">
        <f t="shared" ca="1" si="4"/>
        <v>2.7746733243242403</v>
      </c>
      <c r="D73">
        <f t="shared" ca="1" si="12"/>
        <v>-4.1375070581186404E-2</v>
      </c>
      <c r="E73">
        <f t="shared" ca="1" si="13"/>
        <v>1.5901402010517294E-2</v>
      </c>
      <c r="H73">
        <f t="shared" ca="1" si="7"/>
        <v>0.60873324474635537</v>
      </c>
      <c r="I73">
        <f t="shared" ca="1" si="8"/>
        <v>1.5901402010517294E-2</v>
      </c>
      <c r="K73">
        <f t="array" aca="1" ref="K73:L73" ca="1">MMULT(H73:I73,TRANSPOSE($K$6:$L$7))</f>
        <v>7.9507010052586764E-3</v>
      </c>
      <c r="L73">
        <f ca="1"/>
        <v>-0.48698659579708431</v>
      </c>
      <c r="Q73">
        <v>0.45692075857620612</v>
      </c>
      <c r="R73" s="8">
        <f t="shared" si="9"/>
        <v>1.4569207585762061</v>
      </c>
      <c r="S73" s="9">
        <f t="shared" si="17"/>
        <v>1.7702010036530318</v>
      </c>
      <c r="T73" s="2">
        <v>0.57020100365303195</v>
      </c>
      <c r="V73">
        <v>2.5520718224804062E-2</v>
      </c>
      <c r="W73" s="8">
        <f t="shared" si="10"/>
        <v>2.1255207182248039</v>
      </c>
      <c r="X73" s="9">
        <f t="shared" si="11"/>
        <v>0.40669554242270234</v>
      </c>
      <c r="Y73">
        <v>-0.49330445757729768</v>
      </c>
      <c r="AA73" s="8">
        <f t="shared" si="18"/>
        <v>1.3545513077097442</v>
      </c>
      <c r="AB73" s="9">
        <f t="shared" si="19"/>
        <v>1.8257539852212488</v>
      </c>
    </row>
    <row r="74" spans="1:28" x14ac:dyDescent="0.4">
      <c r="A74">
        <f t="shared" ca="1" si="16"/>
        <v>0.92138647752079528</v>
      </c>
      <c r="B74">
        <f t="shared" ca="1" si="4"/>
        <v>4.3209449207685164</v>
      </c>
      <c r="D74">
        <f t="shared" ca="1" si="12"/>
        <v>-0.35153072466331059</v>
      </c>
      <c r="E74">
        <f t="shared" ca="1" si="13"/>
        <v>-0.85169195756204419</v>
      </c>
      <c r="H74">
        <f t="shared" ca="1" si="7"/>
        <v>0.24920769266106768</v>
      </c>
      <c r="I74">
        <f t="shared" ca="1" si="8"/>
        <v>-0.85169195756204419</v>
      </c>
      <c r="K74">
        <f t="array" aca="1" ref="K74:L74" ca="1">MMULT(H74:I74,TRANSPOSE($K$6:$L$7))</f>
        <v>-0.42584597878102209</v>
      </c>
      <c r="L74">
        <f ca="1"/>
        <v>-0.19936615412885419</v>
      </c>
      <c r="Q74">
        <v>0.48956715607130685</v>
      </c>
      <c r="R74" s="8">
        <f t="shared" si="9"/>
        <v>1.4895671560713069</v>
      </c>
      <c r="S74" s="9">
        <f t="shared" si="17"/>
        <v>1.7541320590151668</v>
      </c>
      <c r="T74" s="2">
        <v>0.55413205901516693</v>
      </c>
      <c r="V74">
        <v>0.42258918553068536</v>
      </c>
      <c r="W74" s="8">
        <f t="shared" si="10"/>
        <v>2.5225891855306855</v>
      </c>
      <c r="X74" s="9">
        <f t="shared" si="11"/>
        <v>0.43745979654021722</v>
      </c>
      <c r="Y74">
        <v>-0.46254020345978281</v>
      </c>
      <c r="AA74" s="8">
        <f t="shared" si="18"/>
        <v>1.3881376944308057</v>
      </c>
      <c r="AB74" s="9">
        <f t="shared" si="19"/>
        <v>1.870836738629738</v>
      </c>
    </row>
    <row r="75" spans="1:28" x14ac:dyDescent="0.4">
      <c r="A75">
        <f t="shared" ca="1" si="16"/>
        <v>4.8841744384786168E-2</v>
      </c>
      <c r="B75">
        <f t="shared" ca="1" si="4"/>
        <v>5.7466422253289897</v>
      </c>
      <c r="D75">
        <f t="shared" ca="1" si="12"/>
        <v>4.197854539275174E-2</v>
      </c>
      <c r="E75">
        <f t="shared" ca="1" si="13"/>
        <v>-2.4966331754133868E-2</v>
      </c>
      <c r="H75">
        <f t="shared" ca="1" si="7"/>
        <v>0.68239078513779483</v>
      </c>
      <c r="I75">
        <f t="shared" ca="1" si="8"/>
        <v>-2.4966331754133868E-2</v>
      </c>
      <c r="K75">
        <f t="array" aca="1" ref="K75:L75" ca="1">MMULT(H75:I75,TRANSPOSE($K$6:$L$7))</f>
        <v>-1.2483165877066901E-2</v>
      </c>
      <c r="L75">
        <f ca="1"/>
        <v>-0.54591262811023589</v>
      </c>
      <c r="Q75">
        <v>0.68792873217949235</v>
      </c>
      <c r="R75" s="8">
        <f t="shared" si="9"/>
        <v>1.6879287321794925</v>
      </c>
      <c r="S75" s="9">
        <f t="shared" si="17"/>
        <v>2.1223068599127162</v>
      </c>
      <c r="T75" s="2">
        <v>0.92230685991271621</v>
      </c>
      <c r="V75">
        <v>0.30279028647361739</v>
      </c>
      <c r="W75" s="8">
        <f t="shared" si="10"/>
        <v>2.4027902864736177</v>
      </c>
      <c r="X75" s="9">
        <f t="shared" si="11"/>
        <v>0.93848904294083035</v>
      </c>
      <c r="Y75">
        <v>3.8489042940830331E-2</v>
      </c>
      <c r="AA75" s="8">
        <f t="shared" si="18"/>
        <v>1.397646142311989</v>
      </c>
      <c r="AB75" s="9">
        <f t="shared" si="19"/>
        <v>1.7708655610491633</v>
      </c>
    </row>
    <row r="76" spans="1:28" x14ac:dyDescent="0.4">
      <c r="A76">
        <f t="shared" ref="A76:A111" ca="1" si="20">RAND()^($B$1/2)</f>
        <v>1.7590501476537956E-2</v>
      </c>
      <c r="B76">
        <f t="shared" ca="1" si="4"/>
        <v>3.313803905208438</v>
      </c>
      <c r="D76">
        <f t="shared" ca="1" si="12"/>
        <v>-1.7330307227298575E-2</v>
      </c>
      <c r="E76">
        <f t="shared" ca="1" si="13"/>
        <v>-3.0143313692304668E-3</v>
      </c>
      <c r="H76">
        <f t="shared" ca="1" si="7"/>
        <v>0.63092896449812719</v>
      </c>
      <c r="I76">
        <f t="shared" ca="1" si="8"/>
        <v>-3.0143313692304668E-3</v>
      </c>
      <c r="K76">
        <f t="array" aca="1" ref="K76:L76" ca="1">MMULT(H76:I76,TRANSPOSE($K$6:$L$7))</f>
        <v>-1.5071656846152024E-3</v>
      </c>
      <c r="L76">
        <f ca="1"/>
        <v>-0.50474317159850179</v>
      </c>
      <c r="Q76">
        <v>0.89166541644618436</v>
      </c>
      <c r="R76" s="8">
        <f t="shared" si="9"/>
        <v>1.8916654164461844</v>
      </c>
      <c r="S76" s="9">
        <f t="shared" ref="S76:S107" si="21">T76+T$1</f>
        <v>2.0015945398139068</v>
      </c>
      <c r="T76" s="2">
        <v>0.80159453981390694</v>
      </c>
      <c r="V76">
        <v>5.9928411483452439E-2</v>
      </c>
      <c r="W76" s="8">
        <f t="shared" si="10"/>
        <v>2.1599284114834525</v>
      </c>
      <c r="X76" s="9">
        <f t="shared" si="11"/>
        <v>0.23279930271786997</v>
      </c>
      <c r="Y76">
        <v>-0.66720069728213005</v>
      </c>
      <c r="AA76" s="8">
        <f t="shared" si="18"/>
        <v>1.5809535110378286</v>
      </c>
      <c r="AB76" s="9">
        <f t="shared" si="19"/>
        <v>2.103058413587501</v>
      </c>
    </row>
    <row r="77" spans="1:28" x14ac:dyDescent="0.4">
      <c r="A77">
        <f t="shared" ca="1" si="20"/>
        <v>0.79797545680771831</v>
      </c>
      <c r="B77">
        <f t="shared" ref="B77:B111" ca="1" si="22">2*PI()*RAND()</f>
        <v>0.54482532200576061</v>
      </c>
      <c r="D77">
        <f t="shared" ca="1" si="12"/>
        <v>0.68244284172936831</v>
      </c>
      <c r="E77">
        <f t="shared" ca="1" si="13"/>
        <v>0.41356571115099838</v>
      </c>
      <c r="H77">
        <f t="shared" ref="H77:H111" ca="1" si="23">1-2*((1-D77)/2)^I$1</f>
        <v>0.9799086197232163</v>
      </c>
      <c r="I77">
        <f t="shared" ref="I77:I111" ca="1" si="24">E77</f>
        <v>0.41356571115099838</v>
      </c>
      <c r="K77">
        <f t="array" aca="1" ref="K77:L77" ca="1">MMULT(H77:I77,TRANSPOSE($K$6:$L$7))</f>
        <v>0.20678285557549925</v>
      </c>
      <c r="L77">
        <f ca="1"/>
        <v>-0.78392689577857311</v>
      </c>
      <c r="Q77">
        <v>0.3086835832811714</v>
      </c>
      <c r="R77" s="8">
        <f t="shared" ref="R77:R111" si="25">Q77+R$1</f>
        <v>1.3086835832811714</v>
      </c>
      <c r="S77" s="9">
        <f t="shared" si="21"/>
        <v>1.5097834538889254</v>
      </c>
      <c r="T77" s="2">
        <v>0.30978345388892542</v>
      </c>
      <c r="V77">
        <v>8.4202606956442828E-4</v>
      </c>
      <c r="W77" s="8">
        <f t="shared" ref="W77:W111" si="26">V77+W$1</f>
        <v>2.1008420260695644</v>
      </c>
      <c r="X77" s="9">
        <f t="shared" ref="X77:X111" si="27">Y77+Y$1</f>
        <v>0.28910589623883542</v>
      </c>
      <c r="Y77">
        <v>-0.6108941037611646</v>
      </c>
      <c r="AA77" s="8">
        <f t="shared" si="18"/>
        <v>1.5413330766179452</v>
      </c>
      <c r="AB77" s="9">
        <f t="shared" si="19"/>
        <v>1.7282616753491054</v>
      </c>
    </row>
    <row r="78" spans="1:28" x14ac:dyDescent="0.4">
      <c r="A78">
        <f t="shared" ca="1" si="20"/>
        <v>8.564364837219729E-2</v>
      </c>
      <c r="B78">
        <f t="shared" ca="1" si="22"/>
        <v>0.13469123603749181</v>
      </c>
      <c r="D78">
        <f t="shared" ca="1" si="12"/>
        <v>8.4867960197956421E-2</v>
      </c>
      <c r="E78">
        <f t="shared" ca="1" si="13"/>
        <v>1.1500601651159653E-2</v>
      </c>
      <c r="H78">
        <f t="shared" ca="1" si="23"/>
        <v>0.71675359373244607</v>
      </c>
      <c r="I78">
        <f t="shared" ca="1" si="24"/>
        <v>1.1500601651159653E-2</v>
      </c>
      <c r="K78">
        <f t="array" aca="1" ref="K78:L78" ca="1">MMULT(H78:I78,TRANSPOSE($K$6:$L$7))</f>
        <v>5.7503008255798613E-3</v>
      </c>
      <c r="L78">
        <f ca="1"/>
        <v>-0.57340287498595688</v>
      </c>
      <c r="Q78">
        <v>0.45806215634258746</v>
      </c>
      <c r="R78" s="8">
        <f t="shared" si="25"/>
        <v>1.4580621563425875</v>
      </c>
      <c r="S78" s="9">
        <f t="shared" si="21"/>
        <v>1.7294150081960775</v>
      </c>
      <c r="T78" s="2">
        <v>0.52941500819607756</v>
      </c>
      <c r="V78">
        <v>-2.8996942212612894E-2</v>
      </c>
      <c r="W78" s="8">
        <f t="shared" si="26"/>
        <v>2.071003057787387</v>
      </c>
      <c r="X78" s="9">
        <f t="shared" si="27"/>
        <v>1.2690574244879453</v>
      </c>
      <c r="Y78">
        <v>0.36905742448794537</v>
      </c>
      <c r="AA78" s="8">
        <f t="shared" si="18"/>
        <v>1.637895367141279</v>
      </c>
      <c r="AB78" s="9">
        <f t="shared" si="19"/>
        <v>1.7193651096339604</v>
      </c>
    </row>
    <row r="79" spans="1:28" x14ac:dyDescent="0.4">
      <c r="A79">
        <f t="shared" ca="1" si="20"/>
        <v>0.28941351344014532</v>
      </c>
      <c r="B79">
        <f t="shared" ca="1" si="22"/>
        <v>4.602521220350309</v>
      </c>
      <c r="D79">
        <f t="shared" ca="1" si="12"/>
        <v>-3.1733282746439648E-2</v>
      </c>
      <c r="E79">
        <f t="shared" ca="1" si="13"/>
        <v>-0.28766852543840055</v>
      </c>
      <c r="H79">
        <f t="shared" ca="1" si="23"/>
        <v>0.61772701457985169</v>
      </c>
      <c r="I79">
        <f t="shared" ca="1" si="24"/>
        <v>-0.28766852543840055</v>
      </c>
      <c r="K79">
        <f t="array" aca="1" ref="K79:L79" ca="1">MMULT(H79:I79,TRANSPOSE($K$6:$L$7))</f>
        <v>-0.14383426271920025</v>
      </c>
      <c r="L79">
        <f ca="1"/>
        <v>-0.49418161166388136</v>
      </c>
      <c r="Q79">
        <v>5.1076960585350925E-2</v>
      </c>
      <c r="R79" s="8">
        <f t="shared" si="25"/>
        <v>1.0510769605853509</v>
      </c>
      <c r="S79" s="9">
        <f t="shared" si="21"/>
        <v>1.2681953917196063</v>
      </c>
      <c r="T79" s="2">
        <v>6.8195391719606271E-2</v>
      </c>
      <c r="V79">
        <v>0.14211380947329033</v>
      </c>
      <c r="W79" s="8">
        <f t="shared" si="26"/>
        <v>2.2421138094732904</v>
      </c>
      <c r="X79" s="9">
        <f t="shared" si="27"/>
        <v>0.23380684639911242</v>
      </c>
      <c r="Y79">
        <v>-0.6661931536008876</v>
      </c>
      <c r="AA79" s="8">
        <f t="shared" si="18"/>
        <v>1.6754316207510644</v>
      </c>
      <c r="AB79" s="9">
        <f t="shared" si="19"/>
        <v>1.4262089973422734</v>
      </c>
    </row>
    <row r="80" spans="1:28" x14ac:dyDescent="0.4">
      <c r="A80">
        <f t="shared" ca="1" si="20"/>
        <v>0.28484561510285633</v>
      </c>
      <c r="B80">
        <f t="shared" ca="1" si="22"/>
        <v>5.9717604492044503</v>
      </c>
      <c r="D80">
        <f t="shared" ca="1" si="12"/>
        <v>0.27114395368710675</v>
      </c>
      <c r="E80">
        <f t="shared" ca="1" si="13"/>
        <v>-8.7281045034123428E-2</v>
      </c>
      <c r="H80">
        <f t="shared" ca="1" si="23"/>
        <v>0.83965352806460714</v>
      </c>
      <c r="I80">
        <f t="shared" ca="1" si="24"/>
        <v>-8.7281045034123428E-2</v>
      </c>
      <c r="K80">
        <f t="array" aca="1" ref="K80:L80" ca="1">MMULT(H80:I80,TRANSPOSE($K$6:$L$7))</f>
        <v>-4.3640522517061672E-2</v>
      </c>
      <c r="L80">
        <f ca="1"/>
        <v>-0.6717228224516858</v>
      </c>
      <c r="Q80">
        <v>0.6570048543546726</v>
      </c>
      <c r="R80" s="8">
        <f t="shared" si="25"/>
        <v>1.6570048543546725</v>
      </c>
      <c r="S80" s="9">
        <f t="shared" si="21"/>
        <v>1.8386134955540061</v>
      </c>
      <c r="T80" s="2">
        <v>0.63861349555400615</v>
      </c>
      <c r="V80">
        <v>0.17400951327999495</v>
      </c>
      <c r="W80" s="8">
        <f t="shared" si="26"/>
        <v>2.2740095132799949</v>
      </c>
      <c r="X80" s="9">
        <f t="shared" si="27"/>
        <v>1.2957480521397864</v>
      </c>
      <c r="Y80">
        <v>0.39574805213978625</v>
      </c>
      <c r="AA80" s="8">
        <f t="shared" si="18"/>
        <v>1.3024175218740974</v>
      </c>
      <c r="AB80" s="9">
        <f t="shared" si="19"/>
        <v>1.4959747915328052</v>
      </c>
    </row>
    <row r="81" spans="1:28" x14ac:dyDescent="0.4">
      <c r="A81">
        <f t="shared" ca="1" si="20"/>
        <v>0.57790978012998062</v>
      </c>
      <c r="B81">
        <f t="shared" ca="1" si="22"/>
        <v>3.5356667498398888</v>
      </c>
      <c r="D81">
        <f t="shared" ca="1" si="12"/>
        <v>-0.53361441946185117</v>
      </c>
      <c r="E81">
        <f t="shared" ca="1" si="13"/>
        <v>-0.22189043537808031</v>
      </c>
      <c r="H81">
        <f t="shared" ca="1" si="23"/>
        <v>-2.9782399011772265E-2</v>
      </c>
      <c r="I81">
        <f t="shared" ca="1" si="24"/>
        <v>-0.22189043537808031</v>
      </c>
      <c r="K81">
        <f t="array" aca="1" ref="K81:L81" ca="1">MMULT(H81:I81,TRANSPOSE($K$6:$L$7))</f>
        <v>-0.11094521768904016</v>
      </c>
      <c r="L81">
        <f ca="1"/>
        <v>2.3825919209417807E-2</v>
      </c>
      <c r="Q81">
        <v>0.8833720814061492</v>
      </c>
      <c r="R81" s="8">
        <f t="shared" si="25"/>
        <v>1.8833720814061492</v>
      </c>
      <c r="S81" s="9">
        <f t="shared" si="21"/>
        <v>1.99976896888001</v>
      </c>
      <c r="T81" s="2">
        <v>0.79976896888001014</v>
      </c>
      <c r="V81">
        <v>0.15201102418814588</v>
      </c>
      <c r="W81" s="8">
        <f t="shared" si="26"/>
        <v>2.2520110241881461</v>
      </c>
      <c r="X81" s="9">
        <f t="shared" si="27"/>
        <v>0.22060181728534534</v>
      </c>
      <c r="Y81">
        <v>-0.67939818271465469</v>
      </c>
      <c r="AA81" s="8">
        <f t="shared" si="18"/>
        <v>1.2028536420529865</v>
      </c>
      <c r="AB81" s="9">
        <f t="shared" si="19"/>
        <v>1.4669579470864498</v>
      </c>
    </row>
    <row r="82" spans="1:28" x14ac:dyDescent="0.4">
      <c r="A82">
        <f t="shared" ca="1" si="20"/>
        <v>0.42861625105492862</v>
      </c>
      <c r="B82">
        <f t="shared" ca="1" si="22"/>
        <v>1.5499005168180107</v>
      </c>
      <c r="D82">
        <f t="shared" ca="1" si="12"/>
        <v>8.9556319783072724E-3</v>
      </c>
      <c r="E82">
        <f t="shared" ca="1" si="13"/>
        <v>0.42852268005818633</v>
      </c>
      <c r="H82">
        <f t="shared" ca="1" si="23"/>
        <v>0.65430925617347091</v>
      </c>
      <c r="I82">
        <f t="shared" ca="1" si="24"/>
        <v>0.42852268005818633</v>
      </c>
      <c r="K82">
        <f t="array" aca="1" ref="K82:L82" ca="1">MMULT(H82:I82,TRANSPOSE($K$6:$L$7))</f>
        <v>0.21426134002909319</v>
      </c>
      <c r="L82">
        <f ca="1"/>
        <v>-0.52344740493877673</v>
      </c>
      <c r="Q82">
        <v>0.7122100706631348</v>
      </c>
      <c r="R82" s="8">
        <f t="shared" si="25"/>
        <v>1.7122100706631347</v>
      </c>
      <c r="S82" s="9">
        <f t="shared" si="21"/>
        <v>1.7683951181255007</v>
      </c>
      <c r="T82" s="2">
        <v>0.5683951181255007</v>
      </c>
      <c r="V82">
        <v>-0.16540737406351994</v>
      </c>
      <c r="W82" s="8">
        <f t="shared" si="26"/>
        <v>1.9345926259364801</v>
      </c>
      <c r="X82" s="9">
        <f t="shared" si="27"/>
        <v>0.73941221428588932</v>
      </c>
      <c r="Y82">
        <v>-0.1605877857141107</v>
      </c>
      <c r="AA82" s="8">
        <f t="shared" si="18"/>
        <v>2.004984600346813</v>
      </c>
      <c r="AB82" s="9">
        <f t="shared" si="19"/>
        <v>1.8808727169689081</v>
      </c>
    </row>
    <row r="83" spans="1:28" x14ac:dyDescent="0.4">
      <c r="A83">
        <f t="shared" ca="1" si="20"/>
        <v>0.59247131312506074</v>
      </c>
      <c r="B83">
        <f t="shared" ca="1" si="22"/>
        <v>0.74091373871074551</v>
      </c>
      <c r="D83">
        <f t="shared" ca="1" si="12"/>
        <v>0.43715621891221246</v>
      </c>
      <c r="E83">
        <f t="shared" ca="1" si="13"/>
        <v>0.39989585787116061</v>
      </c>
      <c r="H83">
        <f t="shared" ca="1" si="23"/>
        <v>0.9159718724050383</v>
      </c>
      <c r="I83">
        <f t="shared" ca="1" si="24"/>
        <v>0.39989585787116061</v>
      </c>
      <c r="K83">
        <f t="array" aca="1" ref="K83:L83" ca="1">MMULT(H83:I83,TRANSPOSE($K$6:$L$7))</f>
        <v>0.19994792893558036</v>
      </c>
      <c r="L83">
        <f ca="1"/>
        <v>-0.73277749792403069</v>
      </c>
      <c r="Q83">
        <v>0.3545513077097443</v>
      </c>
      <c r="R83" s="8">
        <f t="shared" si="25"/>
        <v>1.3545513077097442</v>
      </c>
      <c r="S83" s="9">
        <f t="shared" si="21"/>
        <v>1.8257539852212488</v>
      </c>
      <c r="T83" s="2">
        <v>0.6257539852212487</v>
      </c>
      <c r="V83">
        <v>0.39880767725866739</v>
      </c>
      <c r="W83" s="8">
        <f t="shared" si="26"/>
        <v>2.4988076772586676</v>
      </c>
      <c r="X83" s="9">
        <f t="shared" si="27"/>
        <v>0.20414828670864682</v>
      </c>
      <c r="Y83">
        <v>-0.6958517132913532</v>
      </c>
      <c r="AA83" s="8">
        <f t="shared" si="18"/>
        <v>1.8921311414284872</v>
      </c>
      <c r="AB83" s="9">
        <f t="shared" si="19"/>
        <v>1.685293940670586</v>
      </c>
    </row>
    <row r="84" spans="1:28" x14ac:dyDescent="0.4">
      <c r="A84">
        <f t="shared" ca="1" si="20"/>
        <v>0.51936064323709696</v>
      </c>
      <c r="B84">
        <f t="shared" ca="1" si="22"/>
        <v>2.8977703668834107</v>
      </c>
      <c r="D84">
        <f t="shared" ca="1" si="12"/>
        <v>-0.50399915716934363</v>
      </c>
      <c r="E84">
        <f t="shared" ca="1" si="13"/>
        <v>0.12538072944532735</v>
      </c>
      <c r="H84">
        <f t="shared" ca="1" si="23"/>
        <v>1.9214608125326826E-2</v>
      </c>
      <c r="I84">
        <f t="shared" ca="1" si="24"/>
        <v>0.12538072944532735</v>
      </c>
      <c r="K84">
        <f t="array" aca="1" ref="K84:L84" ca="1">MMULT(H84:I84,TRANSPOSE($K$6:$L$7))</f>
        <v>6.2690364722663677E-2</v>
      </c>
      <c r="L84">
        <f ca="1"/>
        <v>-1.5371686500261458E-2</v>
      </c>
      <c r="Q84">
        <v>0.38813769443080576</v>
      </c>
      <c r="R84" s="8">
        <f t="shared" si="25"/>
        <v>1.3881376944308057</v>
      </c>
      <c r="S84" s="9">
        <f t="shared" si="21"/>
        <v>1.870836738629738</v>
      </c>
      <c r="T84" s="2">
        <v>0.67083673862973803</v>
      </c>
      <c r="V84">
        <v>-0.1735459804146729</v>
      </c>
      <c r="W84" s="8">
        <f t="shared" si="26"/>
        <v>1.9264540195853272</v>
      </c>
      <c r="X84" s="9">
        <f t="shared" si="27"/>
        <v>0.10225967117456103</v>
      </c>
      <c r="Y84">
        <v>-0.79774032882543899</v>
      </c>
      <c r="AA84" s="8">
        <f t="shared" si="18"/>
        <v>1.5612427314617385</v>
      </c>
      <c r="AB84" s="9">
        <f t="shared" si="19"/>
        <v>1.4647054435233784</v>
      </c>
    </row>
    <row r="85" spans="1:28" x14ac:dyDescent="0.4">
      <c r="A85">
        <f t="shared" ca="1" si="20"/>
        <v>0.44870784088023807</v>
      </c>
      <c r="B85">
        <f t="shared" ca="1" si="22"/>
        <v>1.6669129511650207</v>
      </c>
      <c r="D85">
        <f t="shared" ca="1" si="12"/>
        <v>-4.3061907567062491E-2</v>
      </c>
      <c r="E85">
        <f t="shared" ca="1" si="13"/>
        <v>0.44663676358321736</v>
      </c>
      <c r="H85">
        <f t="shared" ca="1" si="23"/>
        <v>0.60714686803514062</v>
      </c>
      <c r="I85">
        <f t="shared" ca="1" si="24"/>
        <v>0.44663676358321736</v>
      </c>
      <c r="K85">
        <f t="array" aca="1" ref="K85:L85" ca="1">MMULT(H85:I85,TRANSPOSE($K$6:$L$7))</f>
        <v>0.22331838179160871</v>
      </c>
      <c r="L85">
        <f ca="1"/>
        <v>-0.48571749442811252</v>
      </c>
      <c r="Q85">
        <v>0.39764614231198897</v>
      </c>
      <c r="R85" s="8">
        <f t="shared" si="25"/>
        <v>1.397646142311989</v>
      </c>
      <c r="S85" s="9">
        <f t="shared" si="21"/>
        <v>1.7708655610491633</v>
      </c>
      <c r="T85" s="2">
        <v>0.57086556104916331</v>
      </c>
      <c r="V85">
        <v>0.13738735415193903</v>
      </c>
      <c r="W85" s="8">
        <f t="shared" si="26"/>
        <v>2.2373873541519389</v>
      </c>
      <c r="X85" s="9">
        <f t="shared" si="27"/>
        <v>0.38113357205664256</v>
      </c>
      <c r="Y85">
        <v>-0.51886642794335747</v>
      </c>
      <c r="AA85" s="8">
        <f t="shared" si="18"/>
        <v>1.5607172772959097</v>
      </c>
      <c r="AB85" s="9">
        <f t="shared" si="19"/>
        <v>2.1199792044382617</v>
      </c>
    </row>
    <row r="86" spans="1:28" x14ac:dyDescent="0.4">
      <c r="A86">
        <f t="shared" ca="1" si="20"/>
        <v>2.3115489044094328E-3</v>
      </c>
      <c r="B86">
        <f t="shared" ca="1" si="22"/>
        <v>0.57223418706963325</v>
      </c>
      <c r="D86">
        <f t="shared" ref="D86:D111" ca="1" si="28">A86*COS(B86)</f>
        <v>1.9433035286375176E-3</v>
      </c>
      <c r="E86">
        <f t="shared" ref="E86:E111" ca="1" si="29">A86*SIN(B86)</f>
        <v>1.2517306951023539E-3</v>
      </c>
      <c r="H86">
        <f t="shared" ca="1" si="23"/>
        <v>0.64816176065436948</v>
      </c>
      <c r="I86">
        <f t="shared" ca="1" si="24"/>
        <v>1.2517306951023539E-3</v>
      </c>
      <c r="K86">
        <f t="array" aca="1" ref="K86:L86" ca="1">MMULT(H86:I86,TRANSPOSE($K$6:$L$7))</f>
        <v>6.258653475512087E-4</v>
      </c>
      <c r="L86">
        <f ca="1"/>
        <v>-0.51852940852349561</v>
      </c>
      <c r="Q86">
        <v>0.58095351103782855</v>
      </c>
      <c r="R86" s="8">
        <f t="shared" si="25"/>
        <v>1.5809535110378286</v>
      </c>
      <c r="S86" s="9">
        <f t="shared" si="21"/>
        <v>2.103058413587501</v>
      </c>
      <c r="T86" s="2">
        <v>0.90305841358750116</v>
      </c>
      <c r="V86">
        <v>-0.1112177687759579</v>
      </c>
      <c r="W86" s="8">
        <f t="shared" si="26"/>
        <v>1.9887822312240422</v>
      </c>
      <c r="X86" s="9">
        <f t="shared" si="27"/>
        <v>0.45234618018845119</v>
      </c>
      <c r="Y86">
        <v>-0.44765381981154884</v>
      </c>
      <c r="AA86" s="8">
        <f t="shared" si="18"/>
        <v>1.902055662347133</v>
      </c>
      <c r="AB86" s="9">
        <f t="shared" si="19"/>
        <v>1.6262596802823956</v>
      </c>
    </row>
    <row r="87" spans="1:28" x14ac:dyDescent="0.4">
      <c r="A87">
        <f t="shared" ca="1" si="20"/>
        <v>0.59548188582344941</v>
      </c>
      <c r="B87">
        <f t="shared" ca="1" si="22"/>
        <v>3.695442515463546</v>
      </c>
      <c r="D87">
        <f t="shared" ca="1" si="28"/>
        <v>-0.50646087842591536</v>
      </c>
      <c r="E87">
        <f t="shared" ca="1" si="29"/>
        <v>-0.31320289744493401</v>
      </c>
      <c r="H87">
        <f t="shared" ca="1" si="23"/>
        <v>1.5196346285065609E-2</v>
      </c>
      <c r="I87">
        <f t="shared" ca="1" si="24"/>
        <v>-0.31320289744493401</v>
      </c>
      <c r="K87">
        <f t="array" aca="1" ref="K87:L87" ca="1">MMULT(H87:I87,TRANSPOSE($K$6:$L$7))</f>
        <v>-0.15660144872246701</v>
      </c>
      <c r="L87">
        <f ca="1"/>
        <v>-1.2157077028052498E-2</v>
      </c>
      <c r="Q87">
        <v>0.54133307661794527</v>
      </c>
      <c r="R87" s="8">
        <f t="shared" si="25"/>
        <v>1.5413330766179452</v>
      </c>
      <c r="S87" s="9">
        <f t="shared" si="21"/>
        <v>1.7282616753491054</v>
      </c>
      <c r="T87" s="2">
        <v>0.5282616753491054</v>
      </c>
      <c r="V87">
        <v>3.6771031823311588E-2</v>
      </c>
      <c r="W87" s="8">
        <f t="shared" si="26"/>
        <v>2.1367710318233115</v>
      </c>
      <c r="X87" s="9">
        <f t="shared" si="27"/>
        <v>0.3931048229552887</v>
      </c>
      <c r="Y87">
        <v>-0.50689517704471132</v>
      </c>
      <c r="AA87" s="8">
        <f t="shared" si="18"/>
        <v>1.6018001699900584</v>
      </c>
      <c r="AB87" s="9">
        <f t="shared" si="19"/>
        <v>1.7993319117768951</v>
      </c>
    </row>
    <row r="88" spans="1:28" x14ac:dyDescent="0.4">
      <c r="A88">
        <f t="shared" ca="1" si="20"/>
        <v>0.61151442556969604</v>
      </c>
      <c r="B88">
        <f t="shared" ca="1" si="22"/>
        <v>4.1557174857606185</v>
      </c>
      <c r="D88">
        <f t="shared" ca="1" si="28"/>
        <v>-0.32310169883350132</v>
      </c>
      <c r="E88">
        <f t="shared" ca="1" si="29"/>
        <v>-0.51918704229857349</v>
      </c>
      <c r="H88">
        <f t="shared" ca="1" si="23"/>
        <v>0.28806872117118953</v>
      </c>
      <c r="I88">
        <f t="shared" ca="1" si="24"/>
        <v>-0.51918704229857349</v>
      </c>
      <c r="K88">
        <f t="array" aca="1" ref="K88:L88" ca="1">MMULT(H88:I88,TRANSPOSE($K$6:$L$7))</f>
        <v>-0.25959352114928674</v>
      </c>
      <c r="L88">
        <f ca="1"/>
        <v>-0.23045497693695166</v>
      </c>
      <c r="Q88">
        <v>0.63789536714127892</v>
      </c>
      <c r="R88" s="8">
        <f t="shared" si="25"/>
        <v>1.637895367141279</v>
      </c>
      <c r="S88" s="9">
        <f t="shared" si="21"/>
        <v>1.7193651096339604</v>
      </c>
      <c r="T88" s="2">
        <v>0.51936510963396043</v>
      </c>
      <c r="V88">
        <v>-0.32433817701978646</v>
      </c>
      <c r="W88" s="8">
        <f t="shared" si="26"/>
        <v>1.7756618229802137</v>
      </c>
      <c r="X88" s="9">
        <f t="shared" si="27"/>
        <v>0.28095161857225615</v>
      </c>
      <c r="Y88">
        <v>-0.61904838142774388</v>
      </c>
      <c r="AA88" s="8">
        <f t="shared" si="18"/>
        <v>1.8473046279665919</v>
      </c>
      <c r="AB88" s="9">
        <f t="shared" si="19"/>
        <v>1.8887936803017171</v>
      </c>
    </row>
    <row r="89" spans="1:28" x14ac:dyDescent="0.4">
      <c r="A89">
        <f t="shared" ca="1" si="20"/>
        <v>0.28104118473772444</v>
      </c>
      <c r="B89">
        <f t="shared" ca="1" si="22"/>
        <v>5.4883663097302646</v>
      </c>
      <c r="D89">
        <f t="shared" ca="1" si="28"/>
        <v>0.19684517072782953</v>
      </c>
      <c r="E89">
        <f t="shared" ca="1" si="29"/>
        <v>-0.20058944708013779</v>
      </c>
      <c r="H89">
        <f t="shared" ca="1" si="23"/>
        <v>0.79561303527456217</v>
      </c>
      <c r="I89">
        <f t="shared" ca="1" si="24"/>
        <v>-0.20058944708013779</v>
      </c>
      <c r="K89">
        <f t="array" aca="1" ref="K89:L89" ca="1">MMULT(H89:I89,TRANSPOSE($K$6:$L$7))</f>
        <v>-0.10029472354006885</v>
      </c>
      <c r="L89">
        <f ca="1"/>
        <v>-0.63649042821964974</v>
      </c>
      <c r="Q89">
        <v>0.67543162075106433</v>
      </c>
      <c r="R89" s="8">
        <f t="shared" si="25"/>
        <v>1.6754316207510644</v>
      </c>
      <c r="S89" s="9">
        <f t="shared" si="21"/>
        <v>1.4262089973422734</v>
      </c>
      <c r="T89" s="2">
        <v>0.2262089973422734</v>
      </c>
      <c r="V89">
        <v>0.1353705850360811</v>
      </c>
      <c r="W89" s="8">
        <f t="shared" si="26"/>
        <v>2.235370585036081</v>
      </c>
      <c r="X89" s="9">
        <f t="shared" si="27"/>
        <v>0.20152896304578938</v>
      </c>
      <c r="Y89">
        <v>-0.69847103695421064</v>
      </c>
      <c r="AA89" s="8">
        <f t="shared" si="18"/>
        <v>1.4282460483533246</v>
      </c>
      <c r="AB89" s="9">
        <f t="shared" si="19"/>
        <v>1.9733428703004852</v>
      </c>
    </row>
    <row r="90" spans="1:28" x14ac:dyDescent="0.4">
      <c r="A90">
        <f t="shared" ca="1" si="20"/>
        <v>0.75794571426014967</v>
      </c>
      <c r="B90">
        <f t="shared" ca="1" si="22"/>
        <v>6.2045452157481042</v>
      </c>
      <c r="D90">
        <f t="shared" ca="1" si="28"/>
        <v>0.75560325364321101</v>
      </c>
      <c r="E90">
        <f t="shared" ca="1" si="29"/>
        <v>-5.9543503836453827E-2</v>
      </c>
      <c r="H90">
        <f t="shared" ca="1" si="23"/>
        <v>0.98956016688930404</v>
      </c>
      <c r="I90">
        <f t="shared" ca="1" si="24"/>
        <v>-5.9543503836453827E-2</v>
      </c>
      <c r="K90">
        <f t="array" aca="1" ref="K90:L90" ca="1">MMULT(H90:I90,TRANSPOSE($K$6:$L$7))</f>
        <v>-2.9771751918226865E-2</v>
      </c>
      <c r="L90">
        <f ca="1"/>
        <v>-0.79164813351144325</v>
      </c>
      <c r="Q90">
        <v>0.30241752187409737</v>
      </c>
      <c r="R90" s="8">
        <f t="shared" si="25"/>
        <v>1.3024175218740974</v>
      </c>
      <c r="S90" s="9">
        <f t="shared" si="21"/>
        <v>1.4959747915328052</v>
      </c>
      <c r="T90" s="2">
        <v>0.29597479153280526</v>
      </c>
      <c r="V90">
        <v>-0.35148262211174985</v>
      </c>
      <c r="W90" s="8">
        <f t="shared" si="26"/>
        <v>1.7485173778882501</v>
      </c>
      <c r="X90" s="9">
        <f t="shared" si="27"/>
        <v>0.17978333495470433</v>
      </c>
      <c r="Y90">
        <v>-0.72021666504529569</v>
      </c>
      <c r="AA90" s="8">
        <f t="shared" si="18"/>
        <v>1.1698269929064828</v>
      </c>
      <c r="AB90" s="9">
        <f t="shared" si="19"/>
        <v>1.5458097486953295</v>
      </c>
    </row>
    <row r="91" spans="1:28" x14ac:dyDescent="0.4">
      <c r="A91">
        <f t="shared" ca="1" si="20"/>
        <v>0.2295551931962041</v>
      </c>
      <c r="B91">
        <f t="shared" ca="1" si="22"/>
        <v>4.8012804325810263</v>
      </c>
      <c r="D91">
        <f t="shared" ca="1" si="28"/>
        <v>2.0378632114643427E-2</v>
      </c>
      <c r="E91">
        <f t="shared" ca="1" si="29"/>
        <v>-0.22864885321488629</v>
      </c>
      <c r="H91">
        <f t="shared" ca="1" si="23"/>
        <v>0.66418458296287008</v>
      </c>
      <c r="I91">
        <f t="shared" ca="1" si="24"/>
        <v>-0.22864885321488629</v>
      </c>
      <c r="K91">
        <f t="array" aca="1" ref="K91:L91" ca="1">MMULT(H91:I91,TRANSPOSE($K$6:$L$7))</f>
        <v>-0.11432442660744312</v>
      </c>
      <c r="L91">
        <f ca="1"/>
        <v>-0.53134766637029607</v>
      </c>
      <c r="Q91">
        <v>0.20285364205298645</v>
      </c>
      <c r="R91" s="8">
        <f t="shared" si="25"/>
        <v>1.2028536420529865</v>
      </c>
      <c r="S91" s="9">
        <f t="shared" si="21"/>
        <v>1.4669579470864498</v>
      </c>
      <c r="T91" s="2">
        <v>0.26695794708644988</v>
      </c>
      <c r="V91">
        <v>0.39664353661579832</v>
      </c>
      <c r="W91" s="8">
        <f t="shared" si="26"/>
        <v>2.4966435366157986</v>
      </c>
      <c r="X91" s="9">
        <f t="shared" si="27"/>
        <v>0.98144221164929446</v>
      </c>
      <c r="Y91">
        <v>8.144221164929441E-2</v>
      </c>
      <c r="AA91" s="8">
        <f t="shared" si="18"/>
        <v>1.3129347279669237</v>
      </c>
      <c r="AB91" s="9">
        <f t="shared" si="19"/>
        <v>1.6690208839644374</v>
      </c>
    </row>
    <row r="92" spans="1:28" x14ac:dyDescent="0.4">
      <c r="A92">
        <f t="shared" ca="1" si="20"/>
        <v>0.83855728749896674</v>
      </c>
      <c r="B92">
        <f t="shared" ca="1" si="22"/>
        <v>2.618843508095781</v>
      </c>
      <c r="D92">
        <f t="shared" ca="1" si="28"/>
        <v>-0.72656788310187304</v>
      </c>
      <c r="E92">
        <f t="shared" ca="1" si="29"/>
        <v>0.41866148098731004</v>
      </c>
      <c r="H92">
        <f t="shared" ca="1" si="23"/>
        <v>-0.38488640424499176</v>
      </c>
      <c r="I92">
        <f t="shared" ca="1" si="24"/>
        <v>0.41866148098731004</v>
      </c>
      <c r="K92">
        <f t="array" aca="1" ref="K92:L92" ca="1">MMULT(H92:I92,TRANSPOSE($K$6:$L$7))</f>
        <v>0.20933074049365499</v>
      </c>
      <c r="L92">
        <f ca="1"/>
        <v>0.30790912339599341</v>
      </c>
      <c r="Q92">
        <v>1.004984600346813</v>
      </c>
      <c r="R92" s="8">
        <f t="shared" si="25"/>
        <v>2.004984600346813</v>
      </c>
      <c r="S92" s="9">
        <f t="shared" si="21"/>
        <v>1.8808727169689081</v>
      </c>
      <c r="T92" s="2">
        <v>0.68087271696890816</v>
      </c>
      <c r="V92">
        <v>0.22415333606887955</v>
      </c>
      <c r="W92" s="8">
        <f t="shared" si="26"/>
        <v>2.3241533360688797</v>
      </c>
      <c r="X92" s="9">
        <f t="shared" si="27"/>
        <v>0.42433620120415344</v>
      </c>
      <c r="Y92">
        <v>-0.47566379879584658</v>
      </c>
      <c r="AA92" s="8">
        <f t="shared" si="18"/>
        <v>1.5327285237296668</v>
      </c>
      <c r="AB92" s="9">
        <f t="shared" si="19"/>
        <v>1.761703823732085</v>
      </c>
    </row>
    <row r="93" spans="1:28" x14ac:dyDescent="0.4">
      <c r="A93">
        <f t="shared" ca="1" si="20"/>
        <v>0.76292890464266705</v>
      </c>
      <c r="B93">
        <f t="shared" ca="1" si="22"/>
        <v>5.1023302855261159</v>
      </c>
      <c r="D93">
        <f t="shared" ca="1" si="28"/>
        <v>0.29001531317658563</v>
      </c>
      <c r="E93">
        <f t="shared" ca="1" si="29"/>
        <v>-0.70565687955432466</v>
      </c>
      <c r="H93">
        <f t="shared" ca="1" si="23"/>
        <v>0.84983197774603658</v>
      </c>
      <c r="I93">
        <f t="shared" ca="1" si="24"/>
        <v>-0.70565687955432466</v>
      </c>
      <c r="K93">
        <f t="array" aca="1" ref="K93:L93" ca="1">MMULT(H93:I93,TRANSPOSE($K$6:$L$7))</f>
        <v>-0.35282843977716227</v>
      </c>
      <c r="L93">
        <f ca="1"/>
        <v>-0.67986558219682935</v>
      </c>
      <c r="Q93">
        <v>0.89213114142848704</v>
      </c>
      <c r="R93" s="8">
        <f t="shared" si="25"/>
        <v>1.8921311414284872</v>
      </c>
      <c r="S93" s="9">
        <f t="shared" si="21"/>
        <v>1.685293940670586</v>
      </c>
      <c r="T93" s="2">
        <v>0.48529394067058595</v>
      </c>
      <c r="V93">
        <v>-0.47805059365682484</v>
      </c>
      <c r="W93" s="8">
        <f t="shared" si="26"/>
        <v>1.6219494063431752</v>
      </c>
      <c r="X93" s="9">
        <f t="shared" si="27"/>
        <v>0.23106947843754777</v>
      </c>
      <c r="Y93">
        <v>-0.66893052156245225</v>
      </c>
      <c r="AA93" s="8">
        <f t="shared" si="18"/>
        <v>1.626277691288798</v>
      </c>
      <c r="AB93" s="9">
        <f t="shared" si="19"/>
        <v>2.0823409874033478</v>
      </c>
    </row>
    <row r="94" spans="1:28" x14ac:dyDescent="0.4">
      <c r="A94">
        <f t="shared" ca="1" si="20"/>
        <v>0.26333399182025508</v>
      </c>
      <c r="B94">
        <f t="shared" ca="1" si="22"/>
        <v>6.1864083966623449</v>
      </c>
      <c r="D94">
        <f t="shared" ca="1" si="28"/>
        <v>0.26210179112567528</v>
      </c>
      <c r="E94">
        <f t="shared" ca="1" si="29"/>
        <v>-2.5444888223434166E-2</v>
      </c>
      <c r="H94">
        <f t="shared" ca="1" si="23"/>
        <v>0.83463402838777456</v>
      </c>
      <c r="I94">
        <f t="shared" ca="1" si="24"/>
        <v>-2.5444888223434166E-2</v>
      </c>
      <c r="K94">
        <f t="array" aca="1" ref="K94:L94" ca="1">MMULT(H94:I94,TRANSPOSE($K$6:$L$7))</f>
        <v>-1.2722444111717041E-2</v>
      </c>
      <c r="L94">
        <f ca="1"/>
        <v>-0.66770722271021965</v>
      </c>
      <c r="Q94">
        <v>0.56124273146173853</v>
      </c>
      <c r="R94" s="8">
        <f t="shared" si="25"/>
        <v>1.5612427314617385</v>
      </c>
      <c r="S94" s="9">
        <f t="shared" si="21"/>
        <v>1.4647054435233784</v>
      </c>
      <c r="T94" s="2">
        <v>0.26470544352337833</v>
      </c>
      <c r="V94">
        <v>9.1707045452872976E-2</v>
      </c>
      <c r="W94" s="8">
        <f t="shared" si="26"/>
        <v>2.1917070454528731</v>
      </c>
      <c r="X94" s="9">
        <f t="shared" si="27"/>
        <v>0.88321949086790352</v>
      </c>
      <c r="Y94">
        <v>-1.6780509132096538E-2</v>
      </c>
      <c r="AA94" s="8">
        <f t="shared" si="18"/>
        <v>1.3755028113790311</v>
      </c>
      <c r="AB94" s="9">
        <f t="shared" si="19"/>
        <v>1.1760697670870071</v>
      </c>
    </row>
    <row r="95" spans="1:28" x14ac:dyDescent="0.4">
      <c r="A95">
        <f t="shared" ca="1" si="20"/>
        <v>0.98043857210730145</v>
      </c>
      <c r="B95">
        <f t="shared" ca="1" si="22"/>
        <v>4.1920828167350574</v>
      </c>
      <c r="D95">
        <f t="shared" ca="1" si="28"/>
        <v>-0.48742092733944736</v>
      </c>
      <c r="E95">
        <f t="shared" ca="1" si="29"/>
        <v>-0.85069420667320717</v>
      </c>
      <c r="H95">
        <f t="shared" ca="1" si="23"/>
        <v>4.6018999648204661E-2</v>
      </c>
      <c r="I95">
        <f t="shared" ca="1" si="24"/>
        <v>-0.85069420667320717</v>
      </c>
      <c r="K95">
        <f t="array" aca="1" ref="K95:L95" ca="1">MMULT(H95:I95,TRANSPOSE($K$6:$L$7))</f>
        <v>-0.42534710333660358</v>
      </c>
      <c r="L95">
        <f ca="1"/>
        <v>-3.6815199718563757E-2</v>
      </c>
      <c r="Q95">
        <v>0.5607172772959097</v>
      </c>
      <c r="R95" s="8">
        <f t="shared" si="25"/>
        <v>1.5607172772959097</v>
      </c>
      <c r="S95" s="9">
        <f t="shared" si="21"/>
        <v>2.1199792044382617</v>
      </c>
      <c r="T95" s="2">
        <v>0.91997920443826153</v>
      </c>
      <c r="V95">
        <v>-0.2417028092322217</v>
      </c>
      <c r="W95" s="8">
        <f t="shared" si="26"/>
        <v>1.8582971907677783</v>
      </c>
      <c r="X95" s="9">
        <f t="shared" si="27"/>
        <v>0.55380468526856086</v>
      </c>
      <c r="Y95">
        <v>-0.34619531473143916</v>
      </c>
      <c r="AA95" s="8">
        <f t="shared" si="18"/>
        <v>1.4550798096869981</v>
      </c>
      <c r="AB95" s="9">
        <f t="shared" si="19"/>
        <v>1.8028664801047427</v>
      </c>
    </row>
    <row r="96" spans="1:28" x14ac:dyDescent="0.4">
      <c r="A96">
        <f t="shared" ca="1" si="20"/>
        <v>0.20066234742835021</v>
      </c>
      <c r="B96">
        <f t="shared" ca="1" si="22"/>
        <v>2.3998246881205305</v>
      </c>
      <c r="D96">
        <f t="shared" ca="1" si="28"/>
        <v>-0.14794338988876229</v>
      </c>
      <c r="E96">
        <f t="shared" ca="1" si="29"/>
        <v>0.1355659657276766</v>
      </c>
      <c r="H96">
        <f t="shared" ca="1" si="23"/>
        <v>0.50082113920885751</v>
      </c>
      <c r="I96">
        <f t="shared" ca="1" si="24"/>
        <v>0.1355659657276766</v>
      </c>
      <c r="K96">
        <f t="array" aca="1" ref="K96:L96" ca="1">MMULT(H96:I96,TRANSPOSE($K$6:$L$7))</f>
        <v>6.7782982863838326E-2</v>
      </c>
      <c r="L96">
        <f ca="1"/>
        <v>-0.40065691136708603</v>
      </c>
      <c r="Q96">
        <v>0.90205566234713297</v>
      </c>
      <c r="R96" s="8">
        <f t="shared" si="25"/>
        <v>1.902055662347133</v>
      </c>
      <c r="S96" s="9">
        <f t="shared" si="21"/>
        <v>1.6262596802823956</v>
      </c>
      <c r="T96" s="2">
        <v>0.42625968028239569</v>
      </c>
      <c r="V96">
        <v>7.1492794014287653E-2</v>
      </c>
      <c r="W96" s="8">
        <f t="shared" si="26"/>
        <v>2.1714927940142879</v>
      </c>
      <c r="X96" s="9">
        <f t="shared" si="27"/>
        <v>0.3278133702398266</v>
      </c>
      <c r="Y96">
        <v>-0.57218662976017343</v>
      </c>
      <c r="AA96" s="8">
        <f t="shared" si="18"/>
        <v>1.9668645171818122</v>
      </c>
      <c r="AB96" s="9">
        <f t="shared" si="19"/>
        <v>1.860026774481079</v>
      </c>
    </row>
    <row r="97" spans="1:28" x14ac:dyDescent="0.4">
      <c r="A97">
        <f t="shared" ca="1" si="20"/>
        <v>0.25936514059339599</v>
      </c>
      <c r="B97">
        <f t="shared" ca="1" si="22"/>
        <v>4.85030360672389</v>
      </c>
      <c r="D97">
        <f t="shared" ca="1" si="28"/>
        <v>3.5656959912863564E-2</v>
      </c>
      <c r="E97">
        <f t="shared" ca="1" si="29"/>
        <v>-0.25690242771294419</v>
      </c>
      <c r="H97">
        <f t="shared" ca="1" si="23"/>
        <v>0.67712539896683155</v>
      </c>
      <c r="I97">
        <f t="shared" ca="1" si="24"/>
        <v>-0.25690242771294419</v>
      </c>
      <c r="K97">
        <f t="array" aca="1" ref="K97:L97" ca="1">MMULT(H97:I97,TRANSPOSE($K$6:$L$7))</f>
        <v>-0.12845121385647207</v>
      </c>
      <c r="L97">
        <f ca="1"/>
        <v>-0.54170031917346528</v>
      </c>
      <c r="Q97">
        <v>0.60180016999005848</v>
      </c>
      <c r="R97" s="8">
        <f t="shared" si="25"/>
        <v>1.6018001699900584</v>
      </c>
      <c r="S97" s="9">
        <f t="shared" si="21"/>
        <v>1.7993319117768951</v>
      </c>
      <c r="T97" s="2">
        <v>0.59933191177689515</v>
      </c>
      <c r="V97">
        <v>-0.29736783213849877</v>
      </c>
      <c r="W97" s="8">
        <f t="shared" si="26"/>
        <v>1.8026321678615014</v>
      </c>
      <c r="X97" s="9">
        <f t="shared" si="27"/>
        <v>0.89289708675120161</v>
      </c>
      <c r="Y97">
        <v>-7.1029132487983671E-3</v>
      </c>
      <c r="AA97" s="8">
        <f t="shared" si="18"/>
        <v>1.430485848488779</v>
      </c>
      <c r="AB97" s="9">
        <f t="shared" si="19"/>
        <v>1.6544351678450131</v>
      </c>
    </row>
    <row r="98" spans="1:28" x14ac:dyDescent="0.4">
      <c r="A98">
        <f t="shared" ca="1" si="20"/>
        <v>0.52516061191830055</v>
      </c>
      <c r="B98">
        <f t="shared" ca="1" si="22"/>
        <v>3.3040358141636239</v>
      </c>
      <c r="D98">
        <f t="shared" ca="1" si="28"/>
        <v>-0.51824692361662272</v>
      </c>
      <c r="E98">
        <f t="shared" ca="1" si="29"/>
        <v>-8.4934059553928576E-2</v>
      </c>
      <c r="H98">
        <f t="shared" ca="1" si="23"/>
        <v>-4.178759739793092E-3</v>
      </c>
      <c r="I98">
        <f t="shared" ca="1" si="24"/>
        <v>-8.4934059553928576E-2</v>
      </c>
      <c r="K98">
        <f t="array" aca="1" ref="K98:L98" ca="1">MMULT(H98:I98,TRANSPOSE($K$6:$L$7))</f>
        <v>-4.2467029776964288E-2</v>
      </c>
      <c r="L98">
        <f ca="1"/>
        <v>3.3430077918344711E-3</v>
      </c>
      <c r="Q98">
        <v>0.84730462796659189</v>
      </c>
      <c r="R98" s="8">
        <f t="shared" si="25"/>
        <v>1.8473046279665919</v>
      </c>
      <c r="S98" s="9">
        <f t="shared" si="21"/>
        <v>1.8887936803017171</v>
      </c>
      <c r="T98" s="2">
        <v>0.68879368030171717</v>
      </c>
      <c r="V98">
        <v>7.3327909397716351E-3</v>
      </c>
      <c r="W98" s="8">
        <f t="shared" si="26"/>
        <v>2.1073327909397719</v>
      </c>
      <c r="X98" s="9">
        <f t="shared" si="27"/>
        <v>0.30472261470115714</v>
      </c>
      <c r="Y98">
        <v>-0.59527738529884289</v>
      </c>
      <c r="AA98" s="8">
        <f t="shared" ref="AA98:AA101" si="30">R108</f>
        <v>1.7191123796863759</v>
      </c>
      <c r="AB98" s="9">
        <f t="shared" ref="AB98:AB101" si="31">S108</f>
        <v>1.8799061793516696</v>
      </c>
    </row>
    <row r="99" spans="1:28" x14ac:dyDescent="0.4">
      <c r="A99">
        <f t="shared" ca="1" si="20"/>
        <v>0.62245341888817529</v>
      </c>
      <c r="B99">
        <f t="shared" ca="1" si="22"/>
        <v>6.1430075660981789</v>
      </c>
      <c r="D99">
        <f t="shared" ca="1" si="28"/>
        <v>0.61634788411598374</v>
      </c>
      <c r="E99">
        <f t="shared" ca="1" si="29"/>
        <v>-8.6968640505230788E-2</v>
      </c>
      <c r="H99">
        <f t="shared" ca="1" si="23"/>
        <v>0.96776712820374255</v>
      </c>
      <c r="I99">
        <f t="shared" ca="1" si="24"/>
        <v>-8.6968640505230788E-2</v>
      </c>
      <c r="K99">
        <f t="array" aca="1" ref="K99:L99" ca="1">MMULT(H99:I99,TRANSPOSE($K$6:$L$7))</f>
        <v>-4.3484320252615345E-2</v>
      </c>
      <c r="L99">
        <f ca="1"/>
        <v>-0.77421370256299404</v>
      </c>
      <c r="Q99">
        <v>0.42824604835332458</v>
      </c>
      <c r="R99" s="8">
        <f t="shared" si="25"/>
        <v>1.4282460483533246</v>
      </c>
      <c r="S99" s="9">
        <f t="shared" si="21"/>
        <v>1.9733428703004852</v>
      </c>
      <c r="T99" s="2">
        <v>0.7733428703004851</v>
      </c>
      <c r="V99">
        <v>0.22627072609962426</v>
      </c>
      <c r="W99" s="8">
        <f t="shared" si="26"/>
        <v>2.3262707260996245</v>
      </c>
      <c r="X99" s="9">
        <f t="shared" si="27"/>
        <v>0.35174490672997272</v>
      </c>
      <c r="Y99">
        <v>-0.5482550932700273</v>
      </c>
      <c r="AA99" s="8">
        <f t="shared" si="30"/>
        <v>1.0457739938940052</v>
      </c>
      <c r="AB99" s="9">
        <f t="shared" si="31"/>
        <v>1.3819716618677067</v>
      </c>
    </row>
    <row r="100" spans="1:28" x14ac:dyDescent="0.4">
      <c r="A100">
        <f t="shared" ca="1" si="20"/>
        <v>0.53310737242918482</v>
      </c>
      <c r="B100">
        <f t="shared" ca="1" si="22"/>
        <v>1.6224871223097497</v>
      </c>
      <c r="D100">
        <f t="shared" ca="1" si="28"/>
        <v>-2.7544474161495885E-2</v>
      </c>
      <c r="E100">
        <f t="shared" ca="1" si="29"/>
        <v>0.53239531598382439</v>
      </c>
      <c r="H100">
        <f t="shared" ca="1" si="23"/>
        <v>0.621595252286825</v>
      </c>
      <c r="I100">
        <f t="shared" ca="1" si="24"/>
        <v>0.53239531598382439</v>
      </c>
      <c r="K100">
        <f t="array" aca="1" ref="K100:L100" ca="1">MMULT(H100:I100,TRANSPOSE($K$6:$L$7))</f>
        <v>0.26619765799191225</v>
      </c>
      <c r="L100">
        <f ca="1"/>
        <v>-0.49727620182946003</v>
      </c>
      <c r="Q100">
        <v>0.16982699290648284</v>
      </c>
      <c r="R100" s="8">
        <f t="shared" si="25"/>
        <v>1.1698269929064828</v>
      </c>
      <c r="S100" s="9">
        <f t="shared" si="21"/>
        <v>1.5458097486953295</v>
      </c>
      <c r="T100" s="2">
        <v>0.34580974869532943</v>
      </c>
      <c r="V100">
        <v>-3.7918868065388966E-2</v>
      </c>
      <c r="W100" s="8">
        <f t="shared" si="26"/>
        <v>2.0620811319346113</v>
      </c>
      <c r="X100" s="9">
        <f t="shared" si="27"/>
        <v>0.80161699337106884</v>
      </c>
      <c r="Y100">
        <v>-9.8383006628931124E-2</v>
      </c>
      <c r="AA100" s="8">
        <f t="shared" si="30"/>
        <v>1.1121941021112296</v>
      </c>
      <c r="AB100" s="9">
        <f t="shared" si="31"/>
        <v>1.0018699103167932</v>
      </c>
    </row>
    <row r="101" spans="1:28" x14ac:dyDescent="0.4">
      <c r="A101">
        <f t="shared" ca="1" si="20"/>
        <v>0.96180117563478484</v>
      </c>
      <c r="B101">
        <f t="shared" ca="1" si="22"/>
        <v>2.8149957532443479</v>
      </c>
      <c r="D101">
        <f t="shared" ca="1" si="28"/>
        <v>-0.91095999425826357</v>
      </c>
      <c r="E101">
        <f t="shared" ca="1" si="29"/>
        <v>0.3085666707754397</v>
      </c>
      <c r="H101">
        <f t="shared" ca="1" si="23"/>
        <v>-0.78477713951102479</v>
      </c>
      <c r="I101">
        <f t="shared" ca="1" si="24"/>
        <v>0.3085666707754397</v>
      </c>
      <c r="K101">
        <f t="array" aca="1" ref="K101:L101" ca="1">MMULT(H101:I101,TRANSPOSE($K$6:$L$7))</f>
        <v>0.15428333538771982</v>
      </c>
      <c r="L101">
        <f ca="1"/>
        <v>0.62782171160881983</v>
      </c>
      <c r="Q101">
        <v>0.31293472796692362</v>
      </c>
      <c r="R101" s="8">
        <f t="shared" si="25"/>
        <v>1.3129347279669237</v>
      </c>
      <c r="S101" s="9">
        <f t="shared" si="21"/>
        <v>1.6690208839644374</v>
      </c>
      <c r="T101" s="2">
        <v>0.46902088396443731</v>
      </c>
      <c r="V101">
        <v>0.10857404220241898</v>
      </c>
      <c r="W101" s="8">
        <f t="shared" si="26"/>
        <v>2.2085740422024189</v>
      </c>
      <c r="X101" s="9">
        <f t="shared" si="27"/>
        <v>0.30188931351362314</v>
      </c>
      <c r="Y101">
        <v>-0.59811068648637689</v>
      </c>
      <c r="AA101" s="6">
        <f t="shared" si="30"/>
        <v>1.8418182722014838</v>
      </c>
      <c r="AB101" s="7">
        <f t="shared" si="31"/>
        <v>1.7334151042757613</v>
      </c>
    </row>
    <row r="102" spans="1:28" x14ac:dyDescent="0.4">
      <c r="A102">
        <f t="shared" ca="1" si="20"/>
        <v>0.17343207301051744</v>
      </c>
      <c r="B102">
        <f t="shared" ca="1" si="22"/>
        <v>0.80049956656365284</v>
      </c>
      <c r="D102">
        <f t="shared" ca="1" si="28"/>
        <v>0.12076912145522153</v>
      </c>
      <c r="E102">
        <f t="shared" ca="1" si="29"/>
        <v>0.12447290167606523</v>
      </c>
      <c r="H102">
        <f t="shared" ca="1" si="23"/>
        <v>0.74372140362705796</v>
      </c>
      <c r="I102">
        <f t="shared" ca="1" si="24"/>
        <v>0.12447290167606523</v>
      </c>
      <c r="K102">
        <f t="array" aca="1" ref="K102:L102" ca="1">MMULT(H102:I102,TRANSPOSE($K$6:$L$7))</f>
        <v>6.2236450838032649E-2</v>
      </c>
      <c r="L102">
        <f ca="1"/>
        <v>-0.59497712290164639</v>
      </c>
      <c r="Q102">
        <v>0.53272852372966684</v>
      </c>
      <c r="R102" s="8">
        <f t="shared" si="25"/>
        <v>1.5327285237296668</v>
      </c>
      <c r="S102" s="9">
        <f t="shared" si="21"/>
        <v>1.761703823732085</v>
      </c>
      <c r="T102" s="2">
        <v>0.56170382373208516</v>
      </c>
      <c r="V102">
        <v>0.41389197547697837</v>
      </c>
      <c r="W102" s="8">
        <f t="shared" si="26"/>
        <v>2.5138919754769784</v>
      </c>
      <c r="X102" s="9">
        <f t="shared" si="27"/>
        <v>0.20034492080919242</v>
      </c>
      <c r="Y102">
        <v>-0.69965507919080761</v>
      </c>
      <c r="AA102" s="4">
        <f t="shared" ref="AA102:AA133" si="32">W12</f>
        <v>2.0444137459699223</v>
      </c>
      <c r="AB102" s="5">
        <f t="shared" ref="AB102:AB133" si="33">X12</f>
        <v>0.28444746098561124</v>
      </c>
    </row>
    <row r="103" spans="1:28" x14ac:dyDescent="0.4">
      <c r="A103">
        <f t="shared" ca="1" si="20"/>
        <v>0.31320711424797854</v>
      </c>
      <c r="B103">
        <f t="shared" ca="1" si="22"/>
        <v>5.3577793221209546</v>
      </c>
      <c r="D103">
        <f t="shared" ca="1" si="28"/>
        <v>0.18839730985610692</v>
      </c>
      <c r="E103">
        <f t="shared" ca="1" si="29"/>
        <v>-0.2502102117311128</v>
      </c>
      <c r="H103">
        <f t="shared" ca="1" si="23"/>
        <v>0.79019603030835039</v>
      </c>
      <c r="I103">
        <f t="shared" ca="1" si="24"/>
        <v>-0.2502102117311128</v>
      </c>
      <c r="K103">
        <f t="array" aca="1" ref="K103:L103" ca="1">MMULT(H103:I103,TRANSPOSE($K$6:$L$7))</f>
        <v>-0.12510510586555637</v>
      </c>
      <c r="L103">
        <f ca="1"/>
        <v>-0.6321568242466804</v>
      </c>
      <c r="Q103">
        <v>0.62627769128879796</v>
      </c>
      <c r="R103" s="8">
        <f t="shared" si="25"/>
        <v>1.626277691288798</v>
      </c>
      <c r="S103" s="9">
        <f t="shared" si="21"/>
        <v>2.0823409874033478</v>
      </c>
      <c r="T103" s="2">
        <v>0.88234098740334788</v>
      </c>
      <c r="V103">
        <v>-1.2280358696538098E-2</v>
      </c>
      <c r="W103" s="8">
        <f t="shared" si="26"/>
        <v>2.0877196413034618</v>
      </c>
      <c r="X103" s="9">
        <f t="shared" si="27"/>
        <v>0.40716920794072797</v>
      </c>
      <c r="Y103">
        <v>-0.49283079205927205</v>
      </c>
      <c r="AA103" s="8">
        <f t="shared" si="32"/>
        <v>1.9655759233124945</v>
      </c>
      <c r="AB103" s="9">
        <f t="shared" si="33"/>
        <v>0.12860410630752017</v>
      </c>
    </row>
    <row r="104" spans="1:28" x14ac:dyDescent="0.4">
      <c r="A104">
        <f t="shared" ca="1" si="20"/>
        <v>0.90052385057733209</v>
      </c>
      <c r="B104">
        <f t="shared" ca="1" si="22"/>
        <v>4.3890752329510025</v>
      </c>
      <c r="D104">
        <f t="shared" ca="1" si="28"/>
        <v>-0.28610575151094852</v>
      </c>
      <c r="E104">
        <f t="shared" ca="1" si="29"/>
        <v>-0.85386574144357175</v>
      </c>
      <c r="H104">
        <f t="shared" ca="1" si="23"/>
        <v>0.33679665569921435</v>
      </c>
      <c r="I104">
        <f t="shared" ca="1" si="24"/>
        <v>-0.85386574144357175</v>
      </c>
      <c r="K104">
        <f t="array" aca="1" ref="K104:L104" ca="1">MMULT(H104:I104,TRANSPOSE($K$6:$L$7))</f>
        <v>-0.42693287072178587</v>
      </c>
      <c r="L104">
        <f ca="1"/>
        <v>-0.26943732455937147</v>
      </c>
      <c r="Q104">
        <v>0.37550281137903097</v>
      </c>
      <c r="R104" s="8">
        <f t="shared" si="25"/>
        <v>1.3755028113790311</v>
      </c>
      <c r="S104" s="9">
        <f t="shared" si="21"/>
        <v>1.1760697670870071</v>
      </c>
      <c r="T104" s="2">
        <v>-2.3930232912992816E-2</v>
      </c>
      <c r="V104">
        <v>-3.9066920619337496E-2</v>
      </c>
      <c r="W104" s="8">
        <f t="shared" si="26"/>
        <v>2.0609330793806624</v>
      </c>
      <c r="X104" s="9">
        <f t="shared" si="27"/>
        <v>0.24541424340310869</v>
      </c>
      <c r="Y104">
        <v>-0.65458575659689133</v>
      </c>
      <c r="AA104" s="8">
        <f t="shared" si="32"/>
        <v>1.9682025690690996</v>
      </c>
      <c r="AB104" s="9">
        <f t="shared" si="33"/>
        <v>1.2643251135336162</v>
      </c>
    </row>
    <row r="105" spans="1:28" x14ac:dyDescent="0.4">
      <c r="A105">
        <f t="shared" ca="1" si="20"/>
        <v>0.29975737485436338</v>
      </c>
      <c r="B105">
        <f t="shared" ca="1" si="22"/>
        <v>4.0323676582409176</v>
      </c>
      <c r="D105">
        <f t="shared" ca="1" si="28"/>
        <v>-0.18849031599624946</v>
      </c>
      <c r="E105">
        <f t="shared" ca="1" si="29"/>
        <v>-0.23307913796651417</v>
      </c>
      <c r="H105">
        <f t="shared" ca="1" si="23"/>
        <v>0.455567396756134</v>
      </c>
      <c r="I105">
        <f t="shared" ca="1" si="24"/>
        <v>-0.23307913796651417</v>
      </c>
      <c r="K105">
        <f t="array" aca="1" ref="K105:L105" ca="1">MMULT(H105:I105,TRANSPOSE($K$6:$L$7))</f>
        <v>-0.11653956898325706</v>
      </c>
      <c r="L105">
        <f ca="1"/>
        <v>-0.36445391740490723</v>
      </c>
      <c r="Q105">
        <v>0.45507980968699813</v>
      </c>
      <c r="R105" s="8">
        <f t="shared" si="25"/>
        <v>1.4550798096869981</v>
      </c>
      <c r="S105" s="9">
        <f t="shared" si="21"/>
        <v>1.8028664801047427</v>
      </c>
      <c r="T105" s="2">
        <v>0.60286648010474275</v>
      </c>
      <c r="V105">
        <v>0.13777296757145538</v>
      </c>
      <c r="W105" s="8">
        <f t="shared" si="26"/>
        <v>2.2377729675714555</v>
      </c>
      <c r="X105" s="9">
        <f t="shared" si="27"/>
        <v>0.53517398155083806</v>
      </c>
      <c r="Y105">
        <v>-0.36482601844916202</v>
      </c>
      <c r="AA105" s="8">
        <f t="shared" si="32"/>
        <v>2.1017437207623533</v>
      </c>
      <c r="AB105" s="9">
        <f t="shared" si="33"/>
        <v>0.33888239220928396</v>
      </c>
    </row>
    <row r="106" spans="1:28" x14ac:dyDescent="0.4">
      <c r="A106">
        <f t="shared" ca="1" si="20"/>
        <v>0.15987290852621805</v>
      </c>
      <c r="B106">
        <f t="shared" ca="1" si="22"/>
        <v>3.7361686121186954</v>
      </c>
      <c r="D106">
        <f t="shared" ca="1" si="28"/>
        <v>-0.13243649572272506</v>
      </c>
      <c r="E106">
        <f t="shared" ca="1" si="29"/>
        <v>-8.9554014322737727E-2</v>
      </c>
      <c r="H106">
        <f t="shared" ca="1" si="23"/>
        <v>0.51750851926917996</v>
      </c>
      <c r="I106">
        <f t="shared" ca="1" si="24"/>
        <v>-8.9554014322737727E-2</v>
      </c>
      <c r="K106">
        <f t="array" aca="1" ref="K106:L106" ca="1">MMULT(H106:I106,TRANSPOSE($K$6:$L$7))</f>
        <v>-4.4777007161368836E-2</v>
      </c>
      <c r="L106">
        <f ca="1"/>
        <v>-0.41400681541534401</v>
      </c>
      <c r="Q106">
        <v>0.9668645171818121</v>
      </c>
      <c r="R106" s="8">
        <f t="shared" si="25"/>
        <v>1.9668645171818122</v>
      </c>
      <c r="S106" s="9">
        <f t="shared" si="21"/>
        <v>1.860026774481079</v>
      </c>
      <c r="T106" s="2">
        <v>0.66002677448107905</v>
      </c>
      <c r="V106">
        <v>0.36718489075760374</v>
      </c>
      <c r="W106" s="8">
        <f t="shared" si="26"/>
        <v>2.4671848907576037</v>
      </c>
      <c r="X106" s="9">
        <f t="shared" si="27"/>
        <v>0.44311121346392957</v>
      </c>
      <c r="Y106">
        <v>-0.45688878653607046</v>
      </c>
      <c r="AA106" s="8">
        <f t="shared" si="32"/>
        <v>1.9480862275233495</v>
      </c>
      <c r="AB106" s="9">
        <f t="shared" si="33"/>
        <v>0.55639495531568695</v>
      </c>
    </row>
    <row r="107" spans="1:28" x14ac:dyDescent="0.4">
      <c r="A107">
        <f t="shared" ca="1" si="20"/>
        <v>0.66428607329859235</v>
      </c>
      <c r="B107">
        <f t="shared" ca="1" si="22"/>
        <v>5.8789851849594852</v>
      </c>
      <c r="D107">
        <f t="shared" ca="1" si="28"/>
        <v>0.61075608798501158</v>
      </c>
      <c r="E107">
        <f t="shared" ca="1" si="29"/>
        <v>-0.26125272853638798</v>
      </c>
      <c r="H107">
        <f t="shared" ca="1" si="23"/>
        <v>0.96657975893196646</v>
      </c>
      <c r="I107">
        <f t="shared" ca="1" si="24"/>
        <v>-0.26125272853638798</v>
      </c>
      <c r="K107">
        <f t="array" aca="1" ref="K107:L107" ca="1">MMULT(H107:I107,TRANSPOSE($K$6:$L$7))</f>
        <v>-0.13062636426819393</v>
      </c>
      <c r="L107">
        <f ca="1"/>
        <v>-0.77326380714557319</v>
      </c>
      <c r="Q107">
        <v>0.43048584848877897</v>
      </c>
      <c r="R107" s="8">
        <f t="shared" si="25"/>
        <v>1.430485848488779</v>
      </c>
      <c r="S107" s="9">
        <f t="shared" si="21"/>
        <v>1.6544351678450131</v>
      </c>
      <c r="T107" s="2">
        <v>0.45443516784501314</v>
      </c>
      <c r="V107">
        <v>-3.8231416077605558E-2</v>
      </c>
      <c r="W107" s="8">
        <f t="shared" si="26"/>
        <v>2.0617685839223947</v>
      </c>
      <c r="X107" s="9">
        <f t="shared" si="27"/>
        <v>0.10031839982945512</v>
      </c>
      <c r="Y107">
        <v>-0.7996816001705449</v>
      </c>
      <c r="AA107" s="8">
        <f t="shared" si="32"/>
        <v>2.0923923293301905</v>
      </c>
      <c r="AB107" s="9">
        <f t="shared" si="33"/>
        <v>0.25924843583003787</v>
      </c>
    </row>
    <row r="108" spans="1:28" x14ac:dyDescent="0.4">
      <c r="A108">
        <f t="shared" ca="1" si="20"/>
        <v>0.90684992011381926</v>
      </c>
      <c r="B108">
        <f t="shared" ca="1" si="22"/>
        <v>4.161554680759294</v>
      </c>
      <c r="D108">
        <f t="shared" ca="1" si="28"/>
        <v>-0.47464371364134522</v>
      </c>
      <c r="E108">
        <f t="shared" ca="1" si="29"/>
        <v>-0.77271606862494646</v>
      </c>
      <c r="H108">
        <f t="shared" ca="1" si="23"/>
        <v>6.6374369041548698E-2</v>
      </c>
      <c r="I108">
        <f t="shared" ca="1" si="24"/>
        <v>-0.77271606862494646</v>
      </c>
      <c r="K108">
        <f t="array" aca="1" ref="K108:L108" ca="1">MMULT(H108:I108,TRANSPOSE($K$6:$L$7))</f>
        <v>-0.38635803431247323</v>
      </c>
      <c r="L108">
        <f ca="1"/>
        <v>-5.309949523323898E-2</v>
      </c>
      <c r="Q108">
        <v>0.71911237968637587</v>
      </c>
      <c r="R108" s="8">
        <f t="shared" si="25"/>
        <v>1.7191123796863759</v>
      </c>
      <c r="S108" s="9">
        <f t="shared" ref="S108:S111" si="34">T108+T$1</f>
        <v>1.8799061793516696</v>
      </c>
      <c r="T108" s="2">
        <v>0.67990617935166953</v>
      </c>
      <c r="V108">
        <v>-4.4733211368944474E-2</v>
      </c>
      <c r="W108" s="8">
        <f t="shared" si="26"/>
        <v>2.0552667886310556</v>
      </c>
      <c r="X108" s="9">
        <f t="shared" si="27"/>
        <v>0.76989363486546758</v>
      </c>
      <c r="Y108">
        <v>-0.13010636513453244</v>
      </c>
      <c r="AA108" s="8">
        <f t="shared" si="32"/>
        <v>2.3276269821456679</v>
      </c>
      <c r="AB108" s="9">
        <f t="shared" si="33"/>
        <v>1.0699038695582666</v>
      </c>
    </row>
    <row r="109" spans="1:28" x14ac:dyDescent="0.4">
      <c r="A109">
        <f t="shared" ca="1" si="20"/>
        <v>0.19369458998820399</v>
      </c>
      <c r="B109">
        <f t="shared" ca="1" si="22"/>
        <v>2.0219619664086723</v>
      </c>
      <c r="D109">
        <f t="shared" ca="1" si="28"/>
        <v>-8.4453714730695961E-2</v>
      </c>
      <c r="E109">
        <f t="shared" ca="1" si="29"/>
        <v>0.17431340814430965</v>
      </c>
      <c r="H109">
        <f t="shared" ca="1" si="23"/>
        <v>0.56700532204841148</v>
      </c>
      <c r="I109">
        <f t="shared" ca="1" si="24"/>
        <v>0.17431340814430965</v>
      </c>
      <c r="K109">
        <f t="array" aca="1" ref="K109:L109" ca="1">MMULT(H109:I109,TRANSPOSE($K$6:$L$7))</f>
        <v>8.7156704072154853E-2</v>
      </c>
      <c r="L109">
        <f ca="1"/>
        <v>-0.45360425763872919</v>
      </c>
      <c r="Q109">
        <v>4.5773993894005188E-2</v>
      </c>
      <c r="R109" s="8">
        <f t="shared" si="25"/>
        <v>1.0457739938940052</v>
      </c>
      <c r="S109" s="9">
        <f t="shared" si="34"/>
        <v>1.3819716618677067</v>
      </c>
      <c r="T109" s="2">
        <v>0.18197166186770683</v>
      </c>
      <c r="V109">
        <v>-4.514650811190948E-3</v>
      </c>
      <c r="W109" s="8">
        <f t="shared" si="26"/>
        <v>2.095485349188809</v>
      </c>
      <c r="X109" s="9">
        <f t="shared" si="27"/>
        <v>0.37556356997605878</v>
      </c>
      <c r="Y109">
        <v>-0.52443643002394125</v>
      </c>
      <c r="AA109" s="8">
        <f t="shared" si="32"/>
        <v>2.092736673100478</v>
      </c>
      <c r="AB109" s="9">
        <f t="shared" si="33"/>
        <v>0.45248932216244936</v>
      </c>
    </row>
    <row r="110" spans="1:28" x14ac:dyDescent="0.4">
      <c r="A110">
        <f t="shared" ca="1" si="20"/>
        <v>0.33269926974783903</v>
      </c>
      <c r="B110">
        <f t="shared" ca="1" si="22"/>
        <v>4.7276740459051778</v>
      </c>
      <c r="D110">
        <f t="shared" ca="1" si="28"/>
        <v>5.085132122011519E-3</v>
      </c>
      <c r="E110">
        <f t="shared" ca="1" si="29"/>
        <v>-0.3326604057023424</v>
      </c>
      <c r="H110">
        <f t="shared" ca="1" si="23"/>
        <v>0.65092414623135464</v>
      </c>
      <c r="I110">
        <f t="shared" ca="1" si="24"/>
        <v>-0.3326604057023424</v>
      </c>
      <c r="K110">
        <f t="array" aca="1" ref="K110:L110" ca="1">MMULT(H110:I110,TRANSPOSE($K$6:$L$7))</f>
        <v>-0.16633020285117117</v>
      </c>
      <c r="L110">
        <f ca="1"/>
        <v>-0.52073931698508369</v>
      </c>
      <c r="Q110">
        <v>0.11219410211122963</v>
      </c>
      <c r="R110" s="8">
        <f t="shared" si="25"/>
        <v>1.1121941021112296</v>
      </c>
      <c r="S110" s="9">
        <f t="shared" si="34"/>
        <v>1.0018699103167932</v>
      </c>
      <c r="T110" s="2">
        <v>-0.19813008968320683</v>
      </c>
      <c r="V110">
        <v>-0.24183273902071034</v>
      </c>
      <c r="W110" s="8">
        <f t="shared" si="26"/>
        <v>1.8581672609792896</v>
      </c>
      <c r="X110" s="9">
        <f t="shared" si="27"/>
        <v>1.3341650481294951</v>
      </c>
      <c r="Y110">
        <v>0.43416504812949502</v>
      </c>
      <c r="AA110" s="8">
        <f t="shared" si="32"/>
        <v>2.1345959879393099</v>
      </c>
      <c r="AB110" s="9">
        <f t="shared" si="33"/>
        <v>1.3635935033934006</v>
      </c>
    </row>
    <row r="111" spans="1:28" x14ac:dyDescent="0.4">
      <c r="A111">
        <f t="shared" ca="1" si="20"/>
        <v>0.11479291374827028</v>
      </c>
      <c r="B111">
        <f t="shared" ca="1" si="22"/>
        <v>5.9607152719473424</v>
      </c>
      <c r="D111">
        <f t="shared" ca="1" si="28"/>
        <v>0.10887597416028771</v>
      </c>
      <c r="E111">
        <f t="shared" ca="1" si="29"/>
        <v>-3.6379050255142459E-2</v>
      </c>
      <c r="H111">
        <f t="shared" ca="1" si="23"/>
        <v>0.73496673369628995</v>
      </c>
      <c r="I111">
        <f t="shared" ca="1" si="24"/>
        <v>-3.6379050255142459E-2</v>
      </c>
      <c r="K111">
        <f t="array" aca="1" ref="K111:L111" ca="1">MMULT(H111:I111,TRANSPOSE($K$6:$L$7))</f>
        <v>-1.8189525127571195E-2</v>
      </c>
      <c r="L111">
        <f ca="1"/>
        <v>-0.58797338695703194</v>
      </c>
      <c r="Q111">
        <v>0.84181827220148375</v>
      </c>
      <c r="R111" s="6">
        <f t="shared" si="25"/>
        <v>1.8418182722014838</v>
      </c>
      <c r="S111" s="7">
        <f t="shared" si="34"/>
        <v>1.7334151042757613</v>
      </c>
      <c r="T111" s="2">
        <v>0.53341510427576122</v>
      </c>
      <c r="V111">
        <v>-7.471305304063916E-2</v>
      </c>
      <c r="W111" s="6">
        <f t="shared" si="26"/>
        <v>2.0252869469593611</v>
      </c>
      <c r="X111" s="7">
        <f t="shared" si="27"/>
        <v>0.20183709831226326</v>
      </c>
      <c r="Y111">
        <v>-0.69816290168773676</v>
      </c>
      <c r="AA111" s="8">
        <f t="shared" si="32"/>
        <v>1.907870821365161</v>
      </c>
      <c r="AB111" s="9">
        <f t="shared" si="33"/>
        <v>0.10284795587064788</v>
      </c>
    </row>
    <row r="112" spans="1:28" x14ac:dyDescent="0.4">
      <c r="AA112" s="8">
        <f t="shared" si="32"/>
        <v>1.8947610968576669</v>
      </c>
      <c r="AB112" s="9">
        <f t="shared" si="33"/>
        <v>0.20086690195520318</v>
      </c>
    </row>
    <row r="113" spans="27:28" x14ac:dyDescent="0.4">
      <c r="AA113" s="8">
        <f t="shared" si="32"/>
        <v>2.2097498255182444</v>
      </c>
      <c r="AB113" s="9">
        <f t="shared" si="33"/>
        <v>0.19765519742373494</v>
      </c>
    </row>
    <row r="114" spans="27:28" x14ac:dyDescent="0.4">
      <c r="AA114" s="8">
        <f t="shared" si="32"/>
        <v>2.0745178092641279</v>
      </c>
      <c r="AB114" s="9">
        <f t="shared" si="33"/>
        <v>0.32491301409134787</v>
      </c>
    </row>
    <row r="115" spans="27:28" x14ac:dyDescent="0.4">
      <c r="AA115" s="8">
        <f t="shared" si="32"/>
        <v>1.8207416557501288</v>
      </c>
      <c r="AB115" s="9">
        <f t="shared" si="33"/>
        <v>0.12963891656677218</v>
      </c>
    </row>
    <row r="116" spans="27:28" x14ac:dyDescent="0.4">
      <c r="AA116" s="8">
        <f t="shared" si="32"/>
        <v>2.07430454451038</v>
      </c>
      <c r="AB116" s="9">
        <f t="shared" si="33"/>
        <v>0.18018842814779046</v>
      </c>
    </row>
    <row r="117" spans="27:28" x14ac:dyDescent="0.4">
      <c r="AA117" s="8">
        <f t="shared" si="32"/>
        <v>2.1068555954793435</v>
      </c>
      <c r="AB117" s="9">
        <f t="shared" si="33"/>
        <v>0.39789893359010797</v>
      </c>
    </row>
    <row r="118" spans="27:28" x14ac:dyDescent="0.4">
      <c r="AA118" s="8">
        <f t="shared" si="32"/>
        <v>2.5362400387966684</v>
      </c>
      <c r="AB118" s="9">
        <f t="shared" si="33"/>
        <v>0.3118133172079639</v>
      </c>
    </row>
    <row r="119" spans="27:28" x14ac:dyDescent="0.4">
      <c r="AA119" s="8">
        <f t="shared" si="32"/>
        <v>2.1414956986763825</v>
      </c>
      <c r="AB119" s="9">
        <f t="shared" si="33"/>
        <v>0.47217073526774261</v>
      </c>
    </row>
    <row r="120" spans="27:28" x14ac:dyDescent="0.4">
      <c r="AA120" s="8">
        <f t="shared" si="32"/>
        <v>2.1003821746169971</v>
      </c>
      <c r="AB120" s="9">
        <f t="shared" si="33"/>
        <v>0.40764564293354183</v>
      </c>
    </row>
    <row r="121" spans="27:28" x14ac:dyDescent="0.4">
      <c r="AA121" s="8">
        <f t="shared" si="32"/>
        <v>2.1758593204710728</v>
      </c>
      <c r="AB121" s="9">
        <f t="shared" si="33"/>
        <v>0.53778307126086689</v>
      </c>
    </row>
    <row r="122" spans="27:28" x14ac:dyDescent="0.4">
      <c r="AA122" s="8">
        <f t="shared" si="32"/>
        <v>1.7596770490369011</v>
      </c>
      <c r="AB122" s="9">
        <f t="shared" si="33"/>
        <v>1.003361040744998</v>
      </c>
    </row>
    <row r="123" spans="27:28" x14ac:dyDescent="0.4">
      <c r="AA123" s="8">
        <f t="shared" si="32"/>
        <v>2.2954163049754293</v>
      </c>
      <c r="AB123" s="9">
        <f t="shared" si="33"/>
        <v>0.11919501606859617</v>
      </c>
    </row>
    <row r="124" spans="27:28" x14ac:dyDescent="0.4">
      <c r="AA124" s="8">
        <f t="shared" si="32"/>
        <v>2.1094563801324799</v>
      </c>
      <c r="AB124" s="9">
        <f t="shared" si="33"/>
        <v>0.39509409795425099</v>
      </c>
    </row>
    <row r="125" spans="27:28" x14ac:dyDescent="0.4">
      <c r="AA125" s="8">
        <f t="shared" si="32"/>
        <v>1.887053545004691</v>
      </c>
      <c r="AB125" s="9">
        <f t="shared" si="33"/>
        <v>0.5839207913165142</v>
      </c>
    </row>
    <row r="126" spans="27:28" x14ac:dyDescent="0.4">
      <c r="AA126" s="8">
        <f t="shared" si="32"/>
        <v>2.2313619567564009</v>
      </c>
      <c r="AB126" s="9">
        <f t="shared" si="33"/>
        <v>0.23188668383434374</v>
      </c>
    </row>
    <row r="127" spans="27:28" x14ac:dyDescent="0.4">
      <c r="AA127" s="8">
        <f t="shared" si="32"/>
        <v>1.8161153216597159</v>
      </c>
      <c r="AB127" s="9">
        <f t="shared" si="33"/>
        <v>0.38997567549698964</v>
      </c>
    </row>
    <row r="128" spans="27:28" x14ac:dyDescent="0.4">
      <c r="AA128" s="8">
        <f t="shared" si="32"/>
        <v>1.9864103214739903</v>
      </c>
      <c r="AB128" s="9">
        <f t="shared" si="33"/>
        <v>0.82036841073343147</v>
      </c>
    </row>
    <row r="129" spans="27:28" x14ac:dyDescent="0.4">
      <c r="AA129" s="8">
        <f t="shared" si="32"/>
        <v>1.8018288762718788</v>
      </c>
      <c r="AB129" s="9">
        <f t="shared" si="33"/>
        <v>0.19562874569284994</v>
      </c>
    </row>
    <row r="130" spans="27:28" x14ac:dyDescent="0.4">
      <c r="AA130" s="8">
        <f t="shared" si="32"/>
        <v>2.1019760051366227</v>
      </c>
      <c r="AB130" s="9">
        <f t="shared" si="33"/>
        <v>1.5055423554021989</v>
      </c>
    </row>
    <row r="131" spans="27:28" x14ac:dyDescent="0.4">
      <c r="AA131" s="8">
        <f t="shared" si="32"/>
        <v>1.6838807355889482</v>
      </c>
      <c r="AB131" s="9">
        <f t="shared" si="33"/>
        <v>0.24778424586418035</v>
      </c>
    </row>
    <row r="132" spans="27:28" x14ac:dyDescent="0.4">
      <c r="AA132" s="8">
        <f t="shared" si="32"/>
        <v>2.1778784397271074</v>
      </c>
      <c r="AB132" s="9">
        <f t="shared" si="33"/>
        <v>0.37418086502593939</v>
      </c>
    </row>
    <row r="133" spans="27:28" x14ac:dyDescent="0.4">
      <c r="AA133" s="8">
        <f t="shared" si="32"/>
        <v>2.0793282449785186</v>
      </c>
      <c r="AB133" s="9">
        <f t="shared" si="33"/>
        <v>0.38081019638452673</v>
      </c>
    </row>
    <row r="134" spans="27:28" x14ac:dyDescent="0.4">
      <c r="AA134" s="8">
        <f t="shared" ref="AA134:AA165" si="35">W44</f>
        <v>2.1107701086052364</v>
      </c>
      <c r="AB134" s="9">
        <f t="shared" ref="AB134:AB165" si="36">X44</f>
        <v>0.41943878676440499</v>
      </c>
    </row>
    <row r="135" spans="27:28" x14ac:dyDescent="0.4">
      <c r="AA135" s="8">
        <f t="shared" si="35"/>
        <v>2.1419061698664703</v>
      </c>
      <c r="AB135" s="9">
        <f t="shared" si="36"/>
        <v>0.47959886580217576</v>
      </c>
    </row>
    <row r="136" spans="27:28" x14ac:dyDescent="0.4">
      <c r="AA136" s="8">
        <f t="shared" si="35"/>
        <v>1.9790574055346508</v>
      </c>
      <c r="AB136" s="9">
        <f t="shared" si="36"/>
        <v>0.21838872479609794</v>
      </c>
    </row>
    <row r="137" spans="27:28" x14ac:dyDescent="0.4">
      <c r="AA137" s="8">
        <f t="shared" si="35"/>
        <v>2.1532694608504372</v>
      </c>
      <c r="AB137" s="9">
        <f t="shared" si="36"/>
        <v>0.2378629245778261</v>
      </c>
    </row>
    <row r="138" spans="27:28" x14ac:dyDescent="0.4">
      <c r="AA138" s="8">
        <f t="shared" si="35"/>
        <v>2.0947649063531655</v>
      </c>
      <c r="AB138" s="9">
        <f t="shared" si="36"/>
        <v>0.41973656529673481</v>
      </c>
    </row>
    <row r="139" spans="27:28" x14ac:dyDescent="0.4">
      <c r="AA139" s="8">
        <f t="shared" si="35"/>
        <v>2.4305010012305281</v>
      </c>
      <c r="AB139" s="9">
        <f t="shared" si="36"/>
        <v>0.3129118657703932</v>
      </c>
    </row>
    <row r="140" spans="27:28" x14ac:dyDescent="0.4">
      <c r="AA140" s="8">
        <f t="shared" si="35"/>
        <v>1.6545171000926324</v>
      </c>
      <c r="AB140" s="9">
        <f t="shared" si="36"/>
        <v>0.3568410760256423</v>
      </c>
    </row>
    <row r="141" spans="27:28" x14ac:dyDescent="0.4">
      <c r="AA141" s="8">
        <f t="shared" si="35"/>
        <v>2.0878106684134186</v>
      </c>
      <c r="AB141" s="9">
        <f t="shared" si="36"/>
        <v>1.0327932862823133</v>
      </c>
    </row>
    <row r="142" spans="27:28" x14ac:dyDescent="0.4">
      <c r="AA142" s="8">
        <f t="shared" si="35"/>
        <v>1.816087375222627</v>
      </c>
      <c r="AB142" s="9">
        <f t="shared" si="36"/>
        <v>0.13001455982560384</v>
      </c>
    </row>
    <row r="143" spans="27:28" x14ac:dyDescent="0.4">
      <c r="AA143" s="8">
        <f t="shared" si="35"/>
        <v>1.7478834363329394</v>
      </c>
      <c r="AB143" s="9">
        <f t="shared" si="36"/>
        <v>0.83178318204745438</v>
      </c>
    </row>
    <row r="144" spans="27:28" x14ac:dyDescent="0.4">
      <c r="AA144" s="8">
        <f t="shared" si="35"/>
        <v>2.4451744244344207</v>
      </c>
      <c r="AB144" s="9">
        <f t="shared" si="36"/>
        <v>0.13172313849205397</v>
      </c>
    </row>
    <row r="145" spans="27:28" x14ac:dyDescent="0.4">
      <c r="AA145" s="8">
        <f t="shared" si="35"/>
        <v>2.343356146925661</v>
      </c>
      <c r="AB145" s="9">
        <f t="shared" si="36"/>
        <v>0.68704415609804625</v>
      </c>
    </row>
    <row r="146" spans="27:28" x14ac:dyDescent="0.4">
      <c r="AA146" s="8">
        <f t="shared" si="35"/>
        <v>2.0878587363840841</v>
      </c>
      <c r="AB146" s="9">
        <f t="shared" si="36"/>
        <v>1.1537191289024311</v>
      </c>
    </row>
    <row r="147" spans="27:28" x14ac:dyDescent="0.4">
      <c r="AA147" s="8">
        <f t="shared" si="35"/>
        <v>1.9517045964471893</v>
      </c>
      <c r="AB147" s="9">
        <f t="shared" si="36"/>
        <v>0.7737300462254032</v>
      </c>
    </row>
    <row r="148" spans="27:28" x14ac:dyDescent="0.4">
      <c r="AA148" s="8">
        <f t="shared" si="35"/>
        <v>2.1943461122648773</v>
      </c>
      <c r="AB148" s="9">
        <f t="shared" si="36"/>
        <v>0.45594131771193069</v>
      </c>
    </row>
    <row r="149" spans="27:28" x14ac:dyDescent="0.4">
      <c r="AA149" s="8">
        <f t="shared" si="35"/>
        <v>2.225895202088835</v>
      </c>
      <c r="AB149" s="9">
        <f t="shared" si="36"/>
        <v>0.19831897963111789</v>
      </c>
    </row>
    <row r="150" spans="27:28" x14ac:dyDescent="0.4">
      <c r="AA150" s="8">
        <f t="shared" si="35"/>
        <v>2.3515670923446645</v>
      </c>
      <c r="AB150" s="9">
        <f t="shared" si="36"/>
        <v>0.12757022401590057</v>
      </c>
    </row>
    <row r="151" spans="27:28" x14ac:dyDescent="0.4">
      <c r="AA151" s="8">
        <f t="shared" si="35"/>
        <v>2.1264301603101226</v>
      </c>
      <c r="AB151" s="9">
        <f t="shared" si="36"/>
        <v>0.11863774236858426</v>
      </c>
    </row>
    <row r="152" spans="27:28" x14ac:dyDescent="0.4">
      <c r="AA152" s="8">
        <f t="shared" si="35"/>
        <v>1.6757404364551844</v>
      </c>
      <c r="AB152" s="9">
        <f t="shared" si="36"/>
        <v>0.65068863177703151</v>
      </c>
    </row>
    <row r="153" spans="27:28" x14ac:dyDescent="0.4">
      <c r="AA153" s="8">
        <f t="shared" si="35"/>
        <v>1.915238717131253</v>
      </c>
      <c r="AB153" s="9">
        <f t="shared" si="36"/>
        <v>0.27348126641594661</v>
      </c>
    </row>
    <row r="154" spans="27:28" x14ac:dyDescent="0.4">
      <c r="AA154" s="8">
        <f t="shared" si="35"/>
        <v>2.2212058842118525</v>
      </c>
      <c r="AB154" s="9">
        <f t="shared" si="36"/>
        <v>0.21173901272132067</v>
      </c>
    </row>
    <row r="155" spans="27:28" x14ac:dyDescent="0.4">
      <c r="AA155" s="8">
        <f t="shared" si="35"/>
        <v>2.1504252033144415</v>
      </c>
      <c r="AB155" s="9">
        <f t="shared" si="36"/>
        <v>0.23981853649710427</v>
      </c>
    </row>
    <row r="156" spans="27:28" x14ac:dyDescent="0.4">
      <c r="AA156" s="8">
        <f t="shared" si="35"/>
        <v>2.1685540231319824</v>
      </c>
      <c r="AB156" s="9">
        <f t="shared" si="36"/>
        <v>0.79991324616554227</v>
      </c>
    </row>
    <row r="157" spans="27:28" x14ac:dyDescent="0.4">
      <c r="AA157" s="8">
        <f t="shared" si="35"/>
        <v>2.0258812157203434</v>
      </c>
      <c r="AB157" s="9">
        <f t="shared" si="36"/>
        <v>1.0824132438400342</v>
      </c>
    </row>
    <row r="158" spans="27:28" x14ac:dyDescent="0.4">
      <c r="AA158" s="8">
        <f t="shared" si="35"/>
        <v>2.5721347939533721</v>
      </c>
      <c r="AB158" s="9">
        <f t="shared" si="36"/>
        <v>0.52912820325282994</v>
      </c>
    </row>
    <row r="159" spans="27:28" x14ac:dyDescent="0.4">
      <c r="AA159" s="8">
        <f t="shared" si="35"/>
        <v>2.1288443732461046</v>
      </c>
      <c r="AB159" s="9">
        <f t="shared" si="36"/>
        <v>0.3957878538355406</v>
      </c>
    </row>
    <row r="160" spans="27:28" x14ac:dyDescent="0.4">
      <c r="AA160" s="8">
        <f t="shared" si="35"/>
        <v>2.0508044497864915</v>
      </c>
      <c r="AB160" s="9">
        <f t="shared" si="36"/>
        <v>0.34020072822606362</v>
      </c>
    </row>
    <row r="161" spans="27:28" x14ac:dyDescent="0.4">
      <c r="AA161" s="8">
        <f t="shared" si="35"/>
        <v>2.032078466981996</v>
      </c>
      <c r="AB161" s="9">
        <f t="shared" si="36"/>
        <v>0.70498675338566097</v>
      </c>
    </row>
    <row r="162" spans="27:28" x14ac:dyDescent="0.4">
      <c r="AA162" s="8">
        <f t="shared" si="35"/>
        <v>2.0892526142640877</v>
      </c>
      <c r="AB162" s="9">
        <f t="shared" si="36"/>
        <v>0.31654707901973045</v>
      </c>
    </row>
    <row r="163" spans="27:28" x14ac:dyDescent="0.4">
      <c r="AA163" s="8">
        <f t="shared" si="35"/>
        <v>2.1255207182248039</v>
      </c>
      <c r="AB163" s="9">
        <f t="shared" si="36"/>
        <v>0.40669554242270234</v>
      </c>
    </row>
    <row r="164" spans="27:28" x14ac:dyDescent="0.4">
      <c r="AA164" s="8">
        <f t="shared" si="35"/>
        <v>2.5225891855306855</v>
      </c>
      <c r="AB164" s="9">
        <f t="shared" si="36"/>
        <v>0.43745979654021722</v>
      </c>
    </row>
    <row r="165" spans="27:28" x14ac:dyDescent="0.4">
      <c r="AA165" s="8">
        <f t="shared" si="35"/>
        <v>2.4027902864736177</v>
      </c>
      <c r="AB165" s="9">
        <f t="shared" si="36"/>
        <v>0.93848904294083035</v>
      </c>
    </row>
    <row r="166" spans="27:28" x14ac:dyDescent="0.4">
      <c r="AA166" s="8">
        <f t="shared" ref="AA166:AA197" si="37">W76</f>
        <v>2.1599284114834525</v>
      </c>
      <c r="AB166" s="9">
        <f t="shared" ref="AB166:AB197" si="38">X76</f>
        <v>0.23279930271786997</v>
      </c>
    </row>
    <row r="167" spans="27:28" x14ac:dyDescent="0.4">
      <c r="AA167" s="8">
        <f t="shared" si="37"/>
        <v>2.1008420260695644</v>
      </c>
      <c r="AB167" s="9">
        <f t="shared" si="38"/>
        <v>0.28910589623883542</v>
      </c>
    </row>
    <row r="168" spans="27:28" x14ac:dyDescent="0.4">
      <c r="AA168" s="8">
        <f t="shared" si="37"/>
        <v>2.071003057787387</v>
      </c>
      <c r="AB168" s="9">
        <f t="shared" si="38"/>
        <v>1.2690574244879453</v>
      </c>
    </row>
    <row r="169" spans="27:28" x14ac:dyDescent="0.4">
      <c r="AA169" s="8">
        <f t="shared" si="37"/>
        <v>2.2421138094732904</v>
      </c>
      <c r="AB169" s="9">
        <f t="shared" si="38"/>
        <v>0.23380684639911242</v>
      </c>
    </row>
    <row r="170" spans="27:28" x14ac:dyDescent="0.4">
      <c r="AA170" s="8">
        <f t="shared" si="37"/>
        <v>2.2740095132799949</v>
      </c>
      <c r="AB170" s="9">
        <f t="shared" si="38"/>
        <v>1.2957480521397864</v>
      </c>
    </row>
    <row r="171" spans="27:28" x14ac:dyDescent="0.4">
      <c r="AA171" s="8">
        <f t="shared" si="37"/>
        <v>2.2520110241881461</v>
      </c>
      <c r="AB171" s="9">
        <f t="shared" si="38"/>
        <v>0.22060181728534534</v>
      </c>
    </row>
    <row r="172" spans="27:28" x14ac:dyDescent="0.4">
      <c r="AA172" s="8">
        <f t="shared" si="37"/>
        <v>1.9345926259364801</v>
      </c>
      <c r="AB172" s="9">
        <f t="shared" si="38"/>
        <v>0.73941221428588932</v>
      </c>
    </row>
    <row r="173" spans="27:28" x14ac:dyDescent="0.4">
      <c r="AA173" s="8">
        <f t="shared" si="37"/>
        <v>2.4988076772586676</v>
      </c>
      <c r="AB173" s="9">
        <f t="shared" si="38"/>
        <v>0.20414828670864682</v>
      </c>
    </row>
    <row r="174" spans="27:28" x14ac:dyDescent="0.4">
      <c r="AA174" s="8">
        <f t="shared" si="37"/>
        <v>1.9264540195853272</v>
      </c>
      <c r="AB174" s="9">
        <f t="shared" si="38"/>
        <v>0.10225967117456103</v>
      </c>
    </row>
    <row r="175" spans="27:28" x14ac:dyDescent="0.4">
      <c r="AA175" s="8">
        <f t="shared" si="37"/>
        <v>2.2373873541519389</v>
      </c>
      <c r="AB175" s="9">
        <f t="shared" si="38"/>
        <v>0.38113357205664256</v>
      </c>
    </row>
    <row r="176" spans="27:28" x14ac:dyDescent="0.4">
      <c r="AA176" s="8">
        <f t="shared" si="37"/>
        <v>1.9887822312240422</v>
      </c>
      <c r="AB176" s="9">
        <f t="shared" si="38"/>
        <v>0.45234618018845119</v>
      </c>
    </row>
    <row r="177" spans="27:28" x14ac:dyDescent="0.4">
      <c r="AA177" s="8">
        <f t="shared" si="37"/>
        <v>2.1367710318233115</v>
      </c>
      <c r="AB177" s="9">
        <f t="shared" si="38"/>
        <v>0.3931048229552887</v>
      </c>
    </row>
    <row r="178" spans="27:28" x14ac:dyDescent="0.4">
      <c r="AA178" s="8">
        <f t="shared" si="37"/>
        <v>1.7756618229802137</v>
      </c>
      <c r="AB178" s="9">
        <f t="shared" si="38"/>
        <v>0.28095161857225615</v>
      </c>
    </row>
    <row r="179" spans="27:28" x14ac:dyDescent="0.4">
      <c r="AA179" s="8">
        <f t="shared" si="37"/>
        <v>2.235370585036081</v>
      </c>
      <c r="AB179" s="9">
        <f t="shared" si="38"/>
        <v>0.20152896304578938</v>
      </c>
    </row>
    <row r="180" spans="27:28" x14ac:dyDescent="0.4">
      <c r="AA180" s="8">
        <f t="shared" si="37"/>
        <v>1.7485173778882501</v>
      </c>
      <c r="AB180" s="9">
        <f t="shared" si="38"/>
        <v>0.17978333495470433</v>
      </c>
    </row>
    <row r="181" spans="27:28" x14ac:dyDescent="0.4">
      <c r="AA181" s="8">
        <f t="shared" si="37"/>
        <v>2.4966435366157986</v>
      </c>
      <c r="AB181" s="9">
        <f t="shared" si="38"/>
        <v>0.98144221164929446</v>
      </c>
    </row>
    <row r="182" spans="27:28" x14ac:dyDescent="0.4">
      <c r="AA182" s="8">
        <f t="shared" si="37"/>
        <v>2.3241533360688797</v>
      </c>
      <c r="AB182" s="9">
        <f t="shared" si="38"/>
        <v>0.42433620120415344</v>
      </c>
    </row>
    <row r="183" spans="27:28" x14ac:dyDescent="0.4">
      <c r="AA183" s="8">
        <f t="shared" si="37"/>
        <v>1.6219494063431752</v>
      </c>
      <c r="AB183" s="9">
        <f t="shared" si="38"/>
        <v>0.23106947843754777</v>
      </c>
    </row>
    <row r="184" spans="27:28" x14ac:dyDescent="0.4">
      <c r="AA184" s="8">
        <f t="shared" si="37"/>
        <v>2.1917070454528731</v>
      </c>
      <c r="AB184" s="9">
        <f t="shared" si="38"/>
        <v>0.88321949086790352</v>
      </c>
    </row>
    <row r="185" spans="27:28" x14ac:dyDescent="0.4">
      <c r="AA185" s="8">
        <f t="shared" si="37"/>
        <v>1.8582971907677783</v>
      </c>
      <c r="AB185" s="9">
        <f t="shared" si="38"/>
        <v>0.55380468526856086</v>
      </c>
    </row>
    <row r="186" spans="27:28" x14ac:dyDescent="0.4">
      <c r="AA186" s="8">
        <f t="shared" si="37"/>
        <v>2.1714927940142879</v>
      </c>
      <c r="AB186" s="9">
        <f t="shared" si="38"/>
        <v>0.3278133702398266</v>
      </c>
    </row>
    <row r="187" spans="27:28" x14ac:dyDescent="0.4">
      <c r="AA187" s="8">
        <f t="shared" si="37"/>
        <v>1.8026321678615014</v>
      </c>
      <c r="AB187" s="9">
        <f t="shared" si="38"/>
        <v>0.89289708675120161</v>
      </c>
    </row>
    <row r="188" spans="27:28" x14ac:dyDescent="0.4">
      <c r="AA188" s="8">
        <f t="shared" si="37"/>
        <v>2.1073327909397719</v>
      </c>
      <c r="AB188" s="9">
        <f t="shared" si="38"/>
        <v>0.30472261470115714</v>
      </c>
    </row>
    <row r="189" spans="27:28" x14ac:dyDescent="0.4">
      <c r="AA189" s="8">
        <f t="shared" si="37"/>
        <v>2.3262707260996245</v>
      </c>
      <c r="AB189" s="9">
        <f t="shared" si="38"/>
        <v>0.35174490672997272</v>
      </c>
    </row>
    <row r="190" spans="27:28" x14ac:dyDescent="0.4">
      <c r="AA190" s="8">
        <f t="shared" si="37"/>
        <v>2.0620811319346113</v>
      </c>
      <c r="AB190" s="9">
        <f t="shared" si="38"/>
        <v>0.80161699337106884</v>
      </c>
    </row>
    <row r="191" spans="27:28" x14ac:dyDescent="0.4">
      <c r="AA191" s="8">
        <f t="shared" si="37"/>
        <v>2.2085740422024189</v>
      </c>
      <c r="AB191" s="9">
        <f t="shared" si="38"/>
        <v>0.30188931351362314</v>
      </c>
    </row>
    <row r="192" spans="27:28" x14ac:dyDescent="0.4">
      <c r="AA192" s="8">
        <f t="shared" si="37"/>
        <v>2.5138919754769784</v>
      </c>
      <c r="AB192" s="9">
        <f t="shared" si="38"/>
        <v>0.20034492080919242</v>
      </c>
    </row>
    <row r="193" spans="27:28" x14ac:dyDescent="0.4">
      <c r="AA193" s="8">
        <f t="shared" si="37"/>
        <v>2.0877196413034618</v>
      </c>
      <c r="AB193" s="9">
        <f t="shared" si="38"/>
        <v>0.40716920794072797</v>
      </c>
    </row>
    <row r="194" spans="27:28" x14ac:dyDescent="0.4">
      <c r="AA194" s="8">
        <f t="shared" si="37"/>
        <v>2.0609330793806624</v>
      </c>
      <c r="AB194" s="9">
        <f t="shared" si="38"/>
        <v>0.24541424340310869</v>
      </c>
    </row>
    <row r="195" spans="27:28" x14ac:dyDescent="0.4">
      <c r="AA195" s="8">
        <f t="shared" si="37"/>
        <v>2.2377729675714555</v>
      </c>
      <c r="AB195" s="9">
        <f t="shared" si="38"/>
        <v>0.53517398155083806</v>
      </c>
    </row>
    <row r="196" spans="27:28" x14ac:dyDescent="0.4">
      <c r="AA196" s="8">
        <f t="shared" si="37"/>
        <v>2.4671848907576037</v>
      </c>
      <c r="AB196" s="9">
        <f t="shared" si="38"/>
        <v>0.44311121346392957</v>
      </c>
    </row>
    <row r="197" spans="27:28" x14ac:dyDescent="0.4">
      <c r="AA197" s="8">
        <f t="shared" si="37"/>
        <v>2.0617685839223947</v>
      </c>
      <c r="AB197" s="9">
        <f t="shared" si="38"/>
        <v>0.10031839982945512</v>
      </c>
    </row>
    <row r="198" spans="27:28" x14ac:dyDescent="0.4">
      <c r="AA198" s="8">
        <f t="shared" ref="AA198:AA201" si="39">W108</f>
        <v>2.0552667886310556</v>
      </c>
      <c r="AB198" s="9">
        <f t="shared" ref="AB198:AB201" si="40">X108</f>
        <v>0.76989363486546758</v>
      </c>
    </row>
    <row r="199" spans="27:28" x14ac:dyDescent="0.4">
      <c r="AA199" s="8">
        <f t="shared" si="39"/>
        <v>2.095485349188809</v>
      </c>
      <c r="AB199" s="9">
        <f t="shared" si="40"/>
        <v>0.37556356997605878</v>
      </c>
    </row>
    <row r="200" spans="27:28" x14ac:dyDescent="0.4">
      <c r="AA200" s="8">
        <f t="shared" si="39"/>
        <v>1.8581672609792896</v>
      </c>
      <c r="AB200" s="9">
        <f t="shared" si="40"/>
        <v>1.3341650481294951</v>
      </c>
    </row>
    <row r="201" spans="27:28" x14ac:dyDescent="0.4">
      <c r="AA201" s="6">
        <f t="shared" si="39"/>
        <v>2.0252869469593611</v>
      </c>
      <c r="AB201" s="7">
        <f t="shared" si="40"/>
        <v>0.20183709831226326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089F-F860-4AE6-9628-C88F0421CBC6}">
  <dimension ref="A1:AH204"/>
  <sheetViews>
    <sheetView workbookViewId="0">
      <selection activeCell="I4" sqref="I4"/>
    </sheetView>
  </sheetViews>
  <sheetFormatPr defaultRowHeight="18.75" x14ac:dyDescent="0.4"/>
  <cols>
    <col min="1" max="1" width="4" bestFit="1" customWidth="1"/>
    <col min="2" max="9" width="7.75" style="12" bestFit="1" customWidth="1"/>
    <col min="10" max="19" width="7.75" style="12" customWidth="1"/>
    <col min="20" max="34" width="7.75" style="12" bestFit="1" customWidth="1"/>
  </cols>
  <sheetData>
    <row r="1" spans="1:34" x14ac:dyDescent="0.4">
      <c r="B1" s="14" t="s">
        <v>36</v>
      </c>
      <c r="D1" s="11"/>
      <c r="E1" s="11"/>
      <c r="G1" s="11"/>
      <c r="H1" s="14" t="s">
        <v>42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x14ac:dyDescent="0.4">
      <c r="B2" s="13">
        <v>0.5</v>
      </c>
      <c r="C2" s="13"/>
      <c r="D2" s="11"/>
      <c r="E2" s="11"/>
      <c r="G2" s="11"/>
      <c r="H2" s="13">
        <v>0.5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4" spans="1:34" x14ac:dyDescent="0.4">
      <c r="A4" t="s">
        <v>40</v>
      </c>
      <c r="B4" s="12" t="s">
        <v>37</v>
      </c>
      <c r="C4" s="12" t="s">
        <v>38</v>
      </c>
      <c r="D4" s="12" t="s">
        <v>39</v>
      </c>
      <c r="F4" s="12" t="s">
        <v>1</v>
      </c>
      <c r="G4" s="12" t="s">
        <v>3</v>
      </c>
      <c r="H4" s="12" t="s">
        <v>41</v>
      </c>
    </row>
    <row r="5" spans="1:34" x14ac:dyDescent="0.4">
      <c r="A5">
        <v>1</v>
      </c>
      <c r="B5" s="12">
        <f ca="1">_xlfn.NORM.INV((RAND()+1)/2,0,$B$2)</f>
        <v>2.237097631787071E-2</v>
      </c>
      <c r="C5" s="12">
        <f ca="1">2*PI()*RAND()</f>
        <v>1.4810301018551253</v>
      </c>
      <c r="D5" s="12">
        <f ca="1">ASIN(RAND()*2-1)</f>
        <v>0.90883296130100522</v>
      </c>
      <c r="F5" s="12">
        <f ca="1">B5*COS(D5)*COS(C5)</f>
        <v>1.2326908768509443E-3</v>
      </c>
      <c r="G5" s="12">
        <f ca="1">B5*COS(D5)*SIN(C5)</f>
        <v>1.3695330288948281E-2</v>
      </c>
      <c r="H5" s="12">
        <f ca="1">B5/(1+$H$2*SIN(D5))*SIN(D5)</f>
        <v>1.2654917201488295E-2</v>
      </c>
    </row>
    <row r="6" spans="1:34" x14ac:dyDescent="0.4">
      <c r="A6">
        <v>2</v>
      </c>
      <c r="B6" s="12">
        <v>1</v>
      </c>
      <c r="C6" s="12">
        <f t="shared" ref="C6:C69" ca="1" si="0">2*PI()*RAND()</f>
        <v>6.4866066897713848E-2</v>
      </c>
      <c r="D6" s="12">
        <f t="shared" ref="D6:D69" ca="1" si="1">ASIN(RAND()*2-1)</f>
        <v>0.48790988576109656</v>
      </c>
      <c r="F6" s="12">
        <f t="shared" ref="F6:F69" ca="1" si="2">B6*COS(D6)*COS(C6)</f>
        <v>0.88145692382358787</v>
      </c>
      <c r="G6" s="12">
        <f t="shared" ref="G6:G69" ca="1" si="3">B6*COS(D6)*SIN(C6)</f>
        <v>5.7256971260718277E-2</v>
      </c>
      <c r="H6" s="12">
        <f t="shared" ref="H6:H69" ca="1" si="4">B6/(1+$H$2*SIN(D6))*SIN(D6)</f>
        <v>0.37976697395359432</v>
      </c>
    </row>
    <row r="7" spans="1:34" x14ac:dyDescent="0.4">
      <c r="A7">
        <v>3</v>
      </c>
      <c r="B7" s="12">
        <v>1</v>
      </c>
      <c r="C7" s="12">
        <f t="shared" ca="1" si="0"/>
        <v>3.3509115427617671</v>
      </c>
      <c r="D7" s="12">
        <f t="shared" ca="1" si="1"/>
        <v>-0.23240925635479329</v>
      </c>
      <c r="F7" s="12">
        <f t="shared" ca="1" si="2"/>
        <v>-0.95187382825338951</v>
      </c>
      <c r="G7" s="12">
        <f t="shared" ca="1" si="3"/>
        <v>-0.2022070276940891</v>
      </c>
      <c r="H7" s="12">
        <f t="shared" ca="1" si="4"/>
        <v>-0.260299058891102</v>
      </c>
    </row>
    <row r="8" spans="1:34" x14ac:dyDescent="0.4">
      <c r="A8">
        <v>4</v>
      </c>
      <c r="B8" s="12">
        <v>1</v>
      </c>
      <c r="C8" s="12">
        <f t="shared" ca="1" si="0"/>
        <v>5.2049297788498716</v>
      </c>
      <c r="D8" s="12">
        <f t="shared" ca="1" si="1"/>
        <v>-0.3262175327754378</v>
      </c>
      <c r="F8" s="12">
        <f t="shared" ca="1" si="2"/>
        <v>0.44792782696753713</v>
      </c>
      <c r="G8" s="12">
        <f t="shared" ca="1" si="3"/>
        <v>-0.83466433219808489</v>
      </c>
      <c r="H8" s="12">
        <f t="shared" ca="1" si="4"/>
        <v>-0.38160781178613062</v>
      </c>
    </row>
    <row r="9" spans="1:34" x14ac:dyDescent="0.4">
      <c r="A9">
        <v>5</v>
      </c>
      <c r="B9" s="12">
        <v>1</v>
      </c>
      <c r="C9" s="12">
        <f t="shared" ca="1" si="0"/>
        <v>3.1176653566465191</v>
      </c>
      <c r="D9" s="12">
        <f t="shared" ca="1" si="1"/>
        <v>0.77118638932019123</v>
      </c>
      <c r="F9" s="12">
        <f t="shared" ca="1" si="2"/>
        <v>-0.71687901600303972</v>
      </c>
      <c r="G9" s="12">
        <f t="shared" ca="1" si="3"/>
        <v>1.7156251286761858E-2</v>
      </c>
      <c r="H9" s="12">
        <f t="shared" ca="1" si="4"/>
        <v>0.51686315656570636</v>
      </c>
    </row>
    <row r="10" spans="1:34" x14ac:dyDescent="0.4">
      <c r="A10">
        <v>6</v>
      </c>
      <c r="B10" s="12">
        <v>1</v>
      </c>
      <c r="C10" s="12">
        <f t="shared" ca="1" si="0"/>
        <v>5.2954170279822481</v>
      </c>
      <c r="D10" s="12">
        <f t="shared" ca="1" si="1"/>
        <v>0.2258141526962095</v>
      </c>
      <c r="F10" s="12">
        <f t="shared" ca="1" si="2"/>
        <v>0.53657687525275055</v>
      </c>
      <c r="G10" s="12">
        <f t="shared" ca="1" si="3"/>
        <v>-0.81360560657980163</v>
      </c>
      <c r="H10" s="12">
        <f t="shared" ca="1" si="4"/>
        <v>0.20135790950286206</v>
      </c>
    </row>
    <row r="11" spans="1:34" x14ac:dyDescent="0.4">
      <c r="A11">
        <v>7</v>
      </c>
      <c r="B11" s="12">
        <v>1</v>
      </c>
      <c r="C11" s="12">
        <f t="shared" ca="1" si="0"/>
        <v>2.6862131404039635</v>
      </c>
      <c r="D11" s="12">
        <f t="shared" ca="1" si="1"/>
        <v>-0.44677300683505727</v>
      </c>
      <c r="F11" s="12">
        <f t="shared" ca="1" si="2"/>
        <v>-0.80994268345215892</v>
      </c>
      <c r="G11" s="12">
        <f t="shared" ca="1" si="3"/>
        <v>0.3966347609434755</v>
      </c>
      <c r="H11" s="12">
        <f t="shared" ca="1" si="4"/>
        <v>-0.55111402128925235</v>
      </c>
    </row>
    <row r="12" spans="1:34" x14ac:dyDescent="0.4">
      <c r="A12">
        <v>8</v>
      </c>
      <c r="B12" s="12">
        <v>1</v>
      </c>
      <c r="C12" s="12">
        <f t="shared" ca="1" si="0"/>
        <v>4.1556493462210904</v>
      </c>
      <c r="D12" s="12">
        <f t="shared" ca="1" si="1"/>
        <v>-0.36299540909667999</v>
      </c>
      <c r="F12" s="12">
        <f t="shared" ca="1" si="2"/>
        <v>-0.49398774170541571</v>
      </c>
      <c r="G12" s="12">
        <f t="shared" ca="1" si="3"/>
        <v>-0.79366057924446831</v>
      </c>
      <c r="H12" s="12">
        <f t="shared" ca="1" si="4"/>
        <v>-0.43172335225667569</v>
      </c>
    </row>
    <row r="13" spans="1:34" x14ac:dyDescent="0.4">
      <c r="A13">
        <v>9</v>
      </c>
      <c r="B13" s="12">
        <v>1</v>
      </c>
      <c r="C13" s="12">
        <f t="shared" ca="1" si="0"/>
        <v>6.0153098977888027</v>
      </c>
      <c r="D13" s="12">
        <f t="shared" ca="1" si="1"/>
        <v>-1.2893477967938345</v>
      </c>
      <c r="F13" s="12">
        <f t="shared" ca="1" si="2"/>
        <v>0.267841727565445</v>
      </c>
      <c r="G13" s="12">
        <f t="shared" ca="1" si="3"/>
        <v>-7.3515095580361775E-2</v>
      </c>
      <c r="H13" s="12">
        <f t="shared" ca="1" si="4"/>
        <v>-1.8485744542053721</v>
      </c>
    </row>
    <row r="14" spans="1:34" x14ac:dyDescent="0.4">
      <c r="A14">
        <v>10</v>
      </c>
      <c r="B14" s="12">
        <v>1</v>
      </c>
      <c r="C14" s="12">
        <f t="shared" ca="1" si="0"/>
        <v>3.9652754159448196</v>
      </c>
      <c r="D14" s="12">
        <f t="shared" ca="1" si="1"/>
        <v>-1.1009460639341691</v>
      </c>
      <c r="F14" s="12">
        <f t="shared" ca="1" si="2"/>
        <v>-0.30765635733651991</v>
      </c>
      <c r="G14" s="12">
        <f t="shared" ca="1" si="3"/>
        <v>-0.33216358177965949</v>
      </c>
      <c r="H14" s="12">
        <f t="shared" ca="1" si="4"/>
        <v>-1.6089230003594639</v>
      </c>
    </row>
    <row r="15" spans="1:34" x14ac:dyDescent="0.4">
      <c r="A15">
        <v>11</v>
      </c>
      <c r="B15" s="12">
        <v>1</v>
      </c>
      <c r="C15" s="12">
        <f t="shared" ca="1" si="0"/>
        <v>2.7374054530005485</v>
      </c>
      <c r="D15" s="12">
        <f t="shared" ca="1" si="1"/>
        <v>0.28314766806158248</v>
      </c>
      <c r="F15" s="12">
        <f t="shared" ca="1" si="2"/>
        <v>-0.88281169192644493</v>
      </c>
      <c r="G15" s="12">
        <f t="shared" ca="1" si="3"/>
        <v>0.37761182568887108</v>
      </c>
      <c r="H15" s="12">
        <f t="shared" ca="1" si="4"/>
        <v>0.24513634121766414</v>
      </c>
    </row>
    <row r="16" spans="1:34" x14ac:dyDescent="0.4">
      <c r="A16">
        <v>12</v>
      </c>
      <c r="B16" s="12">
        <v>1</v>
      </c>
      <c r="C16" s="12">
        <f t="shared" ca="1" si="0"/>
        <v>3.3233463834483929</v>
      </c>
      <c r="D16" s="12">
        <f t="shared" ca="1" si="1"/>
        <v>-0.80932549282924326</v>
      </c>
      <c r="F16" s="12">
        <f t="shared" ca="1" si="2"/>
        <v>-0.67862149542072003</v>
      </c>
      <c r="G16" s="12">
        <f t="shared" ca="1" si="3"/>
        <v>-0.12471835475277565</v>
      </c>
      <c r="H16" s="12">
        <f t="shared" ca="1" si="4"/>
        <v>-1.1343588478196367</v>
      </c>
    </row>
    <row r="17" spans="1:8" x14ac:dyDescent="0.4">
      <c r="A17">
        <v>13</v>
      </c>
      <c r="B17" s="12">
        <v>1</v>
      </c>
      <c r="C17" s="12">
        <f t="shared" ca="1" si="0"/>
        <v>3.115667538199427</v>
      </c>
      <c r="D17" s="12">
        <f t="shared" ca="1" si="1"/>
        <v>0.89802539617694921</v>
      </c>
      <c r="F17" s="12">
        <f t="shared" ca="1" si="2"/>
        <v>-0.62294611243006381</v>
      </c>
      <c r="G17" s="12">
        <f t="shared" ca="1" si="3"/>
        <v>1.6153569009311947E-2</v>
      </c>
      <c r="H17" s="12">
        <f t="shared" ca="1" si="4"/>
        <v>0.56223609950062692</v>
      </c>
    </row>
    <row r="18" spans="1:8" x14ac:dyDescent="0.4">
      <c r="A18">
        <v>14</v>
      </c>
      <c r="B18" s="12">
        <v>1</v>
      </c>
      <c r="C18" s="12">
        <f t="shared" ca="1" si="0"/>
        <v>3.7329976606974209</v>
      </c>
      <c r="D18" s="12">
        <f t="shared" ca="1" si="1"/>
        <v>-1.2539981929957058</v>
      </c>
      <c r="F18" s="12">
        <f t="shared" ca="1" si="2"/>
        <v>-0.25861554508401896</v>
      </c>
      <c r="G18" s="12">
        <f t="shared" ca="1" si="3"/>
        <v>-0.17368424535274135</v>
      </c>
      <c r="H18" s="12">
        <f t="shared" ca="1" si="4"/>
        <v>-1.8103865922691362</v>
      </c>
    </row>
    <row r="19" spans="1:8" x14ac:dyDescent="0.4">
      <c r="A19">
        <v>15</v>
      </c>
      <c r="B19" s="12">
        <v>1</v>
      </c>
      <c r="C19" s="12">
        <f t="shared" ca="1" si="0"/>
        <v>5.1951192667496944</v>
      </c>
      <c r="D19" s="12">
        <f t="shared" ca="1" si="1"/>
        <v>0.44238134318591577</v>
      </c>
      <c r="F19" s="12">
        <f t="shared" ca="1" si="2"/>
        <v>0.41951296827741325</v>
      </c>
      <c r="G19" s="12">
        <f t="shared" ca="1" si="3"/>
        <v>-0.80046576538962833</v>
      </c>
      <c r="H19" s="12">
        <f t="shared" ca="1" si="4"/>
        <v>0.35261649236763798</v>
      </c>
    </row>
    <row r="20" spans="1:8" x14ac:dyDescent="0.4">
      <c r="A20">
        <v>16</v>
      </c>
      <c r="B20" s="12">
        <v>1</v>
      </c>
      <c r="C20" s="12">
        <f t="shared" ca="1" si="0"/>
        <v>1.7235477000728119</v>
      </c>
      <c r="D20" s="12">
        <f t="shared" ca="1" si="1"/>
        <v>0.7380886226571266</v>
      </c>
      <c r="F20" s="12">
        <f t="shared" ca="1" si="2"/>
        <v>-0.11255982852734005</v>
      </c>
      <c r="G20" s="12">
        <f t="shared" ca="1" si="3"/>
        <v>0.73114243853327976</v>
      </c>
      <c r="H20" s="12">
        <f t="shared" ca="1" si="4"/>
        <v>0.50348418179040821</v>
      </c>
    </row>
    <row r="21" spans="1:8" x14ac:dyDescent="0.4">
      <c r="A21">
        <v>17</v>
      </c>
      <c r="B21" s="12">
        <v>1</v>
      </c>
      <c r="C21" s="12">
        <f t="shared" ca="1" si="0"/>
        <v>2.0765171272298799</v>
      </c>
      <c r="D21" s="12">
        <f t="shared" ca="1" si="1"/>
        <v>0.5742353856554685</v>
      </c>
      <c r="F21" s="12">
        <f t="shared" ca="1" si="2"/>
        <v>-0.40673808078984541</v>
      </c>
      <c r="G21" s="12">
        <f t="shared" ca="1" si="3"/>
        <v>0.73451039978430699</v>
      </c>
      <c r="H21" s="12">
        <f t="shared" ca="1" si="4"/>
        <v>0.4271740123568511</v>
      </c>
    </row>
    <row r="22" spans="1:8" x14ac:dyDescent="0.4">
      <c r="A22">
        <v>18</v>
      </c>
      <c r="B22" s="12">
        <v>1</v>
      </c>
      <c r="C22" s="12">
        <f t="shared" ca="1" si="0"/>
        <v>0.43542263838216866</v>
      </c>
      <c r="D22" s="12">
        <f t="shared" ca="1" si="1"/>
        <v>-0.80395547914574095</v>
      </c>
      <c r="F22" s="12">
        <f t="shared" ca="1" si="2"/>
        <v>0.62912063874020441</v>
      </c>
      <c r="G22" s="12">
        <f t="shared" ca="1" si="3"/>
        <v>0.29266733044027066</v>
      </c>
      <c r="H22" s="12">
        <f t="shared" ca="1" si="4"/>
        <v>-1.1252594960820315</v>
      </c>
    </row>
    <row r="23" spans="1:8" x14ac:dyDescent="0.4">
      <c r="A23">
        <v>19</v>
      </c>
      <c r="B23" s="12">
        <v>1</v>
      </c>
      <c r="C23" s="12">
        <f t="shared" ca="1" si="0"/>
        <v>1.7142723104027346</v>
      </c>
      <c r="D23" s="12">
        <f t="shared" ca="1" si="1"/>
        <v>0.23594404688091739</v>
      </c>
      <c r="F23" s="12">
        <f t="shared" ca="1" si="2"/>
        <v>-0.1390227312808085</v>
      </c>
      <c r="G23" s="12">
        <f t="shared" ca="1" si="3"/>
        <v>0.96230373794686808</v>
      </c>
      <c r="H23" s="12">
        <f t="shared" ca="1" si="4"/>
        <v>0.20929811449259905</v>
      </c>
    </row>
    <row r="24" spans="1:8" x14ac:dyDescent="0.4">
      <c r="A24">
        <v>20</v>
      </c>
      <c r="B24" s="12">
        <v>1</v>
      </c>
      <c r="C24" s="12">
        <f t="shared" ca="1" si="0"/>
        <v>3.7957667378493722</v>
      </c>
      <c r="D24" s="12">
        <f t="shared" ca="1" si="1"/>
        <v>-0.79436178070776242</v>
      </c>
      <c r="F24" s="12">
        <f t="shared" ca="1" si="2"/>
        <v>-0.55607294628922088</v>
      </c>
      <c r="G24" s="12">
        <f t="shared" ca="1" si="3"/>
        <v>-0.42640326126449196</v>
      </c>
      <c r="H24" s="12">
        <f t="shared" ca="1" si="4"/>
        <v>-1.1090093069316258</v>
      </c>
    </row>
    <row r="25" spans="1:8" x14ac:dyDescent="0.4">
      <c r="A25">
        <v>21</v>
      </c>
      <c r="B25" s="12">
        <v>1</v>
      </c>
      <c r="C25" s="12">
        <f t="shared" ca="1" si="0"/>
        <v>5.4730096658654022</v>
      </c>
      <c r="D25" s="12">
        <f t="shared" ca="1" si="1"/>
        <v>0.96742320929324033</v>
      </c>
      <c r="F25" s="12">
        <f t="shared" ca="1" si="2"/>
        <v>0.3911652234077439</v>
      </c>
      <c r="G25" s="12">
        <f t="shared" ca="1" si="3"/>
        <v>-0.4110460644824514</v>
      </c>
      <c r="H25" s="12">
        <f t="shared" ca="1" si="4"/>
        <v>0.5832816054870632</v>
      </c>
    </row>
    <row r="26" spans="1:8" x14ac:dyDescent="0.4">
      <c r="A26">
        <v>22</v>
      </c>
      <c r="B26" s="12">
        <v>1</v>
      </c>
      <c r="C26" s="12">
        <f t="shared" ca="1" si="0"/>
        <v>3.7298054113762613</v>
      </c>
      <c r="D26" s="12">
        <f t="shared" ca="1" si="1"/>
        <v>-0.99059509145793156</v>
      </c>
      <c r="F26" s="12">
        <f t="shared" ca="1" si="2"/>
        <v>-0.45605960997907774</v>
      </c>
      <c r="G26" s="12">
        <f t="shared" ca="1" si="3"/>
        <v>-0.30417819907359628</v>
      </c>
      <c r="H26" s="12">
        <f t="shared" ca="1" si="4"/>
        <v>-1.4374666627972572</v>
      </c>
    </row>
    <row r="27" spans="1:8" x14ac:dyDescent="0.4">
      <c r="A27">
        <v>23</v>
      </c>
      <c r="B27" s="12">
        <v>1</v>
      </c>
      <c r="C27" s="12">
        <f t="shared" ca="1" si="0"/>
        <v>5.3046484799553291</v>
      </c>
      <c r="D27" s="12">
        <f t="shared" ca="1" si="1"/>
        <v>0.55747543074898087</v>
      </c>
      <c r="F27" s="12">
        <f t="shared" ca="1" si="2"/>
        <v>0.47371634270816931</v>
      </c>
      <c r="G27" s="12">
        <f t="shared" ca="1" si="3"/>
        <v>-0.70406223392478573</v>
      </c>
      <c r="H27" s="12">
        <f t="shared" ca="1" si="4"/>
        <v>0.41837566157633832</v>
      </c>
    </row>
    <row r="28" spans="1:8" x14ac:dyDescent="0.4">
      <c r="A28">
        <v>24</v>
      </c>
      <c r="B28" s="12">
        <v>1</v>
      </c>
      <c r="C28" s="12">
        <f t="shared" ca="1" si="0"/>
        <v>5.7673535223502403</v>
      </c>
      <c r="D28" s="12">
        <f t="shared" ca="1" si="1"/>
        <v>2.3623976087765838E-2</v>
      </c>
      <c r="F28" s="12">
        <f t="shared" ca="1" si="2"/>
        <v>0.86964001215028019</v>
      </c>
      <c r="G28" s="12">
        <f t="shared" ca="1" si="3"/>
        <v>-0.49312093936037449</v>
      </c>
      <c r="H28" s="12">
        <f t="shared" ca="1" si="4"/>
        <v>2.3346041245536155E-2</v>
      </c>
    </row>
    <row r="29" spans="1:8" x14ac:dyDescent="0.4">
      <c r="A29">
        <v>25</v>
      </c>
      <c r="B29" s="12">
        <v>1</v>
      </c>
      <c r="C29" s="12">
        <f t="shared" ca="1" si="0"/>
        <v>6.0930312209971067</v>
      </c>
      <c r="D29" s="12">
        <f t="shared" ca="1" si="1"/>
        <v>-0.47606127775393797</v>
      </c>
      <c r="F29" s="12">
        <f t="shared" ca="1" si="2"/>
        <v>0.8727862234193382</v>
      </c>
      <c r="G29" s="12">
        <f t="shared" ca="1" si="3"/>
        <v>-0.16799356729976284</v>
      </c>
      <c r="H29" s="12">
        <f t="shared" ca="1" si="4"/>
        <v>-0.59450816414769359</v>
      </c>
    </row>
    <row r="30" spans="1:8" x14ac:dyDescent="0.4">
      <c r="A30">
        <v>26</v>
      </c>
      <c r="B30" s="12">
        <v>1</v>
      </c>
      <c r="C30" s="12">
        <f t="shared" ca="1" si="0"/>
        <v>4.0669128873076463</v>
      </c>
      <c r="D30" s="12">
        <f t="shared" ca="1" si="1"/>
        <v>-0.24509643314685212</v>
      </c>
      <c r="F30" s="12">
        <f t="shared" ca="1" si="2"/>
        <v>-0.58359998961424675</v>
      </c>
      <c r="G30" s="12">
        <f t="shared" ca="1" si="3"/>
        <v>-0.77494005528626742</v>
      </c>
      <c r="H30" s="12">
        <f t="shared" ca="1" si="4"/>
        <v>-0.27615427783873847</v>
      </c>
    </row>
    <row r="31" spans="1:8" x14ac:dyDescent="0.4">
      <c r="A31">
        <v>27</v>
      </c>
      <c r="B31" s="12">
        <v>1</v>
      </c>
      <c r="C31" s="12">
        <f t="shared" ca="1" si="0"/>
        <v>5.7360346814506329</v>
      </c>
      <c r="D31" s="12">
        <f t="shared" ca="1" si="1"/>
        <v>0.74550158932249766</v>
      </c>
      <c r="F31" s="12">
        <f t="shared" ca="1" si="2"/>
        <v>0.62748221012600491</v>
      </c>
      <c r="G31" s="12">
        <f t="shared" ca="1" si="3"/>
        <v>-0.38225688609533154</v>
      </c>
      <c r="H31" s="12">
        <f t="shared" ca="1" si="4"/>
        <v>0.50653787541387496</v>
      </c>
    </row>
    <row r="32" spans="1:8" x14ac:dyDescent="0.4">
      <c r="A32">
        <v>28</v>
      </c>
      <c r="B32" s="12">
        <v>1</v>
      </c>
      <c r="C32" s="12">
        <f t="shared" ca="1" si="0"/>
        <v>2.7970017023865332</v>
      </c>
      <c r="D32" s="12">
        <f t="shared" ca="1" si="1"/>
        <v>0.81958313621082401</v>
      </c>
      <c r="F32" s="12">
        <f t="shared" ca="1" si="2"/>
        <v>-0.64240277052564909</v>
      </c>
      <c r="G32" s="12">
        <f t="shared" ca="1" si="3"/>
        <v>0.23056524898232997</v>
      </c>
      <c r="H32" s="12">
        <f t="shared" ca="1" si="4"/>
        <v>0.53526069111048558</v>
      </c>
    </row>
    <row r="33" spans="1:8" x14ac:dyDescent="0.4">
      <c r="A33">
        <v>29</v>
      </c>
      <c r="B33" s="12">
        <v>1</v>
      </c>
      <c r="C33" s="12">
        <f t="shared" ca="1" si="0"/>
        <v>6.0053603962173927</v>
      </c>
      <c r="D33" s="12">
        <f t="shared" ca="1" si="1"/>
        <v>-0.8574201072728469</v>
      </c>
      <c r="F33" s="12">
        <f t="shared" ca="1" si="2"/>
        <v>0.62929736300151518</v>
      </c>
      <c r="G33" s="12">
        <f t="shared" ca="1" si="3"/>
        <v>-0.17947614429944439</v>
      </c>
      <c r="H33" s="12">
        <f t="shared" ca="1" si="4"/>
        <v>-1.2158394862940263</v>
      </c>
    </row>
    <row r="34" spans="1:8" x14ac:dyDescent="0.4">
      <c r="A34">
        <v>30</v>
      </c>
      <c r="B34" s="12">
        <v>1</v>
      </c>
      <c r="C34" s="12">
        <f t="shared" ca="1" si="0"/>
        <v>3.2203798934166579</v>
      </c>
      <c r="D34" s="12">
        <f t="shared" ca="1" si="1"/>
        <v>0.76589114153156224</v>
      </c>
      <c r="F34" s="12">
        <f t="shared" ca="1" si="2"/>
        <v>-0.71852903095501441</v>
      </c>
      <c r="G34" s="12">
        <f t="shared" ca="1" si="3"/>
        <v>-5.6728346752568444E-2</v>
      </c>
      <c r="H34" s="12">
        <f t="shared" ca="1" si="4"/>
        <v>0.5147666966756993</v>
      </c>
    </row>
    <row r="35" spans="1:8" x14ac:dyDescent="0.4">
      <c r="A35">
        <v>31</v>
      </c>
      <c r="B35" s="12">
        <v>1</v>
      </c>
      <c r="C35" s="12">
        <f t="shared" ca="1" si="0"/>
        <v>3.4646636953921268</v>
      </c>
      <c r="D35" s="12">
        <f t="shared" ca="1" si="1"/>
        <v>-0.26757073387293207</v>
      </c>
      <c r="F35" s="12">
        <f t="shared" ca="1" si="2"/>
        <v>-0.91452185112006534</v>
      </c>
      <c r="G35" s="12">
        <f t="shared" ca="1" si="3"/>
        <v>-0.30618300267317783</v>
      </c>
      <c r="H35" s="12">
        <f t="shared" ca="1" si="4"/>
        <v>-0.30466441648680626</v>
      </c>
    </row>
    <row r="36" spans="1:8" x14ac:dyDescent="0.4">
      <c r="A36">
        <v>32</v>
      </c>
      <c r="B36" s="12">
        <v>1</v>
      </c>
      <c r="C36" s="12">
        <f t="shared" ca="1" si="0"/>
        <v>4.8644641623507674</v>
      </c>
      <c r="D36" s="12">
        <f t="shared" ca="1" si="1"/>
        <v>0.13497718350652438</v>
      </c>
      <c r="F36" s="12">
        <f t="shared" ca="1" si="2"/>
        <v>0.15011179980182135</v>
      </c>
      <c r="G36" s="12">
        <f t="shared" ca="1" si="3"/>
        <v>-0.97946821342887602</v>
      </c>
      <c r="H36" s="12">
        <f t="shared" ca="1" si="4"/>
        <v>0.1260842670368541</v>
      </c>
    </row>
    <row r="37" spans="1:8" x14ac:dyDescent="0.4">
      <c r="A37">
        <v>33</v>
      </c>
      <c r="B37" s="12">
        <v>1</v>
      </c>
      <c r="C37" s="12">
        <f t="shared" ca="1" si="0"/>
        <v>3.080561509498331</v>
      </c>
      <c r="D37" s="12">
        <f t="shared" ca="1" si="1"/>
        <v>1.2530434544712353E-2</v>
      </c>
      <c r="F37" s="12">
        <f t="shared" ca="1" si="2"/>
        <v>-0.99805981903716423</v>
      </c>
      <c r="G37" s="12">
        <f t="shared" ca="1" si="3"/>
        <v>6.0988474739241266E-2</v>
      </c>
      <c r="H37" s="12">
        <f t="shared" ca="1" si="4"/>
        <v>1.245209361251415E-2</v>
      </c>
    </row>
    <row r="38" spans="1:8" x14ac:dyDescent="0.4">
      <c r="A38">
        <v>34</v>
      </c>
      <c r="B38" s="12">
        <v>1</v>
      </c>
      <c r="C38" s="12">
        <f t="shared" ca="1" si="0"/>
        <v>4.4446640747737218</v>
      </c>
      <c r="D38" s="12">
        <f t="shared" ca="1" si="1"/>
        <v>0.3404450518757044</v>
      </c>
      <c r="F38" s="12">
        <f t="shared" ca="1" si="2"/>
        <v>-0.24935522053932813</v>
      </c>
      <c r="G38" s="12">
        <f t="shared" ca="1" si="3"/>
        <v>-0.90902603586074537</v>
      </c>
      <c r="H38" s="12">
        <f t="shared" ca="1" si="4"/>
        <v>0.28613538261712518</v>
      </c>
    </row>
    <row r="39" spans="1:8" x14ac:dyDescent="0.4">
      <c r="A39">
        <v>35</v>
      </c>
      <c r="B39" s="12">
        <v>1</v>
      </c>
      <c r="C39" s="12">
        <f t="shared" ca="1" si="0"/>
        <v>5.0030028244756908</v>
      </c>
      <c r="D39" s="12">
        <f t="shared" ca="1" si="1"/>
        <v>0.641418984195955</v>
      </c>
      <c r="F39" s="12">
        <f t="shared" ca="1" si="2"/>
        <v>0.22958977734873925</v>
      </c>
      <c r="G39" s="12">
        <f t="shared" ca="1" si="3"/>
        <v>-0.76764976005153984</v>
      </c>
      <c r="H39" s="12">
        <f t="shared" ca="1" si="4"/>
        <v>0.46055143873689042</v>
      </c>
    </row>
    <row r="40" spans="1:8" x14ac:dyDescent="0.4">
      <c r="A40">
        <v>36</v>
      </c>
      <c r="B40" s="12">
        <v>1</v>
      </c>
      <c r="C40" s="12">
        <f t="shared" ca="1" si="0"/>
        <v>6.0010412321134758</v>
      </c>
      <c r="D40" s="12">
        <f t="shared" ca="1" si="1"/>
        <v>5.4560106856983696E-2</v>
      </c>
      <c r="F40" s="12">
        <f t="shared" ca="1" si="2"/>
        <v>0.95903150485036304</v>
      </c>
      <c r="G40" s="12">
        <f t="shared" ca="1" si="3"/>
        <v>-0.27800129507238536</v>
      </c>
      <c r="H40" s="12">
        <f t="shared" ca="1" si="4"/>
        <v>5.3085582603924472E-2</v>
      </c>
    </row>
    <row r="41" spans="1:8" x14ac:dyDescent="0.4">
      <c r="A41">
        <v>37</v>
      </c>
      <c r="B41" s="12">
        <v>1</v>
      </c>
      <c r="C41" s="12">
        <f t="shared" ca="1" si="0"/>
        <v>3.3071525392767107</v>
      </c>
      <c r="D41" s="12">
        <f t="shared" ca="1" si="1"/>
        <v>0.42624660617697152</v>
      </c>
      <c r="F41" s="12">
        <f t="shared" ca="1" si="2"/>
        <v>-0.89807373496647946</v>
      </c>
      <c r="G41" s="12">
        <f t="shared" ca="1" si="3"/>
        <v>-0.15005853541660158</v>
      </c>
      <c r="H41" s="12">
        <f t="shared" ca="1" si="4"/>
        <v>0.3426257937774132</v>
      </c>
    </row>
    <row r="42" spans="1:8" x14ac:dyDescent="0.4">
      <c r="A42">
        <v>38</v>
      </c>
      <c r="B42" s="12">
        <v>1</v>
      </c>
      <c r="C42" s="12">
        <f t="shared" ca="1" si="0"/>
        <v>0.81125953886068314</v>
      </c>
      <c r="D42" s="12">
        <f t="shared" ca="1" si="1"/>
        <v>-1.3718478353946539</v>
      </c>
      <c r="F42" s="12">
        <f t="shared" ca="1" si="2"/>
        <v>0.13609114767912517</v>
      </c>
      <c r="G42" s="12">
        <f t="shared" ca="1" si="3"/>
        <v>0.14331868153652824</v>
      </c>
      <c r="H42" s="12">
        <f t="shared" ca="1" si="4"/>
        <v>-1.9226259616545258</v>
      </c>
    </row>
    <row r="43" spans="1:8" x14ac:dyDescent="0.4">
      <c r="A43">
        <v>39</v>
      </c>
      <c r="B43" s="12">
        <v>1</v>
      </c>
      <c r="C43" s="12">
        <f t="shared" ca="1" si="0"/>
        <v>3.7588904016066227</v>
      </c>
      <c r="D43" s="12">
        <f t="shared" ca="1" si="1"/>
        <v>-0.16044116767281802</v>
      </c>
      <c r="F43" s="12">
        <f t="shared" ca="1" si="2"/>
        <v>-0.80497273844767336</v>
      </c>
      <c r="G43" s="12">
        <f t="shared" ca="1" si="3"/>
        <v>-0.57139971829634228</v>
      </c>
      <c r="H43" s="12">
        <f t="shared" ca="1" si="4"/>
        <v>-0.17362211344269951</v>
      </c>
    </row>
    <row r="44" spans="1:8" x14ac:dyDescent="0.4">
      <c r="A44">
        <v>40</v>
      </c>
      <c r="B44" s="12">
        <v>1</v>
      </c>
      <c r="C44" s="12">
        <f t="shared" ca="1" si="0"/>
        <v>5.5714872654492682</v>
      </c>
      <c r="D44" s="12">
        <f t="shared" ca="1" si="1"/>
        <v>1.0200992466789192</v>
      </c>
      <c r="F44" s="12">
        <f t="shared" ca="1" si="2"/>
        <v>0.39625688775636642</v>
      </c>
      <c r="G44" s="12">
        <f t="shared" ca="1" si="3"/>
        <v>-0.34176582821167945</v>
      </c>
      <c r="H44" s="12">
        <f t="shared" ca="1" si="4"/>
        <v>0.5975541147837653</v>
      </c>
    </row>
    <row r="45" spans="1:8" x14ac:dyDescent="0.4">
      <c r="A45">
        <v>41</v>
      </c>
      <c r="B45" s="12">
        <v>1</v>
      </c>
      <c r="C45" s="12">
        <f t="shared" ca="1" si="0"/>
        <v>4.3142983741492182</v>
      </c>
      <c r="D45" s="12">
        <f t="shared" ca="1" si="1"/>
        <v>-1.0461695615897735</v>
      </c>
      <c r="F45" s="12">
        <f t="shared" ca="1" si="2"/>
        <v>-0.19417449947204432</v>
      </c>
      <c r="G45" s="12">
        <f t="shared" ca="1" si="3"/>
        <v>-0.4617218390146256</v>
      </c>
      <c r="H45" s="12">
        <f t="shared" ca="1" si="4"/>
        <v>-1.5258163181196345</v>
      </c>
    </row>
    <row r="46" spans="1:8" x14ac:dyDescent="0.4">
      <c r="A46">
        <v>42</v>
      </c>
      <c r="B46" s="12">
        <v>1</v>
      </c>
      <c r="C46" s="12">
        <f t="shared" ca="1" si="0"/>
        <v>5.8170913327099356</v>
      </c>
      <c r="D46" s="12">
        <f t="shared" ca="1" si="1"/>
        <v>-0.38582041022399816</v>
      </c>
      <c r="F46" s="12">
        <f t="shared" ca="1" si="2"/>
        <v>0.82766175244034912</v>
      </c>
      <c r="G46" s="12">
        <f t="shared" ca="1" si="3"/>
        <v>-0.41636493480590053</v>
      </c>
      <c r="H46" s="12">
        <f t="shared" ca="1" si="4"/>
        <v>-0.46353865053633891</v>
      </c>
    </row>
    <row r="47" spans="1:8" x14ac:dyDescent="0.4">
      <c r="A47">
        <v>43</v>
      </c>
      <c r="B47" s="12">
        <v>1</v>
      </c>
      <c r="C47" s="12">
        <f t="shared" ca="1" si="0"/>
        <v>4.5233266812512607</v>
      </c>
      <c r="D47" s="12">
        <f t="shared" ca="1" si="1"/>
        <v>-0.1147054159237961</v>
      </c>
      <c r="F47" s="12">
        <f t="shared" ca="1" si="2"/>
        <v>-0.18670295960865504</v>
      </c>
      <c r="G47" s="12">
        <f t="shared" ca="1" si="3"/>
        <v>-0.97572653772754681</v>
      </c>
      <c r="H47" s="12">
        <f t="shared" ca="1" si="4"/>
        <v>-0.12140149099930454</v>
      </c>
    </row>
    <row r="48" spans="1:8" x14ac:dyDescent="0.4">
      <c r="A48">
        <v>44</v>
      </c>
      <c r="B48" s="12">
        <v>1</v>
      </c>
      <c r="C48" s="12">
        <f t="shared" ca="1" si="0"/>
        <v>6.1059357353867458</v>
      </c>
      <c r="D48" s="12">
        <f t="shared" ca="1" si="1"/>
        <v>0.27802923942530383</v>
      </c>
      <c r="F48" s="12">
        <f t="shared" ca="1" si="2"/>
        <v>0.94653224611179698</v>
      </c>
      <c r="G48" s="12">
        <f t="shared" ca="1" si="3"/>
        <v>-0.16955179160325759</v>
      </c>
      <c r="H48" s="12">
        <f t="shared" ca="1" si="4"/>
        <v>0.2413416545989446</v>
      </c>
    </row>
    <row r="49" spans="1:8" x14ac:dyDescent="0.4">
      <c r="A49">
        <v>45</v>
      </c>
      <c r="B49" s="12">
        <v>1</v>
      </c>
      <c r="C49" s="12">
        <f t="shared" ca="1" si="0"/>
        <v>1.0635452921886854</v>
      </c>
      <c r="D49" s="12">
        <f t="shared" ca="1" si="1"/>
        <v>-0.14864265061724968</v>
      </c>
      <c r="F49" s="12">
        <f t="shared" ca="1" si="2"/>
        <v>0.48041960938752615</v>
      </c>
      <c r="G49" s="12">
        <f t="shared" ca="1" si="3"/>
        <v>0.86444468131154772</v>
      </c>
      <c r="H49" s="12">
        <f t="shared" ca="1" si="4"/>
        <v>-0.15993904479663873</v>
      </c>
    </row>
    <row r="50" spans="1:8" x14ac:dyDescent="0.4">
      <c r="A50">
        <v>46</v>
      </c>
      <c r="B50" s="12">
        <v>1</v>
      </c>
      <c r="C50" s="12">
        <f t="shared" ca="1" si="0"/>
        <v>3.8798969374161083</v>
      </c>
      <c r="D50" s="12">
        <f t="shared" ca="1" si="1"/>
        <v>-0.64012597054881493</v>
      </c>
      <c r="F50" s="12">
        <f t="shared" ca="1" si="2"/>
        <v>-0.59318311835350734</v>
      </c>
      <c r="G50" s="12">
        <f t="shared" ca="1" si="3"/>
        <v>-0.53978764952915181</v>
      </c>
      <c r="H50" s="12">
        <f t="shared" ca="1" si="4"/>
        <v>-0.85163609743781421</v>
      </c>
    </row>
    <row r="51" spans="1:8" x14ac:dyDescent="0.4">
      <c r="A51">
        <v>47</v>
      </c>
      <c r="B51" s="12">
        <v>1</v>
      </c>
      <c r="C51" s="12">
        <f t="shared" ca="1" si="0"/>
        <v>3.7093302989556363</v>
      </c>
      <c r="D51" s="12">
        <f t="shared" ca="1" si="1"/>
        <v>-0.17884910343516508</v>
      </c>
      <c r="F51" s="12">
        <f t="shared" ca="1" si="2"/>
        <v>-0.82967112922395425</v>
      </c>
      <c r="G51" s="12">
        <f t="shared" ca="1" si="3"/>
        <v>-0.52914876959555823</v>
      </c>
      <c r="H51" s="12">
        <f t="shared" ca="1" si="4"/>
        <v>-0.1952657645566365</v>
      </c>
    </row>
    <row r="52" spans="1:8" x14ac:dyDescent="0.4">
      <c r="A52">
        <v>48</v>
      </c>
      <c r="B52" s="12">
        <v>1</v>
      </c>
      <c r="C52" s="12">
        <f t="shared" ca="1" si="0"/>
        <v>0.14541512126079476</v>
      </c>
      <c r="D52" s="12">
        <f t="shared" ca="1" si="1"/>
        <v>-0.40722386834913582</v>
      </c>
      <c r="F52" s="12">
        <f t="shared" ca="1" si="2"/>
        <v>0.90853279638825646</v>
      </c>
      <c r="G52" s="12">
        <f t="shared" ca="1" si="3"/>
        <v>0.13305356206972471</v>
      </c>
      <c r="H52" s="12">
        <f t="shared" ca="1" si="4"/>
        <v>-0.49386158896161941</v>
      </c>
    </row>
    <row r="53" spans="1:8" x14ac:dyDescent="0.4">
      <c r="A53">
        <v>49</v>
      </c>
      <c r="B53" s="12">
        <v>1</v>
      </c>
      <c r="C53" s="12">
        <f t="shared" ca="1" si="0"/>
        <v>4.8977782229324003</v>
      </c>
      <c r="D53" s="12">
        <f t="shared" ca="1" si="1"/>
        <v>-1.042997974770663</v>
      </c>
      <c r="F53" s="12">
        <f t="shared" ca="1" si="2"/>
        <v>9.2834139326585671E-2</v>
      </c>
      <c r="G53" s="12">
        <f t="shared" ca="1" si="3"/>
        <v>-0.49500256348133015</v>
      </c>
      <c r="H53" s="12">
        <f t="shared" ca="1" si="4"/>
        <v>-1.5208725664306157</v>
      </c>
    </row>
    <row r="54" spans="1:8" x14ac:dyDescent="0.4">
      <c r="A54">
        <v>50</v>
      </c>
      <c r="B54" s="12">
        <v>1</v>
      </c>
      <c r="C54" s="12">
        <f t="shared" ca="1" si="0"/>
        <v>4.2107417160972815</v>
      </c>
      <c r="D54" s="12">
        <f t="shared" ca="1" si="1"/>
        <v>0.70797495290868784</v>
      </c>
      <c r="F54" s="12">
        <f t="shared" ca="1" si="2"/>
        <v>-0.3653078509499908</v>
      </c>
      <c r="G54" s="12">
        <f t="shared" ca="1" si="3"/>
        <v>-0.66608134176487777</v>
      </c>
      <c r="H54" s="12">
        <f t="shared" ca="1" si="4"/>
        <v>0.49073502816152981</v>
      </c>
    </row>
    <row r="55" spans="1:8" x14ac:dyDescent="0.4">
      <c r="A55">
        <v>51</v>
      </c>
      <c r="B55" s="12">
        <v>1</v>
      </c>
      <c r="C55" s="12">
        <f t="shared" ca="1" si="0"/>
        <v>1.1079704941873119</v>
      </c>
      <c r="D55" s="12">
        <f t="shared" ca="1" si="1"/>
        <v>-0.5951883145345862</v>
      </c>
      <c r="F55" s="12">
        <f t="shared" ca="1" si="2"/>
        <v>0.36970330455893535</v>
      </c>
      <c r="G55" s="12">
        <f t="shared" ca="1" si="3"/>
        <v>0.74092817747921647</v>
      </c>
      <c r="H55" s="12">
        <f t="shared" ca="1" si="4"/>
        <v>-0.77906057855136013</v>
      </c>
    </row>
    <row r="56" spans="1:8" x14ac:dyDescent="0.4">
      <c r="A56">
        <v>52</v>
      </c>
      <c r="B56" s="12">
        <v>1</v>
      </c>
      <c r="C56" s="12">
        <f t="shared" ca="1" si="0"/>
        <v>6.161472674155819</v>
      </c>
      <c r="D56" s="12">
        <f t="shared" ca="1" si="1"/>
        <v>-1.1576592921306161</v>
      </c>
      <c r="F56" s="12">
        <f t="shared" ca="1" si="2"/>
        <v>0.39851428310030707</v>
      </c>
      <c r="G56" s="12">
        <f t="shared" ca="1" si="3"/>
        <v>-4.8745163798124089E-2</v>
      </c>
      <c r="H56" s="12">
        <f t="shared" ca="1" si="4"/>
        <v>-1.6895803349014011</v>
      </c>
    </row>
    <row r="57" spans="1:8" x14ac:dyDescent="0.4">
      <c r="A57">
        <v>53</v>
      </c>
      <c r="B57" s="12">
        <v>1</v>
      </c>
      <c r="C57" s="12">
        <f t="shared" ca="1" si="0"/>
        <v>4.1308636683581916</v>
      </c>
      <c r="D57" s="12">
        <f t="shared" ca="1" si="1"/>
        <v>-1.0694652402615474</v>
      </c>
      <c r="F57" s="12">
        <f t="shared" ca="1" si="2"/>
        <v>-0.26398947211307267</v>
      </c>
      <c r="G57" s="12">
        <f t="shared" ca="1" si="3"/>
        <v>-0.40159610600059886</v>
      </c>
      <c r="H57" s="12">
        <f t="shared" ca="1" si="4"/>
        <v>-1.5617090102084115</v>
      </c>
    </row>
    <row r="58" spans="1:8" x14ac:dyDescent="0.4">
      <c r="A58">
        <v>54</v>
      </c>
      <c r="B58" s="12">
        <v>1</v>
      </c>
      <c r="C58" s="12">
        <f t="shared" ca="1" si="0"/>
        <v>3.9468907236400774</v>
      </c>
      <c r="D58" s="12">
        <f t="shared" ca="1" si="1"/>
        <v>9.7157625590193988E-2</v>
      </c>
      <c r="F58" s="12">
        <f t="shared" ca="1" si="2"/>
        <v>-0.68962858432079677</v>
      </c>
      <c r="G58" s="12">
        <f t="shared" ca="1" si="3"/>
        <v>-0.71763672994190497</v>
      </c>
      <c r="H58" s="12">
        <f t="shared" ca="1" si="4"/>
        <v>9.2517519098509818E-2</v>
      </c>
    </row>
    <row r="59" spans="1:8" x14ac:dyDescent="0.4">
      <c r="A59">
        <v>55</v>
      </c>
      <c r="B59" s="12">
        <v>1</v>
      </c>
      <c r="C59" s="12">
        <f t="shared" ca="1" si="0"/>
        <v>4.8714677061424307</v>
      </c>
      <c r="D59" s="12">
        <f t="shared" ca="1" si="1"/>
        <v>-0.38116581717845988</v>
      </c>
      <c r="F59" s="12">
        <f t="shared" ca="1" si="2"/>
        <v>0.14703989468987955</v>
      </c>
      <c r="G59" s="12">
        <f t="shared" ca="1" si="3"/>
        <v>-0.91651139320073516</v>
      </c>
      <c r="H59" s="12">
        <f t="shared" ca="1" si="4"/>
        <v>-0.45700678889323015</v>
      </c>
    </row>
    <row r="60" spans="1:8" x14ac:dyDescent="0.4">
      <c r="A60">
        <v>56</v>
      </c>
      <c r="B60" s="12">
        <v>1</v>
      </c>
      <c r="C60" s="12">
        <f t="shared" ca="1" si="0"/>
        <v>5.9727240198750335</v>
      </c>
      <c r="D60" s="12">
        <f t="shared" ca="1" si="1"/>
        <v>0.58944255008399338</v>
      </c>
      <c r="F60" s="12">
        <f t="shared" ca="1" si="2"/>
        <v>0.79151088275059911</v>
      </c>
      <c r="G60" s="12">
        <f t="shared" ca="1" si="3"/>
        <v>-0.25394534399246882</v>
      </c>
      <c r="H60" s="12">
        <f t="shared" ca="1" si="4"/>
        <v>0.4349921535924115</v>
      </c>
    </row>
    <row r="61" spans="1:8" x14ac:dyDescent="0.4">
      <c r="A61">
        <v>57</v>
      </c>
      <c r="B61" s="12">
        <v>1</v>
      </c>
      <c r="C61" s="12">
        <f t="shared" ca="1" si="0"/>
        <v>6.2458155568293261</v>
      </c>
      <c r="D61" s="12">
        <f t="shared" ca="1" si="1"/>
        <v>0.12877074144904335</v>
      </c>
      <c r="F61" s="12">
        <f t="shared" ca="1" si="2"/>
        <v>0.99102811100628552</v>
      </c>
      <c r="G61" s="12">
        <f t="shared" ca="1" si="3"/>
        <v>-3.7051722259344E-2</v>
      </c>
      <c r="H61" s="12">
        <f t="shared" ca="1" si="4"/>
        <v>0.12066739752407935</v>
      </c>
    </row>
    <row r="62" spans="1:8" x14ac:dyDescent="0.4">
      <c r="A62">
        <v>58</v>
      </c>
      <c r="B62" s="12">
        <v>1</v>
      </c>
      <c r="C62" s="12">
        <f t="shared" ca="1" si="0"/>
        <v>4.7858431028928266</v>
      </c>
      <c r="D62" s="12">
        <f t="shared" ca="1" si="1"/>
        <v>-0.15332355401290618</v>
      </c>
      <c r="F62" s="12">
        <f t="shared" ca="1" si="2"/>
        <v>7.2527167451827176E-2</v>
      </c>
      <c r="G62" s="12">
        <f t="shared" ca="1" si="3"/>
        <v>-0.98560404412189884</v>
      </c>
      <c r="H62" s="12">
        <f t="shared" ca="1" si="4"/>
        <v>-0.16534994957991228</v>
      </c>
    </row>
    <row r="63" spans="1:8" x14ac:dyDescent="0.4">
      <c r="A63">
        <v>59</v>
      </c>
      <c r="B63" s="12">
        <v>1</v>
      </c>
      <c r="C63" s="12">
        <f t="shared" ca="1" si="0"/>
        <v>0.5023430940226894</v>
      </c>
      <c r="D63" s="12">
        <f t="shared" ca="1" si="1"/>
        <v>-0.5719330454345849</v>
      </c>
      <c r="F63" s="12">
        <f t="shared" ca="1" si="2"/>
        <v>0.73697420775420908</v>
      </c>
      <c r="G63" s="12">
        <f t="shared" ca="1" si="3"/>
        <v>0.40485587956658747</v>
      </c>
      <c r="H63" s="12">
        <f t="shared" ca="1" si="4"/>
        <v>-0.74208961914634053</v>
      </c>
    </row>
    <row r="64" spans="1:8" x14ac:dyDescent="0.4">
      <c r="A64">
        <v>60</v>
      </c>
      <c r="B64" s="12">
        <v>1</v>
      </c>
      <c r="C64" s="12">
        <f t="shared" ca="1" si="0"/>
        <v>4.5707074750326786</v>
      </c>
      <c r="D64" s="12">
        <f t="shared" ca="1" si="1"/>
        <v>-1.1643153166533675</v>
      </c>
      <c r="F64" s="12">
        <f t="shared" ca="1" si="2"/>
        <v>-5.583074052161216E-2</v>
      </c>
      <c r="G64" s="12">
        <f t="shared" ca="1" si="3"/>
        <v>-0.39141780664349329</v>
      </c>
      <c r="H64" s="12">
        <f t="shared" ca="1" si="4"/>
        <v>-1.6986278288703955</v>
      </c>
    </row>
    <row r="65" spans="1:8" x14ac:dyDescent="0.4">
      <c r="A65">
        <v>61</v>
      </c>
      <c r="B65" s="12">
        <v>1</v>
      </c>
      <c r="C65" s="12">
        <f t="shared" ca="1" si="0"/>
        <v>3.1338105702970114</v>
      </c>
      <c r="D65" s="12">
        <f t="shared" ca="1" si="1"/>
        <v>-1.1747288008034336</v>
      </c>
      <c r="F65" s="12">
        <f t="shared" ca="1" si="2"/>
        <v>-0.3857816102574626</v>
      </c>
      <c r="G65" s="12">
        <f t="shared" ca="1" si="3"/>
        <v>3.0022452302364794E-3</v>
      </c>
      <c r="H65" s="12">
        <f t="shared" ca="1" si="4"/>
        <v>-1.7125907031551324</v>
      </c>
    </row>
    <row r="66" spans="1:8" x14ac:dyDescent="0.4">
      <c r="A66">
        <v>62</v>
      </c>
      <c r="B66" s="12">
        <v>1</v>
      </c>
      <c r="C66" s="12">
        <f t="shared" ca="1" si="0"/>
        <v>0.23794869084786888</v>
      </c>
      <c r="D66" s="12">
        <f t="shared" ca="1" si="1"/>
        <v>0.24170901324950031</v>
      </c>
      <c r="F66" s="12">
        <f t="shared" ca="1" si="2"/>
        <v>0.9435729329644581</v>
      </c>
      <c r="G66" s="12">
        <f t="shared" ca="1" si="3"/>
        <v>0.22885761011368655</v>
      </c>
      <c r="H66" s="12">
        <f t="shared" ca="1" si="4"/>
        <v>0.21377720532793529</v>
      </c>
    </row>
    <row r="67" spans="1:8" x14ac:dyDescent="0.4">
      <c r="A67">
        <v>63</v>
      </c>
      <c r="B67" s="12">
        <v>1</v>
      </c>
      <c r="C67" s="12">
        <f t="shared" ca="1" si="0"/>
        <v>3.2756263443485718</v>
      </c>
      <c r="D67" s="12">
        <f t="shared" ca="1" si="1"/>
        <v>0.23739314520648744</v>
      </c>
      <c r="F67" s="12">
        <f t="shared" ca="1" si="2"/>
        <v>-0.96323679807789031</v>
      </c>
      <c r="G67" s="12">
        <f t="shared" ca="1" si="3"/>
        <v>-0.12988491171536204</v>
      </c>
      <c r="H67" s="12">
        <f t="shared" ca="1" si="4"/>
        <v>0.21042669483839216</v>
      </c>
    </row>
    <row r="68" spans="1:8" x14ac:dyDescent="0.4">
      <c r="A68">
        <v>64</v>
      </c>
      <c r="B68" s="12">
        <v>1</v>
      </c>
      <c r="C68" s="12">
        <f t="shared" ca="1" si="0"/>
        <v>6.199680338402799</v>
      </c>
      <c r="D68" s="12">
        <f t="shared" ca="1" si="1"/>
        <v>-0.94323792980926779</v>
      </c>
      <c r="F68" s="12">
        <f t="shared" ca="1" si="2"/>
        <v>0.58512411869893499</v>
      </c>
      <c r="G68" s="12">
        <f t="shared" ca="1" si="3"/>
        <v>-4.8974658951432694E-2</v>
      </c>
      <c r="H68" s="12">
        <f t="shared" ca="1" si="4"/>
        <v>-1.3598299490702814</v>
      </c>
    </row>
    <row r="69" spans="1:8" x14ac:dyDescent="0.4">
      <c r="A69">
        <v>65</v>
      </c>
      <c r="B69" s="12">
        <v>1</v>
      </c>
      <c r="C69" s="12">
        <f t="shared" ca="1" si="0"/>
        <v>4.4714108462032565</v>
      </c>
      <c r="D69" s="12">
        <f t="shared" ca="1" si="1"/>
        <v>7.7545601665344299E-2</v>
      </c>
      <c r="F69" s="12">
        <f t="shared" ca="1" si="2"/>
        <v>-0.23793542363707562</v>
      </c>
      <c r="G69" s="12">
        <f t="shared" ca="1" si="3"/>
        <v>-0.96818668526352369</v>
      </c>
      <c r="H69" s="12">
        <f t="shared" ca="1" si="4"/>
        <v>7.4579161488521215E-2</v>
      </c>
    </row>
    <row r="70" spans="1:8" x14ac:dyDescent="0.4">
      <c r="A70">
        <v>66</v>
      </c>
      <c r="B70" s="12">
        <v>1</v>
      </c>
      <c r="C70" s="12">
        <f t="shared" ref="C70:C204" ca="1" si="5">2*PI()*RAND()</f>
        <v>0.52340498805711833</v>
      </c>
      <c r="D70" s="12">
        <f t="shared" ref="D70:D204" ca="1" si="6">ASIN(RAND()*2-1)</f>
        <v>-0.81300785136510301</v>
      </c>
      <c r="F70" s="12">
        <f t="shared" ref="F70:F133" ca="1" si="7">B70*COS(D70)*COS(C70)</f>
        <v>0.59530036799642427</v>
      </c>
      <c r="G70" s="12">
        <f t="shared" ref="G70:G99" ca="1" si="8">B70*COS(D70)*SIN(C70)</f>
        <v>0.34354302919087409</v>
      </c>
      <c r="H70" s="12">
        <f t="shared" ref="H70:H133" ca="1" si="9">B70/(1+$H$2*SIN(D70))*SIN(D70)</f>
        <v>-1.140599464698655</v>
      </c>
    </row>
    <row r="71" spans="1:8" x14ac:dyDescent="0.4">
      <c r="A71">
        <v>67</v>
      </c>
      <c r="B71" s="12">
        <v>1</v>
      </c>
      <c r="C71" s="12">
        <f t="shared" ca="1" si="5"/>
        <v>1.5389815931429911</v>
      </c>
      <c r="D71" s="12">
        <f t="shared" ca="1" si="6"/>
        <v>0.65066432356479809</v>
      </c>
      <c r="F71" s="12">
        <f t="shared" ca="1" si="7"/>
        <v>2.5310127418220186E-2</v>
      </c>
      <c r="G71" s="12">
        <f t="shared" ca="1" si="8"/>
        <v>0.79527893187733589</v>
      </c>
      <c r="H71" s="12">
        <f t="shared" ca="1" si="9"/>
        <v>0.46491277772606859</v>
      </c>
    </row>
    <row r="72" spans="1:8" x14ac:dyDescent="0.4">
      <c r="A72">
        <v>68</v>
      </c>
      <c r="B72" s="12">
        <v>1</v>
      </c>
      <c r="C72" s="12">
        <f t="shared" ca="1" si="5"/>
        <v>4.3049245141619394</v>
      </c>
      <c r="D72" s="12">
        <f t="shared" ca="1" si="6"/>
        <v>-0.38513615987479149</v>
      </c>
      <c r="F72" s="12">
        <f t="shared" ca="1" si="7"/>
        <v>-0.36725387889375616</v>
      </c>
      <c r="G72" s="12">
        <f t="shared" ca="1" si="8"/>
        <v>-0.85087315402913666</v>
      </c>
      <c r="H72" s="12">
        <f t="shared" ca="1" si="9"/>
        <v>-0.46257702653734001</v>
      </c>
    </row>
    <row r="73" spans="1:8" x14ac:dyDescent="0.4">
      <c r="A73">
        <v>69</v>
      </c>
      <c r="B73" s="12">
        <v>1</v>
      </c>
      <c r="C73" s="12">
        <f t="shared" ca="1" si="5"/>
        <v>1.3115507873440979</v>
      </c>
      <c r="D73" s="12">
        <f t="shared" ca="1" si="6"/>
        <v>-0.66780630162654786</v>
      </c>
      <c r="F73" s="12">
        <f t="shared" ca="1" si="7"/>
        <v>0.20128249476607471</v>
      </c>
      <c r="G73" s="12">
        <f t="shared" ca="1" si="8"/>
        <v>0.75894412507193598</v>
      </c>
      <c r="H73" s="12">
        <f t="shared" ca="1" si="9"/>
        <v>-0.89700780748757458</v>
      </c>
    </row>
    <row r="74" spans="1:8" x14ac:dyDescent="0.4">
      <c r="A74">
        <v>70</v>
      </c>
      <c r="B74" s="12">
        <v>1</v>
      </c>
      <c r="C74" s="12">
        <f t="shared" ca="1" si="5"/>
        <v>6.1910367383172824</v>
      </c>
      <c r="D74" s="12">
        <f t="shared" ca="1" si="6"/>
        <v>-0.6714111337712102</v>
      </c>
      <c r="F74" s="12">
        <f t="shared" ca="1" si="7"/>
        <v>0.77962281129533073</v>
      </c>
      <c r="G74" s="12">
        <f t="shared" ca="1" si="8"/>
        <v>-7.2045162283703501E-2</v>
      </c>
      <c r="H74" s="12">
        <f t="shared" ca="1" si="9"/>
        <v>-0.90295026273853674</v>
      </c>
    </row>
    <row r="75" spans="1:8" x14ac:dyDescent="0.4">
      <c r="A75">
        <v>71</v>
      </c>
      <c r="B75" s="12">
        <v>1</v>
      </c>
      <c r="C75" s="12">
        <f t="shared" ca="1" si="5"/>
        <v>6.075105015649708</v>
      </c>
      <c r="D75" s="12">
        <f t="shared" ca="1" si="6"/>
        <v>0.77943504552949106</v>
      </c>
      <c r="F75" s="12">
        <f t="shared" ca="1" si="7"/>
        <v>0.6959672708220509</v>
      </c>
      <c r="G75" s="12">
        <f t="shared" ca="1" si="8"/>
        <v>-0.14694398406430936</v>
      </c>
      <c r="H75" s="12">
        <f t="shared" ca="1" si="9"/>
        <v>0.520095807645236</v>
      </c>
    </row>
    <row r="76" spans="1:8" x14ac:dyDescent="0.4">
      <c r="A76">
        <v>72</v>
      </c>
      <c r="B76" s="12">
        <v>1</v>
      </c>
      <c r="C76" s="12">
        <f t="shared" ca="1" si="5"/>
        <v>2.3692396163332994</v>
      </c>
      <c r="D76" s="12">
        <f t="shared" ca="1" si="6"/>
        <v>7.7466469861936602E-2</v>
      </c>
      <c r="F76" s="12">
        <f t="shared" ca="1" si="7"/>
        <v>-0.71412253666931302</v>
      </c>
      <c r="G76" s="12">
        <f t="shared" ca="1" si="8"/>
        <v>0.69572979186128947</v>
      </c>
      <c r="H76" s="12">
        <f t="shared" ca="1" si="9"/>
        <v>7.4506038631969959E-2</v>
      </c>
    </row>
    <row r="77" spans="1:8" x14ac:dyDescent="0.4">
      <c r="A77">
        <v>73</v>
      </c>
      <c r="B77" s="12">
        <v>1</v>
      </c>
      <c r="C77" s="12">
        <f t="shared" ca="1" si="5"/>
        <v>4.8819148742960641</v>
      </c>
      <c r="D77" s="12">
        <f t="shared" ca="1" si="6"/>
        <v>4.876090908745226E-4</v>
      </c>
      <c r="F77" s="12">
        <f t="shared" ca="1" si="7"/>
        <v>0.16871503827447062</v>
      </c>
      <c r="G77" s="12">
        <f t="shared" ca="1" si="8"/>
        <v>-0.98566474934301951</v>
      </c>
      <c r="H77" s="12">
        <f t="shared" ca="1" si="9"/>
        <v>4.8749021922539298E-4</v>
      </c>
    </row>
    <row r="78" spans="1:8" x14ac:dyDescent="0.4">
      <c r="A78">
        <v>74</v>
      </c>
      <c r="B78" s="12">
        <v>1</v>
      </c>
      <c r="C78" s="12">
        <f t="shared" ca="1" si="5"/>
        <v>5.6978360155425234</v>
      </c>
      <c r="D78" s="12">
        <f t="shared" ca="1" si="6"/>
        <v>1.3729657844963312</v>
      </c>
      <c r="F78" s="12">
        <f t="shared" ca="1" si="7"/>
        <v>0.16382206545509587</v>
      </c>
      <c r="G78" s="12">
        <f t="shared" ca="1" si="8"/>
        <v>-0.10858795931128004</v>
      </c>
      <c r="H78" s="12">
        <f t="shared" ca="1" si="9"/>
        <v>0.65794117091485849</v>
      </c>
    </row>
    <row r="79" spans="1:8" x14ac:dyDescent="0.4">
      <c r="A79">
        <v>75</v>
      </c>
      <c r="B79" s="12">
        <v>1</v>
      </c>
      <c r="C79" s="12">
        <f t="shared" ca="1" si="5"/>
        <v>1.8734164956487254</v>
      </c>
      <c r="D79" s="12">
        <f t="shared" ca="1" si="6"/>
        <v>0.43172681649029315</v>
      </c>
      <c r="F79" s="12">
        <f t="shared" ca="1" si="7"/>
        <v>-0.27067715474624704</v>
      </c>
      <c r="G79" s="12">
        <f t="shared" ca="1" si="8"/>
        <v>0.86697290271907956</v>
      </c>
      <c r="H79" s="12">
        <f t="shared" ca="1" si="9"/>
        <v>0.34604111101163809</v>
      </c>
    </row>
    <row r="80" spans="1:8" x14ac:dyDescent="0.4">
      <c r="A80">
        <v>76</v>
      </c>
      <c r="B80" s="12">
        <v>1</v>
      </c>
      <c r="C80" s="12">
        <f t="shared" ca="1" si="5"/>
        <v>5.8498885081300385</v>
      </c>
      <c r="D80" s="12">
        <f t="shared" ca="1" si="6"/>
        <v>0.30863973236672004</v>
      </c>
      <c r="F80" s="12">
        <f t="shared" ca="1" si="7"/>
        <v>0.86470087957092245</v>
      </c>
      <c r="G80" s="12">
        <f t="shared" ca="1" si="8"/>
        <v>-0.40002559119019704</v>
      </c>
      <c r="H80" s="12">
        <f t="shared" ca="1" si="9"/>
        <v>0.26371023046112491</v>
      </c>
    </row>
    <row r="81" spans="1:8" x14ac:dyDescent="0.4">
      <c r="A81">
        <v>77</v>
      </c>
      <c r="B81" s="12">
        <v>1</v>
      </c>
      <c r="C81" s="12">
        <f t="shared" ca="1" si="5"/>
        <v>6.2680963738613471</v>
      </c>
      <c r="D81" s="12">
        <f t="shared" ca="1" si="6"/>
        <v>0.69231123336473277</v>
      </c>
      <c r="F81" s="12">
        <f t="shared" ca="1" si="7"/>
        <v>0.76968514271860999</v>
      </c>
      <c r="G81" s="12">
        <f t="shared" ca="1" si="8"/>
        <v>-1.1614609263472716E-2</v>
      </c>
      <c r="H81" s="12">
        <f t="shared" ca="1" si="9"/>
        <v>0.48388254001531267</v>
      </c>
    </row>
    <row r="82" spans="1:8" x14ac:dyDescent="0.4">
      <c r="A82">
        <v>78</v>
      </c>
      <c r="B82" s="12">
        <v>1</v>
      </c>
      <c r="C82" s="12">
        <f t="shared" ca="1" si="5"/>
        <v>6.1737915027926196</v>
      </c>
      <c r="D82" s="12">
        <f t="shared" ca="1" si="6"/>
        <v>1.2144301827516999</v>
      </c>
      <c r="F82" s="12">
        <f t="shared" ca="1" si="7"/>
        <v>0.34678561113403644</v>
      </c>
      <c r="G82" s="12">
        <f t="shared" ca="1" si="8"/>
        <v>-3.8088252756587088E-2</v>
      </c>
      <c r="H82" s="12">
        <f t="shared" ca="1" si="9"/>
        <v>0.63814523124076061</v>
      </c>
    </row>
    <row r="83" spans="1:8" x14ac:dyDescent="0.4">
      <c r="A83">
        <v>79</v>
      </c>
      <c r="B83" s="12">
        <v>1</v>
      </c>
      <c r="C83" s="12">
        <f t="shared" ca="1" si="5"/>
        <v>1.9210346979629873</v>
      </c>
      <c r="D83" s="12">
        <f t="shared" ca="1" si="6"/>
        <v>0.89329501171193026</v>
      </c>
      <c r="F83" s="12">
        <f t="shared" ca="1" si="7"/>
        <v>-0.21508521491793378</v>
      </c>
      <c r="G83" s="12">
        <f t="shared" ca="1" si="8"/>
        <v>0.58879279749201674</v>
      </c>
      <c r="H83" s="12">
        <f t="shared" ca="1" si="9"/>
        <v>0.56070657842337646</v>
      </c>
    </row>
    <row r="84" spans="1:8" x14ac:dyDescent="0.4">
      <c r="A84">
        <v>80</v>
      </c>
      <c r="B84" s="12">
        <v>1</v>
      </c>
      <c r="C84" s="12">
        <f t="shared" ca="1" si="5"/>
        <v>3.5195806811699439</v>
      </c>
      <c r="D84" s="12">
        <f t="shared" ca="1" si="6"/>
        <v>0.21284997293371458</v>
      </c>
      <c r="F84" s="12">
        <f t="shared" ca="1" si="7"/>
        <v>-0.90843491335928239</v>
      </c>
      <c r="G84" s="12">
        <f t="shared" ca="1" si="8"/>
        <v>-0.36072283262931171</v>
      </c>
      <c r="H84" s="12">
        <f t="shared" ca="1" si="9"/>
        <v>0.1910654643055</v>
      </c>
    </row>
    <row r="85" spans="1:8" x14ac:dyDescent="0.4">
      <c r="A85">
        <v>81</v>
      </c>
      <c r="B85" s="12">
        <v>1</v>
      </c>
      <c r="C85" s="12">
        <f t="shared" ca="1" si="5"/>
        <v>6.1115531084614005</v>
      </c>
      <c r="D85" s="12">
        <f t="shared" ca="1" si="6"/>
        <v>-0.32922153931127046</v>
      </c>
      <c r="F85" s="12">
        <f t="shared" ca="1" si="7"/>
        <v>0.93239070735817009</v>
      </c>
      <c r="G85" s="12">
        <f t="shared" ca="1" si="8"/>
        <v>-0.16161835607018157</v>
      </c>
      <c r="H85" s="12">
        <f t="shared" ca="1" si="9"/>
        <v>-0.38564766715178961</v>
      </c>
    </row>
    <row r="86" spans="1:8" x14ac:dyDescent="0.4">
      <c r="A86">
        <v>82</v>
      </c>
      <c r="B86" s="12">
        <v>1</v>
      </c>
      <c r="C86" s="12">
        <f t="shared" ca="1" si="5"/>
        <v>4.2428046303963374</v>
      </c>
      <c r="D86" s="12">
        <f t="shared" ca="1" si="6"/>
        <v>-0.69350806420656641</v>
      </c>
      <c r="F86" s="12">
        <f t="shared" ca="1" si="7"/>
        <v>-0.34798828512802416</v>
      </c>
      <c r="G86" s="12">
        <f t="shared" ca="1" si="8"/>
        <v>-0.68576807908179438</v>
      </c>
      <c r="H86" s="12">
        <f t="shared" ca="1" si="9"/>
        <v>-0.93953128504285255</v>
      </c>
    </row>
    <row r="87" spans="1:8" x14ac:dyDescent="0.4">
      <c r="A87">
        <v>83</v>
      </c>
      <c r="B87" s="12">
        <v>1</v>
      </c>
      <c r="C87" s="12">
        <f t="shared" ca="1" si="5"/>
        <v>1.2628129065266619E-2</v>
      </c>
      <c r="D87" s="12">
        <f t="shared" ca="1" si="6"/>
        <v>-1.0471255282855652</v>
      </c>
      <c r="F87" s="12">
        <f t="shared" ca="1" si="7"/>
        <v>0.50002250051942432</v>
      </c>
      <c r="G87" s="12">
        <f t="shared" ca="1" si="8"/>
        <v>6.3146843424859676E-3</v>
      </c>
      <c r="H87" s="12">
        <f t="shared" ca="1" si="9"/>
        <v>-1.5273038585520946</v>
      </c>
    </row>
    <row r="88" spans="1:8" x14ac:dyDescent="0.4">
      <c r="A88">
        <v>84</v>
      </c>
      <c r="B88" s="12">
        <v>1</v>
      </c>
      <c r="C88" s="12">
        <f t="shared" ca="1" si="5"/>
        <v>2.6690566252806232</v>
      </c>
      <c r="D88" s="12">
        <f t="shared" ca="1" si="6"/>
        <v>0.56130065249160876</v>
      </c>
      <c r="F88" s="12">
        <f t="shared" ca="1" si="7"/>
        <v>-0.75379444407800777</v>
      </c>
      <c r="G88" s="12">
        <f t="shared" ca="1" si="8"/>
        <v>0.38530988257605225</v>
      </c>
      <c r="H88" s="12">
        <f t="shared" ca="1" si="9"/>
        <v>0.42040067239465673</v>
      </c>
    </row>
    <row r="89" spans="1:8" x14ac:dyDescent="0.4">
      <c r="A89">
        <v>85</v>
      </c>
      <c r="B89" s="12">
        <v>1</v>
      </c>
      <c r="C89" s="12">
        <f t="shared" ca="1" si="5"/>
        <v>0.54613872744927783</v>
      </c>
      <c r="D89" s="12">
        <f t="shared" ca="1" si="6"/>
        <v>-1.4620219845999272</v>
      </c>
      <c r="F89" s="12">
        <f t="shared" ca="1" si="7"/>
        <v>9.276844473665373E-2</v>
      </c>
      <c r="G89" s="12">
        <f t="shared" ca="1" si="8"/>
        <v>5.6385126154612705E-2</v>
      </c>
      <c r="H89" s="12">
        <f t="shared" ca="1" si="9"/>
        <v>-1.976498504046829</v>
      </c>
    </row>
    <row r="90" spans="1:8" x14ac:dyDescent="0.4">
      <c r="A90">
        <v>86</v>
      </c>
      <c r="B90" s="12">
        <v>1</v>
      </c>
      <c r="C90" s="12">
        <f t="shared" ca="1" si="5"/>
        <v>5.9337106264475734</v>
      </c>
      <c r="D90" s="12">
        <f t="shared" ca="1" si="6"/>
        <v>-0.24851995622993781</v>
      </c>
      <c r="F90" s="12">
        <f t="shared" ca="1" si="7"/>
        <v>0.91068733308620275</v>
      </c>
      <c r="G90" s="12">
        <f t="shared" ca="1" si="8"/>
        <v>-0.33188478373945057</v>
      </c>
      <c r="H90" s="12">
        <f t="shared" ca="1" si="9"/>
        <v>-0.28046225865456542</v>
      </c>
    </row>
    <row r="91" spans="1:8" x14ac:dyDescent="0.4">
      <c r="A91">
        <v>87</v>
      </c>
      <c r="B91" s="12">
        <v>1</v>
      </c>
      <c r="C91" s="12">
        <f t="shared" ca="1" si="5"/>
        <v>3.1985935772389715</v>
      </c>
      <c r="D91" s="12">
        <f t="shared" ca="1" si="6"/>
        <v>0.5334489968842967</v>
      </c>
      <c r="F91" s="12">
        <f t="shared" ca="1" si="7"/>
        <v>-0.8596599033306328</v>
      </c>
      <c r="G91" s="12">
        <f t="shared" ca="1" si="8"/>
        <v>-4.9054547822480331E-2</v>
      </c>
      <c r="H91" s="12">
        <f t="shared" ca="1" si="9"/>
        <v>0.40542547438201937</v>
      </c>
    </row>
    <row r="92" spans="1:8" x14ac:dyDescent="0.4">
      <c r="A92">
        <v>88</v>
      </c>
      <c r="B92" s="12">
        <v>1</v>
      </c>
      <c r="C92" s="12">
        <f t="shared" ca="1" si="5"/>
        <v>3.05225652372342</v>
      </c>
      <c r="D92" s="12">
        <f t="shared" ca="1" si="6"/>
        <v>-0.94378947935403368</v>
      </c>
      <c r="F92" s="12">
        <f t="shared" ca="1" si="7"/>
        <v>-0.58438382560698332</v>
      </c>
      <c r="G92" s="12">
        <f t="shared" ca="1" si="8"/>
        <v>5.2345920106619002E-2</v>
      </c>
      <c r="H92" s="12">
        <f t="shared" ca="1" si="9"/>
        <v>-1.3607438014088986</v>
      </c>
    </row>
    <row r="93" spans="1:8" x14ac:dyDescent="0.4">
      <c r="A93">
        <v>89</v>
      </c>
      <c r="B93" s="12">
        <v>1</v>
      </c>
      <c r="C93" s="12">
        <f t="shared" ca="1" si="5"/>
        <v>2.0523884158437684</v>
      </c>
      <c r="D93" s="12">
        <f t="shared" ca="1" si="6"/>
        <v>1.1777786277250528</v>
      </c>
      <c r="F93" s="12">
        <f t="shared" ca="1" si="7"/>
        <v>-0.177391769355529</v>
      </c>
      <c r="G93" s="12">
        <f t="shared" ca="1" si="8"/>
        <v>0.33941735053396027</v>
      </c>
      <c r="H93" s="12">
        <f t="shared" ca="1" si="9"/>
        <v>0.63189750745537909</v>
      </c>
    </row>
    <row r="94" spans="1:8" x14ac:dyDescent="0.4">
      <c r="A94">
        <v>90</v>
      </c>
      <c r="B94" s="12">
        <v>1</v>
      </c>
      <c r="C94" s="12">
        <f t="shared" ca="1" si="5"/>
        <v>4.6683267435381284</v>
      </c>
      <c r="D94" s="12">
        <f t="shared" ca="1" si="6"/>
        <v>0.63814283668574312</v>
      </c>
      <c r="F94" s="12">
        <f t="shared" ca="1" si="7"/>
        <v>-3.5379490550282673E-2</v>
      </c>
      <c r="G94" s="12">
        <f t="shared" ca="1" si="8"/>
        <v>-0.80242388759807715</v>
      </c>
      <c r="H94" s="12">
        <f t="shared" ca="1" si="9"/>
        <v>0.45899271128771735</v>
      </c>
    </row>
    <row r="95" spans="1:8" x14ac:dyDescent="0.4">
      <c r="A95">
        <v>91</v>
      </c>
      <c r="B95" s="12">
        <v>1</v>
      </c>
      <c r="C95" s="12">
        <f t="shared" ca="1" si="5"/>
        <v>1.838964556513081</v>
      </c>
      <c r="D95" s="12">
        <f t="shared" ca="1" si="6"/>
        <v>-0.49448039565813434</v>
      </c>
      <c r="F95" s="12">
        <f t="shared" ca="1" si="7"/>
        <v>-0.2332267920660076</v>
      </c>
      <c r="G95" s="12">
        <f t="shared" ca="1" si="8"/>
        <v>0.8487546455033772</v>
      </c>
      <c r="H95" s="12">
        <f t="shared" ca="1" si="9"/>
        <v>-0.62221892243806742</v>
      </c>
    </row>
    <row r="96" spans="1:8" x14ac:dyDescent="0.4">
      <c r="A96">
        <v>92</v>
      </c>
      <c r="B96" s="12">
        <v>1</v>
      </c>
      <c r="C96" s="12">
        <f t="shared" ca="1" si="5"/>
        <v>4.0476398420238269</v>
      </c>
      <c r="D96" s="12">
        <f t="shared" ca="1" si="6"/>
        <v>-0.82141786261616301</v>
      </c>
      <c r="F96" s="12">
        <f t="shared" ca="1" si="7"/>
        <v>-0.42019623652183996</v>
      </c>
      <c r="G96" s="12">
        <f t="shared" ca="1" si="8"/>
        <v>-0.53614043925006005</v>
      </c>
      <c r="H96" s="12">
        <f t="shared" ca="1" si="9"/>
        <v>-1.1548537660530021</v>
      </c>
    </row>
    <row r="97" spans="1:8" x14ac:dyDescent="0.4">
      <c r="A97">
        <v>93</v>
      </c>
      <c r="B97" s="12">
        <v>1</v>
      </c>
      <c r="C97" s="12">
        <f t="shared" ca="1" si="5"/>
        <v>1.5208880344361422</v>
      </c>
      <c r="D97" s="12">
        <f t="shared" ca="1" si="6"/>
        <v>0.28850663285465367</v>
      </c>
      <c r="F97" s="12">
        <f t="shared" ca="1" si="7"/>
        <v>4.7825714455930812E-2</v>
      </c>
      <c r="G97" s="12">
        <f t="shared" ca="1" si="8"/>
        <v>0.95747614084514054</v>
      </c>
      <c r="H97" s="12">
        <f t="shared" ca="1" si="9"/>
        <v>0.24908583436432116</v>
      </c>
    </row>
    <row r="98" spans="1:8" x14ac:dyDescent="0.4">
      <c r="A98">
        <v>94</v>
      </c>
      <c r="B98" s="12">
        <v>1</v>
      </c>
      <c r="C98" s="12">
        <f t="shared" ca="1" si="5"/>
        <v>2.1193735832898541</v>
      </c>
      <c r="D98" s="12">
        <f t="shared" ca="1" si="6"/>
        <v>-0.43771852028187297</v>
      </c>
      <c r="F98" s="12">
        <f t="shared" ca="1" si="7"/>
        <v>-0.47230979210662899</v>
      </c>
      <c r="G98" s="12">
        <f t="shared" ca="1" si="8"/>
        <v>0.77282218843432748</v>
      </c>
      <c r="H98" s="12">
        <f t="shared" ca="1" si="9"/>
        <v>-0.53786846445316516</v>
      </c>
    </row>
    <row r="99" spans="1:8" x14ac:dyDescent="0.4">
      <c r="A99">
        <v>95</v>
      </c>
      <c r="B99" s="12">
        <v>1</v>
      </c>
      <c r="C99" s="12">
        <f t="shared" ca="1" si="5"/>
        <v>6.1312562821741805</v>
      </c>
      <c r="D99" s="12">
        <f t="shared" ca="1" si="6"/>
        <v>-0.25465592046139657</v>
      </c>
      <c r="F99" s="12">
        <f t="shared" ca="1" si="7"/>
        <v>0.956602487842659</v>
      </c>
      <c r="G99" s="12">
        <f t="shared" ca="1" si="8"/>
        <v>-0.14646433879912016</v>
      </c>
      <c r="H99" s="12">
        <f t="shared" ca="1" si="9"/>
        <v>-0.28821490000291022</v>
      </c>
    </row>
    <row r="100" spans="1:8" x14ac:dyDescent="0.4">
      <c r="A100">
        <v>96</v>
      </c>
      <c r="B100" s="12">
        <v>1</v>
      </c>
      <c r="C100" s="12">
        <f t="shared" ca="1" si="5"/>
        <v>2.242066256078552</v>
      </c>
      <c r="D100" s="12">
        <f t="shared" ca="1" si="6"/>
        <v>-0.63264703877184392</v>
      </c>
      <c r="F100" s="12">
        <f t="shared" ca="1" si="7"/>
        <v>-0.50160593205347903</v>
      </c>
      <c r="G100" s="12">
        <f t="shared" ref="G100:G163" ca="1" si="10">B100*COS(D100)*SIN(C100)</f>
        <v>0.63148839422795933</v>
      </c>
      <c r="H100" s="12">
        <f t="shared" ca="1" si="9"/>
        <v>-0.83946026351911573</v>
      </c>
    </row>
    <row r="101" spans="1:8" x14ac:dyDescent="0.4">
      <c r="A101">
        <v>97</v>
      </c>
      <c r="B101" s="12">
        <v>1</v>
      </c>
      <c r="C101" s="12">
        <f t="shared" ca="1" si="5"/>
        <v>4.9126174013398805</v>
      </c>
      <c r="D101" s="12">
        <f t="shared" ca="1" si="6"/>
        <v>0.5635656563974335</v>
      </c>
      <c r="F101" s="12">
        <f t="shared" ca="1" si="7"/>
        <v>0.16813549501268474</v>
      </c>
      <c r="G101" s="12">
        <f t="shared" ca="1" si="10"/>
        <v>-0.828466485475568</v>
      </c>
      <c r="H101" s="12">
        <f t="shared" ca="1" si="9"/>
        <v>0.42159500190246302</v>
      </c>
    </row>
    <row r="102" spans="1:8" x14ac:dyDescent="0.4">
      <c r="A102">
        <v>98</v>
      </c>
      <c r="B102" s="12">
        <v>1</v>
      </c>
      <c r="C102" s="12">
        <f t="shared" ca="1" si="5"/>
        <v>3.1177829858515</v>
      </c>
      <c r="D102" s="12">
        <f t="shared" ca="1" si="6"/>
        <v>0.3918772852298878</v>
      </c>
      <c r="F102" s="12">
        <f t="shared" ca="1" si="7"/>
        <v>-0.92393175793885862</v>
      </c>
      <c r="G102" s="12">
        <f t="shared" ca="1" si="10"/>
        <v>2.2002666099034021E-2</v>
      </c>
      <c r="H102" s="12">
        <f t="shared" ca="1" si="9"/>
        <v>0.32068533866130799</v>
      </c>
    </row>
    <row r="103" spans="1:8" x14ac:dyDescent="0.4">
      <c r="A103">
        <v>99</v>
      </c>
      <c r="B103" s="12">
        <v>1</v>
      </c>
      <c r="C103" s="12">
        <f t="shared" ca="1" si="5"/>
        <v>2.3982755921818524</v>
      </c>
      <c r="D103" s="12">
        <f t="shared" ca="1" si="6"/>
        <v>-0.49873748950116709</v>
      </c>
      <c r="F103" s="12">
        <f t="shared" ca="1" si="7"/>
        <v>-0.646545827820317</v>
      </c>
      <c r="G103" s="12">
        <f t="shared" ca="1" si="10"/>
        <v>0.59429887184901609</v>
      </c>
      <c r="H103" s="12">
        <f t="shared" ca="1" si="9"/>
        <v>-0.62866873371167842</v>
      </c>
    </row>
    <row r="104" spans="1:8" x14ac:dyDescent="0.4">
      <c r="A104">
        <v>100</v>
      </c>
      <c r="B104" s="12">
        <v>1</v>
      </c>
      <c r="C104" s="12">
        <f t="shared" ca="1" si="5"/>
        <v>1.6579085107815426</v>
      </c>
      <c r="D104" s="12">
        <f t="shared" ca="1" si="6"/>
        <v>-0.81011578583058863</v>
      </c>
      <c r="F104" s="12">
        <f t="shared" ca="1" si="7"/>
        <v>-5.9980480674284263E-2</v>
      </c>
      <c r="G104" s="12">
        <f t="shared" ca="1" si="10"/>
        <v>0.68680039745283705</v>
      </c>
      <c r="H104" s="12">
        <f t="shared" ca="1" si="9"/>
        <v>-1.1356981290764774</v>
      </c>
    </row>
    <row r="105" spans="1:8" x14ac:dyDescent="0.4">
      <c r="A105">
        <v>101</v>
      </c>
      <c r="B105" s="12">
        <v>1</v>
      </c>
      <c r="C105" s="12">
        <f t="shared" ca="1" si="5"/>
        <v>5.4108751319889121</v>
      </c>
      <c r="D105" s="12">
        <f t="shared" ca="1" si="6"/>
        <v>-1.1585126231336866</v>
      </c>
      <c r="F105" s="12">
        <f t="shared" ca="1" si="7"/>
        <v>0.25767552753580997</v>
      </c>
      <c r="G105" s="12">
        <f t="shared" ca="1" si="10"/>
        <v>-0.30686477714441557</v>
      </c>
      <c r="H105" s="12">
        <f t="shared" ca="1" si="9"/>
        <v>-1.6907455183876832</v>
      </c>
    </row>
    <row r="106" spans="1:8" x14ac:dyDescent="0.4">
      <c r="A106">
        <v>102</v>
      </c>
      <c r="B106" s="12">
        <v>1</v>
      </c>
      <c r="C106" s="12">
        <f t="shared" ca="1" si="5"/>
        <v>5.6381347136356785</v>
      </c>
      <c r="D106" s="12">
        <f t="shared" ca="1" si="6"/>
        <v>-0.15195753381116889</v>
      </c>
      <c r="F106" s="12">
        <f t="shared" ca="1" si="7"/>
        <v>0.78986139614990636</v>
      </c>
      <c r="G106" s="12">
        <f t="shared" ca="1" si="10"/>
        <v>-0.59431058322245378</v>
      </c>
      <c r="H106" s="12">
        <f t="shared" ca="1" si="9"/>
        <v>-0.16376849445937697</v>
      </c>
    </row>
    <row r="107" spans="1:8" x14ac:dyDescent="0.4">
      <c r="A107">
        <v>103</v>
      </c>
      <c r="B107" s="12">
        <v>1</v>
      </c>
      <c r="C107" s="12">
        <f t="shared" ca="1" si="5"/>
        <v>1.4515794943217555</v>
      </c>
      <c r="D107" s="12">
        <f t="shared" ca="1" si="6"/>
        <v>0.36270557114395585</v>
      </c>
      <c r="F107" s="12">
        <f t="shared" ca="1" si="7"/>
        <v>0.11119678306029855</v>
      </c>
      <c r="G107" s="12">
        <f t="shared" ca="1" si="10"/>
        <v>0.92830417066886584</v>
      </c>
      <c r="H107" s="12">
        <f t="shared" ca="1" si="9"/>
        <v>0.30134560168574592</v>
      </c>
    </row>
    <row r="108" spans="1:8" x14ac:dyDescent="0.4">
      <c r="A108">
        <v>104</v>
      </c>
      <c r="B108" s="12">
        <v>1</v>
      </c>
      <c r="C108" s="12">
        <f t="shared" ca="1" si="5"/>
        <v>0.53291092673762319</v>
      </c>
      <c r="D108" s="12">
        <f t="shared" ca="1" si="6"/>
        <v>-1.0322933226181081</v>
      </c>
      <c r="F108" s="12">
        <f t="shared" ca="1" si="7"/>
        <v>0.44173526899141957</v>
      </c>
      <c r="G108" s="12">
        <f t="shared" ca="1" si="10"/>
        <v>0.26055045788864134</v>
      </c>
      <c r="H108" s="12">
        <f t="shared" ca="1" si="9"/>
        <v>-1.5040917525261941</v>
      </c>
    </row>
    <row r="109" spans="1:8" x14ac:dyDescent="0.4">
      <c r="A109">
        <v>105</v>
      </c>
      <c r="B109" s="12">
        <v>1</v>
      </c>
      <c r="C109" s="12">
        <f t="shared" ca="1" si="5"/>
        <v>3.6745635313942517</v>
      </c>
      <c r="D109" s="12">
        <f t="shared" ca="1" si="6"/>
        <v>-7.232303499000528E-2</v>
      </c>
      <c r="F109" s="12">
        <f t="shared" ca="1" si="7"/>
        <v>-0.85904979828778172</v>
      </c>
      <c r="G109" s="12">
        <f t="shared" ca="1" si="10"/>
        <v>-0.50676615525671997</v>
      </c>
      <c r="H109" s="12">
        <f t="shared" ca="1" si="9"/>
        <v>-7.4968618691882385E-2</v>
      </c>
    </row>
    <row r="110" spans="1:8" x14ac:dyDescent="0.4">
      <c r="A110">
        <v>106</v>
      </c>
      <c r="B110" s="12">
        <v>1</v>
      </c>
      <c r="C110" s="12">
        <f t="shared" ca="1" si="5"/>
        <v>2.1888309376367556</v>
      </c>
      <c r="D110" s="12">
        <f t="shared" ca="1" si="6"/>
        <v>0.91151599828086349</v>
      </c>
      <c r="F110" s="12">
        <f t="shared" ca="1" si="7"/>
        <v>-0.35493150614369262</v>
      </c>
      <c r="G110" s="12">
        <f t="shared" ca="1" si="10"/>
        <v>0.49923829206329623</v>
      </c>
      <c r="H110" s="12">
        <f t="shared" ca="1" si="9"/>
        <v>0.56653085254425095</v>
      </c>
    </row>
    <row r="111" spans="1:8" x14ac:dyDescent="0.4">
      <c r="A111">
        <v>107</v>
      </c>
      <c r="B111" s="12">
        <v>1</v>
      </c>
      <c r="C111" s="12">
        <f t="shared" ca="1" si="5"/>
        <v>1.2816468121313789</v>
      </c>
      <c r="D111" s="12">
        <f t="shared" ca="1" si="6"/>
        <v>0.61136423389022965</v>
      </c>
      <c r="F111" s="12">
        <f t="shared" ca="1" si="7"/>
        <v>0.23348904005177432</v>
      </c>
      <c r="G111" s="12">
        <f t="shared" ca="1" si="10"/>
        <v>0.78487193362020158</v>
      </c>
      <c r="H111" s="12">
        <f t="shared" ca="1" si="9"/>
        <v>0.44598946139422607</v>
      </c>
    </row>
    <row r="112" spans="1:8" x14ac:dyDescent="0.4">
      <c r="A112">
        <v>108</v>
      </c>
      <c r="B112" s="12">
        <v>1</v>
      </c>
      <c r="C112" s="12">
        <f t="shared" ca="1" si="5"/>
        <v>2.8928108193138851</v>
      </c>
      <c r="D112" s="12">
        <f t="shared" ca="1" si="6"/>
        <v>-0.56169111050385545</v>
      </c>
      <c r="F112" s="12">
        <f t="shared" ca="1" si="7"/>
        <v>-0.82029892454645659</v>
      </c>
      <c r="G112" s="12">
        <f t="shared" ca="1" si="10"/>
        <v>0.20839262253926819</v>
      </c>
      <c r="H112" s="12">
        <f t="shared" ca="1" si="9"/>
        <v>-0.72594365571036856</v>
      </c>
    </row>
    <row r="113" spans="1:8" x14ac:dyDescent="0.4">
      <c r="A113">
        <v>109</v>
      </c>
      <c r="B113" s="12">
        <v>1</v>
      </c>
      <c r="C113" s="12">
        <f t="shared" ca="1" si="5"/>
        <v>5.9237735696689686</v>
      </c>
      <c r="D113" s="12">
        <f t="shared" ca="1" si="6"/>
        <v>0.13381110806158247</v>
      </c>
      <c r="F113" s="12">
        <f t="shared" ca="1" si="7"/>
        <v>0.92773572569805596</v>
      </c>
      <c r="G113" s="12">
        <f t="shared" ca="1" si="10"/>
        <v>-0.34857943678244152</v>
      </c>
      <c r="H113" s="12">
        <f t="shared" ca="1" si="9"/>
        <v>0.1250692624853455</v>
      </c>
    </row>
    <row r="114" spans="1:8" x14ac:dyDescent="0.4">
      <c r="A114">
        <v>110</v>
      </c>
      <c r="B114" s="12">
        <v>1</v>
      </c>
      <c r="C114" s="12">
        <f t="shared" ca="1" si="5"/>
        <v>5.4961200967731632</v>
      </c>
      <c r="D114" s="12">
        <f t="shared" ca="1" si="6"/>
        <v>3.3228675392096549E-2</v>
      </c>
      <c r="F114" s="12">
        <f t="shared" ca="1" si="7"/>
        <v>0.70553733195731216</v>
      </c>
      <c r="G114" s="12">
        <f t="shared" ca="1" si="10"/>
        <v>-0.70789358993075502</v>
      </c>
      <c r="H114" s="12">
        <f t="shared" ca="1" si="9"/>
        <v>3.2679709040014958E-2</v>
      </c>
    </row>
    <row r="115" spans="1:8" x14ac:dyDescent="0.4">
      <c r="A115">
        <v>111</v>
      </c>
      <c r="B115" s="12">
        <v>1</v>
      </c>
      <c r="C115" s="12">
        <f t="shared" ca="1" si="5"/>
        <v>4.5023913868244696</v>
      </c>
      <c r="D115" s="12">
        <f t="shared" ca="1" si="6"/>
        <v>0.95003221883355082</v>
      </c>
      <c r="F115" s="12">
        <f t="shared" ca="1" si="7"/>
        <v>-0.12125076636600984</v>
      </c>
      <c r="G115" s="12">
        <f t="shared" ca="1" si="10"/>
        <v>-0.56887870400859808</v>
      </c>
      <c r="H115" s="12">
        <f t="shared" ca="1" si="9"/>
        <v>0.57825004925118395</v>
      </c>
    </row>
    <row r="116" spans="1:8" x14ac:dyDescent="0.4">
      <c r="A116">
        <v>112</v>
      </c>
      <c r="B116" s="12">
        <v>1</v>
      </c>
      <c r="C116" s="12">
        <f t="shared" ca="1" si="5"/>
        <v>5.5207122048761699</v>
      </c>
      <c r="D116" s="12">
        <f t="shared" ca="1" si="6"/>
        <v>-0.62097955226934687</v>
      </c>
      <c r="F116" s="12">
        <f t="shared" ca="1" si="7"/>
        <v>0.58812809192436999</v>
      </c>
      <c r="G116" s="12">
        <f t="shared" ca="1" si="10"/>
        <v>-0.56176216834987514</v>
      </c>
      <c r="H116" s="12">
        <f t="shared" ca="1" si="9"/>
        <v>-0.82054053766620294</v>
      </c>
    </row>
    <row r="117" spans="1:8" x14ac:dyDescent="0.4">
      <c r="A117">
        <v>113</v>
      </c>
      <c r="B117" s="12">
        <v>1</v>
      </c>
      <c r="C117" s="12">
        <f t="shared" ca="1" si="5"/>
        <v>5.8517008892598312</v>
      </c>
      <c r="D117" s="12">
        <f t="shared" ca="1" si="6"/>
        <v>0.46259710301543755</v>
      </c>
      <c r="F117" s="12">
        <f t="shared" ca="1" si="7"/>
        <v>0.81287559880348625</v>
      </c>
      <c r="G117" s="12">
        <f t="shared" ca="1" si="10"/>
        <v>-0.37426328019513744</v>
      </c>
      <c r="H117" s="12">
        <f t="shared" ca="1" si="9"/>
        <v>0.3648600228768431</v>
      </c>
    </row>
    <row r="118" spans="1:8" x14ac:dyDescent="0.4">
      <c r="A118">
        <v>114</v>
      </c>
      <c r="B118" s="12">
        <v>1</v>
      </c>
      <c r="C118" s="12">
        <f t="shared" ca="1" si="5"/>
        <v>0.46031346280381868</v>
      </c>
      <c r="D118" s="12">
        <f t="shared" ca="1" si="6"/>
        <v>0.34924601783976195</v>
      </c>
      <c r="F118" s="12">
        <f t="shared" ca="1" si="7"/>
        <v>0.84182788898440364</v>
      </c>
      <c r="G118" s="12">
        <f t="shared" ca="1" si="10"/>
        <v>0.41741129911077351</v>
      </c>
      <c r="H118" s="12">
        <f t="shared" ca="1" si="9"/>
        <v>0.29219621092590992</v>
      </c>
    </row>
    <row r="119" spans="1:8" x14ac:dyDescent="0.4">
      <c r="A119">
        <v>115</v>
      </c>
      <c r="B119" s="12">
        <v>1</v>
      </c>
      <c r="C119" s="12">
        <f t="shared" ca="1" si="5"/>
        <v>5.1360358174937213</v>
      </c>
      <c r="D119" s="12">
        <f t="shared" ca="1" si="6"/>
        <v>-0.48091887987468179</v>
      </c>
      <c r="F119" s="12">
        <f t="shared" ca="1" si="7"/>
        <v>0.3644580460448229</v>
      </c>
      <c r="G119" s="12">
        <f t="shared" ca="1" si="10"/>
        <v>-0.80819372878144247</v>
      </c>
      <c r="H119" s="12">
        <f t="shared" ca="1" si="9"/>
        <v>-0.60178512241927962</v>
      </c>
    </row>
    <row r="120" spans="1:8" x14ac:dyDescent="0.4">
      <c r="A120">
        <v>116</v>
      </c>
      <c r="B120" s="12">
        <v>1</v>
      </c>
      <c r="C120" s="12">
        <f t="shared" ca="1" si="5"/>
        <v>4.2631194735852542</v>
      </c>
      <c r="D120" s="12">
        <f t="shared" ca="1" si="6"/>
        <v>-0.93963327995053259</v>
      </c>
      <c r="F120" s="12">
        <f t="shared" ca="1" si="7"/>
        <v>-0.25627805175637125</v>
      </c>
      <c r="G120" s="12">
        <f t="shared" ca="1" si="10"/>
        <v>-0.5315268989798978</v>
      </c>
      <c r="H120" s="12">
        <f t="shared" ca="1" si="9"/>
        <v>-1.3538526482616511</v>
      </c>
    </row>
    <row r="121" spans="1:8" x14ac:dyDescent="0.4">
      <c r="A121">
        <v>117</v>
      </c>
      <c r="B121" s="12">
        <v>1</v>
      </c>
      <c r="C121" s="12">
        <f t="shared" ca="1" si="5"/>
        <v>6.1083632167731015</v>
      </c>
      <c r="D121" s="12">
        <f t="shared" ca="1" si="6"/>
        <v>1.2575443085941398</v>
      </c>
      <c r="F121" s="12">
        <f t="shared" ca="1" si="7"/>
        <v>0.30345698592431908</v>
      </c>
      <c r="G121" s="12">
        <f t="shared" ca="1" si="10"/>
        <v>-5.3598136149435809E-2</v>
      </c>
      <c r="H121" s="12">
        <f t="shared" ca="1" si="9"/>
        <v>0.64468181530861723</v>
      </c>
    </row>
    <row r="122" spans="1:8" x14ac:dyDescent="0.4">
      <c r="A122">
        <v>118</v>
      </c>
      <c r="B122" s="12">
        <v>1</v>
      </c>
      <c r="C122" s="12">
        <f t="shared" ca="1" si="5"/>
        <v>2.4599510283480512</v>
      </c>
      <c r="D122" s="12">
        <f t="shared" ca="1" si="6"/>
        <v>-0.23247815612102482</v>
      </c>
      <c r="F122" s="12">
        <f t="shared" ca="1" si="7"/>
        <v>-0.75564930841301958</v>
      </c>
      <c r="G122" s="12">
        <f t="shared" ca="1" si="10"/>
        <v>0.61311883054200467</v>
      </c>
      <c r="H122" s="12">
        <f t="shared" ca="1" si="9"/>
        <v>-0.26038469685611532</v>
      </c>
    </row>
    <row r="123" spans="1:8" x14ac:dyDescent="0.4">
      <c r="A123">
        <v>119</v>
      </c>
      <c r="B123" s="12">
        <v>1</v>
      </c>
      <c r="C123" s="12">
        <f t="shared" ca="1" si="5"/>
        <v>3.3442645332027992</v>
      </c>
      <c r="D123" s="12">
        <f t="shared" ca="1" si="6"/>
        <v>-0.91063570913178971</v>
      </c>
      <c r="F123" s="12">
        <f t="shared" ca="1" si="7"/>
        <v>-0.60069201730032051</v>
      </c>
      <c r="G123" s="12">
        <f t="shared" ca="1" si="10"/>
        <v>-0.12343813706000588</v>
      </c>
      <c r="H123" s="12">
        <f t="shared" ca="1" si="9"/>
        <v>-1.30549485210503</v>
      </c>
    </row>
    <row r="124" spans="1:8" x14ac:dyDescent="0.4">
      <c r="A124">
        <v>120</v>
      </c>
      <c r="B124" s="12">
        <v>1</v>
      </c>
      <c r="C124" s="12">
        <f t="shared" ca="1" si="5"/>
        <v>4.649851683044778</v>
      </c>
      <c r="D124" s="12">
        <f t="shared" ca="1" si="6"/>
        <v>-0.23867576380832189</v>
      </c>
      <c r="F124" s="12">
        <f t="shared" ca="1" si="7"/>
        <v>-6.0724883929399905E-2</v>
      </c>
      <c r="G124" s="12">
        <f t="shared" ca="1" si="10"/>
        <v>-0.96975249337581915</v>
      </c>
      <c r="H124" s="12">
        <f t="shared" ca="1" si="9"/>
        <v>-0.26810875570999282</v>
      </c>
    </row>
    <row r="125" spans="1:8" x14ac:dyDescent="0.4">
      <c r="A125">
        <v>121</v>
      </c>
      <c r="B125" s="12">
        <v>1</v>
      </c>
      <c r="C125" s="12">
        <f t="shared" ca="1" si="5"/>
        <v>4.6882248164363487</v>
      </c>
      <c r="D125" s="12">
        <f t="shared" ca="1" si="6"/>
        <v>-0.82705146655204653</v>
      </c>
      <c r="F125" s="12">
        <f t="shared" ca="1" si="7"/>
        <v>-1.6358722201166374E-2</v>
      </c>
      <c r="G125" s="12">
        <f t="shared" ca="1" si="10"/>
        <v>-0.67685098157606616</v>
      </c>
      <c r="H125" s="12">
        <f t="shared" ca="1" si="9"/>
        <v>-1.1644024283117362</v>
      </c>
    </row>
    <row r="126" spans="1:8" x14ac:dyDescent="0.4">
      <c r="A126">
        <v>122</v>
      </c>
      <c r="B126" s="12">
        <v>1</v>
      </c>
      <c r="C126" s="12">
        <f t="shared" ca="1" si="5"/>
        <v>3.7329908648278312</v>
      </c>
      <c r="D126" s="12">
        <f t="shared" ca="1" si="6"/>
        <v>3.0874283862036434E-3</v>
      </c>
      <c r="F126" s="12">
        <f t="shared" ca="1" si="7"/>
        <v>-0.83015800023923614</v>
      </c>
      <c r="G126" s="12">
        <f t="shared" ca="1" si="10"/>
        <v>-0.55751965207967358</v>
      </c>
      <c r="H126" s="12">
        <f t="shared" ca="1" si="9"/>
        <v>3.0826647354568193E-3</v>
      </c>
    </row>
    <row r="127" spans="1:8" x14ac:dyDescent="0.4">
      <c r="A127">
        <v>123</v>
      </c>
      <c r="B127" s="12">
        <v>1</v>
      </c>
      <c r="C127" s="12">
        <f t="shared" ca="1" si="5"/>
        <v>5.0031694241565914</v>
      </c>
      <c r="D127" s="12">
        <f t="shared" ca="1" si="6"/>
        <v>-6.8275383203146855E-2</v>
      </c>
      <c r="F127" s="12">
        <f t="shared" ca="1" si="7"/>
        <v>0.28603202293210811</v>
      </c>
      <c r="G127" s="12">
        <f t="shared" ca="1" si="10"/>
        <v>-0.95578836187008887</v>
      </c>
      <c r="H127" s="12">
        <f t="shared" ca="1" si="9"/>
        <v>-7.0631680616103906E-2</v>
      </c>
    </row>
    <row r="128" spans="1:8" x14ac:dyDescent="0.4">
      <c r="A128">
        <v>124</v>
      </c>
      <c r="B128" s="12">
        <v>1</v>
      </c>
      <c r="C128" s="12">
        <f t="shared" ca="1" si="5"/>
        <v>5.3470763856038603</v>
      </c>
      <c r="D128" s="12">
        <f t="shared" ca="1" si="6"/>
        <v>-0.62036820648356972</v>
      </c>
      <c r="F128" s="12">
        <f t="shared" ca="1" si="7"/>
        <v>0.48244267088738152</v>
      </c>
      <c r="G128" s="12">
        <f t="shared" ca="1" si="10"/>
        <v>-0.6552090687121751</v>
      </c>
      <c r="H128" s="12">
        <f t="shared" ca="1" si="9"/>
        <v>-0.81955178011066954</v>
      </c>
    </row>
    <row r="129" spans="1:8" x14ac:dyDescent="0.4">
      <c r="A129">
        <v>125</v>
      </c>
      <c r="B129" s="12">
        <v>1</v>
      </c>
      <c r="C129" s="12">
        <f t="shared" ca="1" si="5"/>
        <v>0.12641473512364448</v>
      </c>
      <c r="D129" s="12">
        <f t="shared" ca="1" si="6"/>
        <v>-1.0367116335770721</v>
      </c>
      <c r="F129" s="12">
        <f t="shared" ca="1" si="7"/>
        <v>0.50499131896358063</v>
      </c>
      <c r="G129" s="12">
        <f t="shared" ca="1" si="10"/>
        <v>6.4180591896591616E-2</v>
      </c>
      <c r="H129" s="12">
        <f t="shared" ca="1" si="9"/>
        <v>-1.5110354075310257</v>
      </c>
    </row>
    <row r="130" spans="1:8" x14ac:dyDescent="0.4">
      <c r="A130">
        <v>126</v>
      </c>
      <c r="B130" s="12">
        <v>1</v>
      </c>
      <c r="C130" s="12">
        <f t="shared" ca="1" si="5"/>
        <v>1.4440450715214661</v>
      </c>
      <c r="D130" s="12">
        <f t="shared" ca="1" si="6"/>
        <v>0.12024244638697332</v>
      </c>
      <c r="F130" s="12">
        <f t="shared" ca="1" si="7"/>
        <v>0.12549938438517005</v>
      </c>
      <c r="G130" s="12">
        <f t="shared" ca="1" si="10"/>
        <v>0.98481531502550101</v>
      </c>
      <c r="H130" s="12">
        <f t="shared" ca="1" si="9"/>
        <v>0.11316563331147644</v>
      </c>
    </row>
    <row r="131" spans="1:8" x14ac:dyDescent="0.4">
      <c r="A131">
        <v>127</v>
      </c>
      <c r="B131" s="12">
        <v>1</v>
      </c>
      <c r="C131" s="12">
        <f t="shared" ca="1" si="5"/>
        <v>1.5080368885379323</v>
      </c>
      <c r="D131" s="12">
        <f t="shared" ca="1" si="6"/>
        <v>7.7305027380400099E-2</v>
      </c>
      <c r="F131" s="12">
        <f t="shared" ca="1" si="7"/>
        <v>6.2530936521252106E-2</v>
      </c>
      <c r="G131" s="12">
        <f t="shared" ca="1" si="10"/>
        <v>0.99505060660145161</v>
      </c>
      <c r="H131" s="12">
        <f t="shared" ca="1" si="9"/>
        <v>7.4356836816464225E-2</v>
      </c>
    </row>
    <row r="132" spans="1:8" x14ac:dyDescent="0.4">
      <c r="A132">
        <v>128</v>
      </c>
      <c r="B132" s="12">
        <v>1</v>
      </c>
      <c r="C132" s="12">
        <f t="shared" ca="1" si="5"/>
        <v>4.2532646905789653</v>
      </c>
      <c r="D132" s="12">
        <f t="shared" ca="1" si="6"/>
        <v>-4.1546732714911272E-2</v>
      </c>
      <c r="F132" s="12">
        <f t="shared" ca="1" si="7"/>
        <v>-0.44278083063278767</v>
      </c>
      <c r="G132" s="12">
        <f t="shared" ca="1" si="10"/>
        <v>-0.89566734783198265</v>
      </c>
      <c r="H132" s="12">
        <f t="shared" ca="1" si="9"/>
        <v>-4.2415643465253061E-2</v>
      </c>
    </row>
    <row r="133" spans="1:8" x14ac:dyDescent="0.4">
      <c r="A133">
        <v>129</v>
      </c>
      <c r="B133" s="12">
        <v>1</v>
      </c>
      <c r="C133" s="12">
        <f t="shared" ca="1" si="5"/>
        <v>1.903018975916265</v>
      </c>
      <c r="D133" s="12">
        <f t="shared" ca="1" si="6"/>
        <v>0.20427051512995939</v>
      </c>
      <c r="F133" s="12">
        <f t="shared" ca="1" si="7"/>
        <v>-0.31936413963724947</v>
      </c>
      <c r="G133" s="12">
        <f t="shared" ca="1" si="10"/>
        <v>0.92566584092135495</v>
      </c>
      <c r="H133" s="12">
        <f t="shared" ca="1" si="9"/>
        <v>0.18417289328000308</v>
      </c>
    </row>
    <row r="134" spans="1:8" x14ac:dyDescent="0.4">
      <c r="A134">
        <v>130</v>
      </c>
      <c r="B134" s="12">
        <v>1</v>
      </c>
      <c r="C134" s="12">
        <f t="shared" ca="1" si="5"/>
        <v>1.0519131305629055</v>
      </c>
      <c r="D134" s="12">
        <f t="shared" ca="1" si="6"/>
        <v>0.26007014872085704</v>
      </c>
      <c r="F134" s="12">
        <f t="shared" ref="F134:F197" ca="1" si="11">B134*COS(D134)*COS(C134)</f>
        <v>0.47923413247699204</v>
      </c>
      <c r="G134" s="12">
        <f t="shared" ca="1" si="10"/>
        <v>0.83917183957248775</v>
      </c>
      <c r="H134" s="12">
        <f t="shared" ref="H134:H197" ca="1" si="12">B134/(1+$H$2*SIN(D134))*SIN(D134)</f>
        <v>0.22785240780461266</v>
      </c>
    </row>
    <row r="135" spans="1:8" x14ac:dyDescent="0.4">
      <c r="A135">
        <v>131</v>
      </c>
      <c r="B135" s="12">
        <v>1</v>
      </c>
      <c r="C135" s="12">
        <f t="shared" ca="1" si="5"/>
        <v>5.4591381110665482</v>
      </c>
      <c r="D135" s="12">
        <f t="shared" ca="1" si="6"/>
        <v>0.95588082655914608</v>
      </c>
      <c r="F135" s="12">
        <f t="shared" ca="1" si="11"/>
        <v>0.39185596636482545</v>
      </c>
      <c r="G135" s="12">
        <f t="shared" ca="1" si="10"/>
        <v>-0.42337973542361851</v>
      </c>
      <c r="H135" s="12">
        <f t="shared" ca="1" si="12"/>
        <v>0.57996006830613234</v>
      </c>
    </row>
    <row r="136" spans="1:8" x14ac:dyDescent="0.4">
      <c r="A136">
        <v>132</v>
      </c>
      <c r="B136" s="12">
        <v>1</v>
      </c>
      <c r="C136" s="12">
        <f t="shared" ca="1" si="5"/>
        <v>3.7713342695857581</v>
      </c>
      <c r="D136" s="12">
        <f t="shared" ca="1" si="6"/>
        <v>-0.69955268642163171</v>
      </c>
      <c r="F136" s="12">
        <f t="shared" ca="1" si="11"/>
        <v>-0.61836276388988387</v>
      </c>
      <c r="G136" s="12">
        <f t="shared" ca="1" si="10"/>
        <v>-0.45061273246789135</v>
      </c>
      <c r="H136" s="12">
        <f t="shared" ca="1" si="12"/>
        <v>-0.9495816907548037</v>
      </c>
    </row>
    <row r="137" spans="1:8" x14ac:dyDescent="0.4">
      <c r="A137">
        <v>133</v>
      </c>
      <c r="B137" s="12">
        <v>1</v>
      </c>
      <c r="C137" s="12">
        <f t="shared" ca="1" si="5"/>
        <v>2.0882013307063172</v>
      </c>
      <c r="D137" s="12">
        <f t="shared" ca="1" si="6"/>
        <v>0.95001578430766331</v>
      </c>
      <c r="F137" s="12">
        <f t="shared" ca="1" si="11"/>
        <v>-0.2877095083718611</v>
      </c>
      <c r="G137" s="12">
        <f t="shared" ca="1" si="10"/>
        <v>0.50553290570396359</v>
      </c>
      <c r="H137" s="12">
        <f t="shared" ca="1" si="12"/>
        <v>0.57824521847441179</v>
      </c>
    </row>
    <row r="138" spans="1:8" x14ac:dyDescent="0.4">
      <c r="A138">
        <v>134</v>
      </c>
      <c r="B138" s="12">
        <v>1</v>
      </c>
      <c r="C138" s="12">
        <f t="shared" ca="1" si="5"/>
        <v>2.8584209596452101</v>
      </c>
      <c r="D138" s="12">
        <f t="shared" ca="1" si="6"/>
        <v>-0.91610603189188899</v>
      </c>
      <c r="F138" s="12">
        <f t="shared" ca="1" si="11"/>
        <v>-0.58466306496615084</v>
      </c>
      <c r="G138" s="12">
        <f t="shared" ca="1" si="10"/>
        <v>0.17013193863968834</v>
      </c>
      <c r="H138" s="12">
        <f t="shared" ca="1" si="12"/>
        <v>-1.3146512676500817</v>
      </c>
    </row>
    <row r="139" spans="1:8" x14ac:dyDescent="0.4">
      <c r="A139">
        <v>135</v>
      </c>
      <c r="B139" s="12">
        <v>1</v>
      </c>
      <c r="C139" s="12">
        <f t="shared" ca="1" si="5"/>
        <v>3.8101846177416028</v>
      </c>
      <c r="D139" s="12">
        <f t="shared" ca="1" si="6"/>
        <v>-0.67994015959967691</v>
      </c>
      <c r="F139" s="12">
        <f t="shared" ca="1" si="11"/>
        <v>-0.61018715084967035</v>
      </c>
      <c r="G139" s="12">
        <f t="shared" ca="1" si="10"/>
        <v>-0.48202644008762213</v>
      </c>
      <c r="H139" s="12">
        <f t="shared" ca="1" si="12"/>
        <v>-0.91703902925401104</v>
      </c>
    </row>
    <row r="140" spans="1:8" x14ac:dyDescent="0.4">
      <c r="A140">
        <v>136</v>
      </c>
      <c r="B140" s="12">
        <v>1</v>
      </c>
      <c r="C140" s="12">
        <f t="shared" ca="1" si="5"/>
        <v>4.636859855015885</v>
      </c>
      <c r="D140" s="12">
        <f t="shared" ca="1" si="6"/>
        <v>-0.36746175672663156</v>
      </c>
      <c r="F140" s="12">
        <f t="shared" ca="1" si="11"/>
        <v>-7.0419969699813886E-2</v>
      </c>
      <c r="G140" s="12">
        <f t="shared" ca="1" si="10"/>
        <v>-0.93058156489990917</v>
      </c>
      <c r="H140" s="12">
        <f t="shared" ca="1" si="12"/>
        <v>-0.43790621781005701</v>
      </c>
    </row>
    <row r="141" spans="1:8" x14ac:dyDescent="0.4">
      <c r="A141">
        <v>137</v>
      </c>
      <c r="B141" s="12">
        <v>1</v>
      </c>
      <c r="C141" s="12">
        <f t="shared" ca="1" si="5"/>
        <v>1.0628100682041659</v>
      </c>
      <c r="D141" s="12">
        <f t="shared" ca="1" si="6"/>
        <v>-1.529264340511568</v>
      </c>
      <c r="F141" s="12">
        <f t="shared" ca="1" si="11"/>
        <v>2.0196130714112696E-2</v>
      </c>
      <c r="G141" s="12">
        <f t="shared" ca="1" si="10"/>
        <v>3.6277136740826083E-2</v>
      </c>
      <c r="H141" s="12">
        <f t="shared" ca="1" si="12"/>
        <v>-1.9965536559679262</v>
      </c>
    </row>
    <row r="142" spans="1:8" x14ac:dyDescent="0.4">
      <c r="A142">
        <v>138</v>
      </c>
      <c r="B142" s="12">
        <v>1</v>
      </c>
      <c r="C142" s="12">
        <f t="shared" ca="1" si="5"/>
        <v>5.1133477455222636</v>
      </c>
      <c r="D142" s="12">
        <f t="shared" ca="1" si="6"/>
        <v>-0.99634322933382546</v>
      </c>
      <c r="F142" s="12">
        <f t="shared" ca="1" si="11"/>
        <v>0.21208023254176117</v>
      </c>
      <c r="G142" s="12">
        <f t="shared" ca="1" si="10"/>
        <v>-0.50027910598552783</v>
      </c>
      <c r="H142" s="12">
        <f t="shared" ca="1" si="12"/>
        <v>-1.4467592925305772</v>
      </c>
    </row>
    <row r="143" spans="1:8" x14ac:dyDescent="0.4">
      <c r="A143">
        <v>139</v>
      </c>
      <c r="B143" s="12">
        <v>1</v>
      </c>
      <c r="C143" s="12">
        <f t="shared" ca="1" si="5"/>
        <v>3.4061914617647187</v>
      </c>
      <c r="D143" s="12">
        <f t="shared" ca="1" si="6"/>
        <v>0.61286734768319995</v>
      </c>
      <c r="F143" s="12">
        <f t="shared" ca="1" si="11"/>
        <v>-0.78953352369496843</v>
      </c>
      <c r="G143" s="12">
        <f t="shared" ca="1" si="10"/>
        <v>-0.21392557859396638</v>
      </c>
      <c r="H143" s="12">
        <f t="shared" ca="1" si="12"/>
        <v>0.4467318237760956</v>
      </c>
    </row>
    <row r="144" spans="1:8" x14ac:dyDescent="0.4">
      <c r="A144">
        <v>140</v>
      </c>
      <c r="B144" s="12">
        <v>1</v>
      </c>
      <c r="C144" s="12">
        <f t="shared" ca="1" si="5"/>
        <v>6.0537513165193362</v>
      </c>
      <c r="D144" s="12">
        <f t="shared" ca="1" si="6"/>
        <v>0.80270823773727951</v>
      </c>
      <c r="F144" s="12">
        <f t="shared" ca="1" si="11"/>
        <v>0.67655535581526316</v>
      </c>
      <c r="G144" s="12">
        <f t="shared" ca="1" si="10"/>
        <v>-0.15800706887915017</v>
      </c>
      <c r="H144" s="12">
        <f t="shared" ca="1" si="12"/>
        <v>0.52900091533972382</v>
      </c>
    </row>
    <row r="145" spans="1:8" x14ac:dyDescent="0.4">
      <c r="A145">
        <v>141</v>
      </c>
      <c r="B145" s="12">
        <v>1</v>
      </c>
      <c r="C145" s="12">
        <f t="shared" ca="1" si="5"/>
        <v>1.8145617243237984</v>
      </c>
      <c r="D145" s="12">
        <f t="shared" ca="1" si="6"/>
        <v>-0.66893478938411566</v>
      </c>
      <c r="F145" s="12">
        <f t="shared" ca="1" si="11"/>
        <v>-0.18934149470532441</v>
      </c>
      <c r="G145" s="12">
        <f t="shared" ca="1" si="10"/>
        <v>0.76129029155184813</v>
      </c>
      <c r="H145" s="12">
        <f t="shared" ca="1" si="12"/>
        <v>-0.89886728877426458</v>
      </c>
    </row>
    <row r="146" spans="1:8" x14ac:dyDescent="0.4">
      <c r="A146">
        <v>142</v>
      </c>
      <c r="B146" s="12">
        <v>1</v>
      </c>
      <c r="C146" s="12">
        <f t="shared" ca="1" si="5"/>
        <v>1.9941096147196671</v>
      </c>
      <c r="D146" s="12">
        <f t="shared" ca="1" si="6"/>
        <v>5.949144058559E-2</v>
      </c>
      <c r="F146" s="12">
        <f t="shared" ca="1" si="11"/>
        <v>-0.41005682127111193</v>
      </c>
      <c r="G146" s="12">
        <f t="shared" ca="1" si="10"/>
        <v>0.91011996200653122</v>
      </c>
      <c r="H146" s="12">
        <f t="shared" ca="1" si="12"/>
        <v>5.773985385613567E-2</v>
      </c>
    </row>
    <row r="147" spans="1:8" x14ac:dyDescent="0.4">
      <c r="A147">
        <v>143</v>
      </c>
      <c r="B147" s="12">
        <v>1</v>
      </c>
      <c r="C147" s="12">
        <f t="shared" ca="1" si="5"/>
        <v>4.7042953672806354</v>
      </c>
      <c r="D147" s="12">
        <f t="shared" ca="1" si="6"/>
        <v>0.19687726383382906</v>
      </c>
      <c r="F147" s="12">
        <f t="shared" ca="1" si="11"/>
        <v>-7.9371755685838808E-3</v>
      </c>
      <c r="G147" s="12">
        <f t="shared" ca="1" si="10"/>
        <v>-0.98065006980139446</v>
      </c>
      <c r="H147" s="12">
        <f t="shared" ca="1" si="12"/>
        <v>0.17818106752403498</v>
      </c>
    </row>
    <row r="148" spans="1:8" x14ac:dyDescent="0.4">
      <c r="A148">
        <v>144</v>
      </c>
      <c r="B148" s="12">
        <v>1</v>
      </c>
      <c r="C148" s="12">
        <f t="shared" ca="1" si="5"/>
        <v>4.6613593995981999</v>
      </c>
      <c r="D148" s="12">
        <f t="shared" ca="1" si="6"/>
        <v>0.70506837917742848</v>
      </c>
      <c r="F148" s="12">
        <f t="shared" ca="1" si="11"/>
        <v>-3.884559266615438E-2</v>
      </c>
      <c r="G148" s="12">
        <f t="shared" ca="1" si="10"/>
        <v>-0.76057588567249002</v>
      </c>
      <c r="H148" s="12">
        <f t="shared" ca="1" si="12"/>
        <v>0.48947498631190756</v>
      </c>
    </row>
    <row r="149" spans="1:8" x14ac:dyDescent="0.4">
      <c r="A149">
        <v>145</v>
      </c>
      <c r="B149" s="12">
        <v>1</v>
      </c>
      <c r="C149" s="12">
        <f t="shared" ca="1" si="5"/>
        <v>5.8102396562460221</v>
      </c>
      <c r="D149" s="12">
        <f t="shared" ca="1" si="6"/>
        <v>0.56338337591961074</v>
      </c>
      <c r="F149" s="12">
        <f t="shared" ca="1" si="11"/>
        <v>0.75264799873775101</v>
      </c>
      <c r="G149" s="12">
        <f t="shared" ca="1" si="10"/>
        <v>-0.38511280279232568</v>
      </c>
      <c r="H149" s="12">
        <f t="shared" ca="1" si="12"/>
        <v>0.42149901588622268</v>
      </c>
    </row>
    <row r="150" spans="1:8" x14ac:dyDescent="0.4">
      <c r="A150">
        <v>146</v>
      </c>
      <c r="B150" s="12">
        <v>1</v>
      </c>
      <c r="C150" s="12">
        <f t="shared" ca="1" si="5"/>
        <v>2.5411871739410059</v>
      </c>
      <c r="D150" s="12">
        <f t="shared" ca="1" si="6"/>
        <v>-0.60937659431157021</v>
      </c>
      <c r="F150" s="12">
        <f t="shared" ca="1" si="11"/>
        <v>-0.67659152387277</v>
      </c>
      <c r="G150" s="12">
        <f t="shared" ca="1" si="10"/>
        <v>0.46328402644378641</v>
      </c>
      <c r="H150" s="12">
        <f t="shared" ca="1" si="12"/>
        <v>-0.8018196779475264</v>
      </c>
    </row>
    <row r="151" spans="1:8" x14ac:dyDescent="0.4">
      <c r="A151">
        <v>147</v>
      </c>
      <c r="B151" s="12">
        <v>1</v>
      </c>
      <c r="C151" s="12">
        <f t="shared" ca="1" si="5"/>
        <v>4.4911034654106539</v>
      </c>
      <c r="D151" s="12">
        <f t="shared" ca="1" si="6"/>
        <v>1.1755761020068543</v>
      </c>
      <c r="F151" s="12">
        <f t="shared" ca="1" si="11"/>
        <v>-8.4503841939797542E-2</v>
      </c>
      <c r="G151" s="12">
        <f t="shared" ca="1" si="10"/>
        <v>-0.37562336775133459</v>
      </c>
      <c r="H151" s="12">
        <f t="shared" ca="1" si="12"/>
        <v>0.63150164053010749</v>
      </c>
    </row>
    <row r="152" spans="1:8" x14ac:dyDescent="0.4">
      <c r="A152">
        <v>148</v>
      </c>
      <c r="B152" s="12">
        <v>1</v>
      </c>
      <c r="C152" s="12">
        <f t="shared" ca="1" si="5"/>
        <v>3.7688811037160184</v>
      </c>
      <c r="D152" s="12">
        <f t="shared" ca="1" si="6"/>
        <v>0.80272931471341957</v>
      </c>
      <c r="F152" s="12">
        <f t="shared" ca="1" si="11"/>
        <v>-0.56248185093727865</v>
      </c>
      <c r="G152" s="12">
        <f t="shared" ca="1" si="10"/>
        <v>-0.40778240071538957</v>
      </c>
      <c r="H152" s="12">
        <f t="shared" ca="1" si="12"/>
        <v>0.52900883673551902</v>
      </c>
    </row>
    <row r="153" spans="1:8" x14ac:dyDescent="0.4">
      <c r="A153">
        <v>149</v>
      </c>
      <c r="B153" s="12">
        <v>1</v>
      </c>
      <c r="C153" s="12">
        <f t="shared" ca="1" si="5"/>
        <v>1.4905407799368739</v>
      </c>
      <c r="D153" s="12">
        <f t="shared" ca="1" si="6"/>
        <v>-5.8697577645247662E-2</v>
      </c>
      <c r="F153" s="12">
        <f t="shared" ca="1" si="11"/>
        <v>8.0031352463060104E-2</v>
      </c>
      <c r="G153" s="12">
        <f t="shared" ca="1" si="10"/>
        <v>0.99506458691089894</v>
      </c>
      <c r="H153" s="12">
        <f t="shared" ca="1" si="12"/>
        <v>-6.0436599931810081E-2</v>
      </c>
    </row>
    <row r="154" spans="1:8" x14ac:dyDescent="0.4">
      <c r="A154">
        <v>150</v>
      </c>
      <c r="B154" s="12">
        <v>1</v>
      </c>
      <c r="C154" s="12">
        <f t="shared" ca="1" si="5"/>
        <v>1.8300549727745365</v>
      </c>
      <c r="D154" s="12">
        <f t="shared" ca="1" si="6"/>
        <v>0.30300569713390624</v>
      </c>
      <c r="F154" s="12">
        <f t="shared" ca="1" si="11"/>
        <v>-0.24468510609513375</v>
      </c>
      <c r="G154" s="12">
        <f t="shared" ca="1" si="10"/>
        <v>0.92254670127343297</v>
      </c>
      <c r="H154" s="12">
        <f t="shared" ca="1" si="12"/>
        <v>0.2596515631364027</v>
      </c>
    </row>
    <row r="155" spans="1:8" x14ac:dyDescent="0.4">
      <c r="A155">
        <v>151</v>
      </c>
      <c r="B155" s="12">
        <v>1</v>
      </c>
      <c r="C155" s="12">
        <f t="shared" ca="1" si="5"/>
        <v>0.98191469407559384</v>
      </c>
      <c r="D155" s="12">
        <f t="shared" ca="1" si="6"/>
        <v>-0.83417975100636643</v>
      </c>
      <c r="F155" s="12">
        <f t="shared" ca="1" si="11"/>
        <v>0.37313074870276686</v>
      </c>
      <c r="G155" s="12">
        <f t="shared" ca="1" si="10"/>
        <v>0.55863154982415264</v>
      </c>
      <c r="H155" s="12">
        <f t="shared" ca="1" si="12"/>
        <v>-1.1764831726274572</v>
      </c>
    </row>
    <row r="156" spans="1:8" x14ac:dyDescent="0.4">
      <c r="A156">
        <v>152</v>
      </c>
      <c r="B156" s="12">
        <v>1</v>
      </c>
      <c r="C156" s="12">
        <f t="shared" ca="1" si="5"/>
        <v>5.0151082360305237</v>
      </c>
      <c r="D156" s="12">
        <f t="shared" ca="1" si="6"/>
        <v>-1.3528478438356208</v>
      </c>
      <c r="F156" s="12">
        <f t="shared" ca="1" si="11"/>
        <v>6.4460954504673443E-2</v>
      </c>
      <c r="G156" s="12">
        <f t="shared" ca="1" si="10"/>
        <v>-0.20639511127515955</v>
      </c>
      <c r="H156" s="12">
        <f t="shared" ca="1" si="12"/>
        <v>-1.9075592504976102</v>
      </c>
    </row>
    <row r="157" spans="1:8" x14ac:dyDescent="0.4">
      <c r="A157">
        <v>153</v>
      </c>
      <c r="B157" s="12">
        <v>1</v>
      </c>
      <c r="C157" s="12">
        <f t="shared" ca="1" si="5"/>
        <v>0.6198919414535643</v>
      </c>
      <c r="D157" s="12">
        <f t="shared" ca="1" si="6"/>
        <v>1.1731491046290456</v>
      </c>
      <c r="F157" s="12">
        <f t="shared" ca="1" si="11"/>
        <v>0.31519891897523211</v>
      </c>
      <c r="G157" s="12">
        <f t="shared" ca="1" si="10"/>
        <v>0.22497193198058202</v>
      </c>
      <c r="H157" s="12">
        <f t="shared" ca="1" si="12"/>
        <v>0.63106273420929504</v>
      </c>
    </row>
    <row r="158" spans="1:8" x14ac:dyDescent="0.4">
      <c r="A158">
        <v>154</v>
      </c>
      <c r="B158" s="12">
        <v>1</v>
      </c>
      <c r="C158" s="12">
        <f t="shared" ca="1" si="5"/>
        <v>4.7452986586414907</v>
      </c>
      <c r="D158" s="12">
        <f t="shared" ca="1" si="6"/>
        <v>0.99101286975836844</v>
      </c>
      <c r="F158" s="12">
        <f t="shared" ca="1" si="11"/>
        <v>1.8026075821852248E-2</v>
      </c>
      <c r="G158" s="12">
        <f t="shared" ca="1" si="10"/>
        <v>-0.54754615089215308</v>
      </c>
      <c r="H158" s="12">
        <f t="shared" ca="1" si="12"/>
        <v>0.58985180557065742</v>
      </c>
    </row>
    <row r="159" spans="1:8" x14ac:dyDescent="0.4">
      <c r="A159">
        <v>155</v>
      </c>
      <c r="B159" s="12">
        <v>1</v>
      </c>
      <c r="C159" s="12">
        <f t="shared" ca="1" si="5"/>
        <v>4.7129137942299053</v>
      </c>
      <c r="D159" s="12">
        <f t="shared" ca="1" si="6"/>
        <v>0.59183413175847721</v>
      </c>
      <c r="F159" s="12">
        <f t="shared" ca="1" si="11"/>
        <v>4.3555287900387432E-4</v>
      </c>
      <c r="G159" s="12">
        <f t="shared" ca="1" si="10"/>
        <v>-0.82991872830073854</v>
      </c>
      <c r="H159" s="12">
        <f t="shared" ca="1" si="12"/>
        <v>0.43620751386565082</v>
      </c>
    </row>
    <row r="160" spans="1:8" x14ac:dyDescent="0.4">
      <c r="A160">
        <v>156</v>
      </c>
      <c r="B160" s="12">
        <v>1</v>
      </c>
      <c r="C160" s="12">
        <f t="shared" ca="1" si="5"/>
        <v>5.2217960246546875</v>
      </c>
      <c r="D160" s="12">
        <f t="shared" ca="1" si="6"/>
        <v>0.19106431653974673</v>
      </c>
      <c r="F160" s="12">
        <f t="shared" ca="1" si="11"/>
        <v>0.47878556005223605</v>
      </c>
      <c r="G160" s="12">
        <f t="shared" ca="1" si="10"/>
        <v>-0.85714694003919878</v>
      </c>
      <c r="H160" s="12">
        <f t="shared" ca="1" si="12"/>
        <v>0.17343587243737404</v>
      </c>
    </row>
    <row r="161" spans="1:8" x14ac:dyDescent="0.4">
      <c r="A161">
        <v>157</v>
      </c>
      <c r="B161" s="12">
        <v>1</v>
      </c>
      <c r="C161" s="12">
        <f t="shared" ca="1" si="5"/>
        <v>3.643538633319245</v>
      </c>
      <c r="D161" s="12">
        <f t="shared" ca="1" si="6"/>
        <v>0.80450483756397517</v>
      </c>
      <c r="F161" s="12">
        <f t="shared" ca="1" si="11"/>
        <v>-0.60792736816486814</v>
      </c>
      <c r="G161" s="12">
        <f t="shared" ca="1" si="10"/>
        <v>-0.3336499522684564</v>
      </c>
      <c r="H161" s="12">
        <f t="shared" ca="1" si="12"/>
        <v>0.52967520798653156</v>
      </c>
    </row>
    <row r="162" spans="1:8" x14ac:dyDescent="0.4">
      <c r="A162">
        <v>158</v>
      </c>
      <c r="B162" s="12">
        <v>1</v>
      </c>
      <c r="C162" s="12">
        <f t="shared" ca="1" si="5"/>
        <v>5.1048413912087263</v>
      </c>
      <c r="D162" s="12">
        <f t="shared" ca="1" si="6"/>
        <v>-0.94457769023219595</v>
      </c>
      <c r="F162" s="12">
        <f t="shared" ca="1" si="11"/>
        <v>0.22415148841173435</v>
      </c>
      <c r="G162" s="12">
        <f t="shared" ca="1" si="10"/>
        <v>-0.54152734329112606</v>
      </c>
      <c r="H162" s="12">
        <f t="shared" ca="1" si="12"/>
        <v>-1.3620494284368236</v>
      </c>
    </row>
    <row r="163" spans="1:8" x14ac:dyDescent="0.4">
      <c r="A163">
        <v>159</v>
      </c>
      <c r="B163" s="12">
        <v>1</v>
      </c>
      <c r="C163" s="12">
        <f t="shared" ca="1" si="5"/>
        <v>3.5021084173352892</v>
      </c>
      <c r="D163" s="12">
        <f t="shared" ca="1" si="6"/>
        <v>0.79666284214600347</v>
      </c>
      <c r="F163" s="12">
        <f t="shared" ca="1" si="11"/>
        <v>-0.65415532722631997</v>
      </c>
      <c r="G163" s="12">
        <f t="shared" ca="1" si="10"/>
        <v>-0.24661119607156001</v>
      </c>
      <c r="H163" s="12">
        <f t="shared" ca="1" si="12"/>
        <v>0.52671819417779864</v>
      </c>
    </row>
    <row r="164" spans="1:8" x14ac:dyDescent="0.4">
      <c r="A164">
        <v>160</v>
      </c>
      <c r="B164" s="12">
        <v>1</v>
      </c>
      <c r="C164" s="12">
        <f t="shared" ca="1" si="5"/>
        <v>4.0339911679156426</v>
      </c>
      <c r="D164" s="12">
        <f t="shared" ca="1" si="6"/>
        <v>-0.69602382434588028</v>
      </c>
      <c r="F164" s="12">
        <f t="shared" ca="1" si="11"/>
        <v>-0.48157763725703967</v>
      </c>
      <c r="G164" s="12">
        <f t="shared" ref="G164:G204" ca="1" si="13">B164*COS(D164)*SIN(C164)</f>
        <v>-0.59747982686290935</v>
      </c>
      <c r="H164" s="12">
        <f t="shared" ca="1" si="12"/>
        <v>-0.9437120799349068</v>
      </c>
    </row>
    <row r="165" spans="1:8" x14ac:dyDescent="0.4">
      <c r="A165">
        <v>161</v>
      </c>
      <c r="B165" s="12">
        <v>1</v>
      </c>
      <c r="C165" s="12">
        <f t="shared" ca="1" si="5"/>
        <v>2.2387258346148742</v>
      </c>
      <c r="D165" s="12">
        <f t="shared" ca="1" si="6"/>
        <v>0.38509302925776739</v>
      </c>
      <c r="F165" s="12">
        <f t="shared" ca="1" si="11"/>
        <v>-0.57400186715408663</v>
      </c>
      <c r="G165" s="12">
        <f t="shared" ca="1" si="13"/>
        <v>0.72760732826971697</v>
      </c>
      <c r="H165" s="12">
        <f t="shared" ca="1" si="12"/>
        <v>0.31624699686943142</v>
      </c>
    </row>
    <row r="166" spans="1:8" x14ac:dyDescent="0.4">
      <c r="A166">
        <v>162</v>
      </c>
      <c r="B166" s="12">
        <v>1</v>
      </c>
      <c r="C166" s="12">
        <f t="shared" ca="1" si="5"/>
        <v>2.7270557563401745</v>
      </c>
      <c r="D166" s="12">
        <f t="shared" ca="1" si="6"/>
        <v>0.49714046600821554</v>
      </c>
      <c r="F166" s="12">
        <f t="shared" ca="1" si="11"/>
        <v>-0.80450543341876157</v>
      </c>
      <c r="G166" s="12">
        <f t="shared" ca="1" si="13"/>
        <v>0.35401122057974543</v>
      </c>
      <c r="H166" s="12">
        <f t="shared" ca="1" si="12"/>
        <v>0.38508731798991247</v>
      </c>
    </row>
    <row r="167" spans="1:8" x14ac:dyDescent="0.4">
      <c r="A167">
        <v>163</v>
      </c>
      <c r="B167" s="12">
        <v>1</v>
      </c>
      <c r="C167" s="12">
        <f t="shared" ca="1" si="5"/>
        <v>3.4355249911537147</v>
      </c>
      <c r="D167" s="12">
        <f t="shared" ca="1" si="6"/>
        <v>1.3656338328936513</v>
      </c>
      <c r="F167" s="12">
        <f t="shared" ca="1" si="11"/>
        <v>-0.19498883912607157</v>
      </c>
      <c r="G167" s="12">
        <f t="shared" ca="1" si="13"/>
        <v>-5.9023190421265546E-2</v>
      </c>
      <c r="H167" s="12">
        <f t="shared" ca="1" si="12"/>
        <v>0.65728011168739953</v>
      </c>
    </row>
    <row r="168" spans="1:8" x14ac:dyDescent="0.4">
      <c r="A168">
        <v>164</v>
      </c>
      <c r="B168" s="12">
        <v>1</v>
      </c>
      <c r="C168" s="12">
        <f t="shared" ca="1" si="5"/>
        <v>5.5770045380294535</v>
      </c>
      <c r="D168" s="12">
        <f t="shared" ca="1" si="6"/>
        <v>-0.75296236874237299</v>
      </c>
      <c r="F168" s="12">
        <f t="shared" ca="1" si="11"/>
        <v>0.55516364389390749</v>
      </c>
      <c r="G168" s="12">
        <f t="shared" ca="1" si="13"/>
        <v>-0.47350435889161818</v>
      </c>
      <c r="H168" s="12">
        <f t="shared" ca="1" si="12"/>
        <v>-1.0390594312270947</v>
      </c>
    </row>
    <row r="169" spans="1:8" x14ac:dyDescent="0.4">
      <c r="A169">
        <v>165</v>
      </c>
      <c r="B169" s="12">
        <v>1</v>
      </c>
      <c r="C169" s="12">
        <f t="shared" ca="1" si="5"/>
        <v>3.3592024547952768</v>
      </c>
      <c r="D169" s="12">
        <f t="shared" ca="1" si="6"/>
        <v>1.1610158961987671</v>
      </c>
      <c r="F169" s="12">
        <f t="shared" ca="1" si="11"/>
        <v>-0.38901200259148316</v>
      </c>
      <c r="G169" s="12">
        <f t="shared" ca="1" si="13"/>
        <v>-8.6014846611027235E-2</v>
      </c>
      <c r="H169" s="12">
        <f t="shared" ca="1" si="12"/>
        <v>0.62882607035732385</v>
      </c>
    </row>
    <row r="170" spans="1:8" x14ac:dyDescent="0.4">
      <c r="A170">
        <v>166</v>
      </c>
      <c r="B170" s="12">
        <v>1</v>
      </c>
      <c r="C170" s="12">
        <f t="shared" ca="1" si="5"/>
        <v>1.1741402867306361</v>
      </c>
      <c r="D170" s="12">
        <f t="shared" ca="1" si="6"/>
        <v>1.1287397744267591</v>
      </c>
      <c r="F170" s="12">
        <f t="shared" ca="1" si="11"/>
        <v>0.16527432106055409</v>
      </c>
      <c r="G170" s="12">
        <f t="shared" ca="1" si="13"/>
        <v>0.39458406184761796</v>
      </c>
      <c r="H170" s="12">
        <f t="shared" ca="1" si="12"/>
        <v>0.62252966282603472</v>
      </c>
    </row>
    <row r="171" spans="1:8" x14ac:dyDescent="0.4">
      <c r="A171">
        <v>167</v>
      </c>
      <c r="B171" s="12">
        <v>1</v>
      </c>
      <c r="C171" s="12">
        <f t="shared" ca="1" si="5"/>
        <v>5.1710090714690731</v>
      </c>
      <c r="D171" s="12">
        <f t="shared" ca="1" si="6"/>
        <v>-0.15909066615217618</v>
      </c>
      <c r="F171" s="12">
        <f t="shared" ca="1" si="11"/>
        <v>0.43712054536345496</v>
      </c>
      <c r="G171" s="12">
        <f t="shared" ca="1" si="13"/>
        <v>-0.88534095060290086</v>
      </c>
      <c r="H171" s="12">
        <f t="shared" ca="1" si="12"/>
        <v>-0.17204841273213037</v>
      </c>
    </row>
    <row r="172" spans="1:8" x14ac:dyDescent="0.4">
      <c r="A172">
        <v>168</v>
      </c>
      <c r="B172" s="12">
        <v>1</v>
      </c>
      <c r="C172" s="12">
        <f t="shared" ca="1" si="5"/>
        <v>0.56986609784602882</v>
      </c>
      <c r="D172" s="12">
        <f t="shared" ca="1" si="6"/>
        <v>6.8437456059376872E-2</v>
      </c>
      <c r="F172" s="12">
        <f t="shared" ca="1" si="11"/>
        <v>0.84000222613511588</v>
      </c>
      <c r="G172" s="12">
        <f t="shared" ca="1" si="13"/>
        <v>0.53825633524760086</v>
      </c>
      <c r="H172" s="12">
        <f t="shared" ca="1" si="12"/>
        <v>6.6123160707514686E-2</v>
      </c>
    </row>
    <row r="173" spans="1:8" x14ac:dyDescent="0.4">
      <c r="A173">
        <v>169</v>
      </c>
      <c r="B173" s="12">
        <v>1</v>
      </c>
      <c r="C173" s="12">
        <f t="shared" ca="1" si="5"/>
        <v>1.4131987124711478</v>
      </c>
      <c r="D173" s="12">
        <f t="shared" ca="1" si="6"/>
        <v>-0.41585210522451105</v>
      </c>
      <c r="F173" s="12">
        <f t="shared" ca="1" si="11"/>
        <v>0.14356991782670964</v>
      </c>
      <c r="G173" s="12">
        <f t="shared" ca="1" si="13"/>
        <v>0.90343581611682522</v>
      </c>
      <c r="H173" s="12">
        <f t="shared" ca="1" si="12"/>
        <v>-0.5062178627879973</v>
      </c>
    </row>
    <row r="174" spans="1:8" x14ac:dyDescent="0.4">
      <c r="A174">
        <v>170</v>
      </c>
      <c r="B174" s="12">
        <v>1</v>
      </c>
      <c r="C174" s="12">
        <f t="shared" ca="1" si="5"/>
        <v>1.7752059675053389</v>
      </c>
      <c r="D174" s="12">
        <f t="shared" ca="1" si="6"/>
        <v>0.54757922235026879</v>
      </c>
      <c r="F174" s="12">
        <f t="shared" ca="1" si="11"/>
        <v>-0.17330954500994267</v>
      </c>
      <c r="G174" s="12">
        <f t="shared" ca="1" si="13"/>
        <v>0.83601232682811377</v>
      </c>
      <c r="H174" s="12">
        <f t="shared" ca="1" si="12"/>
        <v>0.41309005648156127</v>
      </c>
    </row>
    <row r="175" spans="1:8" x14ac:dyDescent="0.4">
      <c r="A175">
        <v>171</v>
      </c>
      <c r="B175" s="12">
        <v>1</v>
      </c>
      <c r="C175" s="12">
        <f t="shared" ca="1" si="5"/>
        <v>5.2823721581176883</v>
      </c>
      <c r="D175" s="12">
        <f t="shared" ca="1" si="6"/>
        <v>0.45751445387337109</v>
      </c>
      <c r="F175" s="12">
        <f t="shared" ca="1" si="11"/>
        <v>0.48411990347130918</v>
      </c>
      <c r="G175" s="12">
        <f t="shared" ca="1" si="13"/>
        <v>-0.75532228290478332</v>
      </c>
      <c r="H175" s="12">
        <f t="shared" ca="1" si="12"/>
        <v>0.36181023052944217</v>
      </c>
    </row>
    <row r="176" spans="1:8" x14ac:dyDescent="0.4">
      <c r="A176">
        <v>172</v>
      </c>
      <c r="B176" s="12">
        <v>1</v>
      </c>
      <c r="C176" s="12">
        <f t="shared" ca="1" si="5"/>
        <v>0.1665634547526135</v>
      </c>
      <c r="D176" s="12">
        <f t="shared" ca="1" si="6"/>
        <v>1.0009052760319153</v>
      </c>
      <c r="F176" s="12">
        <f t="shared" ca="1" si="11"/>
        <v>0.53207327119331527</v>
      </c>
      <c r="G176" s="12">
        <f t="shared" ca="1" si="13"/>
        <v>8.9452736872260283E-2</v>
      </c>
      <c r="H176" s="12">
        <f t="shared" ca="1" si="12"/>
        <v>0.59252053721957154</v>
      </c>
    </row>
    <row r="177" spans="1:8" x14ac:dyDescent="0.4">
      <c r="A177">
        <v>173</v>
      </c>
      <c r="B177" s="12">
        <v>1</v>
      </c>
      <c r="C177" s="12">
        <f t="shared" ca="1" si="5"/>
        <v>4.1614027298568459</v>
      </c>
      <c r="D177" s="12">
        <f t="shared" ca="1" si="6"/>
        <v>-0.72057574670176916</v>
      </c>
      <c r="F177" s="12">
        <f t="shared" ca="1" si="11"/>
        <v>-0.39339236582457415</v>
      </c>
      <c r="G177" s="12">
        <f t="shared" ca="1" si="13"/>
        <v>-0.64022139053521887</v>
      </c>
      <c r="H177" s="12">
        <f t="shared" ca="1" si="12"/>
        <v>-0.98466793763549143</v>
      </c>
    </row>
    <row r="178" spans="1:8" x14ac:dyDescent="0.4">
      <c r="A178">
        <v>174</v>
      </c>
      <c r="B178" s="12">
        <v>1</v>
      </c>
      <c r="C178" s="12">
        <f t="shared" ca="1" si="5"/>
        <v>3.9755574405882608</v>
      </c>
      <c r="D178" s="12">
        <f t="shared" ca="1" si="6"/>
        <v>-1.2924584107564856</v>
      </c>
      <c r="F178" s="12">
        <f t="shared" ca="1" si="11"/>
        <v>-0.18462212948435985</v>
      </c>
      <c r="G178" s="12">
        <f t="shared" ca="1" si="13"/>
        <v>-0.20348606813097334</v>
      </c>
      <c r="H178" s="12">
        <f t="shared" ca="1" si="12"/>
        <v>-1.8517590330140479</v>
      </c>
    </row>
    <row r="179" spans="1:8" x14ac:dyDescent="0.4">
      <c r="A179">
        <v>175</v>
      </c>
      <c r="B179" s="12">
        <v>1</v>
      </c>
      <c r="C179" s="12">
        <f t="shared" ca="1" si="5"/>
        <v>4.3553209616746766</v>
      </c>
      <c r="D179" s="12">
        <f t="shared" ca="1" si="6"/>
        <v>-0.93567477378411501</v>
      </c>
      <c r="F179" s="12">
        <f t="shared" ca="1" si="11"/>
        <v>-0.20736676312008701</v>
      </c>
      <c r="G179" s="12">
        <f t="shared" ca="1" si="13"/>
        <v>-0.55585491708851598</v>
      </c>
      <c r="H179" s="12">
        <f t="shared" ca="1" si="12"/>
        <v>-1.3472791807243238</v>
      </c>
    </row>
    <row r="180" spans="1:8" x14ac:dyDescent="0.4">
      <c r="A180">
        <v>176</v>
      </c>
      <c r="B180" s="12">
        <v>1</v>
      </c>
      <c r="C180" s="12">
        <f t="shared" ca="1" si="5"/>
        <v>2.3232530444036206</v>
      </c>
      <c r="D180" s="12">
        <f t="shared" ca="1" si="6"/>
        <v>1.0940957473405115</v>
      </c>
      <c r="F180" s="12">
        <f t="shared" ca="1" si="11"/>
        <v>-0.31359387454226212</v>
      </c>
      <c r="G180" s="12">
        <f t="shared" ca="1" si="13"/>
        <v>0.33496610926289977</v>
      </c>
      <c r="H180" s="12">
        <f t="shared" ca="1" si="12"/>
        <v>0.6152047657184655</v>
      </c>
    </row>
    <row r="181" spans="1:8" x14ac:dyDescent="0.4">
      <c r="A181">
        <v>177</v>
      </c>
      <c r="B181" s="12">
        <v>1</v>
      </c>
      <c r="C181" s="12">
        <f t="shared" ca="1" si="5"/>
        <v>1.6829247661204516</v>
      </c>
      <c r="D181" s="12">
        <f t="shared" ca="1" si="6"/>
        <v>-0.51355241982117383</v>
      </c>
      <c r="F181" s="12">
        <f t="shared" ca="1" si="11"/>
        <v>-9.7459884499208851E-2</v>
      </c>
      <c r="G181" s="12">
        <f t="shared" ca="1" si="13"/>
        <v>0.86553504948824889</v>
      </c>
      <c r="H181" s="12">
        <f t="shared" ca="1" si="12"/>
        <v>-0.65124440435716258</v>
      </c>
    </row>
    <row r="182" spans="1:8" x14ac:dyDescent="0.4">
      <c r="A182">
        <v>178</v>
      </c>
      <c r="B182" s="12">
        <v>1</v>
      </c>
      <c r="C182" s="12">
        <f t="shared" ca="1" si="5"/>
        <v>1.6202195588570822</v>
      </c>
      <c r="D182" s="12">
        <f t="shared" ca="1" si="6"/>
        <v>-0.94429546891535932</v>
      </c>
      <c r="F182" s="12">
        <f t="shared" ca="1" si="11"/>
        <v>-2.8965725141677341E-2</v>
      </c>
      <c r="G182" s="12">
        <f t="shared" ca="1" si="13"/>
        <v>0.58559781826827351</v>
      </c>
      <c r="H182" s="12">
        <f t="shared" ca="1" si="12"/>
        <v>-1.3615819915074359</v>
      </c>
    </row>
    <row r="183" spans="1:8" x14ac:dyDescent="0.4">
      <c r="A183">
        <v>179</v>
      </c>
      <c r="B183" s="12">
        <v>1</v>
      </c>
      <c r="C183" s="12">
        <f t="shared" ca="1" si="5"/>
        <v>6.0163135549213225</v>
      </c>
      <c r="D183" s="12">
        <f t="shared" ca="1" si="6"/>
        <v>-0.79423610612937701</v>
      </c>
      <c r="F183" s="12">
        <f t="shared" ca="1" si="11"/>
        <v>0.67602090743909338</v>
      </c>
      <c r="G183" s="12">
        <f t="shared" ca="1" si="13"/>
        <v>-0.18481950704056588</v>
      </c>
      <c r="H183" s="12">
        <f t="shared" ca="1" si="12"/>
        <v>-1.1087964995972821</v>
      </c>
    </row>
    <row r="184" spans="1:8" x14ac:dyDescent="0.4">
      <c r="A184">
        <v>180</v>
      </c>
      <c r="B184" s="12">
        <v>1</v>
      </c>
      <c r="C184" s="12">
        <f t="shared" ca="1" si="5"/>
        <v>1.3246795614812772</v>
      </c>
      <c r="D184" s="12">
        <f t="shared" ca="1" si="6"/>
        <v>0.95107666890362075</v>
      </c>
      <c r="F184" s="12">
        <f t="shared" ca="1" si="11"/>
        <v>0.14150757227807934</v>
      </c>
      <c r="G184" s="12">
        <f t="shared" ca="1" si="13"/>
        <v>0.56330484395925051</v>
      </c>
      <c r="H184" s="12">
        <f t="shared" ca="1" si="12"/>
        <v>0.57855676066513695</v>
      </c>
    </row>
    <row r="185" spans="1:8" x14ac:dyDescent="0.4">
      <c r="A185">
        <v>181</v>
      </c>
      <c r="B185" s="12">
        <v>1</v>
      </c>
      <c r="C185" s="12">
        <f t="shared" ca="1" si="5"/>
        <v>0.82122288070165572</v>
      </c>
      <c r="D185" s="12">
        <f t="shared" ca="1" si="6"/>
        <v>-0.10990503851412364</v>
      </c>
      <c r="F185" s="12">
        <f t="shared" ca="1" si="11"/>
        <v>0.67721582166560534</v>
      </c>
      <c r="G185" s="12">
        <f t="shared" ca="1" si="13"/>
        <v>0.72756317262481918</v>
      </c>
      <c r="H185" s="12">
        <f t="shared" ca="1" si="12"/>
        <v>-0.11604822446020399</v>
      </c>
    </row>
    <row r="186" spans="1:8" x14ac:dyDescent="0.4">
      <c r="A186">
        <v>182</v>
      </c>
      <c r="B186" s="12">
        <v>1</v>
      </c>
      <c r="C186" s="12">
        <f t="shared" ca="1" si="5"/>
        <v>5.0480569698189788</v>
      </c>
      <c r="D186" s="12">
        <f t="shared" ca="1" si="6"/>
        <v>4.117410593109469E-2</v>
      </c>
      <c r="F186" s="12">
        <f t="shared" ca="1" si="11"/>
        <v>0.32912077500716908</v>
      </c>
      <c r="G186" s="12">
        <f t="shared" ca="1" si="13"/>
        <v>-0.94339025130900622</v>
      </c>
      <c r="H186" s="12">
        <f t="shared" ca="1" si="12"/>
        <v>4.0332382813706345E-2</v>
      </c>
    </row>
    <row r="187" spans="1:8" x14ac:dyDescent="0.4">
      <c r="A187">
        <v>183</v>
      </c>
      <c r="B187" s="12">
        <v>1</v>
      </c>
      <c r="C187" s="12">
        <f t="shared" ca="1" si="5"/>
        <v>0.2453929658045616</v>
      </c>
      <c r="D187" s="12">
        <f t="shared" ca="1" si="6"/>
        <v>-0.61543346763985074</v>
      </c>
      <c r="F187" s="12">
        <f t="shared" ca="1" si="11"/>
        <v>0.79206181887179994</v>
      </c>
      <c r="G187" s="12">
        <f t="shared" ca="1" si="13"/>
        <v>0.19836415377037805</v>
      </c>
      <c r="H187" s="12">
        <f t="shared" ca="1" si="12"/>
        <v>-0.81158022148298148</v>
      </c>
    </row>
    <row r="188" spans="1:8" x14ac:dyDescent="0.4">
      <c r="A188">
        <v>184</v>
      </c>
      <c r="B188" s="12">
        <v>1</v>
      </c>
      <c r="C188" s="12">
        <f t="shared" ca="1" si="5"/>
        <v>4.2952525540103288</v>
      </c>
      <c r="D188" s="12">
        <f t="shared" ca="1" si="6"/>
        <v>-0.96909844700589676</v>
      </c>
      <c r="F188" s="12">
        <f t="shared" ca="1" si="11"/>
        <v>-0.22932896636045808</v>
      </c>
      <c r="G188" s="12">
        <f t="shared" ca="1" si="13"/>
        <v>-0.51750640560035632</v>
      </c>
      <c r="H188" s="12">
        <f t="shared" ca="1" si="12"/>
        <v>-1.402447622442867</v>
      </c>
    </row>
    <row r="189" spans="1:8" x14ac:dyDescent="0.4">
      <c r="A189">
        <v>185</v>
      </c>
      <c r="B189" s="12">
        <v>1</v>
      </c>
      <c r="C189" s="12">
        <f t="shared" ca="1" si="5"/>
        <v>0.93243044362766769</v>
      </c>
      <c r="D189" s="12">
        <f t="shared" ca="1" si="6"/>
        <v>-0.96315710999997173</v>
      </c>
      <c r="F189" s="12">
        <f t="shared" ca="1" si="11"/>
        <v>0.34020851913514771</v>
      </c>
      <c r="G189" s="12">
        <f t="shared" ca="1" si="13"/>
        <v>0.45849776862628139</v>
      </c>
      <c r="H189" s="12">
        <f t="shared" ca="1" si="12"/>
        <v>-1.3927003545958501</v>
      </c>
    </row>
    <row r="190" spans="1:8" x14ac:dyDescent="0.4">
      <c r="A190">
        <v>186</v>
      </c>
      <c r="B190" s="12">
        <v>1</v>
      </c>
      <c r="C190" s="12">
        <f t="shared" ca="1" si="5"/>
        <v>0.35913041187163758</v>
      </c>
      <c r="D190" s="12">
        <f t="shared" ca="1" si="6"/>
        <v>-0.96188243155162034</v>
      </c>
      <c r="F190" s="12">
        <f t="shared" ca="1" si="11"/>
        <v>0.53548637604726301</v>
      </c>
      <c r="G190" s="12">
        <f t="shared" ca="1" si="13"/>
        <v>0.2010271469388579</v>
      </c>
      <c r="H190" s="12">
        <f t="shared" ca="1" si="12"/>
        <v>-1.3906055444643752</v>
      </c>
    </row>
    <row r="191" spans="1:8" x14ac:dyDescent="0.4">
      <c r="A191">
        <v>187</v>
      </c>
      <c r="B191" s="12">
        <v>1</v>
      </c>
      <c r="C191" s="12">
        <f t="shared" ca="1" si="5"/>
        <v>1.5221513667791426</v>
      </c>
      <c r="D191" s="12">
        <f t="shared" ca="1" si="6"/>
        <v>-0.38833482871688269</v>
      </c>
      <c r="F191" s="12">
        <f t="shared" ca="1" si="11"/>
        <v>4.5005143517212895E-2</v>
      </c>
      <c r="G191" s="12">
        <f t="shared" ca="1" si="13"/>
        <v>0.92444600349357842</v>
      </c>
      <c r="H191" s="12">
        <f t="shared" ca="1" si="12"/>
        <v>-0.46707648915896532</v>
      </c>
    </row>
    <row r="192" spans="1:8" x14ac:dyDescent="0.4">
      <c r="A192">
        <v>188</v>
      </c>
      <c r="B192" s="12">
        <v>1</v>
      </c>
      <c r="C192" s="12">
        <f t="shared" ca="1" si="5"/>
        <v>2.5241031078318992</v>
      </c>
      <c r="D192" s="12">
        <f t="shared" ca="1" si="6"/>
        <v>-0.92309849764294916</v>
      </c>
      <c r="F192" s="12">
        <f t="shared" ca="1" si="11"/>
        <v>-0.49193380042696394</v>
      </c>
      <c r="G192" s="12">
        <f t="shared" ca="1" si="13"/>
        <v>0.3493348990538756</v>
      </c>
      <c r="H192" s="12">
        <f t="shared" ca="1" si="12"/>
        <v>-1.3263339787764585</v>
      </c>
    </row>
    <row r="193" spans="1:8" x14ac:dyDescent="0.4">
      <c r="A193">
        <v>189</v>
      </c>
      <c r="B193" s="12">
        <v>1</v>
      </c>
      <c r="C193" s="12">
        <f t="shared" ca="1" si="5"/>
        <v>5.6149871378172325</v>
      </c>
      <c r="D193" s="12">
        <f t="shared" ca="1" si="6"/>
        <v>-0.83238105180028088</v>
      </c>
      <c r="F193" s="12">
        <f t="shared" ca="1" si="11"/>
        <v>0.52835582955866234</v>
      </c>
      <c r="G193" s="12">
        <f t="shared" ca="1" si="13"/>
        <v>-0.4170447676366052</v>
      </c>
      <c r="H193" s="12">
        <f t="shared" ca="1" si="12"/>
        <v>-1.1734350279286174</v>
      </c>
    </row>
    <row r="194" spans="1:8" x14ac:dyDescent="0.4">
      <c r="A194">
        <v>190</v>
      </c>
      <c r="B194" s="12">
        <v>1</v>
      </c>
      <c r="C194" s="12">
        <f t="shared" ca="1" si="5"/>
        <v>3.4593277603686619</v>
      </c>
      <c r="D194" s="12">
        <f t="shared" ca="1" si="6"/>
        <v>0.17945374500763242</v>
      </c>
      <c r="F194" s="12">
        <f t="shared" ca="1" si="11"/>
        <v>-0.9346905933046179</v>
      </c>
      <c r="G194" s="12">
        <f t="shared" ca="1" si="13"/>
        <v>-0.30739885959564767</v>
      </c>
      <c r="H194" s="12">
        <f t="shared" ca="1" si="12"/>
        <v>0.16386758143636604</v>
      </c>
    </row>
    <row r="195" spans="1:8" x14ac:dyDescent="0.4">
      <c r="A195">
        <v>191</v>
      </c>
      <c r="B195" s="12">
        <v>1</v>
      </c>
      <c r="C195" s="12">
        <f t="shared" ca="1" si="5"/>
        <v>1.8842754103676935</v>
      </c>
      <c r="D195" s="12">
        <f t="shared" ca="1" si="6"/>
        <v>0.19063812646168452</v>
      </c>
      <c r="F195" s="12">
        <f t="shared" ca="1" si="11"/>
        <v>-0.30278345190428713</v>
      </c>
      <c r="G195" s="12">
        <f t="shared" ca="1" si="13"/>
        <v>0.93403288313717114</v>
      </c>
      <c r="H195" s="12">
        <f t="shared" ca="1" si="12"/>
        <v>0.17308678173411621</v>
      </c>
    </row>
    <row r="196" spans="1:8" x14ac:dyDescent="0.4">
      <c r="A196">
        <v>192</v>
      </c>
      <c r="B196" s="12">
        <v>1</v>
      </c>
      <c r="C196" s="12">
        <f t="shared" ca="1" si="5"/>
        <v>0.63168455336461204</v>
      </c>
      <c r="D196" s="12">
        <f t="shared" ca="1" si="6"/>
        <v>-0.19868893452639924</v>
      </c>
      <c r="F196" s="12">
        <f t="shared" ca="1" si="11"/>
        <v>0.79115649584252312</v>
      </c>
      <c r="G196" s="12">
        <f t="shared" ca="1" si="13"/>
        <v>0.57888761019896029</v>
      </c>
      <c r="H196" s="12">
        <f t="shared" ca="1" si="12"/>
        <v>-0.21899756136301377</v>
      </c>
    </row>
    <row r="197" spans="1:8" x14ac:dyDescent="0.4">
      <c r="A197">
        <v>193</v>
      </c>
      <c r="B197" s="12">
        <v>1</v>
      </c>
      <c r="C197" s="12">
        <f t="shared" ca="1" si="5"/>
        <v>1.7804317408779033</v>
      </c>
      <c r="D197" s="12">
        <f t="shared" ca="1" si="6"/>
        <v>1.0485013748970142</v>
      </c>
      <c r="F197" s="12">
        <f t="shared" ca="1" si="11"/>
        <v>-0.10381658777926618</v>
      </c>
      <c r="G197" s="12">
        <f t="shared" ca="1" si="13"/>
        <v>0.48794858634138483</v>
      </c>
      <c r="H197" s="12">
        <f t="shared" ca="1" si="12"/>
        <v>0.60465598776734053</v>
      </c>
    </row>
    <row r="198" spans="1:8" x14ac:dyDescent="0.4">
      <c r="A198">
        <v>194</v>
      </c>
      <c r="B198" s="12">
        <v>1</v>
      </c>
      <c r="C198" s="12">
        <f t="shared" ca="1" si="5"/>
        <v>5.1844900029437513</v>
      </c>
      <c r="D198" s="12">
        <f t="shared" ca="1" si="6"/>
        <v>0.15061744798087595</v>
      </c>
      <c r="F198" s="12">
        <f t="shared" ref="F198:F204" ca="1" si="14">B198*COS(D198)*COS(C198)</f>
        <v>0.44960999546368874</v>
      </c>
      <c r="G198" s="12">
        <f t="shared" ca="1" si="13"/>
        <v>-0.88053180749990734</v>
      </c>
      <c r="H198" s="12">
        <f t="shared" ref="H198:H204" ca="1" si="15">B198/(1+$H$2*SIN(D198))*SIN(D198)</f>
        <v>0.13957695407677781</v>
      </c>
    </row>
    <row r="199" spans="1:8" x14ac:dyDescent="0.4">
      <c r="A199">
        <v>195</v>
      </c>
      <c r="B199" s="12">
        <v>1</v>
      </c>
      <c r="C199" s="12">
        <f t="shared" ca="1" si="5"/>
        <v>3.0769060631584422</v>
      </c>
      <c r="D199" s="12">
        <f t="shared" ca="1" si="6"/>
        <v>0.10574721445466431</v>
      </c>
      <c r="F199" s="12">
        <f t="shared" ca="1" si="14"/>
        <v>-0.99233420652698356</v>
      </c>
      <c r="G199" s="12">
        <f t="shared" ca="1" si="13"/>
        <v>6.4280398744712711E-2</v>
      </c>
      <c r="H199" s="12">
        <f t="shared" ca="1" si="15"/>
        <v>0.10025905511845486</v>
      </c>
    </row>
    <row r="200" spans="1:8" x14ac:dyDescent="0.4">
      <c r="A200">
        <v>196</v>
      </c>
      <c r="B200" s="12">
        <v>1</v>
      </c>
      <c r="C200" s="12">
        <f t="shared" ca="1" si="5"/>
        <v>5.1579684552916918</v>
      </c>
      <c r="D200" s="12">
        <f t="shared" ca="1" si="6"/>
        <v>-0.87057716483725744</v>
      </c>
      <c r="F200" s="12">
        <f t="shared" ca="1" si="14"/>
        <v>0.27771772149039942</v>
      </c>
      <c r="G200" s="12">
        <f t="shared" ca="1" si="13"/>
        <v>-0.58146820804664767</v>
      </c>
      <c r="H200" s="12">
        <f t="shared" ca="1" si="15"/>
        <v>-1.2380823899133455</v>
      </c>
    </row>
    <row r="201" spans="1:8" x14ac:dyDescent="0.4">
      <c r="A201">
        <v>197</v>
      </c>
      <c r="B201" s="12">
        <v>1</v>
      </c>
      <c r="C201" s="12">
        <f t="shared" ca="1" si="5"/>
        <v>0.21935441210769693</v>
      </c>
      <c r="D201" s="12">
        <f t="shared" ca="1" si="6"/>
        <v>0.12879223072110019</v>
      </c>
      <c r="F201" s="12">
        <f t="shared" ca="1" si="14"/>
        <v>0.96795432941811865</v>
      </c>
      <c r="G201" s="12">
        <f t="shared" ca="1" si="13"/>
        <v>0.21579733371852569</v>
      </c>
      <c r="H201" s="12">
        <f t="shared" ca="1" si="15"/>
        <v>0.12068621465237309</v>
      </c>
    </row>
    <row r="202" spans="1:8" x14ac:dyDescent="0.4">
      <c r="A202">
        <v>198</v>
      </c>
      <c r="B202" s="12">
        <v>1</v>
      </c>
      <c r="C202" s="12">
        <f t="shared" ca="1" si="5"/>
        <v>4.276610005645562</v>
      </c>
      <c r="D202" s="12">
        <f t="shared" ca="1" si="6"/>
        <v>0.78448351148532569</v>
      </c>
      <c r="F202" s="12">
        <f t="shared" ca="1" si="14"/>
        <v>-0.29875446450305609</v>
      </c>
      <c r="G202" s="12">
        <f t="shared" ca="1" si="13"/>
        <v>-0.64160768491461373</v>
      </c>
      <c r="H202" s="12">
        <f t="shared" ca="1" si="15"/>
        <v>0.52205449161316964</v>
      </c>
    </row>
    <row r="203" spans="1:8" x14ac:dyDescent="0.4">
      <c r="A203">
        <v>199</v>
      </c>
      <c r="B203" s="12">
        <v>1</v>
      </c>
      <c r="C203" s="12">
        <f t="shared" ca="1" si="5"/>
        <v>6.0291810549197926</v>
      </c>
      <c r="D203" s="12">
        <f t="shared" ca="1" si="6"/>
        <v>3.895583264357412E-2</v>
      </c>
      <c r="F203" s="12">
        <f t="shared" ca="1" si="14"/>
        <v>0.96717964931634026</v>
      </c>
      <c r="G203" s="12">
        <f t="shared" ca="1" si="13"/>
        <v>-0.25109109214725245</v>
      </c>
      <c r="H203" s="12">
        <f t="shared" ca="1" si="15"/>
        <v>3.8202071870453568E-2</v>
      </c>
    </row>
    <row r="204" spans="1:8" x14ac:dyDescent="0.4">
      <c r="A204">
        <v>200</v>
      </c>
      <c r="B204" s="12">
        <v>1</v>
      </c>
      <c r="C204" s="12">
        <f t="shared" ca="1" si="5"/>
        <v>4.0151300937231191</v>
      </c>
      <c r="D204" s="12">
        <f t="shared" ca="1" si="6"/>
        <v>-0.77444521263837307</v>
      </c>
      <c r="F204" s="12">
        <f t="shared" ca="1" si="14"/>
        <v>-0.45899233752966345</v>
      </c>
      <c r="G204" s="12">
        <f t="shared" ca="1" si="13"/>
        <v>-0.54797637619983319</v>
      </c>
      <c r="H204" s="12">
        <f t="shared" ca="1" si="15"/>
        <v>-1.0753135427972871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C235-7412-4507-90E7-B3FCD4BD99AA}">
  <dimension ref="A2:B3"/>
  <sheetViews>
    <sheetView tabSelected="1" workbookViewId="0">
      <selection activeCell="B3" sqref="B3"/>
    </sheetView>
  </sheetViews>
  <sheetFormatPr defaultRowHeight="18.75" x14ac:dyDescent="0.4"/>
  <sheetData>
    <row r="2" spans="1:2" x14ac:dyDescent="0.4">
      <c r="A2" t="s">
        <v>6</v>
      </c>
      <c r="B2" t="s">
        <v>7</v>
      </c>
    </row>
    <row r="3" spans="1:2" x14ac:dyDescent="0.4">
      <c r="A3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rand1</vt:lpstr>
      <vt:lpstr>rand2</vt:lpstr>
      <vt:lpstr>oval</vt:lpstr>
      <vt:lpstr>globe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2022-10-13T07:13:02Z</dcterms:created>
  <dcterms:modified xsi:type="dcterms:W3CDTF">2022-10-17T09:02:08Z</dcterms:modified>
</cp:coreProperties>
</file>