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78A70F5B-8E77-4180-B8F3-1BE49808D538}" xr6:coauthVersionLast="47" xr6:coauthVersionMax="47" xr10:uidLastSave="{00000000-0000-0000-0000-000000000000}"/>
  <bookViews>
    <workbookView xWindow="2730" yWindow="0" windowWidth="24135" windowHeight="16200" activeTab="2" xr2:uid="{B082F4EA-3634-4EE8-9949-66D6660ACB86}"/>
  </bookViews>
  <sheets>
    <sheet name="外れ値基準" sheetId="1" r:id="rId1"/>
    <sheet name="四分位数" sheetId="3" r:id="rId2"/>
    <sheet name="箱ひげ図" sheetId="4" r:id="rId3"/>
  </sheets>
  <definedNames>
    <definedName name="_xlchart.v1.0" hidden="1">箱ひげ図!$A$2:$A$11</definedName>
    <definedName name="_xlchart.v1.1" hidden="1">箱ひげ図!$A$1:$A$10</definedName>
    <definedName name="_xlchart.v1.2" hidden="1">箱ひげ図!$A$2:$A$11</definedName>
    <definedName name="_xlchart.v1.3" hidden="1">箱ひげ図!$A$2:$A$11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7" i="4" s="1"/>
  <c r="F4" i="4"/>
  <c r="F3" i="4"/>
  <c r="E5" i="4"/>
  <c r="E4" i="4"/>
  <c r="E3" i="4"/>
  <c r="D7" i="4"/>
  <c r="J40" i="3"/>
  <c r="H40" i="3"/>
  <c r="F40" i="3"/>
  <c r="D40" i="3"/>
  <c r="J38" i="3"/>
  <c r="K39" i="3" s="1"/>
  <c r="H38" i="3"/>
  <c r="I39" i="3" s="1"/>
  <c r="F38" i="3"/>
  <c r="G39" i="3" s="1"/>
  <c r="D38" i="3"/>
  <c r="J36" i="3"/>
  <c r="K37" i="3" s="1"/>
  <c r="H36" i="3"/>
  <c r="I37" i="3" s="1"/>
  <c r="F36" i="3"/>
  <c r="G37" i="3" s="1"/>
  <c r="D36" i="3"/>
  <c r="J34" i="3"/>
  <c r="K35" i="3" s="1"/>
  <c r="H34" i="3"/>
  <c r="I35" i="3" s="1"/>
  <c r="F34" i="3"/>
  <c r="G35" i="3" s="1"/>
  <c r="D34" i="3"/>
  <c r="J32" i="3"/>
  <c r="K33" i="3" s="1"/>
  <c r="H32" i="3"/>
  <c r="I33" i="3" s="1"/>
  <c r="F32" i="3"/>
  <c r="G33" i="3" s="1"/>
  <c r="D32" i="3"/>
  <c r="J30" i="3"/>
  <c r="H30" i="3"/>
  <c r="F30" i="3"/>
  <c r="D30" i="3"/>
  <c r="J28" i="3"/>
  <c r="K29" i="3" s="1"/>
  <c r="H28" i="3"/>
  <c r="I29" i="3" s="1"/>
  <c r="F28" i="3"/>
  <c r="G29" i="3" s="1"/>
  <c r="D28" i="3"/>
  <c r="E29" i="3" s="1"/>
  <c r="J26" i="3"/>
  <c r="K27" i="3" s="1"/>
  <c r="H26" i="3"/>
  <c r="I27" i="3" s="1"/>
  <c r="F26" i="3"/>
  <c r="G27" i="3" s="1"/>
  <c r="D26" i="3"/>
  <c r="J24" i="3"/>
  <c r="K25" i="3" s="1"/>
  <c r="H24" i="3"/>
  <c r="I25" i="3" s="1"/>
  <c r="F24" i="3"/>
  <c r="G25" i="3" s="1"/>
  <c r="D24" i="3"/>
  <c r="J22" i="3"/>
  <c r="K23" i="3" s="1"/>
  <c r="H22" i="3"/>
  <c r="I23" i="3" s="1"/>
  <c r="F22" i="3"/>
  <c r="G23" i="3" s="1"/>
  <c r="D22" i="3"/>
  <c r="J20" i="3"/>
  <c r="H20" i="3"/>
  <c r="F20" i="3"/>
  <c r="D20" i="3"/>
  <c r="J18" i="3"/>
  <c r="K19" i="3" s="1"/>
  <c r="H18" i="3"/>
  <c r="I19" i="3" s="1"/>
  <c r="F18" i="3"/>
  <c r="G19" i="3" s="1"/>
  <c r="D18" i="3"/>
  <c r="J16" i="3"/>
  <c r="K17" i="3" s="1"/>
  <c r="H16" i="3"/>
  <c r="I17" i="3" s="1"/>
  <c r="F16" i="3"/>
  <c r="G17" i="3" s="1"/>
  <c r="D16" i="3"/>
  <c r="J14" i="3"/>
  <c r="K15" i="3" s="1"/>
  <c r="H14" i="3"/>
  <c r="I15" i="3" s="1"/>
  <c r="F14" i="3"/>
  <c r="D14" i="3"/>
  <c r="J12" i="3"/>
  <c r="H12" i="3"/>
  <c r="F12" i="3"/>
  <c r="D12" i="3"/>
  <c r="J10" i="3"/>
  <c r="H10" i="3"/>
  <c r="F10" i="3"/>
  <c r="D10" i="3"/>
  <c r="J8" i="3"/>
  <c r="K9" i="3" s="1"/>
  <c r="H8" i="3"/>
  <c r="I9" i="3" s="1"/>
  <c r="F8" i="3"/>
  <c r="G9" i="3" s="1"/>
  <c r="D8" i="3"/>
  <c r="J6" i="3"/>
  <c r="K7" i="3" s="1"/>
  <c r="H6" i="3"/>
  <c r="F6" i="3"/>
  <c r="G7" i="3" s="1"/>
  <c r="D6" i="3"/>
  <c r="E7" i="3" s="1"/>
  <c r="J4" i="3"/>
  <c r="K5" i="3" s="1"/>
  <c r="H4" i="3"/>
  <c r="F4" i="3"/>
  <c r="G5" i="3" s="1"/>
  <c r="D4" i="3"/>
  <c r="E3" i="3" s="1"/>
  <c r="J2" i="3"/>
  <c r="K3" i="3" s="1"/>
  <c r="H2" i="3"/>
  <c r="I3" i="3" s="1"/>
  <c r="F2" i="3"/>
  <c r="D2" i="3"/>
  <c r="D4" i="1"/>
  <c r="A10" i="1"/>
  <c r="A11" i="1"/>
  <c r="A12" i="1"/>
  <c r="A13" i="1"/>
  <c r="A14" i="1"/>
  <c r="E12" i="1" s="1"/>
  <c r="A15" i="1"/>
  <c r="A9" i="1"/>
  <c r="B4" i="1"/>
  <c r="B5" i="1"/>
  <c r="B3" i="1"/>
  <c r="E7" i="4" l="1"/>
  <c r="I5" i="3"/>
  <c r="E13" i="3"/>
  <c r="E15" i="3"/>
  <c r="E17" i="3"/>
  <c r="E19" i="3"/>
  <c r="E23" i="3"/>
  <c r="E25" i="3"/>
  <c r="E33" i="3"/>
  <c r="E35" i="3"/>
  <c r="E37" i="3"/>
  <c r="E39" i="3"/>
  <c r="E5" i="3"/>
  <c r="G13" i="3"/>
  <c r="E9" i="3"/>
  <c r="I13" i="3"/>
  <c r="I7" i="3"/>
  <c r="E27" i="3"/>
  <c r="G3" i="3"/>
  <c r="K13" i="3"/>
  <c r="G15" i="3"/>
  <c r="B2" i="1"/>
  <c r="A2" i="1" s="1"/>
  <c r="F12" i="1"/>
  <c r="D12" i="1"/>
  <c r="B6" i="1"/>
  <c r="A6" i="1" s="1"/>
  <c r="E4" i="1" l="1"/>
</calcChain>
</file>

<file path=xl/sharedStrings.xml><?xml version="1.0" encoding="utf-8"?>
<sst xmlns="http://schemas.openxmlformats.org/spreadsheetml/2006/main" count="40" uniqueCount="20">
  <si>
    <t>パーセンタイル</t>
    <phoneticPr fontId="2"/>
  </si>
  <si>
    <t>標準正規分布関数値</t>
    <rPh sb="0" eb="2">
      <t>ヒョウジュン</t>
    </rPh>
    <rPh sb="2" eb="4">
      <t>セイキ</t>
    </rPh>
    <rPh sb="4" eb="6">
      <t>ブンプ</t>
    </rPh>
    <rPh sb="6" eb="8">
      <t>カンスウ</t>
    </rPh>
    <rPh sb="8" eb="9">
      <t>チ</t>
    </rPh>
    <phoneticPr fontId="2"/>
  </si>
  <si>
    <t>min</t>
    <phoneticPr fontId="2"/>
  </si>
  <si>
    <t>Q1</t>
    <phoneticPr fontId="2"/>
  </si>
  <si>
    <t>med</t>
    <phoneticPr fontId="2"/>
  </si>
  <si>
    <t>Q3</t>
    <phoneticPr fontId="2"/>
  </si>
  <si>
    <t>max</t>
    <phoneticPr fontId="2"/>
  </si>
  <si>
    <t>INC</t>
    <phoneticPr fontId="2"/>
  </si>
  <si>
    <t>EXC</t>
    <phoneticPr fontId="2"/>
  </si>
  <si>
    <t>mext</t>
    <phoneticPr fontId="2"/>
  </si>
  <si>
    <t>Tukey</t>
    <phoneticPr fontId="2"/>
  </si>
  <si>
    <t>Q2</t>
    <phoneticPr fontId="2"/>
  </si>
  <si>
    <t>四分位範囲</t>
    <rPh sb="0" eb="5">
      <t>シブンイハンイ</t>
    </rPh>
    <phoneticPr fontId="2"/>
  </si>
  <si>
    <t>⇩</t>
    <phoneticPr fontId="2"/>
  </si>
  <si>
    <t>箱ひげ図の</t>
    <rPh sb="0" eb="1">
      <t>ハコ</t>
    </rPh>
    <rPh sb="3" eb="4">
      <t>ズ</t>
    </rPh>
    <phoneticPr fontId="2"/>
  </si>
  <si>
    <t>箱ひげ部は</t>
    <rPh sb="0" eb="1">
      <t>ハコ</t>
    </rPh>
    <rPh sb="3" eb="4">
      <t>ブ</t>
    </rPh>
    <phoneticPr fontId="2"/>
  </si>
  <si>
    <t>この値を</t>
    <rPh sb="2" eb="3">
      <t>アタイ</t>
    </rPh>
    <phoneticPr fontId="2"/>
  </si>
  <si>
    <t>用いている</t>
    <rPh sb="0" eb="1">
      <t>モチ</t>
    </rPh>
    <phoneticPr fontId="2"/>
  </si>
  <si>
    <t>外れ値を</t>
    <rPh sb="0" eb="1">
      <t>ハズ</t>
    </rPh>
    <rPh sb="2" eb="3">
      <t>チ</t>
    </rPh>
    <phoneticPr fontId="2"/>
  </si>
  <si>
    <t>含めて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</si>
</sst>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%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177" fontId="0" fillId="0" borderId="0" xfId="1" applyNumberFormat="1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5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Border="1">
      <alignment vertical="center"/>
    </xf>
    <xf numFmtId="0" fontId="0" fillId="0" borderId="2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DD1F771D-4525-460E-8DC8-994C632C639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10</xdr:col>
      <xdr:colOff>638175</xdr:colOff>
      <xdr:row>24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A157FFA9-78B4-464F-AE1C-9474F0353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247650"/>
              <a:ext cx="2695575" cy="549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21AE-B003-406F-A616-800A3A31B678}">
  <dimension ref="A1:F15"/>
  <sheetViews>
    <sheetView workbookViewId="0"/>
  </sheetViews>
  <sheetFormatPr defaultRowHeight="18.75" x14ac:dyDescent="0.4"/>
  <cols>
    <col min="1" max="1" width="14.875" bestFit="1" customWidth="1"/>
    <col min="3" max="3" width="3.125" customWidth="1"/>
    <col min="4" max="6" width="9" customWidth="1"/>
  </cols>
  <sheetData>
    <row r="1" spans="1:6" x14ac:dyDescent="0.4">
      <c r="A1" t="s">
        <v>0</v>
      </c>
      <c r="B1" t="s">
        <v>1</v>
      </c>
    </row>
    <row r="2" spans="1:6" x14ac:dyDescent="0.4">
      <c r="A2" s="1">
        <f>_xlfn.NORM.S.DIST(B2,TRUE)</f>
        <v>3.4883016196401075E-3</v>
      </c>
      <c r="B2">
        <f>B3-1.5*(B5-B3)</f>
        <v>-2.6979590007843277</v>
      </c>
      <c r="E2" s="2"/>
    </row>
    <row r="3" spans="1:6" x14ac:dyDescent="0.4">
      <c r="A3" s="1">
        <v>0.25</v>
      </c>
      <c r="B3">
        <f>_xlfn.NORM.S.INV(A3)</f>
        <v>-0.67448975019608193</v>
      </c>
      <c r="D3" s="2"/>
      <c r="E3" s="2"/>
    </row>
    <row r="4" spans="1:6" x14ac:dyDescent="0.4">
      <c r="A4" s="1">
        <v>0.5</v>
      </c>
      <c r="B4">
        <f t="shared" ref="B4:B5" si="0">_xlfn.NORM.S.INV(A4)</f>
        <v>0</v>
      </c>
      <c r="D4" s="3">
        <f>A5-A3</f>
        <v>0.5</v>
      </c>
      <c r="E4" s="3">
        <f>A6-A2</f>
        <v>0.99302339676071982</v>
      </c>
    </row>
    <row r="5" spans="1:6" x14ac:dyDescent="0.4">
      <c r="A5" s="1">
        <v>0.75</v>
      </c>
      <c r="B5">
        <f t="shared" si="0"/>
        <v>0.67448975019608193</v>
      </c>
      <c r="D5" s="2"/>
      <c r="E5" s="2"/>
    </row>
    <row r="6" spans="1:6" x14ac:dyDescent="0.4">
      <c r="A6" s="1">
        <f>_xlfn.NORM.S.DIST(B6,TRUE)</f>
        <v>0.99651169838035991</v>
      </c>
      <c r="B6">
        <f>B5+1.5*(B5-B3)</f>
        <v>2.6979590007843277</v>
      </c>
      <c r="E6" s="2"/>
    </row>
    <row r="9" spans="1:6" x14ac:dyDescent="0.4">
      <c r="A9" s="1">
        <f>_xlfn.NORM.S.DIST(B9,TRUE)</f>
        <v>1.3498980316300933E-3</v>
      </c>
      <c r="B9">
        <v>-3</v>
      </c>
      <c r="F9" s="2"/>
    </row>
    <row r="10" spans="1:6" x14ac:dyDescent="0.4">
      <c r="A10" s="1">
        <f t="shared" ref="A10:A15" si="1">_xlfn.NORM.S.DIST(B10,TRUE)</f>
        <v>2.2750131948179191E-2</v>
      </c>
      <c r="B10">
        <v>-2</v>
      </c>
      <c r="E10" s="2"/>
      <c r="F10" s="2"/>
    </row>
    <row r="11" spans="1:6" x14ac:dyDescent="0.4">
      <c r="A11" s="1">
        <f t="shared" si="1"/>
        <v>0.15865525393145699</v>
      </c>
      <c r="B11">
        <v>-1</v>
      </c>
      <c r="D11" s="2"/>
      <c r="E11" s="2"/>
      <c r="F11" s="2"/>
    </row>
    <row r="12" spans="1:6" x14ac:dyDescent="0.4">
      <c r="A12" s="1">
        <f t="shared" si="1"/>
        <v>0.5</v>
      </c>
      <c r="B12">
        <v>0</v>
      </c>
      <c r="D12" s="3">
        <f>A13-A11</f>
        <v>0.68268949213708607</v>
      </c>
      <c r="E12" s="3">
        <f>A14-A10</f>
        <v>0.95449973610364158</v>
      </c>
      <c r="F12" s="3">
        <f>A15-A9</f>
        <v>0.99730020393673979</v>
      </c>
    </row>
    <row r="13" spans="1:6" x14ac:dyDescent="0.4">
      <c r="A13" s="1">
        <f t="shared" si="1"/>
        <v>0.84134474606854304</v>
      </c>
      <c r="B13">
        <v>1</v>
      </c>
      <c r="D13" s="2"/>
      <c r="E13" s="2"/>
      <c r="F13" s="2"/>
    </row>
    <row r="14" spans="1:6" x14ac:dyDescent="0.4">
      <c r="A14" s="1">
        <f t="shared" si="1"/>
        <v>0.97724986805182079</v>
      </c>
      <c r="B14">
        <v>2</v>
      </c>
      <c r="E14" s="2"/>
      <c r="F14" s="2"/>
    </row>
    <row r="15" spans="1:6" x14ac:dyDescent="0.4">
      <c r="A15" s="1">
        <f t="shared" si="1"/>
        <v>0.9986501019683699</v>
      </c>
      <c r="B15">
        <v>3</v>
      </c>
      <c r="F15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10F6-D2F1-4806-BD64-4001330435AA}">
  <dimension ref="A1:K40"/>
  <sheetViews>
    <sheetView workbookViewId="0"/>
  </sheetViews>
  <sheetFormatPr defaultRowHeight="18.75" x14ac:dyDescent="0.4"/>
  <sheetData>
    <row r="1" spans="1:11" x14ac:dyDescent="0.4">
      <c r="D1" t="s">
        <v>7</v>
      </c>
      <c r="F1" t="s">
        <v>10</v>
      </c>
      <c r="H1" t="s">
        <v>9</v>
      </c>
      <c r="J1" t="s">
        <v>8</v>
      </c>
    </row>
    <row r="2" spans="1:11" x14ac:dyDescent="0.4">
      <c r="A2">
        <v>1</v>
      </c>
      <c r="C2" t="s">
        <v>2</v>
      </c>
      <c r="D2">
        <f>_xlfn.QUARTILE.INC(A2:A5,0)</f>
        <v>1</v>
      </c>
      <c r="F2" s="6">
        <f>MIN(A2:A5)</f>
        <v>1</v>
      </c>
      <c r="G2" s="7"/>
      <c r="H2" s="7">
        <f>MIN(A2:A5)</f>
        <v>1</v>
      </c>
      <c r="I2" s="8"/>
      <c r="J2">
        <f>MIN(A2:A5)</f>
        <v>1</v>
      </c>
    </row>
    <row r="3" spans="1:11" x14ac:dyDescent="0.4">
      <c r="A3">
        <v>2</v>
      </c>
      <c r="E3">
        <f>D4-D2</f>
        <v>0.75</v>
      </c>
      <c r="F3" s="9"/>
      <c r="G3" s="10">
        <f>F4-F2</f>
        <v>0.5</v>
      </c>
      <c r="H3" s="10"/>
      <c r="I3" s="11">
        <f>H4-H2</f>
        <v>0.5</v>
      </c>
      <c r="K3">
        <f>J4-J2</f>
        <v>0.25</v>
      </c>
    </row>
    <row r="4" spans="1:11" x14ac:dyDescent="0.4">
      <c r="A4">
        <v>3</v>
      </c>
      <c r="C4" t="s">
        <v>3</v>
      </c>
      <c r="D4">
        <f>_xlfn.QUARTILE.INC(A2:A5,1)</f>
        <v>1.75</v>
      </c>
      <c r="F4" s="9">
        <f>MEDIAN(A2:A3)</f>
        <v>1.5</v>
      </c>
      <c r="G4" s="10"/>
      <c r="H4" s="10">
        <f>MEDIAN(A2:A3)</f>
        <v>1.5</v>
      </c>
      <c r="I4" s="11"/>
      <c r="J4">
        <f>_xlfn.QUARTILE.EXC(A2:A5,1)</f>
        <v>1.25</v>
      </c>
    </row>
    <row r="5" spans="1:11" x14ac:dyDescent="0.4">
      <c r="A5">
        <v>4</v>
      </c>
      <c r="D5" s="4"/>
      <c r="E5" s="4">
        <f>D6-D4</f>
        <v>0.75</v>
      </c>
      <c r="F5" s="24"/>
      <c r="G5" s="25">
        <f>F6-F4</f>
        <v>1</v>
      </c>
      <c r="H5" s="25"/>
      <c r="I5" s="26">
        <f>H6-H4</f>
        <v>1</v>
      </c>
      <c r="J5" s="4"/>
      <c r="K5" s="4">
        <f>J6-J4</f>
        <v>1.25</v>
      </c>
    </row>
    <row r="6" spans="1:11" x14ac:dyDescent="0.4">
      <c r="C6" t="s">
        <v>4</v>
      </c>
      <c r="D6">
        <f>_xlfn.QUARTILE.INC(A2:A5,2)</f>
        <v>2.5</v>
      </c>
      <c r="E6" s="5"/>
      <c r="F6" s="12">
        <f>MEDIAN(A2:A5)</f>
        <v>2.5</v>
      </c>
      <c r="G6" s="13"/>
      <c r="H6" s="13">
        <f>MEDIAN(A2:A5)</f>
        <v>2.5</v>
      </c>
      <c r="I6" s="14"/>
      <c r="J6" s="5">
        <f>_xlfn.QUARTILE.EXC(A2:A5,2)</f>
        <v>2.5</v>
      </c>
      <c r="K6" s="5"/>
    </row>
    <row r="7" spans="1:11" x14ac:dyDescent="0.4">
      <c r="E7" s="5">
        <f>D8-D6</f>
        <v>0.75</v>
      </c>
      <c r="F7" s="12"/>
      <c r="G7" s="13">
        <f>F8-F6</f>
        <v>1</v>
      </c>
      <c r="H7" s="13"/>
      <c r="I7" s="14">
        <f>H8-H6</f>
        <v>1</v>
      </c>
      <c r="J7" s="5"/>
      <c r="K7" s="5">
        <f>J8-J6</f>
        <v>1.25</v>
      </c>
    </row>
    <row r="8" spans="1:11" x14ac:dyDescent="0.4">
      <c r="C8" t="s">
        <v>5</v>
      </c>
      <c r="D8">
        <f>_xlfn.QUARTILE.INC(A2:A5,3)</f>
        <v>3.25</v>
      </c>
      <c r="E8" s="5"/>
      <c r="F8" s="12">
        <f>MEDIAN(A4:A5)</f>
        <v>3.5</v>
      </c>
      <c r="G8" s="13"/>
      <c r="H8" s="13">
        <f>MEDIAN(A4:A5)</f>
        <v>3.5</v>
      </c>
      <c r="I8" s="14"/>
      <c r="J8" s="5">
        <f>_xlfn.QUARTILE.EXC(A2:A5,3)</f>
        <v>3.75</v>
      </c>
      <c r="K8" s="5"/>
    </row>
    <row r="9" spans="1:11" x14ac:dyDescent="0.4">
      <c r="E9" s="5">
        <f>D10-D8</f>
        <v>0.75</v>
      </c>
      <c r="F9" s="12"/>
      <c r="G9" s="13">
        <f>F10-F8</f>
        <v>0.5</v>
      </c>
      <c r="H9" s="13"/>
      <c r="I9" s="14">
        <f>H10-H8</f>
        <v>0.5</v>
      </c>
      <c r="J9" s="5"/>
      <c r="K9" s="5">
        <f>J10-J8</f>
        <v>0.25</v>
      </c>
    </row>
    <row r="10" spans="1:11" x14ac:dyDescent="0.4">
      <c r="C10" t="s">
        <v>6</v>
      </c>
      <c r="D10">
        <f>_xlfn.QUARTILE.INC(A2:A5,4)</f>
        <v>4</v>
      </c>
      <c r="E10" s="5"/>
      <c r="F10" s="15">
        <f>MAX(A2:A5)</f>
        <v>4</v>
      </c>
      <c r="G10" s="16"/>
      <c r="H10" s="16">
        <f>MAX(A2:A5)</f>
        <v>4</v>
      </c>
      <c r="I10" s="17"/>
      <c r="J10" s="5">
        <f>MAX(A2:A5)</f>
        <v>4</v>
      </c>
      <c r="K10" s="5"/>
    </row>
    <row r="11" spans="1:11" x14ac:dyDescent="0.4">
      <c r="E11" s="5"/>
      <c r="F11" s="5"/>
      <c r="G11" s="5"/>
      <c r="H11" s="5"/>
      <c r="I11" s="5"/>
      <c r="J11" s="5"/>
      <c r="K11" s="5"/>
    </row>
    <row r="12" spans="1:11" x14ac:dyDescent="0.4">
      <c r="A12">
        <v>1</v>
      </c>
      <c r="C12" t="s">
        <v>2</v>
      </c>
      <c r="D12" s="6">
        <f>_xlfn.QUARTILE.INC(A12:A16,0)</f>
        <v>1</v>
      </c>
      <c r="E12" s="18"/>
      <c r="F12" s="18">
        <f>MIN(A12:A16)</f>
        <v>1</v>
      </c>
      <c r="G12" s="19"/>
      <c r="H12" s="21">
        <f>MIN(A12:A16)</f>
        <v>1</v>
      </c>
      <c r="I12" s="18"/>
      <c r="J12" s="18">
        <f>MIN(A12:A16)</f>
        <v>1</v>
      </c>
      <c r="K12" s="19"/>
    </row>
    <row r="13" spans="1:11" x14ac:dyDescent="0.4">
      <c r="A13">
        <v>2</v>
      </c>
      <c r="D13" s="9"/>
      <c r="E13" s="13">
        <f>D14-D12</f>
        <v>1</v>
      </c>
      <c r="F13" s="13"/>
      <c r="G13" s="14">
        <f>F14-F12</f>
        <v>1</v>
      </c>
      <c r="H13" s="12"/>
      <c r="I13" s="13">
        <f>H14-H12</f>
        <v>0.5</v>
      </c>
      <c r="J13" s="13"/>
      <c r="K13" s="14">
        <f>J14-J12</f>
        <v>0.5</v>
      </c>
    </row>
    <row r="14" spans="1:11" x14ac:dyDescent="0.4">
      <c r="A14">
        <v>3</v>
      </c>
      <c r="C14" t="s">
        <v>3</v>
      </c>
      <c r="D14" s="9">
        <f>_xlfn.QUARTILE.INC(A12:A16,1)</f>
        <v>2</v>
      </c>
      <c r="E14" s="13"/>
      <c r="F14" s="13">
        <f>MEDIAN(A12:A14)</f>
        <v>2</v>
      </c>
      <c r="G14" s="14"/>
      <c r="H14" s="12">
        <f>MEDIAN(A12:A13)</f>
        <v>1.5</v>
      </c>
      <c r="I14" s="13"/>
      <c r="J14" s="13">
        <f>_xlfn.QUARTILE.EXC(A12:A16,1)</f>
        <v>1.5</v>
      </c>
      <c r="K14" s="14"/>
    </row>
    <row r="15" spans="1:11" x14ac:dyDescent="0.4">
      <c r="A15">
        <v>4</v>
      </c>
      <c r="D15" s="24"/>
      <c r="E15" s="25">
        <f>D16-D14</f>
        <v>1</v>
      </c>
      <c r="F15" s="25"/>
      <c r="G15" s="26">
        <f>F16-F14</f>
        <v>1</v>
      </c>
      <c r="H15" s="24"/>
      <c r="I15" s="25">
        <f>H16-H14</f>
        <v>1.5</v>
      </c>
      <c r="J15" s="25"/>
      <c r="K15" s="26">
        <f>J16-J14</f>
        <v>1.5</v>
      </c>
    </row>
    <row r="16" spans="1:11" x14ac:dyDescent="0.4">
      <c r="A16">
        <v>5</v>
      </c>
      <c r="C16" t="s">
        <v>4</v>
      </c>
      <c r="D16" s="9">
        <f>_xlfn.QUARTILE.INC(A12:A16,2)</f>
        <v>3</v>
      </c>
      <c r="E16" s="13"/>
      <c r="F16" s="13">
        <f>MEDIAN(A12:A16)</f>
        <v>3</v>
      </c>
      <c r="G16" s="14"/>
      <c r="H16" s="12">
        <f>MEDIAN(A12:A16)</f>
        <v>3</v>
      </c>
      <c r="I16" s="13"/>
      <c r="J16" s="13">
        <f>_xlfn.QUARTILE.EXC(A12:A16,2)</f>
        <v>3</v>
      </c>
      <c r="K16" s="14"/>
    </row>
    <row r="17" spans="1:11" x14ac:dyDescent="0.4">
      <c r="D17" s="9"/>
      <c r="E17" s="13">
        <f>D18-D16</f>
        <v>1</v>
      </c>
      <c r="F17" s="13"/>
      <c r="G17" s="14">
        <f>F18-F16</f>
        <v>1</v>
      </c>
      <c r="H17" s="12"/>
      <c r="I17" s="13">
        <f>H18-H16</f>
        <v>1.5</v>
      </c>
      <c r="J17" s="13"/>
      <c r="K17" s="14">
        <f>J18-J16</f>
        <v>1.5</v>
      </c>
    </row>
    <row r="18" spans="1:11" x14ac:dyDescent="0.4">
      <c r="C18" t="s">
        <v>5</v>
      </c>
      <c r="D18" s="9">
        <f>_xlfn.QUARTILE.INC(A12:A16,3)</f>
        <v>4</v>
      </c>
      <c r="E18" s="13"/>
      <c r="F18" s="13">
        <f>MEDIAN(A14:A16)</f>
        <v>4</v>
      </c>
      <c r="G18" s="14"/>
      <c r="H18" s="12">
        <f>MEDIAN(A15:A16)</f>
        <v>4.5</v>
      </c>
      <c r="I18" s="13"/>
      <c r="J18" s="13">
        <f>_xlfn.QUARTILE.EXC(A12:A16,3)</f>
        <v>4.5</v>
      </c>
      <c r="K18" s="14"/>
    </row>
    <row r="19" spans="1:11" x14ac:dyDescent="0.4">
      <c r="D19" s="9"/>
      <c r="E19" s="13">
        <f>D20-D18</f>
        <v>1</v>
      </c>
      <c r="F19" s="13"/>
      <c r="G19" s="14">
        <f>F20-F18</f>
        <v>1</v>
      </c>
      <c r="H19" s="12"/>
      <c r="I19" s="13">
        <f>H20-H18</f>
        <v>0.5</v>
      </c>
      <c r="J19" s="13"/>
      <c r="K19" s="14">
        <f>J20-J18</f>
        <v>0.5</v>
      </c>
    </row>
    <row r="20" spans="1:11" x14ac:dyDescent="0.4">
      <c r="C20" t="s">
        <v>6</v>
      </c>
      <c r="D20" s="20">
        <f>_xlfn.QUARTILE.INC(A12:A16,4)</f>
        <v>5</v>
      </c>
      <c r="E20" s="16"/>
      <c r="F20" s="16">
        <f>MAX(A12:A16)</f>
        <v>5</v>
      </c>
      <c r="G20" s="17"/>
      <c r="H20" s="15">
        <f>MAX(A12:A16)</f>
        <v>5</v>
      </c>
      <c r="I20" s="16"/>
      <c r="J20" s="16">
        <f>MAX(A12:A16)</f>
        <v>5</v>
      </c>
      <c r="K20" s="17"/>
    </row>
    <row r="21" spans="1:11" x14ac:dyDescent="0.4">
      <c r="E21" s="5"/>
      <c r="F21" s="5"/>
      <c r="G21" s="5"/>
      <c r="H21" s="5"/>
      <c r="I21" s="5"/>
      <c r="J21" s="5"/>
      <c r="K21" s="5"/>
    </row>
    <row r="22" spans="1:11" x14ac:dyDescent="0.4">
      <c r="A22">
        <v>1</v>
      </c>
      <c r="C22" t="s">
        <v>2</v>
      </c>
      <c r="D22">
        <f>_xlfn.QUARTILE.INC(A22:A27,0)</f>
        <v>1</v>
      </c>
      <c r="E22" s="5"/>
      <c r="F22" s="21">
        <f>MIN(A22:A27)</f>
        <v>1</v>
      </c>
      <c r="G22" s="18"/>
      <c r="H22" s="18">
        <f>MIN(A22:A27)</f>
        <v>1</v>
      </c>
      <c r="I22" s="19"/>
      <c r="J22" s="5">
        <f>MIN(A22:A27)</f>
        <v>1</v>
      </c>
      <c r="K22" s="5"/>
    </row>
    <row r="23" spans="1:11" x14ac:dyDescent="0.4">
      <c r="A23">
        <v>2</v>
      </c>
      <c r="E23" s="5">
        <f>D24-D22</f>
        <v>1.25</v>
      </c>
      <c r="F23" s="12"/>
      <c r="G23" s="13">
        <f>F24-F22</f>
        <v>1</v>
      </c>
      <c r="H23" s="13"/>
      <c r="I23" s="14">
        <f>H24-H22</f>
        <v>1</v>
      </c>
      <c r="J23" s="5"/>
      <c r="K23" s="5">
        <f>J24-J22</f>
        <v>0.75</v>
      </c>
    </row>
    <row r="24" spans="1:11" x14ac:dyDescent="0.4">
      <c r="A24">
        <v>3</v>
      </c>
      <c r="C24" t="s">
        <v>3</v>
      </c>
      <c r="D24">
        <f>_xlfn.QUARTILE.INC(A22:A27,1)</f>
        <v>2.25</v>
      </c>
      <c r="E24" s="5"/>
      <c r="F24" s="12">
        <f>MEDIAN(A22:A24)</f>
        <v>2</v>
      </c>
      <c r="G24" s="13"/>
      <c r="H24" s="13">
        <f>MEDIAN(A22:A24)</f>
        <v>2</v>
      </c>
      <c r="I24" s="14"/>
      <c r="J24" s="5">
        <f>_xlfn.QUARTILE.EXC(A22:A27,1)</f>
        <v>1.75</v>
      </c>
      <c r="K24" s="5"/>
    </row>
    <row r="25" spans="1:11" x14ac:dyDescent="0.4">
      <c r="A25">
        <v>4</v>
      </c>
      <c r="D25" s="4"/>
      <c r="E25" s="4">
        <f>D26-D24</f>
        <v>1.25</v>
      </c>
      <c r="F25" s="24"/>
      <c r="G25" s="25">
        <f>F26-F24</f>
        <v>1.5</v>
      </c>
      <c r="H25" s="25"/>
      <c r="I25" s="26">
        <f>H26-H24</f>
        <v>1.5</v>
      </c>
      <c r="J25" s="4"/>
      <c r="K25" s="4">
        <f>J26-J24</f>
        <v>1.75</v>
      </c>
    </row>
    <row r="26" spans="1:11" x14ac:dyDescent="0.4">
      <c r="A26">
        <v>5</v>
      </c>
      <c r="C26" t="s">
        <v>4</v>
      </c>
      <c r="D26">
        <f>_xlfn.QUARTILE.INC(A22:A27,2)</f>
        <v>3.5</v>
      </c>
      <c r="E26" s="5"/>
      <c r="F26" s="12">
        <f>MEDIAN(A22:A27)</f>
        <v>3.5</v>
      </c>
      <c r="G26" s="13"/>
      <c r="H26" s="13">
        <f>MEDIAN(A22:A27)</f>
        <v>3.5</v>
      </c>
      <c r="I26" s="14"/>
      <c r="J26" s="5">
        <f>_xlfn.QUARTILE.EXC(A22:A27,2)</f>
        <v>3.5</v>
      </c>
      <c r="K26" s="5"/>
    </row>
    <row r="27" spans="1:11" x14ac:dyDescent="0.4">
      <c r="A27">
        <v>6</v>
      </c>
      <c r="E27" s="5">
        <f>D28-D26</f>
        <v>1.25</v>
      </c>
      <c r="F27" s="12"/>
      <c r="G27" s="13">
        <f>F28-F26</f>
        <v>1.5</v>
      </c>
      <c r="H27" s="13"/>
      <c r="I27" s="14">
        <f>H28-H26</f>
        <v>1.5</v>
      </c>
      <c r="J27" s="5"/>
      <c r="K27" s="5">
        <f>J28-J26</f>
        <v>1.75</v>
      </c>
    </row>
    <row r="28" spans="1:11" x14ac:dyDescent="0.4">
      <c r="C28" t="s">
        <v>5</v>
      </c>
      <c r="D28">
        <f>_xlfn.QUARTILE.INC(A22:A27,3)</f>
        <v>4.75</v>
      </c>
      <c r="E28" s="5"/>
      <c r="F28" s="12">
        <f>MEDIAN(A25:A27)</f>
        <v>5</v>
      </c>
      <c r="G28" s="13"/>
      <c r="H28" s="13">
        <f>MEDIAN(A25:A27)</f>
        <v>5</v>
      </c>
      <c r="I28" s="14"/>
      <c r="J28" s="5">
        <f>_xlfn.QUARTILE.EXC(A22:A27,3)</f>
        <v>5.25</v>
      </c>
      <c r="K28" s="5"/>
    </row>
    <row r="29" spans="1:11" x14ac:dyDescent="0.4">
      <c r="E29" s="5">
        <f>D30-D28</f>
        <v>1.25</v>
      </c>
      <c r="F29" s="12"/>
      <c r="G29" s="13">
        <f>F30-F28</f>
        <v>1</v>
      </c>
      <c r="H29" s="13"/>
      <c r="I29" s="14">
        <f>H30-H28</f>
        <v>1</v>
      </c>
      <c r="J29" s="5"/>
      <c r="K29" s="5">
        <f>J30-J28</f>
        <v>0.75</v>
      </c>
    </row>
    <row r="30" spans="1:11" x14ac:dyDescent="0.4">
      <c r="C30" t="s">
        <v>6</v>
      </c>
      <c r="D30">
        <f>_xlfn.QUARTILE.INC(A22:A27,4)</f>
        <v>6</v>
      </c>
      <c r="E30" s="5"/>
      <c r="F30" s="15">
        <f>MAX(A22:A27)</f>
        <v>6</v>
      </c>
      <c r="G30" s="16"/>
      <c r="H30" s="16">
        <f>MAX(A22:A27)</f>
        <v>6</v>
      </c>
      <c r="I30" s="17"/>
      <c r="J30" s="5">
        <f>MAX(A22:A27)</f>
        <v>6</v>
      </c>
      <c r="K30" s="5"/>
    </row>
    <row r="31" spans="1:11" x14ac:dyDescent="0.4">
      <c r="E31" s="5"/>
      <c r="F31" s="5"/>
      <c r="G31" s="5"/>
      <c r="H31" s="5"/>
      <c r="I31" s="5"/>
      <c r="J31" s="5"/>
      <c r="K31" s="5"/>
    </row>
    <row r="32" spans="1:11" x14ac:dyDescent="0.4">
      <c r="A32">
        <v>1</v>
      </c>
      <c r="C32" t="s">
        <v>2</v>
      </c>
      <c r="D32" s="6">
        <f>_xlfn.QUARTILE.INC(A32:A38,0)</f>
        <v>1</v>
      </c>
      <c r="E32" s="18"/>
      <c r="F32" s="18">
        <f>MIN(A32:A38)</f>
        <v>1</v>
      </c>
      <c r="G32" s="19"/>
      <c r="H32" s="21">
        <f>MIN(A32:A38)</f>
        <v>1</v>
      </c>
      <c r="I32" s="18"/>
      <c r="J32" s="18">
        <f>MIN(A32:A38)</f>
        <v>1</v>
      </c>
      <c r="K32" s="19"/>
    </row>
    <row r="33" spans="1:11" x14ac:dyDescent="0.4">
      <c r="A33">
        <v>2</v>
      </c>
      <c r="D33" s="9"/>
      <c r="E33" s="13">
        <f>D34-D32</f>
        <v>1.5</v>
      </c>
      <c r="F33" s="13"/>
      <c r="G33" s="14">
        <f>F34-F32</f>
        <v>1.5</v>
      </c>
      <c r="H33" s="12"/>
      <c r="I33" s="13">
        <f>H34-H32</f>
        <v>1</v>
      </c>
      <c r="J33" s="13"/>
      <c r="K33" s="14">
        <f>J34-J32</f>
        <v>1</v>
      </c>
    </row>
    <row r="34" spans="1:11" x14ac:dyDescent="0.4">
      <c r="A34">
        <v>3</v>
      </c>
      <c r="C34" t="s">
        <v>3</v>
      </c>
      <c r="D34" s="9">
        <f>_xlfn.QUARTILE.INC(A32:A38,1)</f>
        <v>2.5</v>
      </c>
      <c r="E34" s="13"/>
      <c r="F34" s="13">
        <f>MEDIAN(A32:A35)</f>
        <v>2.5</v>
      </c>
      <c r="G34" s="14"/>
      <c r="H34" s="12">
        <f>MEDIAN(A32:A34)</f>
        <v>2</v>
      </c>
      <c r="I34" s="13"/>
      <c r="J34" s="13">
        <f>_xlfn.QUARTILE.EXC(A32:A38,1)</f>
        <v>2</v>
      </c>
      <c r="K34" s="14"/>
    </row>
    <row r="35" spans="1:11" x14ac:dyDescent="0.4">
      <c r="A35">
        <v>4</v>
      </c>
      <c r="D35" s="24"/>
      <c r="E35" s="25">
        <f>D36-D34</f>
        <v>1.5</v>
      </c>
      <c r="F35" s="25"/>
      <c r="G35" s="26">
        <f>F36-F34</f>
        <v>1.5</v>
      </c>
      <c r="H35" s="24"/>
      <c r="I35" s="25">
        <f>H36-H34</f>
        <v>2</v>
      </c>
      <c r="J35" s="25"/>
      <c r="K35" s="26">
        <f>J36-J34</f>
        <v>2</v>
      </c>
    </row>
    <row r="36" spans="1:11" x14ac:dyDescent="0.4">
      <c r="A36">
        <v>5</v>
      </c>
      <c r="C36" t="s">
        <v>4</v>
      </c>
      <c r="D36" s="9">
        <f>_xlfn.QUARTILE.INC(A32:A38,2)</f>
        <v>4</v>
      </c>
      <c r="E36" s="10"/>
      <c r="F36" s="10">
        <f>MEDIAN(A32:A38)</f>
        <v>4</v>
      </c>
      <c r="G36" s="11"/>
      <c r="H36" s="9">
        <f>MEDIAN(A32:A38)</f>
        <v>4</v>
      </c>
      <c r="I36" s="10"/>
      <c r="J36" s="10">
        <f>_xlfn.QUARTILE.EXC(A32:A38,2)</f>
        <v>4</v>
      </c>
      <c r="K36" s="11"/>
    </row>
    <row r="37" spans="1:11" x14ac:dyDescent="0.4">
      <c r="A37">
        <v>6</v>
      </c>
      <c r="D37" s="9"/>
      <c r="E37" s="10">
        <f>D38-D36</f>
        <v>1.5</v>
      </c>
      <c r="F37" s="10"/>
      <c r="G37" s="11">
        <f>F38-F36</f>
        <v>1.5</v>
      </c>
      <c r="H37" s="9"/>
      <c r="I37" s="10">
        <f>H38-H36</f>
        <v>2</v>
      </c>
      <c r="J37" s="10"/>
      <c r="K37" s="11">
        <f>J38-J36</f>
        <v>2</v>
      </c>
    </row>
    <row r="38" spans="1:11" x14ac:dyDescent="0.4">
      <c r="A38">
        <v>7</v>
      </c>
      <c r="C38" t="s">
        <v>5</v>
      </c>
      <c r="D38" s="9">
        <f>_xlfn.QUARTILE.INC(A32:A38,3)</f>
        <v>5.5</v>
      </c>
      <c r="E38" s="10"/>
      <c r="F38" s="10">
        <f>MEDIAN(A35:A38)</f>
        <v>5.5</v>
      </c>
      <c r="G38" s="11"/>
      <c r="H38" s="9">
        <f>MEDIAN(A36:A38)</f>
        <v>6</v>
      </c>
      <c r="I38" s="10"/>
      <c r="J38" s="10">
        <f>_xlfn.QUARTILE.EXC(A32:A38,3)</f>
        <v>6</v>
      </c>
      <c r="K38" s="11"/>
    </row>
    <row r="39" spans="1:11" x14ac:dyDescent="0.4">
      <c r="D39" s="9"/>
      <c r="E39" s="10">
        <f>D40-D38</f>
        <v>1.5</v>
      </c>
      <c r="F39" s="10"/>
      <c r="G39" s="11">
        <f>F40-F38</f>
        <v>1.5</v>
      </c>
      <c r="H39" s="9"/>
      <c r="I39" s="10">
        <f>H40-H38</f>
        <v>1</v>
      </c>
      <c r="J39" s="10"/>
      <c r="K39" s="11">
        <f>J40-J38</f>
        <v>1</v>
      </c>
    </row>
    <row r="40" spans="1:11" x14ac:dyDescent="0.4">
      <c r="C40" t="s">
        <v>6</v>
      </c>
      <c r="D40" s="20">
        <f>_xlfn.QUARTILE.INC(A32:A38,4)</f>
        <v>7</v>
      </c>
      <c r="E40" s="22"/>
      <c r="F40" s="22">
        <f>MAX(A32:A38)</f>
        <v>7</v>
      </c>
      <c r="G40" s="23"/>
      <c r="H40" s="20">
        <f>MAX(A32:A38)</f>
        <v>7</v>
      </c>
      <c r="I40" s="22"/>
      <c r="J40" s="22">
        <f>MAX(A32:A38)</f>
        <v>7</v>
      </c>
      <c r="K40" s="2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1F9A-8CB8-4B82-9EE8-B4C5AA1B2FB1}">
  <dimension ref="A1:F20"/>
  <sheetViews>
    <sheetView tabSelected="1" workbookViewId="0"/>
  </sheetViews>
  <sheetFormatPr defaultRowHeight="18.75" x14ac:dyDescent="0.4"/>
  <cols>
    <col min="3" max="3" width="11" bestFit="1" customWidth="1"/>
    <col min="13" max="13" width="11" bestFit="1" customWidth="1"/>
  </cols>
  <sheetData>
    <row r="1" spans="1:6" ht="19.5" thickBot="1" x14ac:dyDescent="0.45"/>
    <row r="2" spans="1:6" x14ac:dyDescent="0.4">
      <c r="A2">
        <v>1</v>
      </c>
      <c r="D2" t="s">
        <v>9</v>
      </c>
      <c r="E2" t="s">
        <v>7</v>
      </c>
      <c r="F2" s="27" t="s">
        <v>8</v>
      </c>
    </row>
    <row r="3" spans="1:6" x14ac:dyDescent="0.4">
      <c r="A3">
        <v>2</v>
      </c>
      <c r="C3" t="s">
        <v>3</v>
      </c>
      <c r="D3">
        <v>3</v>
      </c>
      <c r="E3">
        <f>_xlfn.QUARTILE.INC(A2:A11,1)</f>
        <v>3</v>
      </c>
      <c r="F3" s="28">
        <f>_xlfn.QUARTILE.EXC(A2:A11,1)</f>
        <v>2.75</v>
      </c>
    </row>
    <row r="4" spans="1:6" x14ac:dyDescent="0.4">
      <c r="A4">
        <v>3</v>
      </c>
      <c r="C4" t="s">
        <v>11</v>
      </c>
      <c r="D4">
        <v>3.5</v>
      </c>
      <c r="E4">
        <f>_xlfn.QUARTILE.INC(A2:A11,2)</f>
        <v>3.5</v>
      </c>
      <c r="F4" s="28">
        <f>_xlfn.QUARTILE.EXC(A2:A11,2)</f>
        <v>3.5</v>
      </c>
    </row>
    <row r="5" spans="1:6" x14ac:dyDescent="0.4">
      <c r="A5">
        <v>3</v>
      </c>
      <c r="C5" t="s">
        <v>5</v>
      </c>
      <c r="D5">
        <v>5</v>
      </c>
      <c r="E5">
        <f>_xlfn.QUARTILE.INC(A2:A11,3)</f>
        <v>4.75</v>
      </c>
      <c r="F5" s="28">
        <f>_xlfn.QUARTILE.EXC(A2:A11,3)</f>
        <v>5.25</v>
      </c>
    </row>
    <row r="6" spans="1:6" x14ac:dyDescent="0.4">
      <c r="A6">
        <v>3</v>
      </c>
      <c r="F6" s="28"/>
    </row>
    <row r="7" spans="1:6" ht="19.5" thickBot="1" x14ac:dyDescent="0.45">
      <c r="A7">
        <v>4</v>
      </c>
      <c r="C7" t="s">
        <v>12</v>
      </c>
      <c r="D7">
        <f>D5-D3</f>
        <v>2</v>
      </c>
      <c r="E7">
        <f>E5-E3</f>
        <v>1.75</v>
      </c>
      <c r="F7" s="29">
        <f>F5-F3</f>
        <v>2.5</v>
      </c>
    </row>
    <row r="8" spans="1:6" x14ac:dyDescent="0.4">
      <c r="A8">
        <v>4</v>
      </c>
      <c r="F8" s="30" t="s">
        <v>13</v>
      </c>
    </row>
    <row r="9" spans="1:6" x14ac:dyDescent="0.4">
      <c r="A9">
        <v>5</v>
      </c>
      <c r="F9" s="31" t="s">
        <v>14</v>
      </c>
    </row>
    <row r="10" spans="1:6" x14ac:dyDescent="0.4">
      <c r="A10">
        <v>6</v>
      </c>
      <c r="F10" s="31" t="s">
        <v>15</v>
      </c>
    </row>
    <row r="11" spans="1:6" x14ac:dyDescent="0.4">
      <c r="A11">
        <v>14</v>
      </c>
      <c r="F11" s="31" t="s">
        <v>18</v>
      </c>
    </row>
    <row r="12" spans="1:6" x14ac:dyDescent="0.4">
      <c r="F12" s="31" t="s">
        <v>19</v>
      </c>
    </row>
    <row r="13" spans="1:6" x14ac:dyDescent="0.4">
      <c r="F13" s="31" t="s">
        <v>16</v>
      </c>
    </row>
    <row r="14" spans="1:6" x14ac:dyDescent="0.4">
      <c r="F14" s="31" t="s">
        <v>17</v>
      </c>
    </row>
    <row r="15" spans="1:6" x14ac:dyDescent="0.4">
      <c r="F15" s="30"/>
    </row>
    <row r="16" spans="1:6" x14ac:dyDescent="0.4">
      <c r="F16" s="30"/>
    </row>
    <row r="17" spans="6:6" x14ac:dyDescent="0.4">
      <c r="F17" s="30"/>
    </row>
    <row r="18" spans="6:6" x14ac:dyDescent="0.4">
      <c r="F18" s="30"/>
    </row>
    <row r="19" spans="6:6" x14ac:dyDescent="0.4">
      <c r="F19" s="30"/>
    </row>
    <row r="20" spans="6:6" x14ac:dyDescent="0.4">
      <c r="F20" s="30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外れ値基準</vt:lpstr>
      <vt:lpstr>四分位数</vt:lpstr>
      <vt:lpstr>箱ひげ図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2022-10-12T07:47:17Z</dcterms:created>
  <dcterms:modified xsi:type="dcterms:W3CDTF">2022-10-18T00:55:12Z</dcterms:modified>
</cp:coreProperties>
</file>