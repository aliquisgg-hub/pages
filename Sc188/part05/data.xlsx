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ocuments\wwws\Sc188\part05\"/>
    </mc:Choice>
  </mc:AlternateContent>
  <xr:revisionPtr revIDLastSave="0" documentId="13_ncr:1_{6F0B24A1-06CD-4894-95A5-8AE652E9409E}" xr6:coauthVersionLast="47" xr6:coauthVersionMax="47" xr10:uidLastSave="{00000000-0000-0000-0000-000000000000}"/>
  <bookViews>
    <workbookView xWindow="1545" yWindow="3300" windowWidth="23325" windowHeight="10905" activeTab="2" xr2:uid="{00000000-000D-0000-FFFF-FFFF00000000}"/>
  </bookViews>
  <sheets>
    <sheet name="神戸8月最高気温" sheetId="1" r:id="rId1"/>
    <sheet name="神戸2月最低気温" sheetId="2" r:id="rId2"/>
    <sheet name="iris" sheetId="3" r:id="rId3"/>
    <sheet name="Sheet2" sheetId="5" r:id="rId4"/>
  </sheets>
  <definedNames>
    <definedName name="_xlchart.v1.0" hidden="1">iris!$C$1</definedName>
    <definedName name="_xlchart.v1.1" hidden="1">iris!$C$2:$C$151</definedName>
    <definedName name="_xlchart.v1.2" hidden="1">iris!$A$1</definedName>
    <definedName name="_xlchart.v1.3" hidden="1">iris!$A$2:$A$151</definedName>
    <definedName name="_xlchart.v1.4" hidden="1">iris!$B$1</definedName>
    <definedName name="_xlchart.v1.5" hidden="1">iris!$B$2:$B$151</definedName>
    <definedName name="_xlchart.v1.6" hidden="1">iris!$C$1</definedName>
    <definedName name="_xlchart.v1.7" hidden="1">iris!$C$2:$C$151</definedName>
    <definedName name="_xlchart.v1.8" hidden="1">iris!$D$1</definedName>
    <definedName name="_xlchart.v1.9" hidden="1">iris!$D$2:$D$151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2" l="1" a="1"/>
  <c r="I4" i="2" s="1"/>
  <c r="G71" i="2" l="1"/>
  <c r="G81" i="2"/>
  <c r="G89" i="2"/>
  <c r="G97" i="2"/>
  <c r="G107" i="2"/>
  <c r="G12" i="2"/>
  <c r="F12" i="2" s="1"/>
  <c r="G20" i="2"/>
  <c r="F20" i="2" s="1"/>
  <c r="G28" i="2"/>
  <c r="F28" i="2" s="1"/>
  <c r="G36" i="2"/>
  <c r="F36" i="2" s="1"/>
  <c r="G44" i="2"/>
  <c r="F44" i="2" s="1"/>
  <c r="G52" i="2"/>
  <c r="F52" i="2" s="1"/>
  <c r="G60" i="2"/>
  <c r="F60" i="2" s="1"/>
  <c r="G68" i="2"/>
  <c r="F68" i="2" s="1"/>
  <c r="G76" i="2"/>
  <c r="F76" i="2" s="1"/>
  <c r="G84" i="2"/>
  <c r="F84" i="2" s="1"/>
  <c r="G92" i="2"/>
  <c r="F92" i="2" s="1"/>
  <c r="G100" i="2"/>
  <c r="F100" i="2" s="1"/>
  <c r="G108" i="2"/>
  <c r="F108" i="2" s="1"/>
  <c r="G116" i="2"/>
  <c r="F116" i="2" s="1"/>
  <c r="G124" i="2"/>
  <c r="F124" i="2" s="1"/>
  <c r="G132" i="2"/>
  <c r="F132" i="2" s="1"/>
  <c r="G140" i="2"/>
  <c r="F140" i="2" s="1"/>
  <c r="G148" i="2"/>
  <c r="F148" i="2" s="1"/>
  <c r="G156" i="2"/>
  <c r="F156" i="2" s="1"/>
  <c r="G164" i="2"/>
  <c r="F164" i="2" s="1"/>
  <c r="J4" i="2"/>
  <c r="H164" i="2"/>
  <c r="H156" i="2"/>
  <c r="H148" i="2"/>
  <c r="H140" i="2"/>
  <c r="H132" i="2"/>
  <c r="H124" i="2"/>
  <c r="H116" i="2"/>
  <c r="H100" i="2"/>
  <c r="H92" i="2"/>
  <c r="H84" i="2"/>
  <c r="H76" i="2"/>
  <c r="H68" i="2"/>
  <c r="H60" i="2"/>
  <c r="H52" i="2"/>
  <c r="H44" i="2"/>
  <c r="H36" i="2"/>
  <c r="H28" i="2"/>
  <c r="H20" i="2"/>
  <c r="H12" i="2"/>
  <c r="G113" i="2" l="1"/>
  <c r="G117" i="2"/>
  <c r="G121" i="2"/>
  <c r="G125" i="2"/>
  <c r="G129" i="2"/>
  <c r="G133" i="2"/>
  <c r="G137" i="2"/>
  <c r="G141" i="2"/>
  <c r="G145" i="2"/>
  <c r="G149" i="2"/>
  <c r="G153" i="2"/>
  <c r="G157" i="2"/>
  <c r="G161" i="2"/>
  <c r="G165" i="2"/>
  <c r="G7" i="2"/>
  <c r="G119" i="2"/>
  <c r="G135" i="2"/>
  <c r="G151" i="2"/>
  <c r="G167" i="2"/>
  <c r="G123" i="2"/>
  <c r="G139" i="2"/>
  <c r="G155" i="2"/>
  <c r="G127" i="2"/>
  <c r="G143" i="2"/>
  <c r="G159" i="2"/>
  <c r="G115" i="2"/>
  <c r="G131" i="2"/>
  <c r="G147" i="2"/>
  <c r="G163" i="2"/>
  <c r="G160" i="2"/>
  <c r="G152" i="2"/>
  <c r="G144" i="2"/>
  <c r="G136" i="2"/>
  <c r="G128" i="2"/>
  <c r="G120" i="2"/>
  <c r="G112" i="2"/>
  <c r="G104" i="2"/>
  <c r="G96" i="2"/>
  <c r="G88" i="2"/>
  <c r="G80" i="2"/>
  <c r="G72" i="2"/>
  <c r="G64" i="2"/>
  <c r="G56" i="2"/>
  <c r="G48" i="2"/>
  <c r="G40" i="2"/>
  <c r="G32" i="2"/>
  <c r="G24" i="2"/>
  <c r="G16" i="2"/>
  <c r="G8" i="2"/>
  <c r="G103" i="2"/>
  <c r="G93" i="2"/>
  <c r="G85" i="2"/>
  <c r="G77" i="2"/>
  <c r="G67" i="2"/>
  <c r="G59" i="2"/>
  <c r="G51" i="2"/>
  <c r="G43" i="2"/>
  <c r="G35" i="2"/>
  <c r="G27" i="2"/>
  <c r="G19" i="2"/>
  <c r="G11" i="2"/>
  <c r="G75" i="2"/>
  <c r="G166" i="2"/>
  <c r="G158" i="2"/>
  <c r="G150" i="2"/>
  <c r="G142" i="2"/>
  <c r="G134" i="2"/>
  <c r="G126" i="2"/>
  <c r="G118" i="2"/>
  <c r="G110" i="2"/>
  <c r="G102" i="2"/>
  <c r="G94" i="2"/>
  <c r="G86" i="2"/>
  <c r="G78" i="2"/>
  <c r="G70" i="2"/>
  <c r="G62" i="2"/>
  <c r="G54" i="2"/>
  <c r="G46" i="2"/>
  <c r="G38" i="2"/>
  <c r="G30" i="2"/>
  <c r="G22" i="2"/>
  <c r="G14" i="2"/>
  <c r="G111" i="2"/>
  <c r="G101" i="2"/>
  <c r="G91" i="2"/>
  <c r="G83" i="2"/>
  <c r="G73" i="2"/>
  <c r="G65" i="2"/>
  <c r="G57" i="2"/>
  <c r="G49" i="2"/>
  <c r="G41" i="2"/>
  <c r="G33" i="2"/>
  <c r="G25" i="2"/>
  <c r="G17" i="2"/>
  <c r="G9" i="2"/>
  <c r="H108" i="2"/>
  <c r="F107" i="2"/>
  <c r="H107" i="2"/>
  <c r="F97" i="2"/>
  <c r="H97" i="2"/>
  <c r="F89" i="2"/>
  <c r="H89" i="2"/>
  <c r="F81" i="2"/>
  <c r="H81" i="2"/>
  <c r="F71" i="2"/>
  <c r="H71" i="2"/>
  <c r="G63" i="2"/>
  <c r="G55" i="2"/>
  <c r="G47" i="2"/>
  <c r="G39" i="2"/>
  <c r="G31" i="2"/>
  <c r="G23" i="2"/>
  <c r="G15" i="2"/>
  <c r="G109" i="2"/>
  <c r="G162" i="2"/>
  <c r="G154" i="2"/>
  <c r="G146" i="2"/>
  <c r="G138" i="2"/>
  <c r="G130" i="2"/>
  <c r="G122" i="2"/>
  <c r="G114" i="2"/>
  <c r="G106" i="2"/>
  <c r="G98" i="2"/>
  <c r="G90" i="2"/>
  <c r="G82" i="2"/>
  <c r="G74" i="2"/>
  <c r="G66" i="2"/>
  <c r="G58" i="2"/>
  <c r="G50" i="2"/>
  <c r="G42" i="2"/>
  <c r="G34" i="2"/>
  <c r="G26" i="2"/>
  <c r="G18" i="2"/>
  <c r="G10" i="2"/>
  <c r="G105" i="2"/>
  <c r="G95" i="2"/>
  <c r="G87" i="2"/>
  <c r="G79" i="2"/>
  <c r="G69" i="2"/>
  <c r="G61" i="2"/>
  <c r="G53" i="2"/>
  <c r="G45" i="2"/>
  <c r="G37" i="2"/>
  <c r="G29" i="2"/>
  <c r="G21" i="2"/>
  <c r="G13" i="2"/>
  <c r="G99" i="2"/>
  <c r="H82" i="2" l="1"/>
  <c r="F82" i="2"/>
  <c r="F11" i="2"/>
  <c r="H11" i="2"/>
  <c r="F21" i="2"/>
  <c r="H21" i="2"/>
  <c r="F53" i="2"/>
  <c r="H53" i="2"/>
  <c r="F87" i="2"/>
  <c r="H87" i="2"/>
  <c r="H18" i="2"/>
  <c r="F18" i="2"/>
  <c r="H50" i="2"/>
  <c r="F50" i="2"/>
  <c r="H114" i="2"/>
  <c r="F114" i="2"/>
  <c r="H146" i="2"/>
  <c r="F146" i="2"/>
  <c r="F15" i="2"/>
  <c r="H15" i="2"/>
  <c r="F47" i="2"/>
  <c r="H47" i="2"/>
  <c r="F25" i="2"/>
  <c r="H25" i="2"/>
  <c r="F57" i="2"/>
  <c r="H57" i="2"/>
  <c r="F91" i="2"/>
  <c r="H91" i="2"/>
  <c r="H22" i="2"/>
  <c r="F22" i="2"/>
  <c r="H54" i="2"/>
  <c r="F54" i="2"/>
  <c r="H86" i="2"/>
  <c r="F86" i="2"/>
  <c r="H118" i="2"/>
  <c r="F118" i="2"/>
  <c r="H150" i="2"/>
  <c r="F150" i="2"/>
  <c r="F43" i="2"/>
  <c r="H43" i="2"/>
  <c r="F77" i="2"/>
  <c r="H77" i="2"/>
  <c r="F8" i="2"/>
  <c r="H8" i="2"/>
  <c r="F40" i="2"/>
  <c r="H40" i="2"/>
  <c r="F72" i="2"/>
  <c r="H72" i="2"/>
  <c r="F104" i="2"/>
  <c r="H104" i="2"/>
  <c r="F136" i="2"/>
  <c r="H136" i="2"/>
  <c r="F163" i="2"/>
  <c r="H163" i="2"/>
  <c r="F159" i="2"/>
  <c r="H159" i="2"/>
  <c r="F139" i="2"/>
  <c r="H139" i="2"/>
  <c r="F135" i="2"/>
  <c r="H135" i="2"/>
  <c r="F161" i="2"/>
  <c r="H161" i="2"/>
  <c r="F145" i="2"/>
  <c r="H145" i="2"/>
  <c r="F129" i="2"/>
  <c r="H129" i="2"/>
  <c r="F113" i="2"/>
  <c r="H113" i="2"/>
  <c r="F29" i="2"/>
  <c r="H29" i="2"/>
  <c r="F61" i="2"/>
  <c r="H61" i="2"/>
  <c r="F95" i="2"/>
  <c r="H95" i="2"/>
  <c r="H26" i="2"/>
  <c r="F26" i="2"/>
  <c r="H58" i="2"/>
  <c r="F58" i="2"/>
  <c r="H90" i="2"/>
  <c r="F90" i="2"/>
  <c r="H122" i="2"/>
  <c r="F122" i="2"/>
  <c r="H154" i="2"/>
  <c r="F154" i="2"/>
  <c r="F23" i="2"/>
  <c r="H23" i="2"/>
  <c r="F55" i="2"/>
  <c r="H55" i="2"/>
  <c r="F33" i="2"/>
  <c r="H33" i="2"/>
  <c r="F65" i="2"/>
  <c r="H65" i="2"/>
  <c r="F101" i="2"/>
  <c r="H101" i="2"/>
  <c r="H30" i="2"/>
  <c r="F30" i="2"/>
  <c r="H62" i="2"/>
  <c r="F62" i="2"/>
  <c r="H94" i="2"/>
  <c r="F94" i="2"/>
  <c r="H126" i="2"/>
  <c r="F126" i="2"/>
  <c r="H158" i="2"/>
  <c r="F158" i="2"/>
  <c r="F19" i="2"/>
  <c r="H19" i="2"/>
  <c r="F51" i="2"/>
  <c r="H51" i="2"/>
  <c r="F85" i="2"/>
  <c r="H85" i="2"/>
  <c r="F16" i="2"/>
  <c r="H16" i="2"/>
  <c r="F48" i="2"/>
  <c r="H48" i="2"/>
  <c r="F80" i="2"/>
  <c r="H80" i="2"/>
  <c r="F112" i="2"/>
  <c r="H112" i="2"/>
  <c r="F144" i="2"/>
  <c r="H144" i="2"/>
  <c r="F147" i="2"/>
  <c r="H147" i="2"/>
  <c r="F143" i="2"/>
  <c r="H143" i="2"/>
  <c r="F123" i="2"/>
  <c r="H123" i="2"/>
  <c r="F119" i="2"/>
  <c r="H119" i="2"/>
  <c r="F157" i="2"/>
  <c r="H157" i="2"/>
  <c r="F141" i="2"/>
  <c r="H141" i="2"/>
  <c r="F125" i="2"/>
  <c r="H125" i="2"/>
  <c r="F99" i="2"/>
  <c r="H99" i="2"/>
  <c r="F37" i="2"/>
  <c r="H37" i="2"/>
  <c r="F69" i="2"/>
  <c r="H69" i="2"/>
  <c r="F105" i="2"/>
  <c r="H105" i="2"/>
  <c r="H34" i="2"/>
  <c r="F34" i="2"/>
  <c r="H66" i="2"/>
  <c r="F66" i="2"/>
  <c r="H98" i="2"/>
  <c r="F98" i="2"/>
  <c r="H130" i="2"/>
  <c r="F130" i="2"/>
  <c r="H162" i="2"/>
  <c r="F162" i="2"/>
  <c r="F31" i="2"/>
  <c r="H31" i="2"/>
  <c r="F63" i="2"/>
  <c r="H63" i="2"/>
  <c r="F9" i="2"/>
  <c r="H9" i="2"/>
  <c r="F41" i="2"/>
  <c r="H41" i="2"/>
  <c r="F73" i="2"/>
  <c r="H73" i="2"/>
  <c r="F111" i="2"/>
  <c r="H111" i="2"/>
  <c r="H38" i="2"/>
  <c r="F38" i="2"/>
  <c r="H70" i="2"/>
  <c r="F70" i="2"/>
  <c r="H102" i="2"/>
  <c r="F102" i="2"/>
  <c r="H134" i="2"/>
  <c r="F134" i="2"/>
  <c r="H166" i="2"/>
  <c r="F166" i="2"/>
  <c r="F27" i="2"/>
  <c r="H27" i="2"/>
  <c r="F59" i="2"/>
  <c r="H59" i="2"/>
  <c r="F93" i="2"/>
  <c r="H93" i="2"/>
  <c r="F24" i="2"/>
  <c r="H24" i="2"/>
  <c r="F56" i="2"/>
  <c r="H56" i="2"/>
  <c r="F88" i="2"/>
  <c r="H88" i="2"/>
  <c r="F120" i="2"/>
  <c r="H120" i="2"/>
  <c r="F152" i="2"/>
  <c r="H152" i="2"/>
  <c r="F131" i="2"/>
  <c r="H131" i="2"/>
  <c r="F127" i="2"/>
  <c r="H127" i="2"/>
  <c r="F167" i="2"/>
  <c r="H167" i="2"/>
  <c r="F7" i="2"/>
  <c r="H7" i="2"/>
  <c r="F153" i="2"/>
  <c r="H153" i="2"/>
  <c r="F137" i="2"/>
  <c r="H137" i="2"/>
  <c r="F121" i="2"/>
  <c r="H121" i="2"/>
  <c r="F13" i="2"/>
  <c r="H13" i="2"/>
  <c r="F45" i="2"/>
  <c r="H45" i="2"/>
  <c r="F79" i="2"/>
  <c r="H79" i="2"/>
  <c r="H10" i="2"/>
  <c r="F10" i="2"/>
  <c r="H42" i="2"/>
  <c r="F42" i="2"/>
  <c r="H74" i="2"/>
  <c r="F74" i="2"/>
  <c r="H106" i="2"/>
  <c r="F106" i="2"/>
  <c r="H138" i="2"/>
  <c r="F138" i="2"/>
  <c r="F109" i="2"/>
  <c r="H109" i="2"/>
  <c r="F39" i="2"/>
  <c r="H39" i="2"/>
  <c r="F17" i="2"/>
  <c r="H17" i="2"/>
  <c r="F49" i="2"/>
  <c r="H49" i="2"/>
  <c r="F83" i="2"/>
  <c r="H83" i="2"/>
  <c r="H14" i="2"/>
  <c r="F14" i="2"/>
  <c r="H46" i="2"/>
  <c r="F46" i="2"/>
  <c r="H78" i="2"/>
  <c r="F78" i="2"/>
  <c r="H110" i="2"/>
  <c r="F110" i="2"/>
  <c r="H142" i="2"/>
  <c r="F142" i="2"/>
  <c r="F75" i="2"/>
  <c r="H75" i="2"/>
  <c r="F35" i="2"/>
  <c r="H35" i="2"/>
  <c r="F67" i="2"/>
  <c r="H67" i="2"/>
  <c r="F103" i="2"/>
  <c r="H103" i="2"/>
  <c r="F32" i="2"/>
  <c r="H32" i="2"/>
  <c r="F64" i="2"/>
  <c r="H64" i="2"/>
  <c r="F96" i="2"/>
  <c r="H96" i="2"/>
  <c r="F128" i="2"/>
  <c r="H128" i="2"/>
  <c r="F160" i="2"/>
  <c r="H160" i="2"/>
  <c r="F115" i="2"/>
  <c r="H115" i="2"/>
  <c r="F155" i="2"/>
  <c r="H155" i="2"/>
  <c r="F151" i="2"/>
  <c r="H151" i="2"/>
  <c r="F165" i="2"/>
  <c r="H165" i="2"/>
  <c r="F149" i="2"/>
  <c r="H149" i="2"/>
  <c r="F133" i="2"/>
  <c r="H133" i="2"/>
  <c r="F117" i="2"/>
  <c r="H117" i="2"/>
</calcChain>
</file>

<file path=xl/sharedStrings.xml><?xml version="1.0" encoding="utf-8"?>
<sst xmlns="http://schemas.openxmlformats.org/spreadsheetml/2006/main" count="200" uniqueCount="40">
  <si>
    <t>ダウンロードした時刻：2022/10/02 13:57:24</t>
  </si>
  <si>
    <t>神戸</t>
  </si>
  <si>
    <t>年</t>
  </si>
  <si>
    <t>月</t>
  </si>
  <si>
    <t>最高気温(℃)</t>
  </si>
  <si>
    <t>品質情報</t>
  </si>
  <si>
    <t>均質番号</t>
  </si>
  <si>
    <t>最低気温(℃)</t>
  </si>
  <si>
    <t>ダウンロードした時刻：2022/10/02 14:12:04</t>
  </si>
  <si>
    <t>Virginica</t>
  </si>
  <si>
    <t>Versicolor</t>
  </si>
  <si>
    <t>Setosa</t>
  </si>
  <si>
    <t>variety</t>
  </si>
  <si>
    <t>グラフ3　アヤメの花弁の長さの分布 (cm)</t>
    <rPh sb="9" eb="11">
      <t>カベン</t>
    </rPh>
    <rPh sb="12" eb="13">
      <t>ナガ</t>
    </rPh>
    <rPh sb="15" eb="17">
      <t>ブンプ</t>
    </rPh>
    <phoneticPr fontId="18"/>
  </si>
  <si>
    <t>がくの長さ</t>
  </si>
  <si>
    <t>がくの長さ</t>
    <rPh sb="3" eb="4">
      <t>ナガ</t>
    </rPh>
    <phoneticPr fontId="18"/>
  </si>
  <si>
    <t>がくの幅</t>
  </si>
  <si>
    <t>がくの幅</t>
    <rPh sb="3" eb="4">
      <t>ハバ</t>
    </rPh>
    <phoneticPr fontId="18"/>
  </si>
  <si>
    <t>花弁の長さ</t>
  </si>
  <si>
    <t>花弁の長さ</t>
    <rPh sb="0" eb="2">
      <t>カベン</t>
    </rPh>
    <rPh sb="3" eb="4">
      <t>ナガ</t>
    </rPh>
    <phoneticPr fontId="18"/>
  </si>
  <si>
    <t>花弁の幅</t>
  </si>
  <si>
    <t>花弁の幅</t>
    <rPh sb="0" eb="2">
      <t>カベン</t>
    </rPh>
    <rPh sb="3" eb="4">
      <t>ハバ</t>
    </rPh>
    <phoneticPr fontId="18"/>
  </si>
  <si>
    <t>グラフ4　アヤメの{がく/花弁}の{長さ/幅}の分布 (cm)</t>
    <rPh sb="13" eb="15">
      <t>カベン</t>
    </rPh>
    <rPh sb="18" eb="19">
      <t>ナガ</t>
    </rPh>
    <rPh sb="21" eb="22">
      <t>ハバ</t>
    </rPh>
    <rPh sb="24" eb="26">
      <t>ブンプ</t>
    </rPh>
    <phoneticPr fontId="18"/>
  </si>
  <si>
    <t>平均</t>
  </si>
  <si>
    <t>標準誤差</t>
  </si>
  <si>
    <t>中央値 （メジアン）</t>
  </si>
  <si>
    <t>最頻値 （モード）</t>
  </si>
  <si>
    <t>標準偏差</t>
  </si>
  <si>
    <t>分散</t>
  </si>
  <si>
    <t>尖度</t>
  </si>
  <si>
    <t>歪度</t>
  </si>
  <si>
    <t>範囲</t>
  </si>
  <si>
    <t>最小</t>
  </si>
  <si>
    <t>最大</t>
  </si>
  <si>
    <t>合計</t>
  </si>
  <si>
    <t>データの個数</t>
  </si>
  <si>
    <t>A</t>
    <phoneticPr fontId="18"/>
  </si>
  <si>
    <t>B</t>
    <phoneticPr fontId="18"/>
  </si>
  <si>
    <t>P</t>
    <phoneticPr fontId="18"/>
  </si>
  <si>
    <t>Q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</si>
</sst>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8</a:t>
            </a:r>
            <a:r>
              <a:rPr lang="ja-JP" altLang="en-US"/>
              <a:t>月の最高気温（神戸市）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1329476043197238"/>
          <c:y val="0.19789341272591976"/>
          <c:w val="0.79788159692856808"/>
          <c:h val="0.62472579634768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神戸8月最高気温!$C$4</c:f>
              <c:strCache>
                <c:ptCount val="1"/>
                <c:pt idx="0">
                  <c:v>最高気温(℃)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forward val="28"/>
            <c:backward val="7"/>
            <c:dispRSqr val="0"/>
            <c:dispEq val="0"/>
          </c:trendline>
          <c:xVal>
            <c:numRef>
              <c:f>神戸8月最高気温!$A$7:$A$132</c:f>
              <c:numCache>
                <c:formatCode>General</c:formatCode>
                <c:ptCount val="126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</c:numCache>
            </c:numRef>
          </c:xVal>
          <c:yVal>
            <c:numRef>
              <c:f>神戸8月最高気温!$C$7:$C$132</c:f>
              <c:numCache>
                <c:formatCode>General</c:formatCode>
                <c:ptCount val="126"/>
                <c:pt idx="0">
                  <c:v>34.4</c:v>
                </c:pt>
                <c:pt idx="1">
                  <c:v>36</c:v>
                </c:pt>
                <c:pt idx="2">
                  <c:v>33.5</c:v>
                </c:pt>
                <c:pt idx="3">
                  <c:v>35.299999999999997</c:v>
                </c:pt>
                <c:pt idx="4">
                  <c:v>34.700000000000003</c:v>
                </c:pt>
                <c:pt idx="5">
                  <c:v>32.799999999999997</c:v>
                </c:pt>
                <c:pt idx="6">
                  <c:v>36.1</c:v>
                </c:pt>
                <c:pt idx="7">
                  <c:v>35.5</c:v>
                </c:pt>
                <c:pt idx="8">
                  <c:v>32.1</c:v>
                </c:pt>
                <c:pt idx="9">
                  <c:v>35.4</c:v>
                </c:pt>
                <c:pt idx="10">
                  <c:v>34.6</c:v>
                </c:pt>
                <c:pt idx="11">
                  <c:v>35.4</c:v>
                </c:pt>
                <c:pt idx="12">
                  <c:v>36.5</c:v>
                </c:pt>
                <c:pt idx="13">
                  <c:v>34.700000000000003</c:v>
                </c:pt>
                <c:pt idx="14">
                  <c:v>33.6</c:v>
                </c:pt>
                <c:pt idx="15">
                  <c:v>34.200000000000003</c:v>
                </c:pt>
                <c:pt idx="16">
                  <c:v>35</c:v>
                </c:pt>
                <c:pt idx="17">
                  <c:v>37.6</c:v>
                </c:pt>
                <c:pt idx="18">
                  <c:v>36.1</c:v>
                </c:pt>
                <c:pt idx="19">
                  <c:v>35.1</c:v>
                </c:pt>
                <c:pt idx="20">
                  <c:v>35.700000000000003</c:v>
                </c:pt>
                <c:pt idx="21">
                  <c:v>35.5</c:v>
                </c:pt>
                <c:pt idx="22">
                  <c:v>33.1</c:v>
                </c:pt>
                <c:pt idx="23">
                  <c:v>33.1</c:v>
                </c:pt>
                <c:pt idx="24">
                  <c:v>35.9</c:v>
                </c:pt>
                <c:pt idx="25">
                  <c:v>36.4</c:v>
                </c:pt>
                <c:pt idx="26">
                  <c:v>35.799999999999997</c:v>
                </c:pt>
                <c:pt idx="27">
                  <c:v>36.700000000000003</c:v>
                </c:pt>
                <c:pt idx="28">
                  <c:v>34.1</c:v>
                </c:pt>
                <c:pt idx="29">
                  <c:v>35.700000000000003</c:v>
                </c:pt>
                <c:pt idx="30">
                  <c:v>32.9</c:v>
                </c:pt>
                <c:pt idx="31">
                  <c:v>33.200000000000003</c:v>
                </c:pt>
                <c:pt idx="32">
                  <c:v>37.4</c:v>
                </c:pt>
                <c:pt idx="33">
                  <c:v>36.200000000000003</c:v>
                </c:pt>
                <c:pt idx="34">
                  <c:v>34.799999999999997</c:v>
                </c:pt>
                <c:pt idx="35">
                  <c:v>34.1</c:v>
                </c:pt>
                <c:pt idx="36">
                  <c:v>33.700000000000003</c:v>
                </c:pt>
                <c:pt idx="37">
                  <c:v>36</c:v>
                </c:pt>
                <c:pt idx="38">
                  <c:v>36.4</c:v>
                </c:pt>
                <c:pt idx="39">
                  <c:v>33.6</c:v>
                </c:pt>
                <c:pt idx="40">
                  <c:v>35</c:v>
                </c:pt>
                <c:pt idx="41">
                  <c:v>32.700000000000003</c:v>
                </c:pt>
                <c:pt idx="42">
                  <c:v>34.799999999999997</c:v>
                </c:pt>
                <c:pt idx="43">
                  <c:v>34.299999999999997</c:v>
                </c:pt>
                <c:pt idx="44">
                  <c:v>33.299999999999997</c:v>
                </c:pt>
                <c:pt idx="45">
                  <c:v>36.700000000000003</c:v>
                </c:pt>
                <c:pt idx="46">
                  <c:v>33.299999999999997</c:v>
                </c:pt>
                <c:pt idx="47">
                  <c:v>34.4</c:v>
                </c:pt>
                <c:pt idx="48">
                  <c:v>34.9</c:v>
                </c:pt>
                <c:pt idx="49">
                  <c:v>33.1</c:v>
                </c:pt>
                <c:pt idx="50">
                  <c:v>35.799999999999997</c:v>
                </c:pt>
                <c:pt idx="51">
                  <c:v>34.1</c:v>
                </c:pt>
                <c:pt idx="52">
                  <c:v>33.799999999999997</c:v>
                </c:pt>
                <c:pt idx="53">
                  <c:v>33.6</c:v>
                </c:pt>
                <c:pt idx="54">
                  <c:v>35</c:v>
                </c:pt>
                <c:pt idx="55">
                  <c:v>34.5</c:v>
                </c:pt>
                <c:pt idx="56">
                  <c:v>34.200000000000003</c:v>
                </c:pt>
                <c:pt idx="57">
                  <c:v>35</c:v>
                </c:pt>
                <c:pt idx="58">
                  <c:v>33.5</c:v>
                </c:pt>
                <c:pt idx="59">
                  <c:v>36.4</c:v>
                </c:pt>
                <c:pt idx="60">
                  <c:v>33.4</c:v>
                </c:pt>
                <c:pt idx="61">
                  <c:v>34</c:v>
                </c:pt>
                <c:pt idx="62">
                  <c:v>36.200000000000003</c:v>
                </c:pt>
                <c:pt idx="63">
                  <c:v>36.200000000000003</c:v>
                </c:pt>
                <c:pt idx="64">
                  <c:v>34.9</c:v>
                </c:pt>
                <c:pt idx="65">
                  <c:v>34.299999999999997</c:v>
                </c:pt>
                <c:pt idx="66">
                  <c:v>34</c:v>
                </c:pt>
                <c:pt idx="67">
                  <c:v>35.799999999999997</c:v>
                </c:pt>
                <c:pt idx="68">
                  <c:v>34.5</c:v>
                </c:pt>
                <c:pt idx="69">
                  <c:v>36.299999999999997</c:v>
                </c:pt>
                <c:pt idx="70">
                  <c:v>34.6</c:v>
                </c:pt>
                <c:pt idx="71">
                  <c:v>33.799999999999997</c:v>
                </c:pt>
                <c:pt idx="72">
                  <c:v>34.4</c:v>
                </c:pt>
                <c:pt idx="73">
                  <c:v>35.6</c:v>
                </c:pt>
                <c:pt idx="74">
                  <c:v>35.1</c:v>
                </c:pt>
                <c:pt idx="75">
                  <c:v>36.200000000000003</c:v>
                </c:pt>
                <c:pt idx="76">
                  <c:v>35.799999999999997</c:v>
                </c:pt>
                <c:pt idx="77">
                  <c:v>35.4</c:v>
                </c:pt>
                <c:pt idx="78">
                  <c:v>34</c:v>
                </c:pt>
                <c:pt idx="79">
                  <c:v>33.700000000000003</c:v>
                </c:pt>
                <c:pt idx="80">
                  <c:v>35.1</c:v>
                </c:pt>
                <c:pt idx="81">
                  <c:v>35.5</c:v>
                </c:pt>
                <c:pt idx="82">
                  <c:v>34.799999999999997</c:v>
                </c:pt>
                <c:pt idx="83">
                  <c:v>32.299999999999997</c:v>
                </c:pt>
                <c:pt idx="84">
                  <c:v>34.799999999999997</c:v>
                </c:pt>
                <c:pt idx="85">
                  <c:v>33.200000000000003</c:v>
                </c:pt>
                <c:pt idx="86">
                  <c:v>36</c:v>
                </c:pt>
                <c:pt idx="87">
                  <c:v>35.700000000000003</c:v>
                </c:pt>
                <c:pt idx="88">
                  <c:v>35.9</c:v>
                </c:pt>
                <c:pt idx="89">
                  <c:v>35.1</c:v>
                </c:pt>
                <c:pt idx="90">
                  <c:v>33.6</c:v>
                </c:pt>
                <c:pt idx="91">
                  <c:v>34.5</c:v>
                </c:pt>
                <c:pt idx="92">
                  <c:v>33.6</c:v>
                </c:pt>
                <c:pt idx="93">
                  <c:v>36.5</c:v>
                </c:pt>
                <c:pt idx="94">
                  <c:v>36.9</c:v>
                </c:pt>
                <c:pt idx="95">
                  <c:v>34.1</c:v>
                </c:pt>
                <c:pt idx="96">
                  <c:v>33.200000000000003</c:v>
                </c:pt>
                <c:pt idx="97">
                  <c:v>38.799999999999997</c:v>
                </c:pt>
                <c:pt idx="98">
                  <c:v>35.700000000000003</c:v>
                </c:pt>
                <c:pt idx="99">
                  <c:v>36</c:v>
                </c:pt>
                <c:pt idx="100">
                  <c:v>33.700000000000003</c:v>
                </c:pt>
                <c:pt idx="101">
                  <c:v>34.6</c:v>
                </c:pt>
                <c:pt idx="102">
                  <c:v>35.1</c:v>
                </c:pt>
                <c:pt idx="103">
                  <c:v>36.4</c:v>
                </c:pt>
                <c:pt idx="104">
                  <c:v>36.6</c:v>
                </c:pt>
                <c:pt idx="105">
                  <c:v>36.299999999999997</c:v>
                </c:pt>
                <c:pt idx="106">
                  <c:v>34.5</c:v>
                </c:pt>
                <c:pt idx="107">
                  <c:v>34.5</c:v>
                </c:pt>
                <c:pt idx="108">
                  <c:v>34.799999999999997</c:v>
                </c:pt>
                <c:pt idx="109">
                  <c:v>37.200000000000003</c:v>
                </c:pt>
                <c:pt idx="110">
                  <c:v>35.700000000000003</c:v>
                </c:pt>
                <c:pt idx="111">
                  <c:v>34.700000000000003</c:v>
                </c:pt>
                <c:pt idx="112">
                  <c:v>35.1</c:v>
                </c:pt>
                <c:pt idx="113">
                  <c:v>36.299999999999997</c:v>
                </c:pt>
                <c:pt idx="114">
                  <c:v>35.200000000000003</c:v>
                </c:pt>
                <c:pt idx="115">
                  <c:v>36.700000000000003</c:v>
                </c:pt>
                <c:pt idx="116">
                  <c:v>37.200000000000003</c:v>
                </c:pt>
                <c:pt idx="117">
                  <c:v>33</c:v>
                </c:pt>
                <c:pt idx="118">
                  <c:v>36</c:v>
                </c:pt>
                <c:pt idx="119">
                  <c:v>37.6</c:v>
                </c:pt>
                <c:pt idx="120">
                  <c:v>35.200000000000003</c:v>
                </c:pt>
                <c:pt idx="121">
                  <c:v>37</c:v>
                </c:pt>
                <c:pt idx="122">
                  <c:v>36.700000000000003</c:v>
                </c:pt>
                <c:pt idx="123">
                  <c:v>37.4</c:v>
                </c:pt>
                <c:pt idx="124">
                  <c:v>37.4</c:v>
                </c:pt>
                <c:pt idx="125">
                  <c:v>34.4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68-4899-839B-426A63B18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973712"/>
        <c:axId val="612976336"/>
      </c:scatterChart>
      <c:valAx>
        <c:axId val="612973712"/>
        <c:scaling>
          <c:orientation val="minMax"/>
          <c:max val="2050"/>
          <c:min val="18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（年）</a:t>
                </a:r>
              </a:p>
            </c:rich>
          </c:tx>
          <c:layout>
            <c:manualLayout>
              <c:xMode val="edge"/>
              <c:yMode val="edge"/>
              <c:x val="0.88970838642696071"/>
              <c:y val="0.89642833821643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2976336"/>
        <c:crosses val="autoZero"/>
        <c:crossBetween val="midCat"/>
      </c:valAx>
      <c:valAx>
        <c:axId val="612976336"/>
        <c:scaling>
          <c:orientation val="minMax"/>
          <c:max val="4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baseline="0">
                    <a:effectLst/>
                  </a:rPr>
                  <a:t>（</a:t>
                </a:r>
                <a:r>
                  <a:rPr lang="en-US" altLang="ja-JP" sz="1000" b="0" i="0" u="none" strike="noStrike" baseline="0">
                    <a:effectLst/>
                  </a:rPr>
                  <a:t>℃</a:t>
                </a:r>
                <a:r>
                  <a:rPr lang="ja-JP" altLang="en-US" sz="1000" b="0" i="0" u="none" strike="noStrike" baseline="0">
                    <a:effectLst/>
                  </a:rPr>
                  <a:t>）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5.5307373997172792E-3"/>
              <c:y val="0.1001617415851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2973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2</a:t>
            </a:r>
            <a:r>
              <a:rPr lang="ja-JP" sz="1200"/>
              <a:t>月の最低気温（神戸市）</a:t>
            </a:r>
            <a:endParaRPr lang="en-US" sz="1200"/>
          </a:p>
        </c:rich>
      </c:tx>
      <c:layout>
        <c:manualLayout>
          <c:xMode val="edge"/>
          <c:yMode val="edge"/>
          <c:x val="0.30028605810177428"/>
          <c:y val="0.8928610860678063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2327752471276052"/>
          <c:y val="5.0925925925925923E-2"/>
          <c:w val="0.82056057717139863"/>
          <c:h val="0.72142522361660422"/>
        </c:manualLayout>
      </c:layout>
      <c:scatterChart>
        <c:scatterStyle val="lineMarker"/>
        <c:varyColors val="0"/>
        <c:ser>
          <c:idx val="0"/>
          <c:order val="0"/>
          <c:tx>
            <c:strRef>
              <c:f>神戸2月最低気温!$C$4</c:f>
              <c:strCache>
                <c:ptCount val="1"/>
                <c:pt idx="0">
                  <c:v>最低気温(℃)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backward val="7"/>
            <c:dispRSqr val="0"/>
            <c:dispEq val="0"/>
          </c:trendline>
          <c:xVal>
            <c:numRef>
              <c:f>神戸2月最低気温!$A$14:$A$167</c:f>
              <c:numCache>
                <c:formatCode>General</c:formatCode>
                <c:ptCount val="154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  <c:pt idx="126">
                  <c:v>2023</c:v>
                </c:pt>
                <c:pt idx="127">
                  <c:v>2024</c:v>
                </c:pt>
                <c:pt idx="128">
                  <c:v>2025</c:v>
                </c:pt>
                <c:pt idx="129">
                  <c:v>2026</c:v>
                </c:pt>
                <c:pt idx="130">
                  <c:v>2027</c:v>
                </c:pt>
                <c:pt idx="131">
                  <c:v>2028</c:v>
                </c:pt>
                <c:pt idx="132">
                  <c:v>2029</c:v>
                </c:pt>
                <c:pt idx="133">
                  <c:v>2030</c:v>
                </c:pt>
                <c:pt idx="134">
                  <c:v>2031</c:v>
                </c:pt>
                <c:pt idx="135">
                  <c:v>2032</c:v>
                </c:pt>
                <c:pt idx="136">
                  <c:v>2033</c:v>
                </c:pt>
                <c:pt idx="137">
                  <c:v>2034</c:v>
                </c:pt>
                <c:pt idx="138">
                  <c:v>2035</c:v>
                </c:pt>
                <c:pt idx="139">
                  <c:v>2036</c:v>
                </c:pt>
                <c:pt idx="140">
                  <c:v>2037</c:v>
                </c:pt>
                <c:pt idx="141">
                  <c:v>2038</c:v>
                </c:pt>
                <c:pt idx="142">
                  <c:v>2039</c:v>
                </c:pt>
                <c:pt idx="143">
                  <c:v>2040</c:v>
                </c:pt>
                <c:pt idx="144">
                  <c:v>2041</c:v>
                </c:pt>
                <c:pt idx="145">
                  <c:v>2042</c:v>
                </c:pt>
                <c:pt idx="146">
                  <c:v>2043</c:v>
                </c:pt>
                <c:pt idx="147">
                  <c:v>2044</c:v>
                </c:pt>
                <c:pt idx="148">
                  <c:v>2045</c:v>
                </c:pt>
                <c:pt idx="149">
                  <c:v>2046</c:v>
                </c:pt>
                <c:pt idx="150">
                  <c:v>2047</c:v>
                </c:pt>
                <c:pt idx="151">
                  <c:v>2048</c:v>
                </c:pt>
                <c:pt idx="152">
                  <c:v>2049</c:v>
                </c:pt>
                <c:pt idx="153">
                  <c:v>2050</c:v>
                </c:pt>
              </c:numCache>
            </c:numRef>
          </c:xVal>
          <c:yVal>
            <c:numRef>
              <c:f>神戸2月最低気温!$C$14:$C$167</c:f>
              <c:numCache>
                <c:formatCode>General</c:formatCode>
                <c:ptCount val="154"/>
                <c:pt idx="0">
                  <c:v>-5</c:v>
                </c:pt>
                <c:pt idx="1">
                  <c:v>-1.6</c:v>
                </c:pt>
                <c:pt idx="2">
                  <c:v>-2</c:v>
                </c:pt>
                <c:pt idx="3">
                  <c:v>-5.2</c:v>
                </c:pt>
                <c:pt idx="4">
                  <c:v>-5.4</c:v>
                </c:pt>
                <c:pt idx="5">
                  <c:v>-3.6</c:v>
                </c:pt>
                <c:pt idx="6">
                  <c:v>-3.3</c:v>
                </c:pt>
                <c:pt idx="7">
                  <c:v>-3</c:v>
                </c:pt>
                <c:pt idx="8">
                  <c:v>-4</c:v>
                </c:pt>
                <c:pt idx="9">
                  <c:v>-2.9</c:v>
                </c:pt>
                <c:pt idx="10">
                  <c:v>-3.4</c:v>
                </c:pt>
                <c:pt idx="11">
                  <c:v>-3</c:v>
                </c:pt>
                <c:pt idx="12">
                  <c:v>-4.4000000000000004</c:v>
                </c:pt>
                <c:pt idx="13">
                  <c:v>-5.5</c:v>
                </c:pt>
                <c:pt idx="14">
                  <c:v>-2.8</c:v>
                </c:pt>
                <c:pt idx="15">
                  <c:v>-2.4</c:v>
                </c:pt>
                <c:pt idx="16">
                  <c:v>-5.2</c:v>
                </c:pt>
                <c:pt idx="17">
                  <c:v>-1.6</c:v>
                </c:pt>
                <c:pt idx="18">
                  <c:v>-3.2</c:v>
                </c:pt>
                <c:pt idx="19">
                  <c:v>-0.9</c:v>
                </c:pt>
                <c:pt idx="20">
                  <c:v>-2.6</c:v>
                </c:pt>
                <c:pt idx="21">
                  <c:v>-4.9000000000000004</c:v>
                </c:pt>
                <c:pt idx="22">
                  <c:v>-5.0999999999999996</c:v>
                </c:pt>
                <c:pt idx="23">
                  <c:v>-5.8</c:v>
                </c:pt>
                <c:pt idx="24">
                  <c:v>-2</c:v>
                </c:pt>
                <c:pt idx="25">
                  <c:v>-2.4</c:v>
                </c:pt>
                <c:pt idx="26">
                  <c:v>-5.4</c:v>
                </c:pt>
                <c:pt idx="27">
                  <c:v>-3.2</c:v>
                </c:pt>
                <c:pt idx="28">
                  <c:v>-4.2</c:v>
                </c:pt>
                <c:pt idx="29">
                  <c:v>-3</c:v>
                </c:pt>
                <c:pt idx="30">
                  <c:v>-4.5</c:v>
                </c:pt>
                <c:pt idx="31">
                  <c:v>-2.5</c:v>
                </c:pt>
                <c:pt idx="32">
                  <c:v>-4.5999999999999996</c:v>
                </c:pt>
                <c:pt idx="33">
                  <c:v>-2.6</c:v>
                </c:pt>
                <c:pt idx="34">
                  <c:v>-3.5</c:v>
                </c:pt>
                <c:pt idx="35">
                  <c:v>-3.1</c:v>
                </c:pt>
                <c:pt idx="36">
                  <c:v>-3.4</c:v>
                </c:pt>
                <c:pt idx="37">
                  <c:v>-2.7</c:v>
                </c:pt>
                <c:pt idx="38">
                  <c:v>-3.8</c:v>
                </c:pt>
                <c:pt idx="39">
                  <c:v>-5.2</c:v>
                </c:pt>
                <c:pt idx="40">
                  <c:v>-1.6</c:v>
                </c:pt>
                <c:pt idx="41">
                  <c:v>-3.6</c:v>
                </c:pt>
                <c:pt idx="42">
                  <c:v>-3.8</c:v>
                </c:pt>
                <c:pt idx="43">
                  <c:v>-3.6</c:v>
                </c:pt>
                <c:pt idx="44">
                  <c:v>-4.7</c:v>
                </c:pt>
                <c:pt idx="45">
                  <c:v>-4.2</c:v>
                </c:pt>
                <c:pt idx="46">
                  <c:v>-3.5</c:v>
                </c:pt>
                <c:pt idx="47">
                  <c:v>-2.8</c:v>
                </c:pt>
                <c:pt idx="48">
                  <c:v>-5.3</c:v>
                </c:pt>
                <c:pt idx="49">
                  <c:v>-3.8</c:v>
                </c:pt>
                <c:pt idx="50">
                  <c:v>-4.7</c:v>
                </c:pt>
                <c:pt idx="51">
                  <c:v>-2.4</c:v>
                </c:pt>
                <c:pt idx="52">
                  <c:v>-2.2000000000000002</c:v>
                </c:pt>
                <c:pt idx="53">
                  <c:v>-3.2</c:v>
                </c:pt>
                <c:pt idx="54">
                  <c:v>-2.1</c:v>
                </c:pt>
                <c:pt idx="55">
                  <c:v>-3.3</c:v>
                </c:pt>
                <c:pt idx="56">
                  <c:v>-2.6</c:v>
                </c:pt>
                <c:pt idx="57">
                  <c:v>-3</c:v>
                </c:pt>
                <c:pt idx="58">
                  <c:v>-3.1</c:v>
                </c:pt>
                <c:pt idx="59">
                  <c:v>-2.6</c:v>
                </c:pt>
                <c:pt idx="60">
                  <c:v>-3.2</c:v>
                </c:pt>
                <c:pt idx="61">
                  <c:v>-1.1000000000000001</c:v>
                </c:pt>
                <c:pt idx="62">
                  <c:v>-1.2</c:v>
                </c:pt>
                <c:pt idx="63">
                  <c:v>-1.9</c:v>
                </c:pt>
                <c:pt idx="64">
                  <c:v>-2.8</c:v>
                </c:pt>
                <c:pt idx="65">
                  <c:v>-1.7</c:v>
                </c:pt>
                <c:pt idx="66">
                  <c:v>-2.5</c:v>
                </c:pt>
                <c:pt idx="67">
                  <c:v>-3.1</c:v>
                </c:pt>
                <c:pt idx="68">
                  <c:v>-3.3</c:v>
                </c:pt>
                <c:pt idx="69">
                  <c:v>-3.8</c:v>
                </c:pt>
                <c:pt idx="70">
                  <c:v>-3.3</c:v>
                </c:pt>
                <c:pt idx="71">
                  <c:v>-3.1</c:v>
                </c:pt>
                <c:pt idx="72">
                  <c:v>-3.9</c:v>
                </c:pt>
                <c:pt idx="73">
                  <c:v>-3.1</c:v>
                </c:pt>
                <c:pt idx="74">
                  <c:v>-1.7</c:v>
                </c:pt>
                <c:pt idx="75">
                  <c:v>-1.3</c:v>
                </c:pt>
                <c:pt idx="76">
                  <c:v>-3.3</c:v>
                </c:pt>
                <c:pt idx="77">
                  <c:v>-3.6</c:v>
                </c:pt>
                <c:pt idx="78">
                  <c:v>-2.5</c:v>
                </c:pt>
                <c:pt idx="79">
                  <c:v>-1.2</c:v>
                </c:pt>
                <c:pt idx="80">
                  <c:v>-6.2</c:v>
                </c:pt>
                <c:pt idx="81">
                  <c:v>-3.1</c:v>
                </c:pt>
                <c:pt idx="82">
                  <c:v>-0.6</c:v>
                </c:pt>
                <c:pt idx="83">
                  <c:v>-3.8</c:v>
                </c:pt>
                <c:pt idx="84">
                  <c:v>-7.2</c:v>
                </c:pt>
                <c:pt idx="85">
                  <c:v>-2</c:v>
                </c:pt>
                <c:pt idx="86">
                  <c:v>-3.4</c:v>
                </c:pt>
                <c:pt idx="87">
                  <c:v>-5</c:v>
                </c:pt>
                <c:pt idx="88">
                  <c:v>-2</c:v>
                </c:pt>
                <c:pt idx="89">
                  <c:v>-3.6</c:v>
                </c:pt>
                <c:pt idx="90">
                  <c:v>-2.2000000000000002</c:v>
                </c:pt>
                <c:pt idx="91">
                  <c:v>-2.5</c:v>
                </c:pt>
                <c:pt idx="92">
                  <c:v>-0.6</c:v>
                </c:pt>
                <c:pt idx="93">
                  <c:v>-0.1</c:v>
                </c:pt>
                <c:pt idx="94">
                  <c:v>-3.5</c:v>
                </c:pt>
                <c:pt idx="95">
                  <c:v>-0.5</c:v>
                </c:pt>
                <c:pt idx="96">
                  <c:v>-0.4</c:v>
                </c:pt>
                <c:pt idx="97">
                  <c:v>-1.4</c:v>
                </c:pt>
                <c:pt idx="98">
                  <c:v>-0.7</c:v>
                </c:pt>
                <c:pt idx="99">
                  <c:v>-2.6</c:v>
                </c:pt>
                <c:pt idx="100">
                  <c:v>-2.7</c:v>
                </c:pt>
                <c:pt idx="101">
                  <c:v>-1.3</c:v>
                </c:pt>
                <c:pt idx="102">
                  <c:v>-4.5</c:v>
                </c:pt>
                <c:pt idx="103">
                  <c:v>-1.1000000000000001</c:v>
                </c:pt>
                <c:pt idx="104">
                  <c:v>-0.5</c:v>
                </c:pt>
                <c:pt idx="105">
                  <c:v>-0.1</c:v>
                </c:pt>
                <c:pt idx="106">
                  <c:v>1.2</c:v>
                </c:pt>
                <c:pt idx="107">
                  <c:v>-0.5</c:v>
                </c:pt>
                <c:pt idx="108">
                  <c:v>-1.7</c:v>
                </c:pt>
                <c:pt idx="109">
                  <c:v>-2.2999999999999998</c:v>
                </c:pt>
                <c:pt idx="110">
                  <c:v>1.1000000000000001</c:v>
                </c:pt>
                <c:pt idx="111">
                  <c:v>-1.2</c:v>
                </c:pt>
                <c:pt idx="112">
                  <c:v>0.6</c:v>
                </c:pt>
                <c:pt idx="113">
                  <c:v>0.3</c:v>
                </c:pt>
                <c:pt idx="114">
                  <c:v>0.2</c:v>
                </c:pt>
                <c:pt idx="115">
                  <c:v>-2.4</c:v>
                </c:pt>
                <c:pt idx="116">
                  <c:v>-0.2</c:v>
                </c:pt>
                <c:pt idx="117">
                  <c:v>-0.2</c:v>
                </c:pt>
                <c:pt idx="118">
                  <c:v>-0.9</c:v>
                </c:pt>
                <c:pt idx="119">
                  <c:v>0.9</c:v>
                </c:pt>
                <c:pt idx="120">
                  <c:v>0.3</c:v>
                </c:pt>
                <c:pt idx="121">
                  <c:v>-2.4</c:v>
                </c:pt>
                <c:pt idx="122">
                  <c:v>1.7</c:v>
                </c:pt>
                <c:pt idx="123">
                  <c:v>0.2</c:v>
                </c:pt>
                <c:pt idx="124">
                  <c:v>-1.2</c:v>
                </c:pt>
                <c:pt idx="125">
                  <c:v>-0.5</c:v>
                </c:pt>
                <c:pt idx="126">
                  <c:v>0.5</c:v>
                </c:pt>
                <c:pt idx="127">
                  <c:v>2.8</c:v>
                </c:pt>
                <c:pt idx="128">
                  <c:v>-3.1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14-4A0B-8F11-0ACA3AF691BF}"/>
            </c:ext>
          </c:extLst>
        </c:ser>
        <c:ser>
          <c:idx val="1"/>
          <c:order val="1"/>
          <c:tx>
            <c:strRef>
              <c:f>神戸2月最低気温!$F$6</c:f>
              <c:strCache>
                <c:ptCount val="1"/>
              </c:strCache>
            </c:strRef>
          </c:tx>
          <c:spPr>
            <a:ln w="2540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神戸2月最低気温!$A$7:$A$167</c:f>
              <c:numCache>
                <c:formatCode>General</c:formatCode>
                <c:ptCount val="161"/>
                <c:pt idx="0">
                  <c:v>1890</c:v>
                </c:pt>
                <c:pt idx="1">
                  <c:v>1891</c:v>
                </c:pt>
                <c:pt idx="2">
                  <c:v>1892</c:v>
                </c:pt>
                <c:pt idx="3">
                  <c:v>1893</c:v>
                </c:pt>
                <c:pt idx="4">
                  <c:v>1894</c:v>
                </c:pt>
                <c:pt idx="5">
                  <c:v>1895</c:v>
                </c:pt>
                <c:pt idx="6">
                  <c:v>1896</c:v>
                </c:pt>
                <c:pt idx="7">
                  <c:v>1897</c:v>
                </c:pt>
                <c:pt idx="8">
                  <c:v>1898</c:v>
                </c:pt>
                <c:pt idx="9">
                  <c:v>1899</c:v>
                </c:pt>
                <c:pt idx="10">
                  <c:v>1900</c:v>
                </c:pt>
                <c:pt idx="11">
                  <c:v>1901</c:v>
                </c:pt>
                <c:pt idx="12">
                  <c:v>1902</c:v>
                </c:pt>
                <c:pt idx="13">
                  <c:v>1903</c:v>
                </c:pt>
                <c:pt idx="14">
                  <c:v>1904</c:v>
                </c:pt>
                <c:pt idx="15">
                  <c:v>1905</c:v>
                </c:pt>
                <c:pt idx="16">
                  <c:v>1906</c:v>
                </c:pt>
                <c:pt idx="17">
                  <c:v>1907</c:v>
                </c:pt>
                <c:pt idx="18">
                  <c:v>1908</c:v>
                </c:pt>
                <c:pt idx="19">
                  <c:v>1909</c:v>
                </c:pt>
                <c:pt idx="20">
                  <c:v>1910</c:v>
                </c:pt>
                <c:pt idx="21">
                  <c:v>1911</c:v>
                </c:pt>
                <c:pt idx="22">
                  <c:v>1912</c:v>
                </c:pt>
                <c:pt idx="23">
                  <c:v>1913</c:v>
                </c:pt>
                <c:pt idx="24">
                  <c:v>1914</c:v>
                </c:pt>
                <c:pt idx="25">
                  <c:v>1915</c:v>
                </c:pt>
                <c:pt idx="26">
                  <c:v>1916</c:v>
                </c:pt>
                <c:pt idx="27">
                  <c:v>1917</c:v>
                </c:pt>
                <c:pt idx="28">
                  <c:v>1918</c:v>
                </c:pt>
                <c:pt idx="29">
                  <c:v>1919</c:v>
                </c:pt>
                <c:pt idx="30">
                  <c:v>1920</c:v>
                </c:pt>
                <c:pt idx="31">
                  <c:v>1921</c:v>
                </c:pt>
                <c:pt idx="32">
                  <c:v>1922</c:v>
                </c:pt>
                <c:pt idx="33">
                  <c:v>1923</c:v>
                </c:pt>
                <c:pt idx="34">
                  <c:v>1924</c:v>
                </c:pt>
                <c:pt idx="35">
                  <c:v>1925</c:v>
                </c:pt>
                <c:pt idx="36">
                  <c:v>1926</c:v>
                </c:pt>
                <c:pt idx="37">
                  <c:v>1927</c:v>
                </c:pt>
                <c:pt idx="38">
                  <c:v>1928</c:v>
                </c:pt>
                <c:pt idx="39">
                  <c:v>1929</c:v>
                </c:pt>
                <c:pt idx="40">
                  <c:v>1930</c:v>
                </c:pt>
                <c:pt idx="41">
                  <c:v>1931</c:v>
                </c:pt>
                <c:pt idx="42">
                  <c:v>1932</c:v>
                </c:pt>
                <c:pt idx="43">
                  <c:v>1933</c:v>
                </c:pt>
                <c:pt idx="44">
                  <c:v>1934</c:v>
                </c:pt>
                <c:pt idx="45">
                  <c:v>1935</c:v>
                </c:pt>
                <c:pt idx="46">
                  <c:v>1936</c:v>
                </c:pt>
                <c:pt idx="47">
                  <c:v>1937</c:v>
                </c:pt>
                <c:pt idx="48">
                  <c:v>1938</c:v>
                </c:pt>
                <c:pt idx="49">
                  <c:v>1939</c:v>
                </c:pt>
                <c:pt idx="50">
                  <c:v>1940</c:v>
                </c:pt>
                <c:pt idx="51">
                  <c:v>1941</c:v>
                </c:pt>
                <c:pt idx="52">
                  <c:v>1942</c:v>
                </c:pt>
                <c:pt idx="53">
                  <c:v>1943</c:v>
                </c:pt>
                <c:pt idx="54">
                  <c:v>1944</c:v>
                </c:pt>
                <c:pt idx="55">
                  <c:v>1945</c:v>
                </c:pt>
                <c:pt idx="56">
                  <c:v>1946</c:v>
                </c:pt>
                <c:pt idx="57">
                  <c:v>1947</c:v>
                </c:pt>
                <c:pt idx="58">
                  <c:v>1948</c:v>
                </c:pt>
                <c:pt idx="59">
                  <c:v>1949</c:v>
                </c:pt>
                <c:pt idx="60">
                  <c:v>1950</c:v>
                </c:pt>
                <c:pt idx="61">
                  <c:v>1951</c:v>
                </c:pt>
                <c:pt idx="62">
                  <c:v>1952</c:v>
                </c:pt>
                <c:pt idx="63">
                  <c:v>1953</c:v>
                </c:pt>
                <c:pt idx="64">
                  <c:v>1954</c:v>
                </c:pt>
                <c:pt idx="65">
                  <c:v>1955</c:v>
                </c:pt>
                <c:pt idx="66">
                  <c:v>1956</c:v>
                </c:pt>
                <c:pt idx="67">
                  <c:v>1957</c:v>
                </c:pt>
                <c:pt idx="68">
                  <c:v>1958</c:v>
                </c:pt>
                <c:pt idx="69">
                  <c:v>1959</c:v>
                </c:pt>
                <c:pt idx="70">
                  <c:v>1960</c:v>
                </c:pt>
                <c:pt idx="71">
                  <c:v>1961</c:v>
                </c:pt>
                <c:pt idx="72">
                  <c:v>1962</c:v>
                </c:pt>
                <c:pt idx="73">
                  <c:v>1963</c:v>
                </c:pt>
                <c:pt idx="74">
                  <c:v>1964</c:v>
                </c:pt>
                <c:pt idx="75">
                  <c:v>1965</c:v>
                </c:pt>
                <c:pt idx="76">
                  <c:v>1966</c:v>
                </c:pt>
                <c:pt idx="77">
                  <c:v>1967</c:v>
                </c:pt>
                <c:pt idx="78">
                  <c:v>1968</c:v>
                </c:pt>
                <c:pt idx="79">
                  <c:v>1969</c:v>
                </c:pt>
                <c:pt idx="80">
                  <c:v>1970</c:v>
                </c:pt>
                <c:pt idx="81">
                  <c:v>1971</c:v>
                </c:pt>
                <c:pt idx="82">
                  <c:v>1972</c:v>
                </c:pt>
                <c:pt idx="83">
                  <c:v>1973</c:v>
                </c:pt>
                <c:pt idx="84">
                  <c:v>1974</c:v>
                </c:pt>
                <c:pt idx="85">
                  <c:v>1975</c:v>
                </c:pt>
                <c:pt idx="86">
                  <c:v>1976</c:v>
                </c:pt>
                <c:pt idx="87">
                  <c:v>1977</c:v>
                </c:pt>
                <c:pt idx="88">
                  <c:v>1978</c:v>
                </c:pt>
                <c:pt idx="89">
                  <c:v>1979</c:v>
                </c:pt>
                <c:pt idx="90">
                  <c:v>1980</c:v>
                </c:pt>
                <c:pt idx="91">
                  <c:v>1981</c:v>
                </c:pt>
                <c:pt idx="92">
                  <c:v>1982</c:v>
                </c:pt>
                <c:pt idx="93">
                  <c:v>1983</c:v>
                </c:pt>
                <c:pt idx="94">
                  <c:v>1984</c:v>
                </c:pt>
                <c:pt idx="95">
                  <c:v>1985</c:v>
                </c:pt>
                <c:pt idx="96">
                  <c:v>1986</c:v>
                </c:pt>
                <c:pt idx="97">
                  <c:v>1987</c:v>
                </c:pt>
                <c:pt idx="98">
                  <c:v>1988</c:v>
                </c:pt>
                <c:pt idx="99">
                  <c:v>1989</c:v>
                </c:pt>
                <c:pt idx="100">
                  <c:v>1990</c:v>
                </c:pt>
                <c:pt idx="101">
                  <c:v>1991</c:v>
                </c:pt>
                <c:pt idx="102">
                  <c:v>1992</c:v>
                </c:pt>
                <c:pt idx="103">
                  <c:v>1993</c:v>
                </c:pt>
                <c:pt idx="104">
                  <c:v>1994</c:v>
                </c:pt>
                <c:pt idx="105">
                  <c:v>1995</c:v>
                </c:pt>
                <c:pt idx="106">
                  <c:v>1996</c:v>
                </c:pt>
                <c:pt idx="107">
                  <c:v>1997</c:v>
                </c:pt>
                <c:pt idx="108">
                  <c:v>1998</c:v>
                </c:pt>
                <c:pt idx="109">
                  <c:v>1999</c:v>
                </c:pt>
                <c:pt idx="110">
                  <c:v>2000</c:v>
                </c:pt>
                <c:pt idx="111">
                  <c:v>2001</c:v>
                </c:pt>
                <c:pt idx="112">
                  <c:v>2002</c:v>
                </c:pt>
                <c:pt idx="113">
                  <c:v>2003</c:v>
                </c:pt>
                <c:pt idx="114">
                  <c:v>2004</c:v>
                </c:pt>
                <c:pt idx="115">
                  <c:v>2005</c:v>
                </c:pt>
                <c:pt idx="116">
                  <c:v>2006</c:v>
                </c:pt>
                <c:pt idx="117">
                  <c:v>2007</c:v>
                </c:pt>
                <c:pt idx="118">
                  <c:v>2008</c:v>
                </c:pt>
                <c:pt idx="119">
                  <c:v>2009</c:v>
                </c:pt>
                <c:pt idx="120">
                  <c:v>2010</c:v>
                </c:pt>
                <c:pt idx="121">
                  <c:v>2011</c:v>
                </c:pt>
                <c:pt idx="122">
                  <c:v>2012</c:v>
                </c:pt>
                <c:pt idx="123">
                  <c:v>2013</c:v>
                </c:pt>
                <c:pt idx="124">
                  <c:v>2014</c:v>
                </c:pt>
                <c:pt idx="125">
                  <c:v>2015</c:v>
                </c:pt>
                <c:pt idx="126">
                  <c:v>2016</c:v>
                </c:pt>
                <c:pt idx="127">
                  <c:v>2017</c:v>
                </c:pt>
                <c:pt idx="128">
                  <c:v>2018</c:v>
                </c:pt>
                <c:pt idx="129">
                  <c:v>2019</c:v>
                </c:pt>
                <c:pt idx="130">
                  <c:v>2020</c:v>
                </c:pt>
                <c:pt idx="131">
                  <c:v>2021</c:v>
                </c:pt>
                <c:pt idx="132">
                  <c:v>2022</c:v>
                </c:pt>
                <c:pt idx="133">
                  <c:v>2023</c:v>
                </c:pt>
                <c:pt idx="134">
                  <c:v>2024</c:v>
                </c:pt>
                <c:pt idx="135">
                  <c:v>2025</c:v>
                </c:pt>
                <c:pt idx="136">
                  <c:v>2026</c:v>
                </c:pt>
                <c:pt idx="137">
                  <c:v>2027</c:v>
                </c:pt>
                <c:pt idx="138">
                  <c:v>2028</c:v>
                </c:pt>
                <c:pt idx="139">
                  <c:v>2029</c:v>
                </c:pt>
                <c:pt idx="140">
                  <c:v>2030</c:v>
                </c:pt>
                <c:pt idx="141">
                  <c:v>2031</c:v>
                </c:pt>
                <c:pt idx="142">
                  <c:v>2032</c:v>
                </c:pt>
                <c:pt idx="143">
                  <c:v>2033</c:v>
                </c:pt>
                <c:pt idx="144">
                  <c:v>2034</c:v>
                </c:pt>
                <c:pt idx="145">
                  <c:v>2035</c:v>
                </c:pt>
                <c:pt idx="146">
                  <c:v>2036</c:v>
                </c:pt>
                <c:pt idx="147">
                  <c:v>2037</c:v>
                </c:pt>
                <c:pt idx="148">
                  <c:v>2038</c:v>
                </c:pt>
                <c:pt idx="149">
                  <c:v>2039</c:v>
                </c:pt>
                <c:pt idx="150">
                  <c:v>2040</c:v>
                </c:pt>
                <c:pt idx="151">
                  <c:v>2041</c:v>
                </c:pt>
                <c:pt idx="152">
                  <c:v>2042</c:v>
                </c:pt>
                <c:pt idx="153">
                  <c:v>2043</c:v>
                </c:pt>
                <c:pt idx="154">
                  <c:v>2044</c:v>
                </c:pt>
                <c:pt idx="155">
                  <c:v>2045</c:v>
                </c:pt>
                <c:pt idx="156">
                  <c:v>2046</c:v>
                </c:pt>
                <c:pt idx="157">
                  <c:v>2047</c:v>
                </c:pt>
                <c:pt idx="158">
                  <c:v>2048</c:v>
                </c:pt>
                <c:pt idx="159">
                  <c:v>2049</c:v>
                </c:pt>
                <c:pt idx="160">
                  <c:v>2050</c:v>
                </c:pt>
              </c:numCache>
            </c:numRef>
          </c:xVal>
          <c:yVal>
            <c:numRef>
              <c:f>神戸2月最低気温!$F$7:$F$167</c:f>
              <c:numCache>
                <c:formatCode>General</c:formatCode>
                <c:ptCount val="161"/>
                <c:pt idx="0">
                  <c:v>-7.0842153026237327</c:v>
                </c:pt>
                <c:pt idx="1">
                  <c:v>-7.0555698419797253</c:v>
                </c:pt>
                <c:pt idx="2">
                  <c:v>-7.0269243813357178</c:v>
                </c:pt>
                <c:pt idx="3">
                  <c:v>-6.9982789206917104</c:v>
                </c:pt>
                <c:pt idx="4">
                  <c:v>-6.969633460047703</c:v>
                </c:pt>
                <c:pt idx="5">
                  <c:v>-6.9409879994036956</c:v>
                </c:pt>
                <c:pt idx="6">
                  <c:v>-6.9123425387596882</c:v>
                </c:pt>
                <c:pt idx="7">
                  <c:v>-6.8836970781156808</c:v>
                </c:pt>
                <c:pt idx="8">
                  <c:v>-6.8550516174716734</c:v>
                </c:pt>
                <c:pt idx="9">
                  <c:v>-6.8264061568276659</c:v>
                </c:pt>
                <c:pt idx="10">
                  <c:v>-6.7977606961836585</c:v>
                </c:pt>
                <c:pt idx="11">
                  <c:v>-6.7691152355396511</c:v>
                </c:pt>
                <c:pt idx="12">
                  <c:v>-6.7404697748956508</c:v>
                </c:pt>
                <c:pt idx="13">
                  <c:v>-6.7118243142516434</c:v>
                </c:pt>
                <c:pt idx="14">
                  <c:v>-6.683178853607636</c:v>
                </c:pt>
                <c:pt idx="15">
                  <c:v>-6.6545333929636286</c:v>
                </c:pt>
                <c:pt idx="16">
                  <c:v>-6.6258879323196211</c:v>
                </c:pt>
                <c:pt idx="17">
                  <c:v>-6.5972424716756137</c:v>
                </c:pt>
                <c:pt idx="18">
                  <c:v>-6.5685970110316063</c:v>
                </c:pt>
                <c:pt idx="19">
                  <c:v>-6.5399515503875989</c:v>
                </c:pt>
                <c:pt idx="20">
                  <c:v>-6.5113060897435915</c:v>
                </c:pt>
                <c:pt idx="21">
                  <c:v>-6.4826606290995841</c:v>
                </c:pt>
                <c:pt idx="22">
                  <c:v>-6.4540151684555767</c:v>
                </c:pt>
                <c:pt idx="23">
                  <c:v>-6.4253697078115692</c:v>
                </c:pt>
                <c:pt idx="24">
                  <c:v>-6.3967242471675618</c:v>
                </c:pt>
                <c:pt idx="25">
                  <c:v>-6.3680787865235544</c:v>
                </c:pt>
                <c:pt idx="26">
                  <c:v>-6.339433325879547</c:v>
                </c:pt>
                <c:pt idx="27">
                  <c:v>-6.3107878652355396</c:v>
                </c:pt>
                <c:pt idx="28">
                  <c:v>-6.2821424045915322</c:v>
                </c:pt>
                <c:pt idx="29">
                  <c:v>-6.2534969439475248</c:v>
                </c:pt>
                <c:pt idx="30">
                  <c:v>-6.2248514833035173</c:v>
                </c:pt>
                <c:pt idx="31">
                  <c:v>-6.1962060226595099</c:v>
                </c:pt>
                <c:pt idx="32">
                  <c:v>-6.1675605620155025</c:v>
                </c:pt>
                <c:pt idx="33">
                  <c:v>-6.1389151013714951</c:v>
                </c:pt>
                <c:pt idx="34">
                  <c:v>-6.1102696407274877</c:v>
                </c:pt>
                <c:pt idx="35">
                  <c:v>-6.0816241800834803</c:v>
                </c:pt>
                <c:pt idx="36">
                  <c:v>-6.0529787194394729</c:v>
                </c:pt>
                <c:pt idx="37">
                  <c:v>-6.0243332587954654</c:v>
                </c:pt>
                <c:pt idx="38">
                  <c:v>-5.995687798151458</c:v>
                </c:pt>
                <c:pt idx="39">
                  <c:v>-5.9670423375074577</c:v>
                </c:pt>
                <c:pt idx="40">
                  <c:v>-5.9383968768634503</c:v>
                </c:pt>
                <c:pt idx="41">
                  <c:v>-5.9097514162194429</c:v>
                </c:pt>
                <c:pt idx="42">
                  <c:v>-5.8811059555754355</c:v>
                </c:pt>
                <c:pt idx="43">
                  <c:v>-5.8524604949314281</c:v>
                </c:pt>
                <c:pt idx="44">
                  <c:v>-5.8238150342874206</c:v>
                </c:pt>
                <c:pt idx="45">
                  <c:v>-5.7951695736434132</c:v>
                </c:pt>
                <c:pt idx="46">
                  <c:v>-5.7665241129994058</c:v>
                </c:pt>
                <c:pt idx="47">
                  <c:v>-5.7378786523553984</c:v>
                </c:pt>
                <c:pt idx="48">
                  <c:v>-5.709233191711391</c:v>
                </c:pt>
                <c:pt idx="49">
                  <c:v>-5.6805877310673836</c:v>
                </c:pt>
                <c:pt idx="50">
                  <c:v>-5.6519422704233762</c:v>
                </c:pt>
                <c:pt idx="51">
                  <c:v>-5.6232968097793687</c:v>
                </c:pt>
                <c:pt idx="52">
                  <c:v>-5.5946513491353613</c:v>
                </c:pt>
                <c:pt idx="53">
                  <c:v>-5.5660058884913539</c:v>
                </c:pt>
                <c:pt idx="54">
                  <c:v>-5.5373604278473465</c:v>
                </c:pt>
                <c:pt idx="55">
                  <c:v>-5.5087149672033391</c:v>
                </c:pt>
                <c:pt idx="56">
                  <c:v>-5.4800695065593317</c:v>
                </c:pt>
                <c:pt idx="57">
                  <c:v>-5.4514240459153243</c:v>
                </c:pt>
                <c:pt idx="58">
                  <c:v>-5.4227785852713168</c:v>
                </c:pt>
                <c:pt idx="59">
                  <c:v>-5.3941331246273094</c:v>
                </c:pt>
                <c:pt idx="60">
                  <c:v>-5.365487663983302</c:v>
                </c:pt>
                <c:pt idx="61">
                  <c:v>-5.3368422033392946</c:v>
                </c:pt>
                <c:pt idx="62">
                  <c:v>-5.3081967426952872</c:v>
                </c:pt>
                <c:pt idx="63">
                  <c:v>-5.2795512820512798</c:v>
                </c:pt>
                <c:pt idx="64">
                  <c:v>-5.2509058214072724</c:v>
                </c:pt>
                <c:pt idx="65">
                  <c:v>-5.222260360763272</c:v>
                </c:pt>
                <c:pt idx="66">
                  <c:v>-5.1936149001192646</c:v>
                </c:pt>
                <c:pt idx="67">
                  <c:v>-5.1649694394752572</c:v>
                </c:pt>
                <c:pt idx="68">
                  <c:v>-5.1363239788312498</c:v>
                </c:pt>
                <c:pt idx="69">
                  <c:v>-5.1076785181872424</c:v>
                </c:pt>
                <c:pt idx="70">
                  <c:v>-5.079033057543235</c:v>
                </c:pt>
                <c:pt idx="71">
                  <c:v>-5.0503875968992276</c:v>
                </c:pt>
                <c:pt idx="72">
                  <c:v>-5.0217421362552201</c:v>
                </c:pt>
                <c:pt idx="73">
                  <c:v>-4.9930966756112127</c:v>
                </c:pt>
                <c:pt idx="74">
                  <c:v>-4.9644512149672053</c:v>
                </c:pt>
                <c:pt idx="75">
                  <c:v>-4.9358057543231979</c:v>
                </c:pt>
                <c:pt idx="76">
                  <c:v>-4.9071602936791905</c:v>
                </c:pt>
                <c:pt idx="77">
                  <c:v>-4.8785148330351831</c:v>
                </c:pt>
                <c:pt idx="78">
                  <c:v>-4.8498693723911757</c:v>
                </c:pt>
                <c:pt idx="79">
                  <c:v>-4.8212239117471682</c:v>
                </c:pt>
                <c:pt idx="80">
                  <c:v>-4.7925784511031608</c:v>
                </c:pt>
                <c:pt idx="81">
                  <c:v>-4.7639329904591534</c:v>
                </c:pt>
                <c:pt idx="82">
                  <c:v>-4.735287529815146</c:v>
                </c:pt>
                <c:pt idx="83">
                  <c:v>-4.7066420691711386</c:v>
                </c:pt>
                <c:pt idx="84">
                  <c:v>-4.6779966085271312</c:v>
                </c:pt>
                <c:pt idx="85">
                  <c:v>-4.6493511478831238</c:v>
                </c:pt>
                <c:pt idx="86">
                  <c:v>-4.6207056872391163</c:v>
                </c:pt>
                <c:pt idx="87">
                  <c:v>-4.5920602265951089</c:v>
                </c:pt>
                <c:pt idx="88">
                  <c:v>-4.5634147659511015</c:v>
                </c:pt>
                <c:pt idx="89">
                  <c:v>-4.5347693053070941</c:v>
                </c:pt>
                <c:pt idx="90">
                  <c:v>-4.5061238446630867</c:v>
                </c:pt>
                <c:pt idx="91">
                  <c:v>-4.4774783840190793</c:v>
                </c:pt>
                <c:pt idx="92">
                  <c:v>-4.448832923375079</c:v>
                </c:pt>
                <c:pt idx="93">
                  <c:v>-4.4201874627310715</c:v>
                </c:pt>
                <c:pt idx="94">
                  <c:v>-4.3915420020870641</c:v>
                </c:pt>
                <c:pt idx="95">
                  <c:v>-4.3628965414430567</c:v>
                </c:pt>
                <c:pt idx="96">
                  <c:v>-4.3342510807990493</c:v>
                </c:pt>
                <c:pt idx="97">
                  <c:v>-4.3056056201550419</c:v>
                </c:pt>
                <c:pt idx="98">
                  <c:v>-4.2769601595110345</c:v>
                </c:pt>
                <c:pt idx="99">
                  <c:v>-4.2483146988670271</c:v>
                </c:pt>
                <c:pt idx="100">
                  <c:v>-4.2196692382230196</c:v>
                </c:pt>
                <c:pt idx="101">
                  <c:v>-4.1910237775790122</c:v>
                </c:pt>
                <c:pt idx="102">
                  <c:v>-4.1623783169350048</c:v>
                </c:pt>
                <c:pt idx="103">
                  <c:v>-4.1337328562909974</c:v>
                </c:pt>
                <c:pt idx="104">
                  <c:v>-4.10508739564699</c:v>
                </c:pt>
                <c:pt idx="105">
                  <c:v>-4.0764419350029826</c:v>
                </c:pt>
                <c:pt idx="106">
                  <c:v>-4.0477964743589752</c:v>
                </c:pt>
                <c:pt idx="107">
                  <c:v>-4.0191510137149677</c:v>
                </c:pt>
                <c:pt idx="108">
                  <c:v>-3.9905055530709603</c:v>
                </c:pt>
                <c:pt idx="109">
                  <c:v>-3.9618600924269529</c:v>
                </c:pt>
                <c:pt idx="110">
                  <c:v>-3.9332146317829455</c:v>
                </c:pt>
                <c:pt idx="111">
                  <c:v>-3.9045691711389381</c:v>
                </c:pt>
                <c:pt idx="112">
                  <c:v>-3.8759237104949307</c:v>
                </c:pt>
                <c:pt idx="113">
                  <c:v>-3.8472782498509233</c:v>
                </c:pt>
                <c:pt idx="114">
                  <c:v>-3.8186327892069158</c:v>
                </c:pt>
                <c:pt idx="115">
                  <c:v>-3.7899873285629084</c:v>
                </c:pt>
                <c:pt idx="116">
                  <c:v>-3.761341867918901</c:v>
                </c:pt>
                <c:pt idx="117">
                  <c:v>-3.7326964072748936</c:v>
                </c:pt>
                <c:pt idx="118">
                  <c:v>-3.7040509466308862</c:v>
                </c:pt>
                <c:pt idx="119">
                  <c:v>-3.6754054859868859</c:v>
                </c:pt>
                <c:pt idx="120">
                  <c:v>-3.6467600253428785</c:v>
                </c:pt>
                <c:pt idx="121">
                  <c:v>-3.618114564698871</c:v>
                </c:pt>
                <c:pt idx="122">
                  <c:v>-3.5894691040548636</c:v>
                </c:pt>
                <c:pt idx="123">
                  <c:v>-3.5608236434108562</c:v>
                </c:pt>
                <c:pt idx="124">
                  <c:v>-3.5321781827668488</c:v>
                </c:pt>
                <c:pt idx="125">
                  <c:v>-3.5035327221228414</c:v>
                </c:pt>
                <c:pt idx="126">
                  <c:v>-3.474887261478834</c:v>
                </c:pt>
                <c:pt idx="127">
                  <c:v>-3.4462418008348266</c:v>
                </c:pt>
                <c:pt idx="128">
                  <c:v>-3.4175963401908191</c:v>
                </c:pt>
                <c:pt idx="129">
                  <c:v>-3.3889508795468117</c:v>
                </c:pt>
                <c:pt idx="130">
                  <c:v>-3.3603054189028043</c:v>
                </c:pt>
                <c:pt idx="131">
                  <c:v>-3.3316599582587969</c:v>
                </c:pt>
                <c:pt idx="132">
                  <c:v>-3.3030144976147895</c:v>
                </c:pt>
                <c:pt idx="133">
                  <c:v>-3.2743690369707821</c:v>
                </c:pt>
                <c:pt idx="134">
                  <c:v>-3.2457235763267747</c:v>
                </c:pt>
                <c:pt idx="135">
                  <c:v>-3.2170781156827672</c:v>
                </c:pt>
                <c:pt idx="136">
                  <c:v>-3.1884326550387598</c:v>
                </c:pt>
                <c:pt idx="137">
                  <c:v>-3.1597871943947524</c:v>
                </c:pt>
                <c:pt idx="138">
                  <c:v>-3.131141733750745</c:v>
                </c:pt>
                <c:pt idx="139">
                  <c:v>-3.1024962731067376</c:v>
                </c:pt>
                <c:pt idx="140">
                  <c:v>-3.0738508124627302</c:v>
                </c:pt>
                <c:pt idx="141">
                  <c:v>-3.0452053518187228</c:v>
                </c:pt>
                <c:pt idx="142">
                  <c:v>-3.0165598911747153</c:v>
                </c:pt>
                <c:pt idx="143">
                  <c:v>-2.9879144305307079</c:v>
                </c:pt>
                <c:pt idx="144">
                  <c:v>-2.9592689698867005</c:v>
                </c:pt>
                <c:pt idx="145">
                  <c:v>-2.9306235092427002</c:v>
                </c:pt>
                <c:pt idx="146">
                  <c:v>-2.9019780485986928</c:v>
                </c:pt>
                <c:pt idx="147">
                  <c:v>-2.8733325879546854</c:v>
                </c:pt>
                <c:pt idx="148">
                  <c:v>-2.844687127310678</c:v>
                </c:pt>
                <c:pt idx="149">
                  <c:v>-2.8160416666666706</c:v>
                </c:pt>
                <c:pt idx="150">
                  <c:v>-2.7873962060226631</c:v>
                </c:pt>
                <c:pt idx="151">
                  <c:v>-2.7587507453786557</c:v>
                </c:pt>
                <c:pt idx="152">
                  <c:v>-2.7301052847346483</c:v>
                </c:pt>
                <c:pt idx="153">
                  <c:v>-2.7014598240906409</c:v>
                </c:pt>
                <c:pt idx="154">
                  <c:v>-2.6728143634466335</c:v>
                </c:pt>
                <c:pt idx="155">
                  <c:v>-2.6441689028026261</c:v>
                </c:pt>
                <c:pt idx="156">
                  <c:v>-2.6155234421586186</c:v>
                </c:pt>
                <c:pt idx="157">
                  <c:v>-2.5868779815146112</c:v>
                </c:pt>
                <c:pt idx="158">
                  <c:v>-2.5582325208706038</c:v>
                </c:pt>
                <c:pt idx="159">
                  <c:v>-2.5295870602265964</c:v>
                </c:pt>
                <c:pt idx="160">
                  <c:v>-2.500941599582589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14-4A0B-8F11-0ACA3AF691BF}"/>
            </c:ext>
          </c:extLst>
        </c:ser>
        <c:ser>
          <c:idx val="2"/>
          <c:order val="2"/>
          <c:tx>
            <c:strRef>
              <c:f>神戸2月最低気温!$H$6</c:f>
              <c:strCache>
                <c:ptCount val="1"/>
              </c:strCache>
            </c:strRef>
          </c:tx>
          <c:spPr>
            <a:ln w="2540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神戸2月最低気温!$A$7:$A$167</c:f>
              <c:numCache>
                <c:formatCode>General</c:formatCode>
                <c:ptCount val="161"/>
                <c:pt idx="0">
                  <c:v>1890</c:v>
                </c:pt>
                <c:pt idx="1">
                  <c:v>1891</c:v>
                </c:pt>
                <c:pt idx="2">
                  <c:v>1892</c:v>
                </c:pt>
                <c:pt idx="3">
                  <c:v>1893</c:v>
                </c:pt>
                <c:pt idx="4">
                  <c:v>1894</c:v>
                </c:pt>
                <c:pt idx="5">
                  <c:v>1895</c:v>
                </c:pt>
                <c:pt idx="6">
                  <c:v>1896</c:v>
                </c:pt>
                <c:pt idx="7">
                  <c:v>1897</c:v>
                </c:pt>
                <c:pt idx="8">
                  <c:v>1898</c:v>
                </c:pt>
                <c:pt idx="9">
                  <c:v>1899</c:v>
                </c:pt>
                <c:pt idx="10">
                  <c:v>1900</c:v>
                </c:pt>
                <c:pt idx="11">
                  <c:v>1901</c:v>
                </c:pt>
                <c:pt idx="12">
                  <c:v>1902</c:v>
                </c:pt>
                <c:pt idx="13">
                  <c:v>1903</c:v>
                </c:pt>
                <c:pt idx="14">
                  <c:v>1904</c:v>
                </c:pt>
                <c:pt idx="15">
                  <c:v>1905</c:v>
                </c:pt>
                <c:pt idx="16">
                  <c:v>1906</c:v>
                </c:pt>
                <c:pt idx="17">
                  <c:v>1907</c:v>
                </c:pt>
                <c:pt idx="18">
                  <c:v>1908</c:v>
                </c:pt>
                <c:pt idx="19">
                  <c:v>1909</c:v>
                </c:pt>
                <c:pt idx="20">
                  <c:v>1910</c:v>
                </c:pt>
                <c:pt idx="21">
                  <c:v>1911</c:v>
                </c:pt>
                <c:pt idx="22">
                  <c:v>1912</c:v>
                </c:pt>
                <c:pt idx="23">
                  <c:v>1913</c:v>
                </c:pt>
                <c:pt idx="24">
                  <c:v>1914</c:v>
                </c:pt>
                <c:pt idx="25">
                  <c:v>1915</c:v>
                </c:pt>
                <c:pt idx="26">
                  <c:v>1916</c:v>
                </c:pt>
                <c:pt idx="27">
                  <c:v>1917</c:v>
                </c:pt>
                <c:pt idx="28">
                  <c:v>1918</c:v>
                </c:pt>
                <c:pt idx="29">
                  <c:v>1919</c:v>
                </c:pt>
                <c:pt idx="30">
                  <c:v>1920</c:v>
                </c:pt>
                <c:pt idx="31">
                  <c:v>1921</c:v>
                </c:pt>
                <c:pt idx="32">
                  <c:v>1922</c:v>
                </c:pt>
                <c:pt idx="33">
                  <c:v>1923</c:v>
                </c:pt>
                <c:pt idx="34">
                  <c:v>1924</c:v>
                </c:pt>
                <c:pt idx="35">
                  <c:v>1925</c:v>
                </c:pt>
                <c:pt idx="36">
                  <c:v>1926</c:v>
                </c:pt>
                <c:pt idx="37">
                  <c:v>1927</c:v>
                </c:pt>
                <c:pt idx="38">
                  <c:v>1928</c:v>
                </c:pt>
                <c:pt idx="39">
                  <c:v>1929</c:v>
                </c:pt>
                <c:pt idx="40">
                  <c:v>1930</c:v>
                </c:pt>
                <c:pt idx="41">
                  <c:v>1931</c:v>
                </c:pt>
                <c:pt idx="42">
                  <c:v>1932</c:v>
                </c:pt>
                <c:pt idx="43">
                  <c:v>1933</c:v>
                </c:pt>
                <c:pt idx="44">
                  <c:v>1934</c:v>
                </c:pt>
                <c:pt idx="45">
                  <c:v>1935</c:v>
                </c:pt>
                <c:pt idx="46">
                  <c:v>1936</c:v>
                </c:pt>
                <c:pt idx="47">
                  <c:v>1937</c:v>
                </c:pt>
                <c:pt idx="48">
                  <c:v>1938</c:v>
                </c:pt>
                <c:pt idx="49">
                  <c:v>1939</c:v>
                </c:pt>
                <c:pt idx="50">
                  <c:v>1940</c:v>
                </c:pt>
                <c:pt idx="51">
                  <c:v>1941</c:v>
                </c:pt>
                <c:pt idx="52">
                  <c:v>1942</c:v>
                </c:pt>
                <c:pt idx="53">
                  <c:v>1943</c:v>
                </c:pt>
                <c:pt idx="54">
                  <c:v>1944</c:v>
                </c:pt>
                <c:pt idx="55">
                  <c:v>1945</c:v>
                </c:pt>
                <c:pt idx="56">
                  <c:v>1946</c:v>
                </c:pt>
                <c:pt idx="57">
                  <c:v>1947</c:v>
                </c:pt>
                <c:pt idx="58">
                  <c:v>1948</c:v>
                </c:pt>
                <c:pt idx="59">
                  <c:v>1949</c:v>
                </c:pt>
                <c:pt idx="60">
                  <c:v>1950</c:v>
                </c:pt>
                <c:pt idx="61">
                  <c:v>1951</c:v>
                </c:pt>
                <c:pt idx="62">
                  <c:v>1952</c:v>
                </c:pt>
                <c:pt idx="63">
                  <c:v>1953</c:v>
                </c:pt>
                <c:pt idx="64">
                  <c:v>1954</c:v>
                </c:pt>
                <c:pt idx="65">
                  <c:v>1955</c:v>
                </c:pt>
                <c:pt idx="66">
                  <c:v>1956</c:v>
                </c:pt>
                <c:pt idx="67">
                  <c:v>1957</c:v>
                </c:pt>
                <c:pt idx="68">
                  <c:v>1958</c:v>
                </c:pt>
                <c:pt idx="69">
                  <c:v>1959</c:v>
                </c:pt>
                <c:pt idx="70">
                  <c:v>1960</c:v>
                </c:pt>
                <c:pt idx="71">
                  <c:v>1961</c:v>
                </c:pt>
                <c:pt idx="72">
                  <c:v>1962</c:v>
                </c:pt>
                <c:pt idx="73">
                  <c:v>1963</c:v>
                </c:pt>
                <c:pt idx="74">
                  <c:v>1964</c:v>
                </c:pt>
                <c:pt idx="75">
                  <c:v>1965</c:v>
                </c:pt>
                <c:pt idx="76">
                  <c:v>1966</c:v>
                </c:pt>
                <c:pt idx="77">
                  <c:v>1967</c:v>
                </c:pt>
                <c:pt idx="78">
                  <c:v>1968</c:v>
                </c:pt>
                <c:pt idx="79">
                  <c:v>1969</c:v>
                </c:pt>
                <c:pt idx="80">
                  <c:v>1970</c:v>
                </c:pt>
                <c:pt idx="81">
                  <c:v>1971</c:v>
                </c:pt>
                <c:pt idx="82">
                  <c:v>1972</c:v>
                </c:pt>
                <c:pt idx="83">
                  <c:v>1973</c:v>
                </c:pt>
                <c:pt idx="84">
                  <c:v>1974</c:v>
                </c:pt>
                <c:pt idx="85">
                  <c:v>1975</c:v>
                </c:pt>
                <c:pt idx="86">
                  <c:v>1976</c:v>
                </c:pt>
                <c:pt idx="87">
                  <c:v>1977</c:v>
                </c:pt>
                <c:pt idx="88">
                  <c:v>1978</c:v>
                </c:pt>
                <c:pt idx="89">
                  <c:v>1979</c:v>
                </c:pt>
                <c:pt idx="90">
                  <c:v>1980</c:v>
                </c:pt>
                <c:pt idx="91">
                  <c:v>1981</c:v>
                </c:pt>
                <c:pt idx="92">
                  <c:v>1982</c:v>
                </c:pt>
                <c:pt idx="93">
                  <c:v>1983</c:v>
                </c:pt>
                <c:pt idx="94">
                  <c:v>1984</c:v>
                </c:pt>
                <c:pt idx="95">
                  <c:v>1985</c:v>
                </c:pt>
                <c:pt idx="96">
                  <c:v>1986</c:v>
                </c:pt>
                <c:pt idx="97">
                  <c:v>1987</c:v>
                </c:pt>
                <c:pt idx="98">
                  <c:v>1988</c:v>
                </c:pt>
                <c:pt idx="99">
                  <c:v>1989</c:v>
                </c:pt>
                <c:pt idx="100">
                  <c:v>1990</c:v>
                </c:pt>
                <c:pt idx="101">
                  <c:v>1991</c:v>
                </c:pt>
                <c:pt idx="102">
                  <c:v>1992</c:v>
                </c:pt>
                <c:pt idx="103">
                  <c:v>1993</c:v>
                </c:pt>
                <c:pt idx="104">
                  <c:v>1994</c:v>
                </c:pt>
                <c:pt idx="105">
                  <c:v>1995</c:v>
                </c:pt>
                <c:pt idx="106">
                  <c:v>1996</c:v>
                </c:pt>
                <c:pt idx="107">
                  <c:v>1997</c:v>
                </c:pt>
                <c:pt idx="108">
                  <c:v>1998</c:v>
                </c:pt>
                <c:pt idx="109">
                  <c:v>1999</c:v>
                </c:pt>
                <c:pt idx="110">
                  <c:v>2000</c:v>
                </c:pt>
                <c:pt idx="111">
                  <c:v>2001</c:v>
                </c:pt>
                <c:pt idx="112">
                  <c:v>2002</c:v>
                </c:pt>
                <c:pt idx="113">
                  <c:v>2003</c:v>
                </c:pt>
                <c:pt idx="114">
                  <c:v>2004</c:v>
                </c:pt>
                <c:pt idx="115">
                  <c:v>2005</c:v>
                </c:pt>
                <c:pt idx="116">
                  <c:v>2006</c:v>
                </c:pt>
                <c:pt idx="117">
                  <c:v>2007</c:v>
                </c:pt>
                <c:pt idx="118">
                  <c:v>2008</c:v>
                </c:pt>
                <c:pt idx="119">
                  <c:v>2009</c:v>
                </c:pt>
                <c:pt idx="120">
                  <c:v>2010</c:v>
                </c:pt>
                <c:pt idx="121">
                  <c:v>2011</c:v>
                </c:pt>
                <c:pt idx="122">
                  <c:v>2012</c:v>
                </c:pt>
                <c:pt idx="123">
                  <c:v>2013</c:v>
                </c:pt>
                <c:pt idx="124">
                  <c:v>2014</c:v>
                </c:pt>
                <c:pt idx="125">
                  <c:v>2015</c:v>
                </c:pt>
                <c:pt idx="126">
                  <c:v>2016</c:v>
                </c:pt>
                <c:pt idx="127">
                  <c:v>2017</c:v>
                </c:pt>
                <c:pt idx="128">
                  <c:v>2018</c:v>
                </c:pt>
                <c:pt idx="129">
                  <c:v>2019</c:v>
                </c:pt>
                <c:pt idx="130">
                  <c:v>2020</c:v>
                </c:pt>
                <c:pt idx="131">
                  <c:v>2021</c:v>
                </c:pt>
                <c:pt idx="132">
                  <c:v>2022</c:v>
                </c:pt>
                <c:pt idx="133">
                  <c:v>2023</c:v>
                </c:pt>
                <c:pt idx="134">
                  <c:v>2024</c:v>
                </c:pt>
                <c:pt idx="135">
                  <c:v>2025</c:v>
                </c:pt>
                <c:pt idx="136">
                  <c:v>2026</c:v>
                </c:pt>
                <c:pt idx="137">
                  <c:v>2027</c:v>
                </c:pt>
                <c:pt idx="138">
                  <c:v>2028</c:v>
                </c:pt>
                <c:pt idx="139">
                  <c:v>2029</c:v>
                </c:pt>
                <c:pt idx="140">
                  <c:v>2030</c:v>
                </c:pt>
                <c:pt idx="141">
                  <c:v>2031</c:v>
                </c:pt>
                <c:pt idx="142">
                  <c:v>2032</c:v>
                </c:pt>
                <c:pt idx="143">
                  <c:v>2033</c:v>
                </c:pt>
                <c:pt idx="144">
                  <c:v>2034</c:v>
                </c:pt>
                <c:pt idx="145">
                  <c:v>2035</c:v>
                </c:pt>
                <c:pt idx="146">
                  <c:v>2036</c:v>
                </c:pt>
                <c:pt idx="147">
                  <c:v>2037</c:v>
                </c:pt>
                <c:pt idx="148">
                  <c:v>2038</c:v>
                </c:pt>
                <c:pt idx="149">
                  <c:v>2039</c:v>
                </c:pt>
                <c:pt idx="150">
                  <c:v>2040</c:v>
                </c:pt>
                <c:pt idx="151">
                  <c:v>2041</c:v>
                </c:pt>
                <c:pt idx="152">
                  <c:v>2042</c:v>
                </c:pt>
                <c:pt idx="153">
                  <c:v>2043</c:v>
                </c:pt>
                <c:pt idx="154">
                  <c:v>2044</c:v>
                </c:pt>
                <c:pt idx="155">
                  <c:v>2045</c:v>
                </c:pt>
                <c:pt idx="156">
                  <c:v>2046</c:v>
                </c:pt>
                <c:pt idx="157">
                  <c:v>2047</c:v>
                </c:pt>
                <c:pt idx="158">
                  <c:v>2048</c:v>
                </c:pt>
                <c:pt idx="159">
                  <c:v>2049</c:v>
                </c:pt>
                <c:pt idx="160">
                  <c:v>2050</c:v>
                </c:pt>
              </c:numCache>
            </c:numRef>
          </c:xVal>
          <c:yVal>
            <c:numRef>
              <c:f>神戸2月最低気温!$H$7:$H$167</c:f>
              <c:numCache>
                <c:formatCode>General</c:formatCode>
                <c:ptCount val="161"/>
                <c:pt idx="0">
                  <c:v>-2.0842153026237327</c:v>
                </c:pt>
                <c:pt idx="1">
                  <c:v>-2.0555698419797253</c:v>
                </c:pt>
                <c:pt idx="2">
                  <c:v>-2.0269243813357178</c:v>
                </c:pt>
                <c:pt idx="3">
                  <c:v>-1.9982789206917104</c:v>
                </c:pt>
                <c:pt idx="4">
                  <c:v>-1.969633460047703</c:v>
                </c:pt>
                <c:pt idx="5">
                  <c:v>-1.9409879994036956</c:v>
                </c:pt>
                <c:pt idx="6">
                  <c:v>-1.9123425387596882</c:v>
                </c:pt>
                <c:pt idx="7">
                  <c:v>-1.8836970781156808</c:v>
                </c:pt>
                <c:pt idx="8">
                  <c:v>-1.8550516174716734</c:v>
                </c:pt>
                <c:pt idx="9">
                  <c:v>-1.8264061568276659</c:v>
                </c:pt>
                <c:pt idx="10">
                  <c:v>-1.7977606961836585</c:v>
                </c:pt>
                <c:pt idx="11">
                  <c:v>-1.7691152355396511</c:v>
                </c:pt>
                <c:pt idx="12">
                  <c:v>-1.7404697748956508</c:v>
                </c:pt>
                <c:pt idx="13">
                  <c:v>-1.7118243142516434</c:v>
                </c:pt>
                <c:pt idx="14">
                  <c:v>-1.683178853607636</c:v>
                </c:pt>
                <c:pt idx="15">
                  <c:v>-1.6545333929636286</c:v>
                </c:pt>
                <c:pt idx="16">
                  <c:v>-1.6258879323196211</c:v>
                </c:pt>
                <c:pt idx="17">
                  <c:v>-1.5972424716756137</c:v>
                </c:pt>
                <c:pt idx="18">
                  <c:v>-1.5685970110316063</c:v>
                </c:pt>
                <c:pt idx="19">
                  <c:v>-1.5399515503875989</c:v>
                </c:pt>
                <c:pt idx="20">
                  <c:v>-1.5113060897435915</c:v>
                </c:pt>
                <c:pt idx="21">
                  <c:v>-1.4826606290995841</c:v>
                </c:pt>
                <c:pt idx="22">
                  <c:v>-1.4540151684555767</c:v>
                </c:pt>
                <c:pt idx="23">
                  <c:v>-1.4253697078115692</c:v>
                </c:pt>
                <c:pt idx="24">
                  <c:v>-1.3967242471675618</c:v>
                </c:pt>
                <c:pt idx="25">
                  <c:v>-1.3680787865235544</c:v>
                </c:pt>
                <c:pt idx="26">
                  <c:v>-1.339433325879547</c:v>
                </c:pt>
                <c:pt idx="27">
                  <c:v>-1.3107878652355396</c:v>
                </c:pt>
                <c:pt idx="28">
                  <c:v>-1.2821424045915322</c:v>
                </c:pt>
                <c:pt idx="29">
                  <c:v>-1.2534969439475248</c:v>
                </c:pt>
                <c:pt idx="30">
                  <c:v>-1.2248514833035173</c:v>
                </c:pt>
                <c:pt idx="31">
                  <c:v>-1.1962060226595099</c:v>
                </c:pt>
                <c:pt idx="32">
                  <c:v>-1.1675605620155025</c:v>
                </c:pt>
                <c:pt idx="33">
                  <c:v>-1.1389151013714951</c:v>
                </c:pt>
                <c:pt idx="34">
                  <c:v>-1.1102696407274877</c:v>
                </c:pt>
                <c:pt idx="35">
                  <c:v>-1.0816241800834803</c:v>
                </c:pt>
                <c:pt idx="36">
                  <c:v>-1.0529787194394729</c:v>
                </c:pt>
                <c:pt idx="37">
                  <c:v>-1.0243332587954654</c:v>
                </c:pt>
                <c:pt idx="38">
                  <c:v>-0.99568779815145803</c:v>
                </c:pt>
                <c:pt idx="39">
                  <c:v>-0.96704233750745772</c:v>
                </c:pt>
                <c:pt idx="40">
                  <c:v>-0.9383968768634503</c:v>
                </c:pt>
                <c:pt idx="41">
                  <c:v>-0.90975141621944289</c:v>
                </c:pt>
                <c:pt idx="42">
                  <c:v>-0.88110595557543547</c:v>
                </c:pt>
                <c:pt idx="43">
                  <c:v>-0.85246049493142806</c:v>
                </c:pt>
                <c:pt idx="44">
                  <c:v>-0.82381503428742064</c:v>
                </c:pt>
                <c:pt idx="45">
                  <c:v>-0.79516957364341323</c:v>
                </c:pt>
                <c:pt idx="46">
                  <c:v>-0.76652411299940582</c:v>
                </c:pt>
                <c:pt idx="47">
                  <c:v>-0.7378786523553984</c:v>
                </c:pt>
                <c:pt idx="48">
                  <c:v>-0.70923319171139099</c:v>
                </c:pt>
                <c:pt idx="49">
                  <c:v>-0.68058773106738357</c:v>
                </c:pt>
                <c:pt idx="50">
                  <c:v>-0.65194227042337616</c:v>
                </c:pt>
                <c:pt idx="51">
                  <c:v>-0.62329680977936874</c:v>
                </c:pt>
                <c:pt idx="52">
                  <c:v>-0.59465134913536133</c:v>
                </c:pt>
                <c:pt idx="53">
                  <c:v>-0.56600588849135391</c:v>
                </c:pt>
                <c:pt idx="54">
                  <c:v>-0.5373604278473465</c:v>
                </c:pt>
                <c:pt idx="55">
                  <c:v>-0.50871496720333909</c:v>
                </c:pt>
                <c:pt idx="56">
                  <c:v>-0.48006950655933167</c:v>
                </c:pt>
                <c:pt idx="57">
                  <c:v>-0.45142404591532426</c:v>
                </c:pt>
                <c:pt idx="58">
                  <c:v>-0.42277858527131684</c:v>
                </c:pt>
                <c:pt idx="59">
                  <c:v>-0.39413312462730943</c:v>
                </c:pt>
                <c:pt idx="60">
                  <c:v>-0.36548766398330201</c:v>
                </c:pt>
                <c:pt idx="61">
                  <c:v>-0.3368422033392946</c:v>
                </c:pt>
                <c:pt idx="62">
                  <c:v>-0.30819674269528718</c:v>
                </c:pt>
                <c:pt idx="63">
                  <c:v>-0.27955128205127977</c:v>
                </c:pt>
                <c:pt idx="64">
                  <c:v>-0.25090582140727236</c:v>
                </c:pt>
                <c:pt idx="65">
                  <c:v>-0.22226036076327205</c:v>
                </c:pt>
                <c:pt idx="66">
                  <c:v>-0.19361490011926463</c:v>
                </c:pt>
                <c:pt idx="67">
                  <c:v>-0.16496943947525722</c:v>
                </c:pt>
                <c:pt idx="68">
                  <c:v>-0.1363239788312498</c:v>
                </c:pt>
                <c:pt idx="69">
                  <c:v>-0.10767851818724239</c:v>
                </c:pt>
                <c:pt idx="70">
                  <c:v>-7.9033057543234975E-2</c:v>
                </c:pt>
                <c:pt idx="71">
                  <c:v>-5.038759689922756E-2</c:v>
                </c:pt>
                <c:pt idx="72">
                  <c:v>-2.1742136255220146E-2</c:v>
                </c:pt>
                <c:pt idx="73">
                  <c:v>6.9033243887872686E-3</c:v>
                </c:pt>
                <c:pt idx="74">
                  <c:v>3.5548785032794683E-2</c:v>
                </c:pt>
                <c:pt idx="75">
                  <c:v>6.4194245676802097E-2</c:v>
                </c:pt>
                <c:pt idx="76">
                  <c:v>9.2839706320809512E-2</c:v>
                </c:pt>
                <c:pt idx="77">
                  <c:v>0.12148516696481693</c:v>
                </c:pt>
                <c:pt idx="78">
                  <c:v>0.15013062760882434</c:v>
                </c:pt>
                <c:pt idx="79">
                  <c:v>0.17877608825283176</c:v>
                </c:pt>
                <c:pt idx="80">
                  <c:v>0.20742154889683917</c:v>
                </c:pt>
                <c:pt idx="81">
                  <c:v>0.23606700954084658</c:v>
                </c:pt>
                <c:pt idx="82">
                  <c:v>0.264712470184854</c:v>
                </c:pt>
                <c:pt idx="83">
                  <c:v>0.29335793082886141</c:v>
                </c:pt>
                <c:pt idx="84">
                  <c:v>0.32200339147286883</c:v>
                </c:pt>
                <c:pt idx="85">
                  <c:v>0.35064885211687624</c:v>
                </c:pt>
                <c:pt idx="86">
                  <c:v>0.37929431276088366</c:v>
                </c:pt>
                <c:pt idx="87">
                  <c:v>0.40793977340489107</c:v>
                </c:pt>
                <c:pt idx="88">
                  <c:v>0.43658523404889849</c:v>
                </c:pt>
                <c:pt idx="89">
                  <c:v>0.4652306946929059</c:v>
                </c:pt>
                <c:pt idx="90">
                  <c:v>0.49387615533691331</c:v>
                </c:pt>
                <c:pt idx="91">
                  <c:v>0.52252161598092073</c:v>
                </c:pt>
                <c:pt idx="92">
                  <c:v>0.55116707662492104</c:v>
                </c:pt>
                <c:pt idx="93">
                  <c:v>0.57981253726892845</c:v>
                </c:pt>
                <c:pt idx="94">
                  <c:v>0.60845799791293587</c:v>
                </c:pt>
                <c:pt idx="95">
                  <c:v>0.63710345855694328</c:v>
                </c:pt>
                <c:pt idx="96">
                  <c:v>0.6657489192009507</c:v>
                </c:pt>
                <c:pt idx="97">
                  <c:v>0.69439437984495811</c:v>
                </c:pt>
                <c:pt idx="98">
                  <c:v>0.72303984048896552</c:v>
                </c:pt>
                <c:pt idx="99">
                  <c:v>0.75168530113297294</c:v>
                </c:pt>
                <c:pt idx="100">
                  <c:v>0.78033076177698035</c:v>
                </c:pt>
                <c:pt idx="101">
                  <c:v>0.80897622242098777</c:v>
                </c:pt>
                <c:pt idx="102">
                  <c:v>0.83762168306499518</c:v>
                </c:pt>
                <c:pt idx="103">
                  <c:v>0.8662671437090026</c:v>
                </c:pt>
                <c:pt idx="104">
                  <c:v>0.89491260435301001</c:v>
                </c:pt>
                <c:pt idx="105">
                  <c:v>0.92355806499701742</c:v>
                </c:pt>
                <c:pt idx="106">
                  <c:v>0.95220352564102484</c:v>
                </c:pt>
                <c:pt idx="107">
                  <c:v>0.98084898628503225</c:v>
                </c:pt>
                <c:pt idx="108">
                  <c:v>1.0094944469290397</c:v>
                </c:pt>
                <c:pt idx="109">
                  <c:v>1.0381399075730471</c:v>
                </c:pt>
                <c:pt idx="110">
                  <c:v>1.0667853682170545</c:v>
                </c:pt>
                <c:pt idx="111">
                  <c:v>1.0954308288610619</c:v>
                </c:pt>
                <c:pt idx="112">
                  <c:v>1.1240762895050693</c:v>
                </c:pt>
                <c:pt idx="113">
                  <c:v>1.1527217501490767</c:v>
                </c:pt>
                <c:pt idx="114">
                  <c:v>1.1813672107930842</c:v>
                </c:pt>
                <c:pt idx="115">
                  <c:v>1.2100126714370916</c:v>
                </c:pt>
                <c:pt idx="116">
                  <c:v>1.238658132081099</c:v>
                </c:pt>
                <c:pt idx="117">
                  <c:v>1.2673035927251064</c:v>
                </c:pt>
                <c:pt idx="118">
                  <c:v>1.2959490533691138</c:v>
                </c:pt>
                <c:pt idx="119">
                  <c:v>1.3245945140131141</c:v>
                </c:pt>
                <c:pt idx="120">
                  <c:v>1.3532399746571215</c:v>
                </c:pt>
                <c:pt idx="121">
                  <c:v>1.381885435301129</c:v>
                </c:pt>
                <c:pt idx="122">
                  <c:v>1.4105308959451364</c:v>
                </c:pt>
                <c:pt idx="123">
                  <c:v>1.4391763565891438</c:v>
                </c:pt>
                <c:pt idx="124">
                  <c:v>1.4678218172331512</c:v>
                </c:pt>
                <c:pt idx="125">
                  <c:v>1.4964672778771586</c:v>
                </c:pt>
                <c:pt idx="126">
                  <c:v>1.525112738521166</c:v>
                </c:pt>
                <c:pt idx="127">
                  <c:v>1.5537581991651734</c:v>
                </c:pt>
                <c:pt idx="128">
                  <c:v>1.5824036598091809</c:v>
                </c:pt>
                <c:pt idx="129">
                  <c:v>1.6110491204531883</c:v>
                </c:pt>
                <c:pt idx="130">
                  <c:v>1.6396945810971957</c:v>
                </c:pt>
                <c:pt idx="131">
                  <c:v>1.6683400417412031</c:v>
                </c:pt>
                <c:pt idx="132">
                  <c:v>1.6969855023852105</c:v>
                </c:pt>
                <c:pt idx="133">
                  <c:v>1.7256309630292179</c:v>
                </c:pt>
                <c:pt idx="134">
                  <c:v>1.7542764236732253</c:v>
                </c:pt>
                <c:pt idx="135">
                  <c:v>1.7829218843172328</c:v>
                </c:pt>
                <c:pt idx="136">
                  <c:v>1.8115673449612402</c:v>
                </c:pt>
                <c:pt idx="137">
                  <c:v>1.8402128056052476</c:v>
                </c:pt>
                <c:pt idx="138">
                  <c:v>1.868858266249255</c:v>
                </c:pt>
                <c:pt idx="139">
                  <c:v>1.8975037268932624</c:v>
                </c:pt>
                <c:pt idx="140">
                  <c:v>1.9261491875372698</c:v>
                </c:pt>
                <c:pt idx="141">
                  <c:v>1.9547946481812772</c:v>
                </c:pt>
                <c:pt idx="142">
                  <c:v>1.9834401088252847</c:v>
                </c:pt>
                <c:pt idx="143">
                  <c:v>2.0120855694692921</c:v>
                </c:pt>
                <c:pt idx="144">
                  <c:v>2.0407310301132995</c:v>
                </c:pt>
                <c:pt idx="145">
                  <c:v>2.0693764907572998</c:v>
                </c:pt>
                <c:pt idx="146">
                  <c:v>2.0980219514013072</c:v>
                </c:pt>
                <c:pt idx="147">
                  <c:v>2.1266674120453146</c:v>
                </c:pt>
                <c:pt idx="148">
                  <c:v>2.155312872689322</c:v>
                </c:pt>
                <c:pt idx="149">
                  <c:v>2.1839583333333294</c:v>
                </c:pt>
                <c:pt idx="150">
                  <c:v>2.2126037939773369</c:v>
                </c:pt>
                <c:pt idx="151">
                  <c:v>2.2412492546213443</c:v>
                </c:pt>
                <c:pt idx="152">
                  <c:v>2.2698947152653517</c:v>
                </c:pt>
                <c:pt idx="153">
                  <c:v>2.2985401759093591</c:v>
                </c:pt>
                <c:pt idx="154">
                  <c:v>2.3271856365533665</c:v>
                </c:pt>
                <c:pt idx="155">
                  <c:v>2.3558310971973739</c:v>
                </c:pt>
                <c:pt idx="156">
                  <c:v>2.3844765578413814</c:v>
                </c:pt>
                <c:pt idx="157">
                  <c:v>2.4131220184853888</c:v>
                </c:pt>
                <c:pt idx="158">
                  <c:v>2.4417674791293962</c:v>
                </c:pt>
                <c:pt idx="159">
                  <c:v>2.4704129397734036</c:v>
                </c:pt>
                <c:pt idx="160">
                  <c:v>2.499058400417411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14-4A0B-8F11-0ACA3AF69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973712"/>
        <c:axId val="559588880"/>
      </c:scatterChart>
      <c:valAx>
        <c:axId val="612973712"/>
        <c:scaling>
          <c:orientation val="minMax"/>
          <c:max val="2050"/>
          <c:min val="18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/>
                  <a:t>（年）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824761664038332"/>
              <c:y val="0.851959336984903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9588880"/>
        <c:crosses val="autoZero"/>
        <c:crossBetween val="midCat"/>
        <c:majorUnit val="20"/>
      </c:valAx>
      <c:valAx>
        <c:axId val="559588880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/>
                  <a:t>（℃）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297371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sz="1400"/>
              <a:t>グラフ</a:t>
            </a:r>
            <a:r>
              <a:rPr lang="en-US" sz="1400"/>
              <a:t>2</a:t>
            </a:r>
            <a:r>
              <a:rPr lang="ja-JP" sz="1400"/>
              <a:t>　アヤメの分類</a:t>
            </a:r>
          </a:p>
        </c:rich>
      </c:tx>
      <c:layout>
        <c:manualLayout>
          <c:xMode val="edge"/>
          <c:yMode val="edge"/>
          <c:x val="0.29322390210466293"/>
          <c:y val="0.9094087648094879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435870516185476"/>
          <c:y val="3.7703503106153308E-2"/>
          <c:w val="0.80015026246719156"/>
          <c:h val="0.70890061766812607"/>
        </c:manualLayout>
      </c:layout>
      <c:scatterChart>
        <c:scatterStyle val="lineMarker"/>
        <c:varyColors val="0"/>
        <c:ser>
          <c:idx val="0"/>
          <c:order val="0"/>
          <c:tx>
            <c:strRef>
              <c:f>iris!$E$2</c:f>
              <c:strCache>
                <c:ptCount val="1"/>
                <c:pt idx="0">
                  <c:v>Setosa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iris!$B$2:$B$51</c:f>
              <c:numCache>
                <c:formatCode>General</c:formatCode>
                <c:ptCount val="50"/>
                <c:pt idx="0">
                  <c:v>3.5</c:v>
                </c:pt>
                <c:pt idx="1">
                  <c:v>3</c:v>
                </c:pt>
                <c:pt idx="2">
                  <c:v>3.2</c:v>
                </c:pt>
                <c:pt idx="3">
                  <c:v>3.1</c:v>
                </c:pt>
                <c:pt idx="4">
                  <c:v>3.6</c:v>
                </c:pt>
                <c:pt idx="5">
                  <c:v>3.9</c:v>
                </c:pt>
                <c:pt idx="6">
                  <c:v>3.4</c:v>
                </c:pt>
                <c:pt idx="7">
                  <c:v>3.4</c:v>
                </c:pt>
                <c:pt idx="8">
                  <c:v>2.9</c:v>
                </c:pt>
                <c:pt idx="9">
                  <c:v>3.1</c:v>
                </c:pt>
                <c:pt idx="10">
                  <c:v>3.7</c:v>
                </c:pt>
                <c:pt idx="11">
                  <c:v>3.4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4.4000000000000004</c:v>
                </c:pt>
                <c:pt idx="16">
                  <c:v>3.9</c:v>
                </c:pt>
                <c:pt idx="17">
                  <c:v>3.5</c:v>
                </c:pt>
                <c:pt idx="18">
                  <c:v>3.8</c:v>
                </c:pt>
                <c:pt idx="19">
                  <c:v>3.8</c:v>
                </c:pt>
                <c:pt idx="20">
                  <c:v>3.4</c:v>
                </c:pt>
                <c:pt idx="21">
                  <c:v>3.7</c:v>
                </c:pt>
                <c:pt idx="22">
                  <c:v>3.6</c:v>
                </c:pt>
                <c:pt idx="23">
                  <c:v>3.3</c:v>
                </c:pt>
                <c:pt idx="24">
                  <c:v>3.4</c:v>
                </c:pt>
                <c:pt idx="25">
                  <c:v>3</c:v>
                </c:pt>
                <c:pt idx="26">
                  <c:v>3.4</c:v>
                </c:pt>
                <c:pt idx="27">
                  <c:v>3.5</c:v>
                </c:pt>
                <c:pt idx="28">
                  <c:v>3.4</c:v>
                </c:pt>
                <c:pt idx="29">
                  <c:v>3.2</c:v>
                </c:pt>
                <c:pt idx="30">
                  <c:v>3.1</c:v>
                </c:pt>
                <c:pt idx="31">
                  <c:v>3.4</c:v>
                </c:pt>
                <c:pt idx="32">
                  <c:v>4.0999999999999996</c:v>
                </c:pt>
                <c:pt idx="33">
                  <c:v>4.2</c:v>
                </c:pt>
                <c:pt idx="34">
                  <c:v>3.1</c:v>
                </c:pt>
                <c:pt idx="35">
                  <c:v>3.2</c:v>
                </c:pt>
                <c:pt idx="36">
                  <c:v>3.5</c:v>
                </c:pt>
                <c:pt idx="37">
                  <c:v>3.6</c:v>
                </c:pt>
                <c:pt idx="38">
                  <c:v>3</c:v>
                </c:pt>
                <c:pt idx="39">
                  <c:v>3.4</c:v>
                </c:pt>
                <c:pt idx="40">
                  <c:v>3.5</c:v>
                </c:pt>
                <c:pt idx="41">
                  <c:v>2.2999999999999998</c:v>
                </c:pt>
                <c:pt idx="42">
                  <c:v>3.2</c:v>
                </c:pt>
                <c:pt idx="43">
                  <c:v>3.5</c:v>
                </c:pt>
                <c:pt idx="44">
                  <c:v>3.8</c:v>
                </c:pt>
                <c:pt idx="45">
                  <c:v>3</c:v>
                </c:pt>
                <c:pt idx="46">
                  <c:v>3.8</c:v>
                </c:pt>
                <c:pt idx="47">
                  <c:v>3.2</c:v>
                </c:pt>
                <c:pt idx="48">
                  <c:v>3.7</c:v>
                </c:pt>
                <c:pt idx="49">
                  <c:v>3.3</c:v>
                </c:pt>
              </c:numCache>
            </c:numRef>
          </c:xVal>
          <c:yVal>
            <c:numRef>
              <c:f>iris!$D$2:$D$51</c:f>
              <c:numCache>
                <c:formatCode>General</c:formatCode>
                <c:ptCount val="50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0.4</c:v>
                </c:pt>
                <c:pt idx="6">
                  <c:v>0.3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0.1</c:v>
                </c:pt>
                <c:pt idx="13">
                  <c:v>0.1</c:v>
                </c:pt>
                <c:pt idx="14">
                  <c:v>0.2</c:v>
                </c:pt>
                <c:pt idx="15">
                  <c:v>0.4</c:v>
                </c:pt>
                <c:pt idx="16">
                  <c:v>0.4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0.4</c:v>
                </c:pt>
                <c:pt idx="22">
                  <c:v>0.2</c:v>
                </c:pt>
                <c:pt idx="23">
                  <c:v>0.5</c:v>
                </c:pt>
                <c:pt idx="24">
                  <c:v>0.2</c:v>
                </c:pt>
                <c:pt idx="25">
                  <c:v>0.2</c:v>
                </c:pt>
                <c:pt idx="26">
                  <c:v>0.4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0.4</c:v>
                </c:pt>
                <c:pt idx="32">
                  <c:v>0.1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0.1</c:v>
                </c:pt>
                <c:pt idx="38">
                  <c:v>0.2</c:v>
                </c:pt>
                <c:pt idx="39">
                  <c:v>0.2</c:v>
                </c:pt>
                <c:pt idx="40">
                  <c:v>0.3</c:v>
                </c:pt>
                <c:pt idx="41">
                  <c:v>0.3</c:v>
                </c:pt>
                <c:pt idx="42">
                  <c:v>0.2</c:v>
                </c:pt>
                <c:pt idx="43">
                  <c:v>0.6</c:v>
                </c:pt>
                <c:pt idx="44">
                  <c:v>0.4</c:v>
                </c:pt>
                <c:pt idx="45">
                  <c:v>0.3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70-4BC9-B4F2-77C2C856BE46}"/>
            </c:ext>
          </c:extLst>
        </c:ser>
        <c:ser>
          <c:idx val="1"/>
          <c:order val="1"/>
          <c:tx>
            <c:strRef>
              <c:f>iris!$E$52</c:f>
              <c:strCache>
                <c:ptCount val="1"/>
                <c:pt idx="0">
                  <c:v>Versicolor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iris!$B$52:$B$101</c:f>
              <c:numCache>
                <c:formatCode>General</c:formatCode>
                <c:ptCount val="50"/>
                <c:pt idx="0">
                  <c:v>3.2</c:v>
                </c:pt>
                <c:pt idx="1">
                  <c:v>3.2</c:v>
                </c:pt>
                <c:pt idx="2">
                  <c:v>3.1</c:v>
                </c:pt>
                <c:pt idx="3">
                  <c:v>2.2999999999999998</c:v>
                </c:pt>
                <c:pt idx="4">
                  <c:v>2.8</c:v>
                </c:pt>
                <c:pt idx="5">
                  <c:v>2.8</c:v>
                </c:pt>
                <c:pt idx="6">
                  <c:v>3.3</c:v>
                </c:pt>
                <c:pt idx="7">
                  <c:v>2.4</c:v>
                </c:pt>
                <c:pt idx="8">
                  <c:v>2.9</c:v>
                </c:pt>
                <c:pt idx="9">
                  <c:v>2.7</c:v>
                </c:pt>
                <c:pt idx="10">
                  <c:v>2</c:v>
                </c:pt>
                <c:pt idx="11">
                  <c:v>3</c:v>
                </c:pt>
                <c:pt idx="12">
                  <c:v>2.2000000000000002</c:v>
                </c:pt>
                <c:pt idx="13">
                  <c:v>2.9</c:v>
                </c:pt>
                <c:pt idx="14">
                  <c:v>2.9</c:v>
                </c:pt>
                <c:pt idx="15">
                  <c:v>3.1</c:v>
                </c:pt>
                <c:pt idx="16">
                  <c:v>3</c:v>
                </c:pt>
                <c:pt idx="17">
                  <c:v>2.7</c:v>
                </c:pt>
                <c:pt idx="18">
                  <c:v>2.2000000000000002</c:v>
                </c:pt>
                <c:pt idx="19">
                  <c:v>2.5</c:v>
                </c:pt>
                <c:pt idx="20">
                  <c:v>3.2</c:v>
                </c:pt>
                <c:pt idx="21">
                  <c:v>2.8</c:v>
                </c:pt>
                <c:pt idx="22">
                  <c:v>2.5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2.8</c:v>
                </c:pt>
                <c:pt idx="27">
                  <c:v>3</c:v>
                </c:pt>
                <c:pt idx="28">
                  <c:v>2.9</c:v>
                </c:pt>
                <c:pt idx="29">
                  <c:v>2.6</c:v>
                </c:pt>
                <c:pt idx="30">
                  <c:v>2.4</c:v>
                </c:pt>
                <c:pt idx="31">
                  <c:v>2.4</c:v>
                </c:pt>
                <c:pt idx="32">
                  <c:v>2.7</c:v>
                </c:pt>
                <c:pt idx="33">
                  <c:v>2.7</c:v>
                </c:pt>
                <c:pt idx="34">
                  <c:v>3</c:v>
                </c:pt>
                <c:pt idx="35">
                  <c:v>3.4</c:v>
                </c:pt>
                <c:pt idx="36">
                  <c:v>3.1</c:v>
                </c:pt>
                <c:pt idx="37">
                  <c:v>2.2999999999999998</c:v>
                </c:pt>
                <c:pt idx="38">
                  <c:v>3</c:v>
                </c:pt>
                <c:pt idx="39">
                  <c:v>2.5</c:v>
                </c:pt>
                <c:pt idx="40">
                  <c:v>2.6</c:v>
                </c:pt>
                <c:pt idx="41">
                  <c:v>3</c:v>
                </c:pt>
                <c:pt idx="42">
                  <c:v>2.6</c:v>
                </c:pt>
                <c:pt idx="43">
                  <c:v>2.2999999999999998</c:v>
                </c:pt>
                <c:pt idx="44">
                  <c:v>2.7</c:v>
                </c:pt>
                <c:pt idx="45">
                  <c:v>3</c:v>
                </c:pt>
                <c:pt idx="46">
                  <c:v>2.9</c:v>
                </c:pt>
                <c:pt idx="47">
                  <c:v>2.9</c:v>
                </c:pt>
                <c:pt idx="48">
                  <c:v>2.5</c:v>
                </c:pt>
                <c:pt idx="49">
                  <c:v>2.8</c:v>
                </c:pt>
              </c:numCache>
            </c:numRef>
          </c:xVal>
          <c:yVal>
            <c:numRef>
              <c:f>iris!$D$52:$D$101</c:f>
              <c:numCache>
                <c:formatCode>General</c:formatCode>
                <c:ptCount val="50"/>
                <c:pt idx="0">
                  <c:v>1.4</c:v>
                </c:pt>
                <c:pt idx="1">
                  <c:v>1.5</c:v>
                </c:pt>
                <c:pt idx="2">
                  <c:v>1.5</c:v>
                </c:pt>
                <c:pt idx="3">
                  <c:v>1.3</c:v>
                </c:pt>
                <c:pt idx="4">
                  <c:v>1.5</c:v>
                </c:pt>
                <c:pt idx="5">
                  <c:v>1.3</c:v>
                </c:pt>
                <c:pt idx="6">
                  <c:v>1.6</c:v>
                </c:pt>
                <c:pt idx="7">
                  <c:v>1</c:v>
                </c:pt>
                <c:pt idx="8">
                  <c:v>1.3</c:v>
                </c:pt>
                <c:pt idx="9">
                  <c:v>1.4</c:v>
                </c:pt>
                <c:pt idx="10">
                  <c:v>1</c:v>
                </c:pt>
                <c:pt idx="11">
                  <c:v>1.5</c:v>
                </c:pt>
                <c:pt idx="12">
                  <c:v>1</c:v>
                </c:pt>
                <c:pt idx="13">
                  <c:v>1.4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</c:v>
                </c:pt>
                <c:pt idx="18">
                  <c:v>1.5</c:v>
                </c:pt>
                <c:pt idx="19">
                  <c:v>1.1000000000000001</c:v>
                </c:pt>
                <c:pt idx="20">
                  <c:v>1.8</c:v>
                </c:pt>
                <c:pt idx="21">
                  <c:v>1.3</c:v>
                </c:pt>
                <c:pt idx="22">
                  <c:v>1.5</c:v>
                </c:pt>
                <c:pt idx="23">
                  <c:v>1.2</c:v>
                </c:pt>
                <c:pt idx="24">
                  <c:v>1.3</c:v>
                </c:pt>
                <c:pt idx="25">
                  <c:v>1.4</c:v>
                </c:pt>
                <c:pt idx="26">
                  <c:v>1.4</c:v>
                </c:pt>
                <c:pt idx="27">
                  <c:v>1.7</c:v>
                </c:pt>
                <c:pt idx="28">
                  <c:v>1.5</c:v>
                </c:pt>
                <c:pt idx="29">
                  <c:v>1</c:v>
                </c:pt>
                <c:pt idx="30">
                  <c:v>1.1000000000000001</c:v>
                </c:pt>
                <c:pt idx="31">
                  <c:v>1</c:v>
                </c:pt>
                <c:pt idx="32">
                  <c:v>1.2</c:v>
                </c:pt>
                <c:pt idx="33">
                  <c:v>1.6</c:v>
                </c:pt>
                <c:pt idx="34">
                  <c:v>1.5</c:v>
                </c:pt>
                <c:pt idx="35">
                  <c:v>1.6</c:v>
                </c:pt>
                <c:pt idx="36">
                  <c:v>1.5</c:v>
                </c:pt>
                <c:pt idx="37">
                  <c:v>1.3</c:v>
                </c:pt>
                <c:pt idx="38">
                  <c:v>1.3</c:v>
                </c:pt>
                <c:pt idx="39">
                  <c:v>1.3</c:v>
                </c:pt>
                <c:pt idx="40">
                  <c:v>1.2</c:v>
                </c:pt>
                <c:pt idx="41">
                  <c:v>1.4</c:v>
                </c:pt>
                <c:pt idx="42">
                  <c:v>1.2</c:v>
                </c:pt>
                <c:pt idx="43">
                  <c:v>1</c:v>
                </c:pt>
                <c:pt idx="44">
                  <c:v>1.3</c:v>
                </c:pt>
                <c:pt idx="45">
                  <c:v>1.2</c:v>
                </c:pt>
                <c:pt idx="46">
                  <c:v>1.3</c:v>
                </c:pt>
                <c:pt idx="47">
                  <c:v>1.3</c:v>
                </c:pt>
                <c:pt idx="48">
                  <c:v>1.1000000000000001</c:v>
                </c:pt>
                <c:pt idx="49">
                  <c:v>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70-4BC9-B4F2-77C2C856BE46}"/>
            </c:ext>
          </c:extLst>
        </c:ser>
        <c:ser>
          <c:idx val="2"/>
          <c:order val="2"/>
          <c:tx>
            <c:strRef>
              <c:f>iris!$E$102</c:f>
              <c:strCache>
                <c:ptCount val="1"/>
                <c:pt idx="0">
                  <c:v>Virginica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iris!$B$102:$B$151</c:f>
              <c:numCache>
                <c:formatCode>General</c:formatCode>
                <c:ptCount val="50"/>
                <c:pt idx="0">
                  <c:v>3.3</c:v>
                </c:pt>
                <c:pt idx="1">
                  <c:v>2.7</c:v>
                </c:pt>
                <c:pt idx="2">
                  <c:v>3</c:v>
                </c:pt>
                <c:pt idx="3">
                  <c:v>2.9</c:v>
                </c:pt>
                <c:pt idx="4">
                  <c:v>3</c:v>
                </c:pt>
                <c:pt idx="5">
                  <c:v>3</c:v>
                </c:pt>
                <c:pt idx="6">
                  <c:v>2.5</c:v>
                </c:pt>
                <c:pt idx="7">
                  <c:v>2.9</c:v>
                </c:pt>
                <c:pt idx="8">
                  <c:v>2.5</c:v>
                </c:pt>
                <c:pt idx="9">
                  <c:v>3.6</c:v>
                </c:pt>
                <c:pt idx="10">
                  <c:v>3.2</c:v>
                </c:pt>
                <c:pt idx="11">
                  <c:v>2.7</c:v>
                </c:pt>
                <c:pt idx="12">
                  <c:v>3</c:v>
                </c:pt>
                <c:pt idx="13">
                  <c:v>2.5</c:v>
                </c:pt>
                <c:pt idx="14">
                  <c:v>2.8</c:v>
                </c:pt>
                <c:pt idx="15">
                  <c:v>3.2</c:v>
                </c:pt>
                <c:pt idx="16">
                  <c:v>3</c:v>
                </c:pt>
                <c:pt idx="17">
                  <c:v>3.8</c:v>
                </c:pt>
                <c:pt idx="18">
                  <c:v>2.6</c:v>
                </c:pt>
                <c:pt idx="19">
                  <c:v>2.2000000000000002</c:v>
                </c:pt>
                <c:pt idx="20">
                  <c:v>3.2</c:v>
                </c:pt>
                <c:pt idx="21">
                  <c:v>2.8</c:v>
                </c:pt>
                <c:pt idx="22">
                  <c:v>2.8</c:v>
                </c:pt>
                <c:pt idx="23">
                  <c:v>2.7</c:v>
                </c:pt>
                <c:pt idx="24">
                  <c:v>3.3</c:v>
                </c:pt>
                <c:pt idx="25">
                  <c:v>3.2</c:v>
                </c:pt>
                <c:pt idx="26">
                  <c:v>2.8</c:v>
                </c:pt>
                <c:pt idx="27">
                  <c:v>3</c:v>
                </c:pt>
                <c:pt idx="28">
                  <c:v>2.8</c:v>
                </c:pt>
                <c:pt idx="29">
                  <c:v>3</c:v>
                </c:pt>
                <c:pt idx="30">
                  <c:v>2.8</c:v>
                </c:pt>
                <c:pt idx="31">
                  <c:v>3.8</c:v>
                </c:pt>
                <c:pt idx="32">
                  <c:v>2.8</c:v>
                </c:pt>
                <c:pt idx="33">
                  <c:v>2.8</c:v>
                </c:pt>
                <c:pt idx="34">
                  <c:v>2.6</c:v>
                </c:pt>
                <c:pt idx="35">
                  <c:v>3</c:v>
                </c:pt>
                <c:pt idx="36">
                  <c:v>3.4</c:v>
                </c:pt>
                <c:pt idx="37">
                  <c:v>3.1</c:v>
                </c:pt>
                <c:pt idx="38">
                  <c:v>3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2.7</c:v>
                </c:pt>
                <c:pt idx="43">
                  <c:v>3.2</c:v>
                </c:pt>
                <c:pt idx="44">
                  <c:v>3.3</c:v>
                </c:pt>
                <c:pt idx="45">
                  <c:v>3</c:v>
                </c:pt>
                <c:pt idx="46">
                  <c:v>2.5</c:v>
                </c:pt>
                <c:pt idx="47">
                  <c:v>3</c:v>
                </c:pt>
                <c:pt idx="48">
                  <c:v>3.4</c:v>
                </c:pt>
                <c:pt idx="49">
                  <c:v>3</c:v>
                </c:pt>
              </c:numCache>
            </c:numRef>
          </c:xVal>
          <c:yVal>
            <c:numRef>
              <c:f>iris!$D$102:$D$151</c:f>
              <c:numCache>
                <c:formatCode>General</c:formatCode>
                <c:ptCount val="50"/>
                <c:pt idx="0">
                  <c:v>2.5</c:v>
                </c:pt>
                <c:pt idx="1">
                  <c:v>1.9</c:v>
                </c:pt>
                <c:pt idx="2">
                  <c:v>2.1</c:v>
                </c:pt>
                <c:pt idx="3">
                  <c:v>1.8</c:v>
                </c:pt>
                <c:pt idx="4">
                  <c:v>2.2000000000000002</c:v>
                </c:pt>
                <c:pt idx="5">
                  <c:v>2.1</c:v>
                </c:pt>
                <c:pt idx="6">
                  <c:v>1.7</c:v>
                </c:pt>
                <c:pt idx="7">
                  <c:v>1.8</c:v>
                </c:pt>
                <c:pt idx="8">
                  <c:v>1.8</c:v>
                </c:pt>
                <c:pt idx="9">
                  <c:v>2.5</c:v>
                </c:pt>
                <c:pt idx="10">
                  <c:v>2</c:v>
                </c:pt>
                <c:pt idx="11">
                  <c:v>1.9</c:v>
                </c:pt>
                <c:pt idx="12">
                  <c:v>2.1</c:v>
                </c:pt>
                <c:pt idx="13">
                  <c:v>2</c:v>
                </c:pt>
                <c:pt idx="14">
                  <c:v>2.4</c:v>
                </c:pt>
                <c:pt idx="15">
                  <c:v>2.2999999999999998</c:v>
                </c:pt>
                <c:pt idx="16">
                  <c:v>1.8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1.5</c:v>
                </c:pt>
                <c:pt idx="20">
                  <c:v>2.2999999999999998</c:v>
                </c:pt>
                <c:pt idx="21">
                  <c:v>2</c:v>
                </c:pt>
                <c:pt idx="22">
                  <c:v>2</c:v>
                </c:pt>
                <c:pt idx="23">
                  <c:v>1.8</c:v>
                </c:pt>
                <c:pt idx="24">
                  <c:v>2.1</c:v>
                </c:pt>
                <c:pt idx="25">
                  <c:v>1.8</c:v>
                </c:pt>
                <c:pt idx="26">
                  <c:v>1.8</c:v>
                </c:pt>
                <c:pt idx="27">
                  <c:v>1.8</c:v>
                </c:pt>
                <c:pt idx="28">
                  <c:v>2.1</c:v>
                </c:pt>
                <c:pt idx="29">
                  <c:v>1.6</c:v>
                </c:pt>
                <c:pt idx="30">
                  <c:v>1.9</c:v>
                </c:pt>
                <c:pt idx="31">
                  <c:v>2</c:v>
                </c:pt>
                <c:pt idx="32">
                  <c:v>2.2000000000000002</c:v>
                </c:pt>
                <c:pt idx="33">
                  <c:v>1.5</c:v>
                </c:pt>
                <c:pt idx="34">
                  <c:v>1.4</c:v>
                </c:pt>
                <c:pt idx="35">
                  <c:v>2.2999999999999998</c:v>
                </c:pt>
                <c:pt idx="36">
                  <c:v>2.4</c:v>
                </c:pt>
                <c:pt idx="37">
                  <c:v>1.8</c:v>
                </c:pt>
                <c:pt idx="38">
                  <c:v>1.8</c:v>
                </c:pt>
                <c:pt idx="39">
                  <c:v>2.1</c:v>
                </c:pt>
                <c:pt idx="40">
                  <c:v>2.4</c:v>
                </c:pt>
                <c:pt idx="41">
                  <c:v>2.2999999999999998</c:v>
                </c:pt>
                <c:pt idx="42">
                  <c:v>1.9</c:v>
                </c:pt>
                <c:pt idx="43">
                  <c:v>2.2999999999999998</c:v>
                </c:pt>
                <c:pt idx="44">
                  <c:v>2.5</c:v>
                </c:pt>
                <c:pt idx="45">
                  <c:v>2.2999999999999998</c:v>
                </c:pt>
                <c:pt idx="46">
                  <c:v>1.9</c:v>
                </c:pt>
                <c:pt idx="47">
                  <c:v>2</c:v>
                </c:pt>
                <c:pt idx="48">
                  <c:v>2.2999999999999998</c:v>
                </c:pt>
                <c:pt idx="49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70-4BC9-B4F2-77C2C856B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345656"/>
        <c:axId val="620343360"/>
      </c:scatterChart>
      <c:valAx>
        <c:axId val="620345656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がく</a:t>
                </a:r>
                <a:r>
                  <a:rPr lang="ja-JP"/>
                  <a:t>の幅 </a:t>
                </a:r>
                <a:r>
                  <a:rPr lang="en-US"/>
                  <a:t>(cm)</a:t>
                </a:r>
              </a:p>
            </c:rich>
          </c:tx>
          <c:layout>
            <c:manualLayout>
              <c:xMode val="edge"/>
              <c:yMode val="edge"/>
              <c:x val="0.42414230122836705"/>
              <c:y val="0.8133619919540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0343360"/>
        <c:crosses val="autoZero"/>
        <c:crossBetween val="midCat"/>
      </c:valAx>
      <c:valAx>
        <c:axId val="62034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花弁</a:t>
                </a:r>
                <a:r>
                  <a:rPr lang="ja-JP"/>
                  <a:t>の幅 </a:t>
                </a:r>
                <a:r>
                  <a:rPr lang="en-US"/>
                  <a:t>(cm)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0345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211238561024706"/>
          <c:y val="6.3624189185760863E-2"/>
          <c:w val="0.20847237656008799"/>
          <c:h val="0.23567064465163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sz="1400"/>
              <a:t>グラフ</a:t>
            </a:r>
            <a:r>
              <a:rPr lang="en-US" sz="1400"/>
              <a:t>2</a:t>
            </a:r>
            <a:r>
              <a:rPr lang="ja-JP" sz="1400"/>
              <a:t>　アヤメの分類</a:t>
            </a:r>
          </a:p>
        </c:rich>
      </c:tx>
      <c:layout>
        <c:manualLayout>
          <c:xMode val="edge"/>
          <c:yMode val="edge"/>
          <c:x val="0.29322390210466293"/>
          <c:y val="0.9094087648094879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435870516185476"/>
          <c:y val="3.7703503106153308E-2"/>
          <c:w val="0.80015026246719156"/>
          <c:h val="0.70890061766812607"/>
        </c:manualLayout>
      </c:layout>
      <c:scatterChart>
        <c:scatterStyle val="lineMarker"/>
        <c:varyColors val="0"/>
        <c:ser>
          <c:idx val="3"/>
          <c:order val="0"/>
          <c:tx>
            <c:v>iris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iris!$B$2:$B$151</c:f>
              <c:numCache>
                <c:formatCode>General</c:formatCode>
                <c:ptCount val="150"/>
                <c:pt idx="0">
                  <c:v>3.5</c:v>
                </c:pt>
                <c:pt idx="1">
                  <c:v>3</c:v>
                </c:pt>
                <c:pt idx="2">
                  <c:v>3.2</c:v>
                </c:pt>
                <c:pt idx="3">
                  <c:v>3.1</c:v>
                </c:pt>
                <c:pt idx="4">
                  <c:v>3.6</c:v>
                </c:pt>
                <c:pt idx="5">
                  <c:v>3.9</c:v>
                </c:pt>
                <c:pt idx="6">
                  <c:v>3.4</c:v>
                </c:pt>
                <c:pt idx="7">
                  <c:v>3.4</c:v>
                </c:pt>
                <c:pt idx="8">
                  <c:v>2.9</c:v>
                </c:pt>
                <c:pt idx="9">
                  <c:v>3.1</c:v>
                </c:pt>
                <c:pt idx="10">
                  <c:v>3.7</c:v>
                </c:pt>
                <c:pt idx="11">
                  <c:v>3.4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4.4000000000000004</c:v>
                </c:pt>
                <c:pt idx="16">
                  <c:v>3.9</c:v>
                </c:pt>
                <c:pt idx="17">
                  <c:v>3.5</c:v>
                </c:pt>
                <c:pt idx="18">
                  <c:v>3.8</c:v>
                </c:pt>
                <c:pt idx="19">
                  <c:v>3.8</c:v>
                </c:pt>
                <c:pt idx="20">
                  <c:v>3.4</c:v>
                </c:pt>
                <c:pt idx="21">
                  <c:v>3.7</c:v>
                </c:pt>
                <c:pt idx="22">
                  <c:v>3.6</c:v>
                </c:pt>
                <c:pt idx="23">
                  <c:v>3.3</c:v>
                </c:pt>
                <c:pt idx="24">
                  <c:v>3.4</c:v>
                </c:pt>
                <c:pt idx="25">
                  <c:v>3</c:v>
                </c:pt>
                <c:pt idx="26">
                  <c:v>3.4</c:v>
                </c:pt>
                <c:pt idx="27">
                  <c:v>3.5</c:v>
                </c:pt>
                <c:pt idx="28">
                  <c:v>3.4</c:v>
                </c:pt>
                <c:pt idx="29">
                  <c:v>3.2</c:v>
                </c:pt>
                <c:pt idx="30">
                  <c:v>3.1</c:v>
                </c:pt>
                <c:pt idx="31">
                  <c:v>3.4</c:v>
                </c:pt>
                <c:pt idx="32">
                  <c:v>4.0999999999999996</c:v>
                </c:pt>
                <c:pt idx="33">
                  <c:v>4.2</c:v>
                </c:pt>
                <c:pt idx="34">
                  <c:v>3.1</c:v>
                </c:pt>
                <c:pt idx="35">
                  <c:v>3.2</c:v>
                </c:pt>
                <c:pt idx="36">
                  <c:v>3.5</c:v>
                </c:pt>
                <c:pt idx="37">
                  <c:v>3.6</c:v>
                </c:pt>
                <c:pt idx="38">
                  <c:v>3</c:v>
                </c:pt>
                <c:pt idx="39">
                  <c:v>3.4</c:v>
                </c:pt>
                <c:pt idx="40">
                  <c:v>3.5</c:v>
                </c:pt>
                <c:pt idx="41">
                  <c:v>2.2999999999999998</c:v>
                </c:pt>
                <c:pt idx="42">
                  <c:v>3.2</c:v>
                </c:pt>
                <c:pt idx="43">
                  <c:v>3.5</c:v>
                </c:pt>
                <c:pt idx="44">
                  <c:v>3.8</c:v>
                </c:pt>
                <c:pt idx="45">
                  <c:v>3</c:v>
                </c:pt>
                <c:pt idx="46">
                  <c:v>3.8</c:v>
                </c:pt>
                <c:pt idx="47">
                  <c:v>3.2</c:v>
                </c:pt>
                <c:pt idx="48">
                  <c:v>3.7</c:v>
                </c:pt>
                <c:pt idx="49">
                  <c:v>3.3</c:v>
                </c:pt>
                <c:pt idx="50">
                  <c:v>3.2</c:v>
                </c:pt>
                <c:pt idx="51">
                  <c:v>3.2</c:v>
                </c:pt>
                <c:pt idx="52">
                  <c:v>3.1</c:v>
                </c:pt>
                <c:pt idx="53">
                  <c:v>2.2999999999999998</c:v>
                </c:pt>
                <c:pt idx="54">
                  <c:v>2.8</c:v>
                </c:pt>
                <c:pt idx="55">
                  <c:v>2.8</c:v>
                </c:pt>
                <c:pt idx="56">
                  <c:v>3.3</c:v>
                </c:pt>
                <c:pt idx="57">
                  <c:v>2.4</c:v>
                </c:pt>
                <c:pt idx="58">
                  <c:v>2.9</c:v>
                </c:pt>
                <c:pt idx="59">
                  <c:v>2.7</c:v>
                </c:pt>
                <c:pt idx="60">
                  <c:v>2</c:v>
                </c:pt>
                <c:pt idx="61">
                  <c:v>3</c:v>
                </c:pt>
                <c:pt idx="62">
                  <c:v>2.2000000000000002</c:v>
                </c:pt>
                <c:pt idx="63">
                  <c:v>2.9</c:v>
                </c:pt>
                <c:pt idx="64">
                  <c:v>2.9</c:v>
                </c:pt>
                <c:pt idx="65">
                  <c:v>3.1</c:v>
                </c:pt>
                <c:pt idx="66">
                  <c:v>3</c:v>
                </c:pt>
                <c:pt idx="67">
                  <c:v>2.7</c:v>
                </c:pt>
                <c:pt idx="68">
                  <c:v>2.2000000000000002</c:v>
                </c:pt>
                <c:pt idx="69">
                  <c:v>2.5</c:v>
                </c:pt>
                <c:pt idx="70">
                  <c:v>3.2</c:v>
                </c:pt>
                <c:pt idx="71">
                  <c:v>2.8</c:v>
                </c:pt>
                <c:pt idx="72">
                  <c:v>2.5</c:v>
                </c:pt>
                <c:pt idx="73">
                  <c:v>2.8</c:v>
                </c:pt>
                <c:pt idx="74">
                  <c:v>2.9</c:v>
                </c:pt>
                <c:pt idx="75">
                  <c:v>3</c:v>
                </c:pt>
                <c:pt idx="76">
                  <c:v>2.8</c:v>
                </c:pt>
                <c:pt idx="77">
                  <c:v>3</c:v>
                </c:pt>
                <c:pt idx="78">
                  <c:v>2.9</c:v>
                </c:pt>
                <c:pt idx="79">
                  <c:v>2.6</c:v>
                </c:pt>
                <c:pt idx="80">
                  <c:v>2.4</c:v>
                </c:pt>
                <c:pt idx="81">
                  <c:v>2.4</c:v>
                </c:pt>
                <c:pt idx="82">
                  <c:v>2.7</c:v>
                </c:pt>
                <c:pt idx="83">
                  <c:v>2.7</c:v>
                </c:pt>
                <c:pt idx="84">
                  <c:v>3</c:v>
                </c:pt>
                <c:pt idx="85">
                  <c:v>3.4</c:v>
                </c:pt>
                <c:pt idx="86">
                  <c:v>3.1</c:v>
                </c:pt>
                <c:pt idx="87">
                  <c:v>2.2999999999999998</c:v>
                </c:pt>
                <c:pt idx="88">
                  <c:v>3</c:v>
                </c:pt>
                <c:pt idx="89">
                  <c:v>2.5</c:v>
                </c:pt>
                <c:pt idx="90">
                  <c:v>2.6</c:v>
                </c:pt>
                <c:pt idx="91">
                  <c:v>3</c:v>
                </c:pt>
                <c:pt idx="92">
                  <c:v>2.6</c:v>
                </c:pt>
                <c:pt idx="93">
                  <c:v>2.2999999999999998</c:v>
                </c:pt>
                <c:pt idx="94">
                  <c:v>2.7</c:v>
                </c:pt>
                <c:pt idx="95">
                  <c:v>3</c:v>
                </c:pt>
                <c:pt idx="96">
                  <c:v>2.9</c:v>
                </c:pt>
                <c:pt idx="97">
                  <c:v>2.9</c:v>
                </c:pt>
                <c:pt idx="98">
                  <c:v>2.5</c:v>
                </c:pt>
                <c:pt idx="99">
                  <c:v>2.8</c:v>
                </c:pt>
                <c:pt idx="100">
                  <c:v>3.3</c:v>
                </c:pt>
                <c:pt idx="101">
                  <c:v>2.7</c:v>
                </c:pt>
                <c:pt idx="102">
                  <c:v>3</c:v>
                </c:pt>
                <c:pt idx="103">
                  <c:v>2.9</c:v>
                </c:pt>
                <c:pt idx="104">
                  <c:v>3</c:v>
                </c:pt>
                <c:pt idx="105">
                  <c:v>3</c:v>
                </c:pt>
                <c:pt idx="106">
                  <c:v>2.5</c:v>
                </c:pt>
                <c:pt idx="107">
                  <c:v>2.9</c:v>
                </c:pt>
                <c:pt idx="108">
                  <c:v>2.5</c:v>
                </c:pt>
                <c:pt idx="109">
                  <c:v>3.6</c:v>
                </c:pt>
                <c:pt idx="110">
                  <c:v>3.2</c:v>
                </c:pt>
                <c:pt idx="111">
                  <c:v>2.7</c:v>
                </c:pt>
                <c:pt idx="112">
                  <c:v>3</c:v>
                </c:pt>
                <c:pt idx="113">
                  <c:v>2.5</c:v>
                </c:pt>
                <c:pt idx="114">
                  <c:v>2.8</c:v>
                </c:pt>
                <c:pt idx="115">
                  <c:v>3.2</c:v>
                </c:pt>
                <c:pt idx="116">
                  <c:v>3</c:v>
                </c:pt>
                <c:pt idx="117">
                  <c:v>3.8</c:v>
                </c:pt>
                <c:pt idx="118">
                  <c:v>2.6</c:v>
                </c:pt>
                <c:pt idx="119">
                  <c:v>2.2000000000000002</c:v>
                </c:pt>
                <c:pt idx="120">
                  <c:v>3.2</c:v>
                </c:pt>
                <c:pt idx="121">
                  <c:v>2.8</c:v>
                </c:pt>
                <c:pt idx="122">
                  <c:v>2.8</c:v>
                </c:pt>
                <c:pt idx="123">
                  <c:v>2.7</c:v>
                </c:pt>
                <c:pt idx="124">
                  <c:v>3.3</c:v>
                </c:pt>
                <c:pt idx="125">
                  <c:v>3.2</c:v>
                </c:pt>
                <c:pt idx="126">
                  <c:v>2.8</c:v>
                </c:pt>
                <c:pt idx="127">
                  <c:v>3</c:v>
                </c:pt>
                <c:pt idx="128">
                  <c:v>2.8</c:v>
                </c:pt>
                <c:pt idx="129">
                  <c:v>3</c:v>
                </c:pt>
                <c:pt idx="130">
                  <c:v>2.8</c:v>
                </c:pt>
                <c:pt idx="131">
                  <c:v>3.8</c:v>
                </c:pt>
                <c:pt idx="132">
                  <c:v>2.8</c:v>
                </c:pt>
                <c:pt idx="133">
                  <c:v>2.8</c:v>
                </c:pt>
                <c:pt idx="134">
                  <c:v>2.6</c:v>
                </c:pt>
                <c:pt idx="135">
                  <c:v>3</c:v>
                </c:pt>
                <c:pt idx="136">
                  <c:v>3.4</c:v>
                </c:pt>
                <c:pt idx="137">
                  <c:v>3.1</c:v>
                </c:pt>
                <c:pt idx="138">
                  <c:v>3</c:v>
                </c:pt>
                <c:pt idx="139">
                  <c:v>3.1</c:v>
                </c:pt>
                <c:pt idx="140">
                  <c:v>3.1</c:v>
                </c:pt>
                <c:pt idx="141">
                  <c:v>3.1</c:v>
                </c:pt>
                <c:pt idx="142">
                  <c:v>2.7</c:v>
                </c:pt>
                <c:pt idx="143">
                  <c:v>3.2</c:v>
                </c:pt>
                <c:pt idx="144">
                  <c:v>3.3</c:v>
                </c:pt>
                <c:pt idx="145">
                  <c:v>3</c:v>
                </c:pt>
                <c:pt idx="146">
                  <c:v>2.5</c:v>
                </c:pt>
                <c:pt idx="147">
                  <c:v>3</c:v>
                </c:pt>
                <c:pt idx="148">
                  <c:v>3.4</c:v>
                </c:pt>
                <c:pt idx="149">
                  <c:v>3</c:v>
                </c:pt>
              </c:numCache>
            </c:numRef>
          </c:xVal>
          <c:yVal>
            <c:numRef>
              <c:f>iris!$D$2:$D$151</c:f>
              <c:numCache>
                <c:formatCode>General</c:formatCode>
                <c:ptCount val="150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0.4</c:v>
                </c:pt>
                <c:pt idx="6">
                  <c:v>0.3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0.1</c:v>
                </c:pt>
                <c:pt idx="13">
                  <c:v>0.1</c:v>
                </c:pt>
                <c:pt idx="14">
                  <c:v>0.2</c:v>
                </c:pt>
                <c:pt idx="15">
                  <c:v>0.4</c:v>
                </c:pt>
                <c:pt idx="16">
                  <c:v>0.4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0.4</c:v>
                </c:pt>
                <c:pt idx="22">
                  <c:v>0.2</c:v>
                </c:pt>
                <c:pt idx="23">
                  <c:v>0.5</c:v>
                </c:pt>
                <c:pt idx="24">
                  <c:v>0.2</c:v>
                </c:pt>
                <c:pt idx="25">
                  <c:v>0.2</c:v>
                </c:pt>
                <c:pt idx="26">
                  <c:v>0.4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0.4</c:v>
                </c:pt>
                <c:pt idx="32">
                  <c:v>0.1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0.1</c:v>
                </c:pt>
                <c:pt idx="38">
                  <c:v>0.2</c:v>
                </c:pt>
                <c:pt idx="39">
                  <c:v>0.2</c:v>
                </c:pt>
                <c:pt idx="40">
                  <c:v>0.3</c:v>
                </c:pt>
                <c:pt idx="41">
                  <c:v>0.3</c:v>
                </c:pt>
                <c:pt idx="42">
                  <c:v>0.2</c:v>
                </c:pt>
                <c:pt idx="43">
                  <c:v>0.6</c:v>
                </c:pt>
                <c:pt idx="44">
                  <c:v>0.4</c:v>
                </c:pt>
                <c:pt idx="45">
                  <c:v>0.3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1.4</c:v>
                </c:pt>
                <c:pt idx="51">
                  <c:v>1.5</c:v>
                </c:pt>
                <c:pt idx="52">
                  <c:v>1.5</c:v>
                </c:pt>
                <c:pt idx="53">
                  <c:v>1.3</c:v>
                </c:pt>
                <c:pt idx="54">
                  <c:v>1.5</c:v>
                </c:pt>
                <c:pt idx="55">
                  <c:v>1.3</c:v>
                </c:pt>
                <c:pt idx="56">
                  <c:v>1.6</c:v>
                </c:pt>
                <c:pt idx="57">
                  <c:v>1</c:v>
                </c:pt>
                <c:pt idx="58">
                  <c:v>1.3</c:v>
                </c:pt>
                <c:pt idx="59">
                  <c:v>1.4</c:v>
                </c:pt>
                <c:pt idx="60">
                  <c:v>1</c:v>
                </c:pt>
                <c:pt idx="61">
                  <c:v>1.5</c:v>
                </c:pt>
                <c:pt idx="62">
                  <c:v>1</c:v>
                </c:pt>
                <c:pt idx="63">
                  <c:v>1.4</c:v>
                </c:pt>
                <c:pt idx="64">
                  <c:v>1.3</c:v>
                </c:pt>
                <c:pt idx="65">
                  <c:v>1.4</c:v>
                </c:pt>
                <c:pt idx="66">
                  <c:v>1.5</c:v>
                </c:pt>
                <c:pt idx="67">
                  <c:v>1</c:v>
                </c:pt>
                <c:pt idx="68">
                  <c:v>1.5</c:v>
                </c:pt>
                <c:pt idx="69">
                  <c:v>1.1000000000000001</c:v>
                </c:pt>
                <c:pt idx="70">
                  <c:v>1.8</c:v>
                </c:pt>
                <c:pt idx="71">
                  <c:v>1.3</c:v>
                </c:pt>
                <c:pt idx="72">
                  <c:v>1.5</c:v>
                </c:pt>
                <c:pt idx="73">
                  <c:v>1.2</c:v>
                </c:pt>
                <c:pt idx="74">
                  <c:v>1.3</c:v>
                </c:pt>
                <c:pt idx="75">
                  <c:v>1.4</c:v>
                </c:pt>
                <c:pt idx="76">
                  <c:v>1.4</c:v>
                </c:pt>
                <c:pt idx="77">
                  <c:v>1.7</c:v>
                </c:pt>
                <c:pt idx="78">
                  <c:v>1.5</c:v>
                </c:pt>
                <c:pt idx="79">
                  <c:v>1</c:v>
                </c:pt>
                <c:pt idx="80">
                  <c:v>1.1000000000000001</c:v>
                </c:pt>
                <c:pt idx="81">
                  <c:v>1</c:v>
                </c:pt>
                <c:pt idx="82">
                  <c:v>1.2</c:v>
                </c:pt>
                <c:pt idx="83">
                  <c:v>1.6</c:v>
                </c:pt>
                <c:pt idx="84">
                  <c:v>1.5</c:v>
                </c:pt>
                <c:pt idx="85">
                  <c:v>1.6</c:v>
                </c:pt>
                <c:pt idx="86">
                  <c:v>1.5</c:v>
                </c:pt>
                <c:pt idx="87">
                  <c:v>1.3</c:v>
                </c:pt>
                <c:pt idx="88">
                  <c:v>1.3</c:v>
                </c:pt>
                <c:pt idx="89">
                  <c:v>1.3</c:v>
                </c:pt>
                <c:pt idx="90">
                  <c:v>1.2</c:v>
                </c:pt>
                <c:pt idx="91">
                  <c:v>1.4</c:v>
                </c:pt>
                <c:pt idx="92">
                  <c:v>1.2</c:v>
                </c:pt>
                <c:pt idx="93">
                  <c:v>1</c:v>
                </c:pt>
                <c:pt idx="94">
                  <c:v>1.3</c:v>
                </c:pt>
                <c:pt idx="95">
                  <c:v>1.2</c:v>
                </c:pt>
                <c:pt idx="96">
                  <c:v>1.3</c:v>
                </c:pt>
                <c:pt idx="97">
                  <c:v>1.3</c:v>
                </c:pt>
                <c:pt idx="98">
                  <c:v>1.1000000000000001</c:v>
                </c:pt>
                <c:pt idx="99">
                  <c:v>1.3</c:v>
                </c:pt>
                <c:pt idx="100">
                  <c:v>2.5</c:v>
                </c:pt>
                <c:pt idx="101">
                  <c:v>1.9</c:v>
                </c:pt>
                <c:pt idx="102">
                  <c:v>2.1</c:v>
                </c:pt>
                <c:pt idx="103">
                  <c:v>1.8</c:v>
                </c:pt>
                <c:pt idx="104">
                  <c:v>2.2000000000000002</c:v>
                </c:pt>
                <c:pt idx="105">
                  <c:v>2.1</c:v>
                </c:pt>
                <c:pt idx="106">
                  <c:v>1.7</c:v>
                </c:pt>
                <c:pt idx="107">
                  <c:v>1.8</c:v>
                </c:pt>
                <c:pt idx="108">
                  <c:v>1.8</c:v>
                </c:pt>
                <c:pt idx="109">
                  <c:v>2.5</c:v>
                </c:pt>
                <c:pt idx="110">
                  <c:v>2</c:v>
                </c:pt>
                <c:pt idx="111">
                  <c:v>1.9</c:v>
                </c:pt>
                <c:pt idx="112">
                  <c:v>2.1</c:v>
                </c:pt>
                <c:pt idx="113">
                  <c:v>2</c:v>
                </c:pt>
                <c:pt idx="114">
                  <c:v>2.4</c:v>
                </c:pt>
                <c:pt idx="115">
                  <c:v>2.2999999999999998</c:v>
                </c:pt>
                <c:pt idx="116">
                  <c:v>1.8</c:v>
                </c:pt>
                <c:pt idx="117">
                  <c:v>2.2000000000000002</c:v>
                </c:pt>
                <c:pt idx="118">
                  <c:v>2.2999999999999998</c:v>
                </c:pt>
                <c:pt idx="119">
                  <c:v>1.5</c:v>
                </c:pt>
                <c:pt idx="120">
                  <c:v>2.2999999999999998</c:v>
                </c:pt>
                <c:pt idx="121">
                  <c:v>2</c:v>
                </c:pt>
                <c:pt idx="122">
                  <c:v>2</c:v>
                </c:pt>
                <c:pt idx="123">
                  <c:v>1.8</c:v>
                </c:pt>
                <c:pt idx="124">
                  <c:v>2.1</c:v>
                </c:pt>
                <c:pt idx="125">
                  <c:v>1.8</c:v>
                </c:pt>
                <c:pt idx="126">
                  <c:v>1.8</c:v>
                </c:pt>
                <c:pt idx="127">
                  <c:v>1.8</c:v>
                </c:pt>
                <c:pt idx="128">
                  <c:v>2.1</c:v>
                </c:pt>
                <c:pt idx="129">
                  <c:v>1.6</c:v>
                </c:pt>
                <c:pt idx="130">
                  <c:v>1.9</c:v>
                </c:pt>
                <c:pt idx="131">
                  <c:v>2</c:v>
                </c:pt>
                <c:pt idx="132">
                  <c:v>2.2000000000000002</c:v>
                </c:pt>
                <c:pt idx="133">
                  <c:v>1.5</c:v>
                </c:pt>
                <c:pt idx="134">
                  <c:v>1.4</c:v>
                </c:pt>
                <c:pt idx="135">
                  <c:v>2.2999999999999998</c:v>
                </c:pt>
                <c:pt idx="136">
                  <c:v>2.4</c:v>
                </c:pt>
                <c:pt idx="137">
                  <c:v>1.8</c:v>
                </c:pt>
                <c:pt idx="138">
                  <c:v>1.8</c:v>
                </c:pt>
                <c:pt idx="139">
                  <c:v>2.1</c:v>
                </c:pt>
                <c:pt idx="140">
                  <c:v>2.4</c:v>
                </c:pt>
                <c:pt idx="141">
                  <c:v>2.2999999999999998</c:v>
                </c:pt>
                <c:pt idx="142">
                  <c:v>1.9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2.2999999999999998</c:v>
                </c:pt>
                <c:pt idx="146">
                  <c:v>1.9</c:v>
                </c:pt>
                <c:pt idx="147">
                  <c:v>2</c:v>
                </c:pt>
                <c:pt idx="148">
                  <c:v>2.2999999999999998</c:v>
                </c:pt>
                <c:pt idx="149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C3-4C1D-B5B5-C8E5D3F39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345656"/>
        <c:axId val="62034336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iris!$E$2</c15:sqref>
                        </c15:formulaRef>
                      </c:ext>
                    </c:extLst>
                    <c:strCache>
                      <c:ptCount val="1"/>
                      <c:pt idx="0">
                        <c:v>Setosa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iris!$B$2:$B$51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3.5</c:v>
                      </c:pt>
                      <c:pt idx="1">
                        <c:v>3</c:v>
                      </c:pt>
                      <c:pt idx="2">
                        <c:v>3.2</c:v>
                      </c:pt>
                      <c:pt idx="3">
                        <c:v>3.1</c:v>
                      </c:pt>
                      <c:pt idx="4">
                        <c:v>3.6</c:v>
                      </c:pt>
                      <c:pt idx="5">
                        <c:v>3.9</c:v>
                      </c:pt>
                      <c:pt idx="6">
                        <c:v>3.4</c:v>
                      </c:pt>
                      <c:pt idx="7">
                        <c:v>3.4</c:v>
                      </c:pt>
                      <c:pt idx="8">
                        <c:v>2.9</c:v>
                      </c:pt>
                      <c:pt idx="9">
                        <c:v>3.1</c:v>
                      </c:pt>
                      <c:pt idx="10">
                        <c:v>3.7</c:v>
                      </c:pt>
                      <c:pt idx="11">
                        <c:v>3.4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4</c:v>
                      </c:pt>
                      <c:pt idx="15">
                        <c:v>4.4000000000000004</c:v>
                      </c:pt>
                      <c:pt idx="16">
                        <c:v>3.9</c:v>
                      </c:pt>
                      <c:pt idx="17">
                        <c:v>3.5</c:v>
                      </c:pt>
                      <c:pt idx="18">
                        <c:v>3.8</c:v>
                      </c:pt>
                      <c:pt idx="19">
                        <c:v>3.8</c:v>
                      </c:pt>
                      <c:pt idx="20">
                        <c:v>3.4</c:v>
                      </c:pt>
                      <c:pt idx="21">
                        <c:v>3.7</c:v>
                      </c:pt>
                      <c:pt idx="22">
                        <c:v>3.6</c:v>
                      </c:pt>
                      <c:pt idx="23">
                        <c:v>3.3</c:v>
                      </c:pt>
                      <c:pt idx="24">
                        <c:v>3.4</c:v>
                      </c:pt>
                      <c:pt idx="25">
                        <c:v>3</c:v>
                      </c:pt>
                      <c:pt idx="26">
                        <c:v>3.4</c:v>
                      </c:pt>
                      <c:pt idx="27">
                        <c:v>3.5</c:v>
                      </c:pt>
                      <c:pt idx="28">
                        <c:v>3.4</c:v>
                      </c:pt>
                      <c:pt idx="29">
                        <c:v>3.2</c:v>
                      </c:pt>
                      <c:pt idx="30">
                        <c:v>3.1</c:v>
                      </c:pt>
                      <c:pt idx="31">
                        <c:v>3.4</c:v>
                      </c:pt>
                      <c:pt idx="32">
                        <c:v>4.0999999999999996</c:v>
                      </c:pt>
                      <c:pt idx="33">
                        <c:v>4.2</c:v>
                      </c:pt>
                      <c:pt idx="34">
                        <c:v>3.1</c:v>
                      </c:pt>
                      <c:pt idx="35">
                        <c:v>3.2</c:v>
                      </c:pt>
                      <c:pt idx="36">
                        <c:v>3.5</c:v>
                      </c:pt>
                      <c:pt idx="37">
                        <c:v>3.6</c:v>
                      </c:pt>
                      <c:pt idx="38">
                        <c:v>3</c:v>
                      </c:pt>
                      <c:pt idx="39">
                        <c:v>3.4</c:v>
                      </c:pt>
                      <c:pt idx="40">
                        <c:v>3.5</c:v>
                      </c:pt>
                      <c:pt idx="41">
                        <c:v>2.2999999999999998</c:v>
                      </c:pt>
                      <c:pt idx="42">
                        <c:v>3.2</c:v>
                      </c:pt>
                      <c:pt idx="43">
                        <c:v>3.5</c:v>
                      </c:pt>
                      <c:pt idx="44">
                        <c:v>3.8</c:v>
                      </c:pt>
                      <c:pt idx="45">
                        <c:v>3</c:v>
                      </c:pt>
                      <c:pt idx="46">
                        <c:v>3.8</c:v>
                      </c:pt>
                      <c:pt idx="47">
                        <c:v>3.2</c:v>
                      </c:pt>
                      <c:pt idx="48">
                        <c:v>3.7</c:v>
                      </c:pt>
                      <c:pt idx="49">
                        <c:v>3.3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iris!$D$2:$D$51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0.2</c:v>
                      </c:pt>
                      <c:pt idx="1">
                        <c:v>0.2</c:v>
                      </c:pt>
                      <c:pt idx="2">
                        <c:v>0.2</c:v>
                      </c:pt>
                      <c:pt idx="3">
                        <c:v>0.2</c:v>
                      </c:pt>
                      <c:pt idx="4">
                        <c:v>0.2</c:v>
                      </c:pt>
                      <c:pt idx="5">
                        <c:v>0.4</c:v>
                      </c:pt>
                      <c:pt idx="6">
                        <c:v>0.3</c:v>
                      </c:pt>
                      <c:pt idx="7">
                        <c:v>0.2</c:v>
                      </c:pt>
                      <c:pt idx="8">
                        <c:v>0.2</c:v>
                      </c:pt>
                      <c:pt idx="9">
                        <c:v>0.1</c:v>
                      </c:pt>
                      <c:pt idx="10">
                        <c:v>0.2</c:v>
                      </c:pt>
                      <c:pt idx="11">
                        <c:v>0.2</c:v>
                      </c:pt>
                      <c:pt idx="12">
                        <c:v>0.1</c:v>
                      </c:pt>
                      <c:pt idx="13">
                        <c:v>0.1</c:v>
                      </c:pt>
                      <c:pt idx="14">
                        <c:v>0.2</c:v>
                      </c:pt>
                      <c:pt idx="15">
                        <c:v>0.4</c:v>
                      </c:pt>
                      <c:pt idx="16">
                        <c:v>0.4</c:v>
                      </c:pt>
                      <c:pt idx="17">
                        <c:v>0.3</c:v>
                      </c:pt>
                      <c:pt idx="18">
                        <c:v>0.3</c:v>
                      </c:pt>
                      <c:pt idx="19">
                        <c:v>0.3</c:v>
                      </c:pt>
                      <c:pt idx="20">
                        <c:v>0.2</c:v>
                      </c:pt>
                      <c:pt idx="21">
                        <c:v>0.4</c:v>
                      </c:pt>
                      <c:pt idx="22">
                        <c:v>0.2</c:v>
                      </c:pt>
                      <c:pt idx="23">
                        <c:v>0.5</c:v>
                      </c:pt>
                      <c:pt idx="24">
                        <c:v>0.2</c:v>
                      </c:pt>
                      <c:pt idx="25">
                        <c:v>0.2</c:v>
                      </c:pt>
                      <c:pt idx="26">
                        <c:v>0.4</c:v>
                      </c:pt>
                      <c:pt idx="27">
                        <c:v>0.2</c:v>
                      </c:pt>
                      <c:pt idx="28">
                        <c:v>0.2</c:v>
                      </c:pt>
                      <c:pt idx="29">
                        <c:v>0.2</c:v>
                      </c:pt>
                      <c:pt idx="30">
                        <c:v>0.2</c:v>
                      </c:pt>
                      <c:pt idx="31">
                        <c:v>0.4</c:v>
                      </c:pt>
                      <c:pt idx="32">
                        <c:v>0.1</c:v>
                      </c:pt>
                      <c:pt idx="33">
                        <c:v>0.2</c:v>
                      </c:pt>
                      <c:pt idx="34">
                        <c:v>0.2</c:v>
                      </c:pt>
                      <c:pt idx="35">
                        <c:v>0.2</c:v>
                      </c:pt>
                      <c:pt idx="36">
                        <c:v>0.2</c:v>
                      </c:pt>
                      <c:pt idx="37">
                        <c:v>0.1</c:v>
                      </c:pt>
                      <c:pt idx="38">
                        <c:v>0.2</c:v>
                      </c:pt>
                      <c:pt idx="39">
                        <c:v>0.2</c:v>
                      </c:pt>
                      <c:pt idx="40">
                        <c:v>0.3</c:v>
                      </c:pt>
                      <c:pt idx="41">
                        <c:v>0.3</c:v>
                      </c:pt>
                      <c:pt idx="42">
                        <c:v>0.2</c:v>
                      </c:pt>
                      <c:pt idx="43">
                        <c:v>0.6</c:v>
                      </c:pt>
                      <c:pt idx="44">
                        <c:v>0.4</c:v>
                      </c:pt>
                      <c:pt idx="45">
                        <c:v>0.3</c:v>
                      </c:pt>
                      <c:pt idx="46">
                        <c:v>0.2</c:v>
                      </c:pt>
                      <c:pt idx="47">
                        <c:v>0.2</c:v>
                      </c:pt>
                      <c:pt idx="48">
                        <c:v>0.2</c:v>
                      </c:pt>
                      <c:pt idx="49">
                        <c:v>0.2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7AC3-4C1D-B5B5-C8E5D3F39BB2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iris!$E$52</c15:sqref>
                        </c15:formulaRef>
                      </c:ext>
                    </c:extLst>
                    <c:strCache>
                      <c:ptCount val="1"/>
                      <c:pt idx="0">
                        <c:v>Versicolor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iris!$B$52:$B$101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3.2</c:v>
                      </c:pt>
                      <c:pt idx="1">
                        <c:v>3.2</c:v>
                      </c:pt>
                      <c:pt idx="2">
                        <c:v>3.1</c:v>
                      </c:pt>
                      <c:pt idx="3">
                        <c:v>2.2999999999999998</c:v>
                      </c:pt>
                      <c:pt idx="4">
                        <c:v>2.8</c:v>
                      </c:pt>
                      <c:pt idx="5">
                        <c:v>2.8</c:v>
                      </c:pt>
                      <c:pt idx="6">
                        <c:v>3.3</c:v>
                      </c:pt>
                      <c:pt idx="7">
                        <c:v>2.4</c:v>
                      </c:pt>
                      <c:pt idx="8">
                        <c:v>2.9</c:v>
                      </c:pt>
                      <c:pt idx="9">
                        <c:v>2.7</c:v>
                      </c:pt>
                      <c:pt idx="10">
                        <c:v>2</c:v>
                      </c:pt>
                      <c:pt idx="11">
                        <c:v>3</c:v>
                      </c:pt>
                      <c:pt idx="12">
                        <c:v>2.2000000000000002</c:v>
                      </c:pt>
                      <c:pt idx="13">
                        <c:v>2.9</c:v>
                      </c:pt>
                      <c:pt idx="14">
                        <c:v>2.9</c:v>
                      </c:pt>
                      <c:pt idx="15">
                        <c:v>3.1</c:v>
                      </c:pt>
                      <c:pt idx="16">
                        <c:v>3</c:v>
                      </c:pt>
                      <c:pt idx="17">
                        <c:v>2.7</c:v>
                      </c:pt>
                      <c:pt idx="18">
                        <c:v>2.2000000000000002</c:v>
                      </c:pt>
                      <c:pt idx="19">
                        <c:v>2.5</c:v>
                      </c:pt>
                      <c:pt idx="20">
                        <c:v>3.2</c:v>
                      </c:pt>
                      <c:pt idx="21">
                        <c:v>2.8</c:v>
                      </c:pt>
                      <c:pt idx="22">
                        <c:v>2.5</c:v>
                      </c:pt>
                      <c:pt idx="23">
                        <c:v>2.8</c:v>
                      </c:pt>
                      <c:pt idx="24">
                        <c:v>2.9</c:v>
                      </c:pt>
                      <c:pt idx="25">
                        <c:v>3</c:v>
                      </c:pt>
                      <c:pt idx="26">
                        <c:v>2.8</c:v>
                      </c:pt>
                      <c:pt idx="27">
                        <c:v>3</c:v>
                      </c:pt>
                      <c:pt idx="28">
                        <c:v>2.9</c:v>
                      </c:pt>
                      <c:pt idx="29">
                        <c:v>2.6</c:v>
                      </c:pt>
                      <c:pt idx="30">
                        <c:v>2.4</c:v>
                      </c:pt>
                      <c:pt idx="31">
                        <c:v>2.4</c:v>
                      </c:pt>
                      <c:pt idx="32">
                        <c:v>2.7</c:v>
                      </c:pt>
                      <c:pt idx="33">
                        <c:v>2.7</c:v>
                      </c:pt>
                      <c:pt idx="34">
                        <c:v>3</c:v>
                      </c:pt>
                      <c:pt idx="35">
                        <c:v>3.4</c:v>
                      </c:pt>
                      <c:pt idx="36">
                        <c:v>3.1</c:v>
                      </c:pt>
                      <c:pt idx="37">
                        <c:v>2.2999999999999998</c:v>
                      </c:pt>
                      <c:pt idx="38">
                        <c:v>3</c:v>
                      </c:pt>
                      <c:pt idx="39">
                        <c:v>2.5</c:v>
                      </c:pt>
                      <c:pt idx="40">
                        <c:v>2.6</c:v>
                      </c:pt>
                      <c:pt idx="41">
                        <c:v>3</c:v>
                      </c:pt>
                      <c:pt idx="42">
                        <c:v>2.6</c:v>
                      </c:pt>
                      <c:pt idx="43">
                        <c:v>2.2999999999999998</c:v>
                      </c:pt>
                      <c:pt idx="44">
                        <c:v>2.7</c:v>
                      </c:pt>
                      <c:pt idx="45">
                        <c:v>3</c:v>
                      </c:pt>
                      <c:pt idx="46">
                        <c:v>2.9</c:v>
                      </c:pt>
                      <c:pt idx="47">
                        <c:v>2.9</c:v>
                      </c:pt>
                      <c:pt idx="48">
                        <c:v>2.5</c:v>
                      </c:pt>
                      <c:pt idx="49">
                        <c:v>2.8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iris!$D$52:$D$101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1.4</c:v>
                      </c:pt>
                      <c:pt idx="1">
                        <c:v>1.5</c:v>
                      </c:pt>
                      <c:pt idx="2">
                        <c:v>1.5</c:v>
                      </c:pt>
                      <c:pt idx="3">
                        <c:v>1.3</c:v>
                      </c:pt>
                      <c:pt idx="4">
                        <c:v>1.5</c:v>
                      </c:pt>
                      <c:pt idx="5">
                        <c:v>1.3</c:v>
                      </c:pt>
                      <c:pt idx="6">
                        <c:v>1.6</c:v>
                      </c:pt>
                      <c:pt idx="7">
                        <c:v>1</c:v>
                      </c:pt>
                      <c:pt idx="8">
                        <c:v>1.3</c:v>
                      </c:pt>
                      <c:pt idx="9">
                        <c:v>1.4</c:v>
                      </c:pt>
                      <c:pt idx="10">
                        <c:v>1</c:v>
                      </c:pt>
                      <c:pt idx="11">
                        <c:v>1.5</c:v>
                      </c:pt>
                      <c:pt idx="12">
                        <c:v>1</c:v>
                      </c:pt>
                      <c:pt idx="13">
                        <c:v>1.4</c:v>
                      </c:pt>
                      <c:pt idx="14">
                        <c:v>1.3</c:v>
                      </c:pt>
                      <c:pt idx="15">
                        <c:v>1.4</c:v>
                      </c:pt>
                      <c:pt idx="16">
                        <c:v>1.5</c:v>
                      </c:pt>
                      <c:pt idx="17">
                        <c:v>1</c:v>
                      </c:pt>
                      <c:pt idx="18">
                        <c:v>1.5</c:v>
                      </c:pt>
                      <c:pt idx="19">
                        <c:v>1.1000000000000001</c:v>
                      </c:pt>
                      <c:pt idx="20">
                        <c:v>1.8</c:v>
                      </c:pt>
                      <c:pt idx="21">
                        <c:v>1.3</c:v>
                      </c:pt>
                      <c:pt idx="22">
                        <c:v>1.5</c:v>
                      </c:pt>
                      <c:pt idx="23">
                        <c:v>1.2</c:v>
                      </c:pt>
                      <c:pt idx="24">
                        <c:v>1.3</c:v>
                      </c:pt>
                      <c:pt idx="25">
                        <c:v>1.4</c:v>
                      </c:pt>
                      <c:pt idx="26">
                        <c:v>1.4</c:v>
                      </c:pt>
                      <c:pt idx="27">
                        <c:v>1.7</c:v>
                      </c:pt>
                      <c:pt idx="28">
                        <c:v>1.5</c:v>
                      </c:pt>
                      <c:pt idx="29">
                        <c:v>1</c:v>
                      </c:pt>
                      <c:pt idx="30">
                        <c:v>1.1000000000000001</c:v>
                      </c:pt>
                      <c:pt idx="31">
                        <c:v>1</c:v>
                      </c:pt>
                      <c:pt idx="32">
                        <c:v>1.2</c:v>
                      </c:pt>
                      <c:pt idx="33">
                        <c:v>1.6</c:v>
                      </c:pt>
                      <c:pt idx="34">
                        <c:v>1.5</c:v>
                      </c:pt>
                      <c:pt idx="35">
                        <c:v>1.6</c:v>
                      </c:pt>
                      <c:pt idx="36">
                        <c:v>1.5</c:v>
                      </c:pt>
                      <c:pt idx="37">
                        <c:v>1.3</c:v>
                      </c:pt>
                      <c:pt idx="38">
                        <c:v>1.3</c:v>
                      </c:pt>
                      <c:pt idx="39">
                        <c:v>1.3</c:v>
                      </c:pt>
                      <c:pt idx="40">
                        <c:v>1.2</c:v>
                      </c:pt>
                      <c:pt idx="41">
                        <c:v>1.4</c:v>
                      </c:pt>
                      <c:pt idx="42">
                        <c:v>1.2</c:v>
                      </c:pt>
                      <c:pt idx="43">
                        <c:v>1</c:v>
                      </c:pt>
                      <c:pt idx="44">
                        <c:v>1.3</c:v>
                      </c:pt>
                      <c:pt idx="45">
                        <c:v>1.2</c:v>
                      </c:pt>
                      <c:pt idx="46">
                        <c:v>1.3</c:v>
                      </c:pt>
                      <c:pt idx="47">
                        <c:v>1.3</c:v>
                      </c:pt>
                      <c:pt idx="48">
                        <c:v>1.1000000000000001</c:v>
                      </c:pt>
                      <c:pt idx="49">
                        <c:v>1.3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AC3-4C1D-B5B5-C8E5D3F39BB2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iris!$E$102</c15:sqref>
                        </c15:formulaRef>
                      </c:ext>
                    </c:extLst>
                    <c:strCache>
                      <c:ptCount val="1"/>
                      <c:pt idx="0">
                        <c:v>Virginica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iris!$B$102:$B$151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3.3</c:v>
                      </c:pt>
                      <c:pt idx="1">
                        <c:v>2.7</c:v>
                      </c:pt>
                      <c:pt idx="2">
                        <c:v>3</c:v>
                      </c:pt>
                      <c:pt idx="3">
                        <c:v>2.9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2.5</c:v>
                      </c:pt>
                      <c:pt idx="7">
                        <c:v>2.9</c:v>
                      </c:pt>
                      <c:pt idx="8">
                        <c:v>2.5</c:v>
                      </c:pt>
                      <c:pt idx="9">
                        <c:v>3.6</c:v>
                      </c:pt>
                      <c:pt idx="10">
                        <c:v>3.2</c:v>
                      </c:pt>
                      <c:pt idx="11">
                        <c:v>2.7</c:v>
                      </c:pt>
                      <c:pt idx="12">
                        <c:v>3</c:v>
                      </c:pt>
                      <c:pt idx="13">
                        <c:v>2.5</c:v>
                      </c:pt>
                      <c:pt idx="14">
                        <c:v>2.8</c:v>
                      </c:pt>
                      <c:pt idx="15">
                        <c:v>3.2</c:v>
                      </c:pt>
                      <c:pt idx="16">
                        <c:v>3</c:v>
                      </c:pt>
                      <c:pt idx="17">
                        <c:v>3.8</c:v>
                      </c:pt>
                      <c:pt idx="18">
                        <c:v>2.6</c:v>
                      </c:pt>
                      <c:pt idx="19">
                        <c:v>2.2000000000000002</c:v>
                      </c:pt>
                      <c:pt idx="20">
                        <c:v>3.2</c:v>
                      </c:pt>
                      <c:pt idx="21">
                        <c:v>2.8</c:v>
                      </c:pt>
                      <c:pt idx="22">
                        <c:v>2.8</c:v>
                      </c:pt>
                      <c:pt idx="23">
                        <c:v>2.7</c:v>
                      </c:pt>
                      <c:pt idx="24">
                        <c:v>3.3</c:v>
                      </c:pt>
                      <c:pt idx="25">
                        <c:v>3.2</c:v>
                      </c:pt>
                      <c:pt idx="26">
                        <c:v>2.8</c:v>
                      </c:pt>
                      <c:pt idx="27">
                        <c:v>3</c:v>
                      </c:pt>
                      <c:pt idx="28">
                        <c:v>2.8</c:v>
                      </c:pt>
                      <c:pt idx="29">
                        <c:v>3</c:v>
                      </c:pt>
                      <c:pt idx="30">
                        <c:v>2.8</c:v>
                      </c:pt>
                      <c:pt idx="31">
                        <c:v>3.8</c:v>
                      </c:pt>
                      <c:pt idx="32">
                        <c:v>2.8</c:v>
                      </c:pt>
                      <c:pt idx="33">
                        <c:v>2.8</c:v>
                      </c:pt>
                      <c:pt idx="34">
                        <c:v>2.6</c:v>
                      </c:pt>
                      <c:pt idx="35">
                        <c:v>3</c:v>
                      </c:pt>
                      <c:pt idx="36">
                        <c:v>3.4</c:v>
                      </c:pt>
                      <c:pt idx="37">
                        <c:v>3.1</c:v>
                      </c:pt>
                      <c:pt idx="38">
                        <c:v>3</c:v>
                      </c:pt>
                      <c:pt idx="39">
                        <c:v>3.1</c:v>
                      </c:pt>
                      <c:pt idx="40">
                        <c:v>3.1</c:v>
                      </c:pt>
                      <c:pt idx="41">
                        <c:v>3.1</c:v>
                      </c:pt>
                      <c:pt idx="42">
                        <c:v>2.7</c:v>
                      </c:pt>
                      <c:pt idx="43">
                        <c:v>3.2</c:v>
                      </c:pt>
                      <c:pt idx="44">
                        <c:v>3.3</c:v>
                      </c:pt>
                      <c:pt idx="45">
                        <c:v>3</c:v>
                      </c:pt>
                      <c:pt idx="46">
                        <c:v>2.5</c:v>
                      </c:pt>
                      <c:pt idx="47">
                        <c:v>3</c:v>
                      </c:pt>
                      <c:pt idx="48">
                        <c:v>3.4</c:v>
                      </c:pt>
                      <c:pt idx="49">
                        <c:v>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iris!$D$102:$D$151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2.5</c:v>
                      </c:pt>
                      <c:pt idx="1">
                        <c:v>1.9</c:v>
                      </c:pt>
                      <c:pt idx="2">
                        <c:v>2.1</c:v>
                      </c:pt>
                      <c:pt idx="3">
                        <c:v>1.8</c:v>
                      </c:pt>
                      <c:pt idx="4">
                        <c:v>2.2000000000000002</c:v>
                      </c:pt>
                      <c:pt idx="5">
                        <c:v>2.1</c:v>
                      </c:pt>
                      <c:pt idx="6">
                        <c:v>1.7</c:v>
                      </c:pt>
                      <c:pt idx="7">
                        <c:v>1.8</c:v>
                      </c:pt>
                      <c:pt idx="8">
                        <c:v>1.8</c:v>
                      </c:pt>
                      <c:pt idx="9">
                        <c:v>2.5</c:v>
                      </c:pt>
                      <c:pt idx="10">
                        <c:v>2</c:v>
                      </c:pt>
                      <c:pt idx="11">
                        <c:v>1.9</c:v>
                      </c:pt>
                      <c:pt idx="12">
                        <c:v>2.1</c:v>
                      </c:pt>
                      <c:pt idx="13">
                        <c:v>2</c:v>
                      </c:pt>
                      <c:pt idx="14">
                        <c:v>2.4</c:v>
                      </c:pt>
                      <c:pt idx="15">
                        <c:v>2.2999999999999998</c:v>
                      </c:pt>
                      <c:pt idx="16">
                        <c:v>1.8</c:v>
                      </c:pt>
                      <c:pt idx="17">
                        <c:v>2.2000000000000002</c:v>
                      </c:pt>
                      <c:pt idx="18">
                        <c:v>2.2999999999999998</c:v>
                      </c:pt>
                      <c:pt idx="19">
                        <c:v>1.5</c:v>
                      </c:pt>
                      <c:pt idx="20">
                        <c:v>2.2999999999999998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1.8</c:v>
                      </c:pt>
                      <c:pt idx="24">
                        <c:v>2.1</c:v>
                      </c:pt>
                      <c:pt idx="25">
                        <c:v>1.8</c:v>
                      </c:pt>
                      <c:pt idx="26">
                        <c:v>1.8</c:v>
                      </c:pt>
                      <c:pt idx="27">
                        <c:v>1.8</c:v>
                      </c:pt>
                      <c:pt idx="28">
                        <c:v>2.1</c:v>
                      </c:pt>
                      <c:pt idx="29">
                        <c:v>1.6</c:v>
                      </c:pt>
                      <c:pt idx="30">
                        <c:v>1.9</c:v>
                      </c:pt>
                      <c:pt idx="31">
                        <c:v>2</c:v>
                      </c:pt>
                      <c:pt idx="32">
                        <c:v>2.2000000000000002</c:v>
                      </c:pt>
                      <c:pt idx="33">
                        <c:v>1.5</c:v>
                      </c:pt>
                      <c:pt idx="34">
                        <c:v>1.4</c:v>
                      </c:pt>
                      <c:pt idx="35">
                        <c:v>2.2999999999999998</c:v>
                      </c:pt>
                      <c:pt idx="36">
                        <c:v>2.4</c:v>
                      </c:pt>
                      <c:pt idx="37">
                        <c:v>1.8</c:v>
                      </c:pt>
                      <c:pt idx="38">
                        <c:v>1.8</c:v>
                      </c:pt>
                      <c:pt idx="39">
                        <c:v>2.1</c:v>
                      </c:pt>
                      <c:pt idx="40">
                        <c:v>2.4</c:v>
                      </c:pt>
                      <c:pt idx="41">
                        <c:v>2.2999999999999998</c:v>
                      </c:pt>
                      <c:pt idx="42">
                        <c:v>1.9</c:v>
                      </c:pt>
                      <c:pt idx="43">
                        <c:v>2.2999999999999998</c:v>
                      </c:pt>
                      <c:pt idx="44">
                        <c:v>2.5</c:v>
                      </c:pt>
                      <c:pt idx="45">
                        <c:v>2.2999999999999998</c:v>
                      </c:pt>
                      <c:pt idx="46">
                        <c:v>1.9</c:v>
                      </c:pt>
                      <c:pt idx="47">
                        <c:v>2</c:v>
                      </c:pt>
                      <c:pt idx="48">
                        <c:v>2.2999999999999998</c:v>
                      </c:pt>
                      <c:pt idx="49">
                        <c:v>1.8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AC3-4C1D-B5B5-C8E5D3F39BB2}"/>
                  </c:ext>
                </c:extLst>
              </c15:ser>
            </c15:filteredScatterSeries>
          </c:ext>
        </c:extLst>
      </c:scatterChart>
      <c:valAx>
        <c:axId val="620345656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がく</a:t>
                </a:r>
                <a:r>
                  <a:rPr lang="ja-JP"/>
                  <a:t>の幅 </a:t>
                </a:r>
                <a:r>
                  <a:rPr lang="en-US"/>
                  <a:t>(cm)</a:t>
                </a:r>
              </a:p>
            </c:rich>
          </c:tx>
          <c:layout>
            <c:manualLayout>
              <c:xMode val="edge"/>
              <c:yMode val="edge"/>
              <c:x val="0.42414230122836705"/>
              <c:y val="0.8133619919540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0343360"/>
        <c:crosses val="autoZero"/>
        <c:crossBetween val="midCat"/>
      </c:valAx>
      <c:valAx>
        <c:axId val="62034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花弁</a:t>
                </a:r>
                <a:r>
                  <a:rPr lang="ja-JP"/>
                  <a:t>の幅 </a:t>
                </a:r>
                <a:r>
                  <a:rPr lang="en-US"/>
                  <a:t>(cm)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0345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Sheet2!$B$1:$C$1</c:f>
              <c:strCache>
                <c:ptCount val="2"/>
                <c:pt idx="0">
                  <c:v>P</c:v>
                </c:pt>
                <c:pt idx="1">
                  <c:v>Q</c:v>
                </c:pt>
              </c:strCache>
            </c:strRef>
          </c:cat>
          <c:val>
            <c:numRef>
              <c:f>Sheet2!$B$2:$C$2</c:f>
              <c:numCache>
                <c:formatCode>General</c:formatCode>
                <c:ptCount val="2"/>
                <c:pt idx="0">
                  <c:v>35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6-4A13-AB62-C1957DB5A277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Sheet2!$B$1:$C$1</c:f>
              <c:strCache>
                <c:ptCount val="2"/>
                <c:pt idx="0">
                  <c:v>P</c:v>
                </c:pt>
                <c:pt idx="1">
                  <c:v>Q</c:v>
                </c:pt>
              </c:strCache>
            </c:strRef>
          </c:cat>
          <c:val>
            <c:numRef>
              <c:f>Sheet2!$B$3:$C$3</c:f>
              <c:numCache>
                <c:formatCode>General</c:formatCode>
                <c:ptCount val="2"/>
                <c:pt idx="0">
                  <c:v>45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B6-4A13-AB62-C1957DB5A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78709264"/>
        <c:axId val="678710904"/>
        <c:axId val="301747168"/>
      </c:bar3DChart>
      <c:catAx>
        <c:axId val="67870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ja-JP"/>
          </a:p>
        </c:txPr>
        <c:crossAx val="678710904"/>
        <c:crosses val="autoZero"/>
        <c:auto val="1"/>
        <c:lblAlgn val="ctr"/>
        <c:lblOffset val="100"/>
        <c:noMultiLvlLbl val="0"/>
      </c:catAx>
      <c:valAx>
        <c:axId val="67871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ja-JP"/>
          </a:p>
        </c:txPr>
        <c:crossAx val="678709264"/>
        <c:crosses val="autoZero"/>
        <c:crossBetween val="between"/>
      </c:valAx>
      <c:serAx>
        <c:axId val="301747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ja-JP"/>
          </a:p>
        </c:txPr>
        <c:crossAx val="678710904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Calibri" panose="020F0502020204030204" pitchFamily="34" charset="0"/>
          <a:cs typeface="Calibri" panose="020F050202020403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Sheet2!$B$1:$C$1</c:f>
              <c:strCache>
                <c:ptCount val="2"/>
                <c:pt idx="0">
                  <c:v>P</c:v>
                </c:pt>
                <c:pt idx="1">
                  <c:v>Q</c:v>
                </c:pt>
              </c:strCache>
            </c:strRef>
          </c:cat>
          <c:val>
            <c:numRef>
              <c:f>Sheet2!$B$2:$C$2</c:f>
              <c:numCache>
                <c:formatCode>General</c:formatCode>
                <c:ptCount val="2"/>
                <c:pt idx="0">
                  <c:v>35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A-4E73-A2AB-D771FA3A6AFB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Sheet2!$B$1:$C$1</c:f>
              <c:strCache>
                <c:ptCount val="2"/>
                <c:pt idx="0">
                  <c:v>P</c:v>
                </c:pt>
                <c:pt idx="1">
                  <c:v>Q</c:v>
                </c:pt>
              </c:strCache>
            </c:strRef>
          </c:cat>
          <c:val>
            <c:numRef>
              <c:f>Sheet2!$B$3:$C$3</c:f>
              <c:numCache>
                <c:formatCode>General</c:formatCode>
                <c:ptCount val="2"/>
                <c:pt idx="0">
                  <c:v>45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1A-4E73-A2AB-D771FA3A6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8736160"/>
        <c:axId val="678730584"/>
      </c:barChart>
      <c:catAx>
        <c:axId val="67873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8730584"/>
        <c:crosses val="autoZero"/>
        <c:auto val="1"/>
        <c:lblAlgn val="ctr"/>
        <c:lblOffset val="100"/>
        <c:noMultiLvlLbl val="0"/>
      </c:catAx>
      <c:valAx>
        <c:axId val="678730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873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C98BC98D-2330-4F01-85C9-C3EBCE9ED1AC}">
          <cx:tx>
            <cx:txData>
              <cx:f>_xlchart.v1.0</cx:f>
              <cx:v>花弁の長さ</cx:v>
            </cx:txData>
          </cx:tx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4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ja-JP" altLang="en-US" sz="1400"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4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ja-JP" altLang="en-US" sz="1400"/>
          </a:p>
        </cx:txPr>
      </cx:axis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  <cx:data id="1">
      <cx:numDim type="val">
        <cx:f>_xlchart.v1.5</cx:f>
      </cx:numDim>
    </cx:data>
    <cx:data id="2">
      <cx:numDim type="val">
        <cx:f>_xlchart.v1.7</cx:f>
      </cx:numDim>
    </cx:data>
    <cx:data id="3">
      <cx:numDim type="val">
        <cx:f>_xlchart.v1.9</cx:f>
      </cx:numDim>
    </cx:data>
  </cx:chartData>
  <cx:chart>
    <cx:plotArea>
      <cx:plotAreaRegion>
        <cx:series layoutId="boxWhisker" uniqueId="{3DB4C49B-6536-4416-8CA0-38E2E7EB21E5}">
          <cx:tx>
            <cx:txData>
              <cx:f>_xlchart.v1.2</cx:f>
              <cx:v>がくの長さ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1C4E181C-DA33-49F9-801D-EDD3A556CFFC}">
          <cx:tx>
            <cx:txData>
              <cx:f>_xlchart.v1.4</cx:f>
              <cx:v>がくの幅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0BD09A1-820B-4FDA-BBBD-560730F8242D}">
          <cx:tx>
            <cx:txData>
              <cx:f>_xlchart.v1.6</cx:f>
              <cx:v>花弁の長さ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BCF37C18-8A4D-441D-B81D-5BDF1F4EB86B}">
          <cx:tx>
            <cx:txData>
              <cx:f>_xlchart.v1.8</cx:f>
              <cx:v>花弁の幅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/>
                </a:pPr>
                <a:r>
                  <a:rPr lang="ja-JP" altLang="en-US" sz="14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  <a:ea typeface="游ゴシック" panose="020B0400000000000000" pitchFamily="50" charset="-128"/>
                  </a:rPr>
                  <a:t>長さ</a:t>
                </a:r>
                <a:r>
                  <a:rPr lang="en-US" altLang="ja-JP" sz="14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  <a:ea typeface="游ゴシック" panose="020B0400000000000000" pitchFamily="50" charset="-128"/>
                  </a:rPr>
                  <a:t>/</a:t>
                </a:r>
                <a:r>
                  <a:rPr lang="ja-JP" altLang="en-US" sz="14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  <a:ea typeface="游ゴシック" panose="020B0400000000000000" pitchFamily="50" charset="-128"/>
                  </a:rPr>
                  <a:t>幅 </a:t>
                </a:r>
                <a:r>
                  <a:rPr lang="en-US" altLang="ja-JP" sz="14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  <a:ea typeface="游ゴシック" panose="020B0400000000000000" pitchFamily="50" charset="-128"/>
                  </a:rPr>
                  <a:t>(cm)</a:t>
                </a:r>
                <a:endParaRPr lang="ja-JP" altLang="en-US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游ゴシック" panose="020B0400000000000000" pitchFamily="50" charset="-128"/>
                </a:endParaRPr>
              </a:p>
            </cx:rich>
          </cx:tx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/>
            </a:pP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游ゴシック" panose="020B0400000000000000" pitchFamily="50" charset="-128"/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/>
          </a:pPr>
          <a:endParaRPr lang="ja-JP" alt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  <a:ea typeface="游ゴシック" panose="020B0400000000000000" pitchFamily="50" charset="-128"/>
          </a:endParaRPr>
        </a:p>
      </cx:txPr>
    </cx:legend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3.xml"/><Relationship Id="rId5" Type="http://schemas.openxmlformats.org/officeDocument/2006/relationships/image" Target="../media/image1.emf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1465</xdr:colOff>
      <xdr:row>5</xdr:row>
      <xdr:rowOff>7938</xdr:rowOff>
    </xdr:from>
    <xdr:to>
      <xdr:col>12</xdr:col>
      <xdr:colOff>461597</xdr:colOff>
      <xdr:row>16</xdr:row>
      <xdr:rowOff>135427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590BF2D-FB5C-3B4B-0585-A8170FA8D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460375</xdr:colOff>
      <xdr:row>6</xdr:row>
      <xdr:rowOff>7938</xdr:rowOff>
    </xdr:from>
    <xdr:to>
      <xdr:col>15</xdr:col>
      <xdr:colOff>231775</xdr:colOff>
      <xdr:row>17</xdr:row>
      <xdr:rowOff>123825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F8F300F-2D8A-47E5-0CFE-73C10D804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12</xdr:col>
      <xdr:colOff>676276</xdr:colOff>
      <xdr:row>16</xdr:row>
      <xdr:rowOff>133351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F168434A-5881-4BC4-B690-3B98896729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11</xdr:col>
      <xdr:colOff>0</xdr:colOff>
      <xdr:row>34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グラフ 7">
              <a:extLst>
                <a:ext uri="{FF2B5EF4-FFF2-40B4-BE49-F238E27FC236}">
                  <a16:creationId xmlns:a16="http://schemas.microsoft.com/office/drawing/2014/main" id="{4B505E72-9F90-4164-A004-BF47310057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14800" y="4295775"/>
              <a:ext cx="3429000" cy="392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37</xdr:row>
      <xdr:rowOff>0</xdr:rowOff>
    </xdr:from>
    <xdr:to>
      <xdr:col>13</xdr:col>
      <xdr:colOff>0</xdr:colOff>
      <xdr:row>53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グラフ 11">
              <a:extLst>
                <a:ext uri="{FF2B5EF4-FFF2-40B4-BE49-F238E27FC236}">
                  <a16:creationId xmlns:a16="http://schemas.microsoft.com/office/drawing/2014/main" id="{D3AA9181-4A78-49A3-A4C4-B3C4CCBED4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14800" y="8820150"/>
              <a:ext cx="4800600" cy="3933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18</xdr:row>
      <xdr:rowOff>0</xdr:rowOff>
    </xdr:from>
    <xdr:to>
      <xdr:col>20</xdr:col>
      <xdr:colOff>38101</xdr:colOff>
      <xdr:row>33</xdr:row>
      <xdr:rowOff>142876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51BAB6D-F892-4943-93C2-3F36C172FE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0</xdr:colOff>
      <xdr:row>35</xdr:row>
      <xdr:rowOff>0</xdr:rowOff>
    </xdr:from>
    <xdr:to>
      <xdr:col>20</xdr:col>
      <xdr:colOff>38100</xdr:colOff>
      <xdr:row>50</xdr:row>
      <xdr:rowOff>142875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E64542C-9DFD-4243-97E8-9CFB839E5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8343900"/>
          <a:ext cx="4791075" cy="3714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9</xdr:col>
      <xdr:colOff>0</xdr:colOff>
      <xdr:row>25</xdr:row>
      <xdr:rowOff>123825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C3EACD6A-A0FF-4D0F-8ACB-2BE4949952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</xdr:row>
      <xdr:rowOff>0</xdr:rowOff>
    </xdr:from>
    <xdr:to>
      <xdr:col>9</xdr:col>
      <xdr:colOff>0</xdr:colOff>
      <xdr:row>12</xdr:row>
      <xdr:rowOff>123825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14085F2F-29F7-45CE-A41F-1F6672C76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2"/>
  <sheetViews>
    <sheetView topLeftCell="A4" zoomScale="120" zoomScaleNormal="120" workbookViewId="0">
      <selection activeCell="A110" sqref="A110:C110"/>
    </sheetView>
  </sheetViews>
  <sheetFormatPr defaultRowHeight="18.75" x14ac:dyDescent="0.4"/>
  <sheetData>
    <row r="1" spans="1:5" x14ac:dyDescent="0.4">
      <c r="A1" t="s">
        <v>0</v>
      </c>
    </row>
    <row r="3" spans="1:5" x14ac:dyDescent="0.4">
      <c r="C3" t="s">
        <v>1</v>
      </c>
      <c r="D3" t="s">
        <v>1</v>
      </c>
      <c r="E3" t="s">
        <v>1</v>
      </c>
    </row>
    <row r="4" spans="1:5" x14ac:dyDescent="0.4">
      <c r="A4" t="s">
        <v>2</v>
      </c>
      <c r="B4" t="s">
        <v>3</v>
      </c>
      <c r="C4" t="s">
        <v>4</v>
      </c>
      <c r="D4" t="s">
        <v>4</v>
      </c>
      <c r="E4" t="s">
        <v>4</v>
      </c>
    </row>
    <row r="6" spans="1:5" x14ac:dyDescent="0.4">
      <c r="D6" t="s">
        <v>5</v>
      </c>
      <c r="E6" t="s">
        <v>6</v>
      </c>
    </row>
    <row r="7" spans="1:5" x14ac:dyDescent="0.4">
      <c r="A7">
        <v>1897</v>
      </c>
      <c r="B7">
        <v>8</v>
      </c>
      <c r="C7">
        <v>34.4</v>
      </c>
      <c r="D7">
        <v>8</v>
      </c>
      <c r="E7">
        <v>1</v>
      </c>
    </row>
    <row r="8" spans="1:5" x14ac:dyDescent="0.4">
      <c r="A8">
        <v>1898</v>
      </c>
      <c r="B8">
        <v>8</v>
      </c>
      <c r="C8">
        <v>36</v>
      </c>
      <c r="D8">
        <v>8</v>
      </c>
      <c r="E8">
        <v>1</v>
      </c>
    </row>
    <row r="9" spans="1:5" x14ac:dyDescent="0.4">
      <c r="A9">
        <v>1899</v>
      </c>
      <c r="B9">
        <v>8</v>
      </c>
      <c r="C9">
        <v>33.5</v>
      </c>
      <c r="D9">
        <v>8</v>
      </c>
      <c r="E9">
        <v>1</v>
      </c>
    </row>
    <row r="10" spans="1:5" x14ac:dyDescent="0.4">
      <c r="A10">
        <v>1900</v>
      </c>
      <c r="B10">
        <v>8</v>
      </c>
      <c r="C10">
        <v>35.299999999999997</v>
      </c>
      <c r="D10">
        <v>8</v>
      </c>
      <c r="E10">
        <v>1</v>
      </c>
    </row>
    <row r="11" spans="1:5" x14ac:dyDescent="0.4">
      <c r="A11">
        <v>1901</v>
      </c>
      <c r="B11">
        <v>8</v>
      </c>
      <c r="C11">
        <v>34.700000000000003</v>
      </c>
      <c r="D11">
        <v>8</v>
      </c>
      <c r="E11">
        <v>1</v>
      </c>
    </row>
    <row r="12" spans="1:5" x14ac:dyDescent="0.4">
      <c r="A12">
        <v>1902</v>
      </c>
      <c r="B12">
        <v>8</v>
      </c>
      <c r="C12">
        <v>32.799999999999997</v>
      </c>
      <c r="D12">
        <v>8</v>
      </c>
      <c r="E12">
        <v>1</v>
      </c>
    </row>
    <row r="13" spans="1:5" x14ac:dyDescent="0.4">
      <c r="A13">
        <v>1903</v>
      </c>
      <c r="B13">
        <v>8</v>
      </c>
      <c r="C13">
        <v>36.1</v>
      </c>
      <c r="D13">
        <v>8</v>
      </c>
      <c r="E13">
        <v>1</v>
      </c>
    </row>
    <row r="14" spans="1:5" x14ac:dyDescent="0.4">
      <c r="A14">
        <v>1904</v>
      </c>
      <c r="B14">
        <v>8</v>
      </c>
      <c r="C14">
        <v>35.5</v>
      </c>
      <c r="D14">
        <v>8</v>
      </c>
      <c r="E14">
        <v>1</v>
      </c>
    </row>
    <row r="15" spans="1:5" x14ac:dyDescent="0.4">
      <c r="A15">
        <v>1905</v>
      </c>
      <c r="B15">
        <v>8</v>
      </c>
      <c r="C15">
        <v>32.1</v>
      </c>
      <c r="D15">
        <v>8</v>
      </c>
      <c r="E15">
        <v>1</v>
      </c>
    </row>
    <row r="16" spans="1:5" x14ac:dyDescent="0.4">
      <c r="A16">
        <v>1906</v>
      </c>
      <c r="B16">
        <v>8</v>
      </c>
      <c r="C16">
        <v>35.4</v>
      </c>
      <c r="D16">
        <v>8</v>
      </c>
      <c r="E16">
        <v>1</v>
      </c>
    </row>
    <row r="17" spans="1:5" x14ac:dyDescent="0.4">
      <c r="A17">
        <v>1907</v>
      </c>
      <c r="B17">
        <v>8</v>
      </c>
      <c r="C17">
        <v>34.6</v>
      </c>
      <c r="D17">
        <v>8</v>
      </c>
      <c r="E17">
        <v>1</v>
      </c>
    </row>
    <row r="18" spans="1:5" x14ac:dyDescent="0.4">
      <c r="A18">
        <v>1908</v>
      </c>
      <c r="B18">
        <v>8</v>
      </c>
      <c r="C18">
        <v>35.4</v>
      </c>
      <c r="D18">
        <v>8</v>
      </c>
      <c r="E18">
        <v>1</v>
      </c>
    </row>
    <row r="19" spans="1:5" x14ac:dyDescent="0.4">
      <c r="A19">
        <v>1909</v>
      </c>
      <c r="B19">
        <v>8</v>
      </c>
      <c r="C19">
        <v>36.5</v>
      </c>
      <c r="D19">
        <v>8</v>
      </c>
      <c r="E19">
        <v>1</v>
      </c>
    </row>
    <row r="20" spans="1:5" x14ac:dyDescent="0.4">
      <c r="A20">
        <v>1910</v>
      </c>
      <c r="B20">
        <v>8</v>
      </c>
      <c r="C20">
        <v>34.700000000000003</v>
      </c>
      <c r="D20">
        <v>8</v>
      </c>
      <c r="E20">
        <v>1</v>
      </c>
    </row>
    <row r="21" spans="1:5" x14ac:dyDescent="0.4">
      <c r="A21">
        <v>1911</v>
      </c>
      <c r="B21">
        <v>8</v>
      </c>
      <c r="C21">
        <v>33.6</v>
      </c>
      <c r="D21">
        <v>8</v>
      </c>
      <c r="E21">
        <v>1</v>
      </c>
    </row>
    <row r="22" spans="1:5" x14ac:dyDescent="0.4">
      <c r="A22">
        <v>1912</v>
      </c>
      <c r="B22">
        <v>8</v>
      </c>
      <c r="C22">
        <v>34.200000000000003</v>
      </c>
      <c r="D22">
        <v>8</v>
      </c>
      <c r="E22">
        <v>1</v>
      </c>
    </row>
    <row r="23" spans="1:5" x14ac:dyDescent="0.4">
      <c r="A23">
        <v>1913</v>
      </c>
      <c r="B23">
        <v>8</v>
      </c>
      <c r="C23">
        <v>35</v>
      </c>
      <c r="D23">
        <v>8</v>
      </c>
      <c r="E23">
        <v>1</v>
      </c>
    </row>
    <row r="24" spans="1:5" x14ac:dyDescent="0.4">
      <c r="A24">
        <v>1914</v>
      </c>
      <c r="B24">
        <v>8</v>
      </c>
      <c r="C24">
        <v>37.6</v>
      </c>
      <c r="D24">
        <v>8</v>
      </c>
      <c r="E24">
        <v>1</v>
      </c>
    </row>
    <row r="25" spans="1:5" x14ac:dyDescent="0.4">
      <c r="A25">
        <v>1915</v>
      </c>
      <c r="B25">
        <v>8</v>
      </c>
      <c r="C25">
        <v>36.1</v>
      </c>
      <c r="D25">
        <v>8</v>
      </c>
      <c r="E25">
        <v>1</v>
      </c>
    </row>
    <row r="26" spans="1:5" x14ac:dyDescent="0.4">
      <c r="A26">
        <v>1916</v>
      </c>
      <c r="B26">
        <v>8</v>
      </c>
      <c r="C26">
        <v>35.1</v>
      </c>
      <c r="D26">
        <v>8</v>
      </c>
      <c r="E26">
        <v>1</v>
      </c>
    </row>
    <row r="27" spans="1:5" x14ac:dyDescent="0.4">
      <c r="A27">
        <v>1917</v>
      </c>
      <c r="B27">
        <v>8</v>
      </c>
      <c r="C27">
        <v>35.700000000000003</v>
      </c>
      <c r="D27">
        <v>8</v>
      </c>
      <c r="E27">
        <v>1</v>
      </c>
    </row>
    <row r="28" spans="1:5" x14ac:dyDescent="0.4">
      <c r="A28">
        <v>1918</v>
      </c>
      <c r="B28">
        <v>8</v>
      </c>
      <c r="C28">
        <v>35.5</v>
      </c>
      <c r="D28">
        <v>8</v>
      </c>
      <c r="E28">
        <v>1</v>
      </c>
    </row>
    <row r="29" spans="1:5" x14ac:dyDescent="0.4">
      <c r="A29">
        <v>1919</v>
      </c>
      <c r="B29">
        <v>8</v>
      </c>
      <c r="C29">
        <v>33.1</v>
      </c>
      <c r="D29">
        <v>8</v>
      </c>
      <c r="E29">
        <v>1</v>
      </c>
    </row>
    <row r="30" spans="1:5" x14ac:dyDescent="0.4">
      <c r="A30">
        <v>1920</v>
      </c>
      <c r="B30">
        <v>8</v>
      </c>
      <c r="C30">
        <v>33.1</v>
      </c>
      <c r="D30">
        <v>8</v>
      </c>
      <c r="E30">
        <v>1</v>
      </c>
    </row>
    <row r="31" spans="1:5" x14ac:dyDescent="0.4">
      <c r="A31">
        <v>1921</v>
      </c>
      <c r="B31">
        <v>8</v>
      </c>
      <c r="C31">
        <v>35.9</v>
      </c>
      <c r="D31">
        <v>8</v>
      </c>
      <c r="E31">
        <v>1</v>
      </c>
    </row>
    <row r="32" spans="1:5" x14ac:dyDescent="0.4">
      <c r="A32">
        <v>1922</v>
      </c>
      <c r="B32">
        <v>8</v>
      </c>
      <c r="C32">
        <v>36.4</v>
      </c>
      <c r="D32">
        <v>8</v>
      </c>
      <c r="E32">
        <v>1</v>
      </c>
    </row>
    <row r="33" spans="1:5" x14ac:dyDescent="0.4">
      <c r="A33">
        <v>1923</v>
      </c>
      <c r="B33">
        <v>8</v>
      </c>
      <c r="C33">
        <v>35.799999999999997</v>
      </c>
      <c r="D33">
        <v>8</v>
      </c>
      <c r="E33">
        <v>1</v>
      </c>
    </row>
    <row r="34" spans="1:5" x14ac:dyDescent="0.4">
      <c r="A34">
        <v>1924</v>
      </c>
      <c r="B34">
        <v>8</v>
      </c>
      <c r="C34">
        <v>36.700000000000003</v>
      </c>
      <c r="D34">
        <v>8</v>
      </c>
      <c r="E34">
        <v>1</v>
      </c>
    </row>
    <row r="35" spans="1:5" x14ac:dyDescent="0.4">
      <c r="A35">
        <v>1925</v>
      </c>
      <c r="B35">
        <v>8</v>
      </c>
      <c r="C35">
        <v>34.1</v>
      </c>
      <c r="D35">
        <v>8</v>
      </c>
      <c r="E35">
        <v>1</v>
      </c>
    </row>
    <row r="36" spans="1:5" x14ac:dyDescent="0.4">
      <c r="A36">
        <v>1926</v>
      </c>
      <c r="B36">
        <v>8</v>
      </c>
      <c r="C36">
        <v>35.700000000000003</v>
      </c>
      <c r="D36">
        <v>8</v>
      </c>
      <c r="E36">
        <v>1</v>
      </c>
    </row>
    <row r="37" spans="1:5" x14ac:dyDescent="0.4">
      <c r="A37">
        <v>1927</v>
      </c>
      <c r="B37">
        <v>8</v>
      </c>
      <c r="C37">
        <v>32.9</v>
      </c>
      <c r="D37">
        <v>8</v>
      </c>
      <c r="E37">
        <v>1</v>
      </c>
    </row>
    <row r="38" spans="1:5" x14ac:dyDescent="0.4">
      <c r="A38">
        <v>1928</v>
      </c>
      <c r="B38">
        <v>8</v>
      </c>
      <c r="C38">
        <v>33.200000000000003</v>
      </c>
      <c r="D38">
        <v>8</v>
      </c>
      <c r="E38">
        <v>1</v>
      </c>
    </row>
    <row r="39" spans="1:5" x14ac:dyDescent="0.4">
      <c r="A39">
        <v>1929</v>
      </c>
      <c r="B39">
        <v>8</v>
      </c>
      <c r="C39">
        <v>37.4</v>
      </c>
      <c r="D39">
        <v>8</v>
      </c>
      <c r="E39">
        <v>1</v>
      </c>
    </row>
    <row r="40" spans="1:5" x14ac:dyDescent="0.4">
      <c r="A40">
        <v>1930</v>
      </c>
      <c r="B40">
        <v>8</v>
      </c>
      <c r="C40">
        <v>36.200000000000003</v>
      </c>
      <c r="D40">
        <v>8</v>
      </c>
      <c r="E40">
        <v>1</v>
      </c>
    </row>
    <row r="41" spans="1:5" x14ac:dyDescent="0.4">
      <c r="A41">
        <v>1931</v>
      </c>
      <c r="B41">
        <v>8</v>
      </c>
      <c r="C41">
        <v>34.799999999999997</v>
      </c>
      <c r="D41">
        <v>8</v>
      </c>
      <c r="E41">
        <v>1</v>
      </c>
    </row>
    <row r="42" spans="1:5" x14ac:dyDescent="0.4">
      <c r="A42">
        <v>1932</v>
      </c>
      <c r="B42">
        <v>8</v>
      </c>
      <c r="C42">
        <v>34.1</v>
      </c>
      <c r="D42">
        <v>8</v>
      </c>
      <c r="E42">
        <v>1</v>
      </c>
    </row>
    <row r="43" spans="1:5" x14ac:dyDescent="0.4">
      <c r="A43">
        <v>1933</v>
      </c>
      <c r="B43">
        <v>8</v>
      </c>
      <c r="C43">
        <v>33.700000000000003</v>
      </c>
      <c r="D43">
        <v>8</v>
      </c>
      <c r="E43">
        <v>1</v>
      </c>
    </row>
    <row r="44" spans="1:5" x14ac:dyDescent="0.4">
      <c r="A44">
        <v>1934</v>
      </c>
      <c r="B44">
        <v>8</v>
      </c>
      <c r="C44">
        <v>36</v>
      </c>
      <c r="D44">
        <v>8</v>
      </c>
      <c r="E44">
        <v>1</v>
      </c>
    </row>
    <row r="45" spans="1:5" x14ac:dyDescent="0.4">
      <c r="A45">
        <v>1935</v>
      </c>
      <c r="B45">
        <v>8</v>
      </c>
      <c r="C45">
        <v>36.4</v>
      </c>
      <c r="D45">
        <v>8</v>
      </c>
      <c r="E45">
        <v>1</v>
      </c>
    </row>
    <row r="46" spans="1:5" x14ac:dyDescent="0.4">
      <c r="A46">
        <v>1936</v>
      </c>
      <c r="B46">
        <v>8</v>
      </c>
      <c r="C46">
        <v>33.6</v>
      </c>
      <c r="D46">
        <v>8</v>
      </c>
      <c r="E46">
        <v>1</v>
      </c>
    </row>
    <row r="47" spans="1:5" x14ac:dyDescent="0.4">
      <c r="A47">
        <v>1937</v>
      </c>
      <c r="B47">
        <v>8</v>
      </c>
      <c r="C47">
        <v>35</v>
      </c>
      <c r="D47">
        <v>8</v>
      </c>
      <c r="E47">
        <v>1</v>
      </c>
    </row>
    <row r="48" spans="1:5" x14ac:dyDescent="0.4">
      <c r="A48">
        <v>1938</v>
      </c>
      <c r="B48">
        <v>8</v>
      </c>
      <c r="C48">
        <v>32.700000000000003</v>
      </c>
      <c r="D48">
        <v>8</v>
      </c>
      <c r="E48">
        <v>1</v>
      </c>
    </row>
    <row r="49" spans="1:5" x14ac:dyDescent="0.4">
      <c r="A49">
        <v>1939</v>
      </c>
      <c r="B49">
        <v>8</v>
      </c>
      <c r="C49">
        <v>34.799999999999997</v>
      </c>
      <c r="D49">
        <v>8</v>
      </c>
      <c r="E49">
        <v>1</v>
      </c>
    </row>
    <row r="50" spans="1:5" x14ac:dyDescent="0.4">
      <c r="A50">
        <v>1940</v>
      </c>
      <c r="B50">
        <v>8</v>
      </c>
      <c r="C50">
        <v>34.299999999999997</v>
      </c>
      <c r="D50">
        <v>8</v>
      </c>
      <c r="E50">
        <v>1</v>
      </c>
    </row>
    <row r="51" spans="1:5" x14ac:dyDescent="0.4">
      <c r="A51">
        <v>1941</v>
      </c>
      <c r="B51">
        <v>8</v>
      </c>
      <c r="C51">
        <v>33.299999999999997</v>
      </c>
      <c r="D51">
        <v>8</v>
      </c>
      <c r="E51">
        <v>1</v>
      </c>
    </row>
    <row r="52" spans="1:5" x14ac:dyDescent="0.4">
      <c r="A52">
        <v>1942</v>
      </c>
      <c r="B52">
        <v>8</v>
      </c>
      <c r="C52">
        <v>36.700000000000003</v>
      </c>
      <c r="D52">
        <v>8</v>
      </c>
      <c r="E52">
        <v>1</v>
      </c>
    </row>
    <row r="53" spans="1:5" x14ac:dyDescent="0.4">
      <c r="A53">
        <v>1943</v>
      </c>
      <c r="B53">
        <v>8</v>
      </c>
      <c r="C53">
        <v>33.299999999999997</v>
      </c>
      <c r="D53">
        <v>8</v>
      </c>
      <c r="E53">
        <v>1</v>
      </c>
    </row>
    <row r="54" spans="1:5" x14ac:dyDescent="0.4">
      <c r="A54">
        <v>1944</v>
      </c>
      <c r="B54">
        <v>8</v>
      </c>
      <c r="C54">
        <v>34.4</v>
      </c>
      <c r="D54">
        <v>8</v>
      </c>
      <c r="E54">
        <v>1</v>
      </c>
    </row>
    <row r="55" spans="1:5" x14ac:dyDescent="0.4">
      <c r="A55">
        <v>1945</v>
      </c>
      <c r="B55">
        <v>8</v>
      </c>
      <c r="C55">
        <v>34.9</v>
      </c>
      <c r="D55">
        <v>8</v>
      </c>
      <c r="E55">
        <v>1</v>
      </c>
    </row>
    <row r="56" spans="1:5" x14ac:dyDescent="0.4">
      <c r="A56">
        <v>1946</v>
      </c>
      <c r="B56">
        <v>8</v>
      </c>
      <c r="C56">
        <v>33.1</v>
      </c>
      <c r="D56">
        <v>8</v>
      </c>
      <c r="E56">
        <v>1</v>
      </c>
    </row>
    <row r="57" spans="1:5" x14ac:dyDescent="0.4">
      <c r="A57">
        <v>1947</v>
      </c>
      <c r="B57">
        <v>8</v>
      </c>
      <c r="C57">
        <v>35.799999999999997</v>
      </c>
      <c r="D57">
        <v>8</v>
      </c>
      <c r="E57">
        <v>1</v>
      </c>
    </row>
    <row r="58" spans="1:5" x14ac:dyDescent="0.4">
      <c r="A58">
        <v>1948</v>
      </c>
      <c r="B58">
        <v>8</v>
      </c>
      <c r="C58">
        <v>34.1</v>
      </c>
      <c r="D58">
        <v>8</v>
      </c>
      <c r="E58">
        <v>1</v>
      </c>
    </row>
    <row r="59" spans="1:5" x14ac:dyDescent="0.4">
      <c r="A59">
        <v>1949</v>
      </c>
      <c r="B59">
        <v>8</v>
      </c>
      <c r="C59">
        <v>33.799999999999997</v>
      </c>
      <c r="D59">
        <v>8</v>
      </c>
      <c r="E59">
        <v>1</v>
      </c>
    </row>
    <row r="60" spans="1:5" x14ac:dyDescent="0.4">
      <c r="A60">
        <v>1950</v>
      </c>
      <c r="B60">
        <v>8</v>
      </c>
      <c r="C60">
        <v>33.6</v>
      </c>
      <c r="D60">
        <v>8</v>
      </c>
      <c r="E60">
        <v>1</v>
      </c>
    </row>
    <row r="61" spans="1:5" x14ac:dyDescent="0.4">
      <c r="A61">
        <v>1951</v>
      </c>
      <c r="B61">
        <v>8</v>
      </c>
      <c r="C61">
        <v>35</v>
      </c>
      <c r="D61">
        <v>8</v>
      </c>
      <c r="E61">
        <v>1</v>
      </c>
    </row>
    <row r="62" spans="1:5" x14ac:dyDescent="0.4">
      <c r="A62">
        <v>1952</v>
      </c>
      <c r="B62">
        <v>8</v>
      </c>
      <c r="C62">
        <v>34.5</v>
      </c>
      <c r="D62">
        <v>8</v>
      </c>
      <c r="E62">
        <v>1</v>
      </c>
    </row>
    <row r="63" spans="1:5" x14ac:dyDescent="0.4">
      <c r="A63">
        <v>1953</v>
      </c>
      <c r="B63">
        <v>8</v>
      </c>
      <c r="C63">
        <v>34.200000000000003</v>
      </c>
      <c r="D63">
        <v>8</v>
      </c>
      <c r="E63">
        <v>1</v>
      </c>
    </row>
    <row r="64" spans="1:5" x14ac:dyDescent="0.4">
      <c r="A64">
        <v>1954</v>
      </c>
      <c r="B64">
        <v>8</v>
      </c>
      <c r="C64">
        <v>35</v>
      </c>
      <c r="D64">
        <v>8</v>
      </c>
      <c r="E64">
        <v>1</v>
      </c>
    </row>
    <row r="65" spans="1:5" x14ac:dyDescent="0.4">
      <c r="A65">
        <v>1955</v>
      </c>
      <c r="B65">
        <v>8</v>
      </c>
      <c r="C65">
        <v>33.5</v>
      </c>
      <c r="D65">
        <v>8</v>
      </c>
      <c r="E65">
        <v>1</v>
      </c>
    </row>
    <row r="66" spans="1:5" x14ac:dyDescent="0.4">
      <c r="A66">
        <v>1956</v>
      </c>
      <c r="B66">
        <v>8</v>
      </c>
      <c r="C66">
        <v>36.4</v>
      </c>
      <c r="D66">
        <v>8</v>
      </c>
      <c r="E66">
        <v>1</v>
      </c>
    </row>
    <row r="67" spans="1:5" x14ac:dyDescent="0.4">
      <c r="A67">
        <v>1957</v>
      </c>
      <c r="B67">
        <v>8</v>
      </c>
      <c r="C67">
        <v>33.4</v>
      </c>
      <c r="D67">
        <v>8</v>
      </c>
      <c r="E67">
        <v>1</v>
      </c>
    </row>
    <row r="68" spans="1:5" x14ac:dyDescent="0.4">
      <c r="A68">
        <v>1958</v>
      </c>
      <c r="B68">
        <v>8</v>
      </c>
      <c r="C68">
        <v>34</v>
      </c>
      <c r="D68">
        <v>8</v>
      </c>
      <c r="E68">
        <v>1</v>
      </c>
    </row>
    <row r="69" spans="1:5" x14ac:dyDescent="0.4">
      <c r="A69">
        <v>1959</v>
      </c>
      <c r="B69">
        <v>8</v>
      </c>
      <c r="C69">
        <v>36.200000000000003</v>
      </c>
      <c r="D69">
        <v>8</v>
      </c>
      <c r="E69">
        <v>1</v>
      </c>
    </row>
    <row r="70" spans="1:5" x14ac:dyDescent="0.4">
      <c r="A70">
        <v>1960</v>
      </c>
      <c r="B70">
        <v>8</v>
      </c>
      <c r="C70">
        <v>36.200000000000003</v>
      </c>
      <c r="D70">
        <v>8</v>
      </c>
      <c r="E70">
        <v>1</v>
      </c>
    </row>
    <row r="71" spans="1:5" x14ac:dyDescent="0.4">
      <c r="A71">
        <v>1961</v>
      </c>
      <c r="B71">
        <v>8</v>
      </c>
      <c r="C71">
        <v>34.9</v>
      </c>
      <c r="D71">
        <v>8</v>
      </c>
      <c r="E71">
        <v>1</v>
      </c>
    </row>
    <row r="72" spans="1:5" x14ac:dyDescent="0.4">
      <c r="A72">
        <v>1962</v>
      </c>
      <c r="B72">
        <v>8</v>
      </c>
      <c r="C72">
        <v>34.299999999999997</v>
      </c>
      <c r="D72">
        <v>8</v>
      </c>
      <c r="E72">
        <v>1</v>
      </c>
    </row>
    <row r="73" spans="1:5" x14ac:dyDescent="0.4">
      <c r="A73">
        <v>1963</v>
      </c>
      <c r="B73">
        <v>8</v>
      </c>
      <c r="C73">
        <v>34</v>
      </c>
      <c r="D73">
        <v>8</v>
      </c>
      <c r="E73">
        <v>1</v>
      </c>
    </row>
    <row r="74" spans="1:5" x14ac:dyDescent="0.4">
      <c r="A74">
        <v>1964</v>
      </c>
      <c r="B74">
        <v>8</v>
      </c>
      <c r="C74">
        <v>35.799999999999997</v>
      </c>
      <c r="D74">
        <v>8</v>
      </c>
      <c r="E74">
        <v>1</v>
      </c>
    </row>
    <row r="75" spans="1:5" x14ac:dyDescent="0.4">
      <c r="A75">
        <v>1965</v>
      </c>
      <c r="B75">
        <v>8</v>
      </c>
      <c r="C75">
        <v>34.5</v>
      </c>
      <c r="D75">
        <v>8</v>
      </c>
      <c r="E75">
        <v>1</v>
      </c>
    </row>
    <row r="76" spans="1:5" x14ac:dyDescent="0.4">
      <c r="A76">
        <v>1966</v>
      </c>
      <c r="B76">
        <v>8</v>
      </c>
      <c r="C76">
        <v>36.299999999999997</v>
      </c>
      <c r="D76">
        <v>8</v>
      </c>
      <c r="E76">
        <v>1</v>
      </c>
    </row>
    <row r="77" spans="1:5" x14ac:dyDescent="0.4">
      <c r="A77">
        <v>1967</v>
      </c>
      <c r="B77">
        <v>8</v>
      </c>
      <c r="C77">
        <v>34.6</v>
      </c>
      <c r="D77">
        <v>8</v>
      </c>
      <c r="E77">
        <v>1</v>
      </c>
    </row>
    <row r="78" spans="1:5" x14ac:dyDescent="0.4">
      <c r="A78">
        <v>1968</v>
      </c>
      <c r="B78">
        <v>8</v>
      </c>
      <c r="C78">
        <v>33.799999999999997</v>
      </c>
      <c r="D78">
        <v>8</v>
      </c>
      <c r="E78">
        <v>1</v>
      </c>
    </row>
    <row r="79" spans="1:5" x14ac:dyDescent="0.4">
      <c r="A79">
        <v>1969</v>
      </c>
      <c r="B79">
        <v>8</v>
      </c>
      <c r="C79">
        <v>34.4</v>
      </c>
      <c r="D79">
        <v>8</v>
      </c>
      <c r="E79">
        <v>1</v>
      </c>
    </row>
    <row r="80" spans="1:5" x14ac:dyDescent="0.4">
      <c r="A80">
        <v>1970</v>
      </c>
      <c r="B80">
        <v>8</v>
      </c>
      <c r="C80">
        <v>35.6</v>
      </c>
      <c r="D80">
        <v>8</v>
      </c>
      <c r="E80">
        <v>1</v>
      </c>
    </row>
    <row r="81" spans="1:5" x14ac:dyDescent="0.4">
      <c r="A81">
        <v>1971</v>
      </c>
      <c r="B81">
        <v>8</v>
      </c>
      <c r="C81">
        <v>35.1</v>
      </c>
      <c r="D81">
        <v>8</v>
      </c>
      <c r="E81">
        <v>1</v>
      </c>
    </row>
    <row r="82" spans="1:5" x14ac:dyDescent="0.4">
      <c r="A82">
        <v>1972</v>
      </c>
      <c r="B82">
        <v>8</v>
      </c>
      <c r="C82">
        <v>36.200000000000003</v>
      </c>
      <c r="D82">
        <v>8</v>
      </c>
      <c r="E82">
        <v>1</v>
      </c>
    </row>
    <row r="83" spans="1:5" x14ac:dyDescent="0.4">
      <c r="A83">
        <v>1973</v>
      </c>
      <c r="B83">
        <v>8</v>
      </c>
      <c r="C83">
        <v>35.799999999999997</v>
      </c>
      <c r="D83">
        <v>8</v>
      </c>
      <c r="E83">
        <v>1</v>
      </c>
    </row>
    <row r="84" spans="1:5" x14ac:dyDescent="0.4">
      <c r="A84">
        <v>1974</v>
      </c>
      <c r="B84">
        <v>8</v>
      </c>
      <c r="C84">
        <v>35.4</v>
      </c>
      <c r="D84">
        <v>8</v>
      </c>
      <c r="E84">
        <v>1</v>
      </c>
    </row>
    <row r="85" spans="1:5" x14ac:dyDescent="0.4">
      <c r="A85">
        <v>1975</v>
      </c>
      <c r="B85">
        <v>8</v>
      </c>
      <c r="C85">
        <v>34</v>
      </c>
      <c r="D85">
        <v>8</v>
      </c>
      <c r="E85">
        <v>1</v>
      </c>
    </row>
    <row r="86" spans="1:5" x14ac:dyDescent="0.4">
      <c r="A86">
        <v>1976</v>
      </c>
      <c r="B86">
        <v>8</v>
      </c>
      <c r="C86">
        <v>33.700000000000003</v>
      </c>
      <c r="D86">
        <v>8</v>
      </c>
      <c r="E86">
        <v>1</v>
      </c>
    </row>
    <row r="87" spans="1:5" x14ac:dyDescent="0.4">
      <c r="A87">
        <v>1977</v>
      </c>
      <c r="B87">
        <v>8</v>
      </c>
      <c r="C87">
        <v>35.1</v>
      </c>
      <c r="D87">
        <v>8</v>
      </c>
      <c r="E87">
        <v>1</v>
      </c>
    </row>
    <row r="88" spans="1:5" x14ac:dyDescent="0.4">
      <c r="A88">
        <v>1978</v>
      </c>
      <c r="B88">
        <v>8</v>
      </c>
      <c r="C88">
        <v>35.5</v>
      </c>
      <c r="D88">
        <v>8</v>
      </c>
      <c r="E88">
        <v>1</v>
      </c>
    </row>
    <row r="89" spans="1:5" x14ac:dyDescent="0.4">
      <c r="A89">
        <v>1979</v>
      </c>
      <c r="B89">
        <v>8</v>
      </c>
      <c r="C89">
        <v>34.799999999999997</v>
      </c>
      <c r="D89">
        <v>8</v>
      </c>
      <c r="E89">
        <v>1</v>
      </c>
    </row>
    <row r="90" spans="1:5" x14ac:dyDescent="0.4">
      <c r="A90">
        <v>1980</v>
      </c>
      <c r="B90">
        <v>8</v>
      </c>
      <c r="C90">
        <v>32.299999999999997</v>
      </c>
      <c r="D90">
        <v>8</v>
      </c>
      <c r="E90">
        <v>1</v>
      </c>
    </row>
    <row r="91" spans="1:5" x14ac:dyDescent="0.4">
      <c r="A91">
        <v>1981</v>
      </c>
      <c r="B91">
        <v>8</v>
      </c>
      <c r="C91">
        <v>34.799999999999997</v>
      </c>
      <c r="D91">
        <v>8</v>
      </c>
      <c r="E91">
        <v>1</v>
      </c>
    </row>
    <row r="92" spans="1:5" x14ac:dyDescent="0.4">
      <c r="A92">
        <v>1982</v>
      </c>
      <c r="B92">
        <v>8</v>
      </c>
      <c r="C92">
        <v>33.200000000000003</v>
      </c>
      <c r="D92">
        <v>8</v>
      </c>
      <c r="E92">
        <v>1</v>
      </c>
    </row>
    <row r="93" spans="1:5" x14ac:dyDescent="0.4">
      <c r="A93">
        <v>1983</v>
      </c>
      <c r="B93">
        <v>8</v>
      </c>
      <c r="C93">
        <v>36</v>
      </c>
      <c r="D93">
        <v>8</v>
      </c>
      <c r="E93">
        <v>1</v>
      </c>
    </row>
    <row r="94" spans="1:5" x14ac:dyDescent="0.4">
      <c r="A94">
        <v>1984</v>
      </c>
      <c r="B94">
        <v>8</v>
      </c>
      <c r="C94">
        <v>35.700000000000003</v>
      </c>
      <c r="D94">
        <v>8</v>
      </c>
      <c r="E94">
        <v>1</v>
      </c>
    </row>
    <row r="95" spans="1:5" x14ac:dyDescent="0.4">
      <c r="A95">
        <v>1985</v>
      </c>
      <c r="B95">
        <v>8</v>
      </c>
      <c r="C95">
        <v>35.9</v>
      </c>
      <c r="D95">
        <v>8</v>
      </c>
      <c r="E95">
        <v>1</v>
      </c>
    </row>
    <row r="96" spans="1:5" x14ac:dyDescent="0.4">
      <c r="A96">
        <v>1986</v>
      </c>
      <c r="B96">
        <v>8</v>
      </c>
      <c r="C96">
        <v>35.1</v>
      </c>
      <c r="D96">
        <v>8</v>
      </c>
      <c r="E96">
        <v>1</v>
      </c>
    </row>
    <row r="97" spans="1:5" x14ac:dyDescent="0.4">
      <c r="A97">
        <v>1987</v>
      </c>
      <c r="B97">
        <v>8</v>
      </c>
      <c r="C97">
        <v>33.6</v>
      </c>
      <c r="D97">
        <v>8</v>
      </c>
      <c r="E97">
        <v>1</v>
      </c>
    </row>
    <row r="98" spans="1:5" x14ac:dyDescent="0.4">
      <c r="A98">
        <v>1988</v>
      </c>
      <c r="B98">
        <v>8</v>
      </c>
      <c r="C98">
        <v>34.5</v>
      </c>
      <c r="D98">
        <v>8</v>
      </c>
      <c r="E98">
        <v>1</v>
      </c>
    </row>
    <row r="99" spans="1:5" x14ac:dyDescent="0.4">
      <c r="A99">
        <v>1989</v>
      </c>
      <c r="B99">
        <v>8</v>
      </c>
      <c r="C99">
        <v>33.6</v>
      </c>
      <c r="D99">
        <v>8</v>
      </c>
      <c r="E99">
        <v>1</v>
      </c>
    </row>
    <row r="100" spans="1:5" x14ac:dyDescent="0.4">
      <c r="A100">
        <v>1990</v>
      </c>
      <c r="B100">
        <v>8</v>
      </c>
      <c r="C100">
        <v>36.5</v>
      </c>
      <c r="D100">
        <v>8</v>
      </c>
      <c r="E100">
        <v>1</v>
      </c>
    </row>
    <row r="101" spans="1:5" x14ac:dyDescent="0.4">
      <c r="A101">
        <v>1991</v>
      </c>
      <c r="B101">
        <v>8</v>
      </c>
      <c r="C101">
        <v>36.9</v>
      </c>
      <c r="D101">
        <v>8</v>
      </c>
      <c r="E101">
        <v>1</v>
      </c>
    </row>
    <row r="102" spans="1:5" x14ac:dyDescent="0.4">
      <c r="A102">
        <v>1992</v>
      </c>
      <c r="B102">
        <v>8</v>
      </c>
      <c r="C102">
        <v>34.1</v>
      </c>
      <c r="D102">
        <v>8</v>
      </c>
      <c r="E102">
        <v>1</v>
      </c>
    </row>
    <row r="103" spans="1:5" x14ac:dyDescent="0.4">
      <c r="A103">
        <v>1993</v>
      </c>
      <c r="B103">
        <v>8</v>
      </c>
      <c r="C103">
        <v>33.200000000000003</v>
      </c>
      <c r="D103">
        <v>8</v>
      </c>
      <c r="E103">
        <v>1</v>
      </c>
    </row>
    <row r="104" spans="1:5" x14ac:dyDescent="0.4">
      <c r="A104">
        <v>1994</v>
      </c>
      <c r="B104">
        <v>8</v>
      </c>
      <c r="C104">
        <v>38.799999999999997</v>
      </c>
      <c r="D104">
        <v>8</v>
      </c>
      <c r="E104">
        <v>1</v>
      </c>
    </row>
    <row r="105" spans="1:5" x14ac:dyDescent="0.4">
      <c r="A105">
        <v>1995</v>
      </c>
      <c r="B105">
        <v>8</v>
      </c>
      <c r="C105">
        <v>35.700000000000003</v>
      </c>
      <c r="D105">
        <v>8</v>
      </c>
      <c r="E105">
        <v>1</v>
      </c>
    </row>
    <row r="106" spans="1:5" x14ac:dyDescent="0.4">
      <c r="A106">
        <v>1996</v>
      </c>
      <c r="B106">
        <v>8</v>
      </c>
      <c r="C106">
        <v>36</v>
      </c>
      <c r="D106">
        <v>8</v>
      </c>
      <c r="E106">
        <v>1</v>
      </c>
    </row>
    <row r="107" spans="1:5" x14ac:dyDescent="0.4">
      <c r="A107">
        <v>1997</v>
      </c>
      <c r="B107">
        <v>8</v>
      </c>
      <c r="C107">
        <v>33.700000000000003</v>
      </c>
      <c r="D107">
        <v>8</v>
      </c>
      <c r="E107">
        <v>1</v>
      </c>
    </row>
    <row r="108" spans="1:5" x14ac:dyDescent="0.4">
      <c r="A108">
        <v>1998</v>
      </c>
      <c r="B108">
        <v>8</v>
      </c>
      <c r="C108">
        <v>34.6</v>
      </c>
      <c r="D108">
        <v>8</v>
      </c>
      <c r="E108">
        <v>1</v>
      </c>
    </row>
    <row r="109" spans="1:5" x14ac:dyDescent="0.4">
      <c r="A109">
        <v>1999</v>
      </c>
      <c r="B109">
        <v>8</v>
      </c>
      <c r="C109">
        <v>35.1</v>
      </c>
      <c r="D109">
        <v>8</v>
      </c>
      <c r="E109">
        <v>1</v>
      </c>
    </row>
    <row r="110" spans="1:5" x14ac:dyDescent="0.4">
      <c r="A110">
        <v>2000</v>
      </c>
      <c r="B110">
        <v>8</v>
      </c>
      <c r="C110">
        <v>36.4</v>
      </c>
      <c r="D110">
        <v>8</v>
      </c>
      <c r="E110">
        <v>1</v>
      </c>
    </row>
    <row r="111" spans="1:5" x14ac:dyDescent="0.4">
      <c r="A111">
        <v>2001</v>
      </c>
      <c r="B111">
        <v>8</v>
      </c>
      <c r="C111">
        <v>36.6</v>
      </c>
      <c r="D111">
        <v>8</v>
      </c>
      <c r="E111">
        <v>1</v>
      </c>
    </row>
    <row r="112" spans="1:5" x14ac:dyDescent="0.4">
      <c r="A112">
        <v>2002</v>
      </c>
      <c r="B112">
        <v>8</v>
      </c>
      <c r="C112">
        <v>36.299999999999997</v>
      </c>
      <c r="D112">
        <v>8</v>
      </c>
      <c r="E112">
        <v>1</v>
      </c>
    </row>
    <row r="113" spans="1:5" x14ac:dyDescent="0.4">
      <c r="A113">
        <v>2003</v>
      </c>
      <c r="B113">
        <v>8</v>
      </c>
      <c r="C113">
        <v>34.5</v>
      </c>
      <c r="D113">
        <v>8</v>
      </c>
      <c r="E113">
        <v>1</v>
      </c>
    </row>
    <row r="114" spans="1:5" x14ac:dyDescent="0.4">
      <c r="A114">
        <v>2004</v>
      </c>
      <c r="B114">
        <v>8</v>
      </c>
      <c r="C114">
        <v>34.5</v>
      </c>
      <c r="D114">
        <v>8</v>
      </c>
      <c r="E114">
        <v>1</v>
      </c>
    </row>
    <row r="115" spans="1:5" x14ac:dyDescent="0.4">
      <c r="A115">
        <v>2005</v>
      </c>
      <c r="B115">
        <v>8</v>
      </c>
      <c r="C115">
        <v>34.799999999999997</v>
      </c>
      <c r="D115">
        <v>8</v>
      </c>
      <c r="E115">
        <v>1</v>
      </c>
    </row>
    <row r="116" spans="1:5" x14ac:dyDescent="0.4">
      <c r="A116">
        <v>2006</v>
      </c>
      <c r="B116">
        <v>8</v>
      </c>
      <c r="C116">
        <v>37.200000000000003</v>
      </c>
      <c r="D116">
        <v>8</v>
      </c>
      <c r="E116">
        <v>1</v>
      </c>
    </row>
    <row r="117" spans="1:5" x14ac:dyDescent="0.4">
      <c r="A117">
        <v>2007</v>
      </c>
      <c r="B117">
        <v>8</v>
      </c>
      <c r="C117">
        <v>35.700000000000003</v>
      </c>
      <c r="D117">
        <v>8</v>
      </c>
      <c r="E117">
        <v>1</v>
      </c>
    </row>
    <row r="118" spans="1:5" x14ac:dyDescent="0.4">
      <c r="A118">
        <v>2008</v>
      </c>
      <c r="B118">
        <v>8</v>
      </c>
      <c r="C118">
        <v>34.700000000000003</v>
      </c>
      <c r="D118">
        <v>8</v>
      </c>
      <c r="E118">
        <v>1</v>
      </c>
    </row>
    <row r="119" spans="1:5" x14ac:dyDescent="0.4">
      <c r="A119">
        <v>2009</v>
      </c>
      <c r="B119">
        <v>8</v>
      </c>
      <c r="C119">
        <v>35.1</v>
      </c>
      <c r="D119">
        <v>8</v>
      </c>
      <c r="E119">
        <v>1</v>
      </c>
    </row>
    <row r="120" spans="1:5" x14ac:dyDescent="0.4">
      <c r="A120">
        <v>2010</v>
      </c>
      <c r="B120">
        <v>8</v>
      </c>
      <c r="C120">
        <v>36.299999999999997</v>
      </c>
      <c r="D120">
        <v>8</v>
      </c>
      <c r="E120">
        <v>1</v>
      </c>
    </row>
    <row r="121" spans="1:5" x14ac:dyDescent="0.4">
      <c r="A121">
        <v>2011</v>
      </c>
      <c r="B121">
        <v>8</v>
      </c>
      <c r="C121">
        <v>35.200000000000003</v>
      </c>
      <c r="D121">
        <v>8</v>
      </c>
      <c r="E121">
        <v>1</v>
      </c>
    </row>
    <row r="122" spans="1:5" x14ac:dyDescent="0.4">
      <c r="A122">
        <v>2012</v>
      </c>
      <c r="B122">
        <v>8</v>
      </c>
      <c r="C122">
        <v>36.700000000000003</v>
      </c>
      <c r="D122">
        <v>8</v>
      </c>
      <c r="E122">
        <v>1</v>
      </c>
    </row>
    <row r="123" spans="1:5" x14ac:dyDescent="0.4">
      <c r="A123">
        <v>2013</v>
      </c>
      <c r="B123">
        <v>8</v>
      </c>
      <c r="C123">
        <v>37.200000000000003</v>
      </c>
      <c r="D123">
        <v>8</v>
      </c>
      <c r="E123">
        <v>1</v>
      </c>
    </row>
    <row r="124" spans="1:5" x14ac:dyDescent="0.4">
      <c r="A124">
        <v>2014</v>
      </c>
      <c r="B124">
        <v>8</v>
      </c>
      <c r="C124">
        <v>33</v>
      </c>
      <c r="D124">
        <v>8</v>
      </c>
      <c r="E124">
        <v>1</v>
      </c>
    </row>
    <row r="125" spans="1:5" x14ac:dyDescent="0.4">
      <c r="A125">
        <v>2015</v>
      </c>
      <c r="B125">
        <v>8</v>
      </c>
      <c r="C125">
        <v>36</v>
      </c>
      <c r="D125">
        <v>8</v>
      </c>
      <c r="E125">
        <v>1</v>
      </c>
    </row>
    <row r="126" spans="1:5" x14ac:dyDescent="0.4">
      <c r="A126">
        <v>2016</v>
      </c>
      <c r="B126">
        <v>8</v>
      </c>
      <c r="C126">
        <v>37.6</v>
      </c>
      <c r="D126">
        <v>8</v>
      </c>
      <c r="E126">
        <v>1</v>
      </c>
    </row>
    <row r="127" spans="1:5" x14ac:dyDescent="0.4">
      <c r="A127">
        <v>2017</v>
      </c>
      <c r="B127">
        <v>8</v>
      </c>
      <c r="C127">
        <v>35.200000000000003</v>
      </c>
      <c r="D127">
        <v>8</v>
      </c>
      <c r="E127">
        <v>1</v>
      </c>
    </row>
    <row r="128" spans="1:5" x14ac:dyDescent="0.4">
      <c r="A128">
        <v>2018</v>
      </c>
      <c r="B128">
        <v>8</v>
      </c>
      <c r="C128">
        <v>37</v>
      </c>
      <c r="D128">
        <v>8</v>
      </c>
      <c r="E128">
        <v>1</v>
      </c>
    </row>
    <row r="129" spans="1:5" x14ac:dyDescent="0.4">
      <c r="A129">
        <v>2019</v>
      </c>
      <c r="B129">
        <v>8</v>
      </c>
      <c r="C129">
        <v>36.700000000000003</v>
      </c>
      <c r="D129">
        <v>8</v>
      </c>
      <c r="E129">
        <v>1</v>
      </c>
    </row>
    <row r="130" spans="1:5" x14ac:dyDescent="0.4">
      <c r="A130">
        <v>2020</v>
      </c>
      <c r="B130">
        <v>8</v>
      </c>
      <c r="C130">
        <v>37.4</v>
      </c>
      <c r="D130">
        <v>8</v>
      </c>
      <c r="E130">
        <v>1</v>
      </c>
    </row>
    <row r="131" spans="1:5" x14ac:dyDescent="0.4">
      <c r="A131">
        <v>2021</v>
      </c>
      <c r="B131">
        <v>8</v>
      </c>
      <c r="C131">
        <v>37.4</v>
      </c>
      <c r="D131">
        <v>8</v>
      </c>
      <c r="E131">
        <v>1</v>
      </c>
    </row>
    <row r="132" spans="1:5" x14ac:dyDescent="0.4">
      <c r="A132">
        <v>2022</v>
      </c>
      <c r="B132">
        <v>8</v>
      </c>
      <c r="C132">
        <v>34.4</v>
      </c>
      <c r="D132">
        <v>8</v>
      </c>
      <c r="E132">
        <v>1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7"/>
  <sheetViews>
    <sheetView topLeftCell="A22" zoomScale="120" zoomScaleNormal="120" workbookViewId="0">
      <selection activeCell="Q12" sqref="Q12"/>
    </sheetView>
  </sheetViews>
  <sheetFormatPr defaultRowHeight="18.75" x14ac:dyDescent="0.4"/>
  <sheetData>
    <row r="1" spans="1:11" x14ac:dyDescent="0.4">
      <c r="A1" t="s">
        <v>8</v>
      </c>
    </row>
    <row r="3" spans="1:11" x14ac:dyDescent="0.4">
      <c r="C3" t="s">
        <v>1</v>
      </c>
      <c r="D3" t="s">
        <v>1</v>
      </c>
      <c r="E3" t="s">
        <v>1</v>
      </c>
    </row>
    <row r="4" spans="1:11" x14ac:dyDescent="0.4">
      <c r="A4" t="s">
        <v>2</v>
      </c>
      <c r="B4" t="s">
        <v>3</v>
      </c>
      <c r="C4" t="s">
        <v>7</v>
      </c>
      <c r="D4" t="s">
        <v>7</v>
      </c>
      <c r="E4" t="s">
        <v>7</v>
      </c>
      <c r="I4">
        <f t="array" ref="I4:J4">LINEST($C$14:$C$142,$A$14:$A$142)</f>
        <v>2.8645460644007147E-2</v>
      </c>
      <c r="J4">
        <v>-58.724135919797241</v>
      </c>
      <c r="K4">
        <v>5</v>
      </c>
    </row>
    <row r="6" spans="1:11" x14ac:dyDescent="0.4">
      <c r="D6" t="s">
        <v>5</v>
      </c>
      <c r="E6" t="s">
        <v>6</v>
      </c>
    </row>
    <row r="7" spans="1:11" x14ac:dyDescent="0.4">
      <c r="A7">
        <v>1890</v>
      </c>
      <c r="F7">
        <f>G7-$K$4/2</f>
        <v>-7.0842153026237327</v>
      </c>
      <c r="G7">
        <f>$I$4*A7+$J$4</f>
        <v>-4.5842153026237327</v>
      </c>
      <c r="H7">
        <f>G7+$K$4/2</f>
        <v>-2.0842153026237327</v>
      </c>
    </row>
    <row r="8" spans="1:11" x14ac:dyDescent="0.4">
      <c r="A8">
        <v>1891</v>
      </c>
      <c r="F8">
        <f t="shared" ref="F8:F71" si="0">G8-$K$4/2</f>
        <v>-7.0555698419797253</v>
      </c>
      <c r="G8">
        <f t="shared" ref="G8:G71" si="1">$I$4*A8+$J$4</f>
        <v>-4.5555698419797253</v>
      </c>
      <c r="H8">
        <f t="shared" ref="H8:H71" si="2">G8+$K$4/2</f>
        <v>-2.0555698419797253</v>
      </c>
    </row>
    <row r="9" spans="1:11" x14ac:dyDescent="0.4">
      <c r="A9">
        <v>1892</v>
      </c>
      <c r="F9">
        <f t="shared" si="0"/>
        <v>-7.0269243813357178</v>
      </c>
      <c r="G9">
        <f t="shared" si="1"/>
        <v>-4.5269243813357178</v>
      </c>
      <c r="H9">
        <f t="shared" si="2"/>
        <v>-2.0269243813357178</v>
      </c>
    </row>
    <row r="10" spans="1:11" x14ac:dyDescent="0.4">
      <c r="A10">
        <v>1893</v>
      </c>
      <c r="F10">
        <f t="shared" si="0"/>
        <v>-6.9982789206917104</v>
      </c>
      <c r="G10">
        <f t="shared" si="1"/>
        <v>-4.4982789206917104</v>
      </c>
      <c r="H10">
        <f t="shared" si="2"/>
        <v>-1.9982789206917104</v>
      </c>
    </row>
    <row r="11" spans="1:11" x14ac:dyDescent="0.4">
      <c r="A11">
        <v>1894</v>
      </c>
      <c r="F11">
        <f t="shared" si="0"/>
        <v>-6.969633460047703</v>
      </c>
      <c r="G11">
        <f t="shared" si="1"/>
        <v>-4.469633460047703</v>
      </c>
      <c r="H11">
        <f t="shared" si="2"/>
        <v>-1.969633460047703</v>
      </c>
    </row>
    <row r="12" spans="1:11" x14ac:dyDescent="0.4">
      <c r="A12">
        <v>1895</v>
      </c>
      <c r="F12">
        <f t="shared" si="0"/>
        <v>-6.9409879994036956</v>
      </c>
      <c r="G12">
        <f t="shared" si="1"/>
        <v>-4.4409879994036956</v>
      </c>
      <c r="H12">
        <f t="shared" si="2"/>
        <v>-1.9409879994036956</v>
      </c>
    </row>
    <row r="13" spans="1:11" x14ac:dyDescent="0.4">
      <c r="A13">
        <v>1896</v>
      </c>
      <c r="F13">
        <f t="shared" si="0"/>
        <v>-6.9123425387596882</v>
      </c>
      <c r="G13">
        <f t="shared" si="1"/>
        <v>-4.4123425387596882</v>
      </c>
      <c r="H13">
        <f t="shared" si="2"/>
        <v>-1.9123425387596882</v>
      </c>
    </row>
    <row r="14" spans="1:11" x14ac:dyDescent="0.4">
      <c r="A14">
        <v>1897</v>
      </c>
      <c r="B14">
        <v>2</v>
      </c>
      <c r="C14">
        <v>-5</v>
      </c>
      <c r="D14">
        <v>8</v>
      </c>
      <c r="E14">
        <v>1</v>
      </c>
      <c r="F14">
        <f t="shared" si="0"/>
        <v>-6.8836970781156808</v>
      </c>
      <c r="G14">
        <f t="shared" si="1"/>
        <v>-4.3836970781156808</v>
      </c>
      <c r="H14">
        <f t="shared" si="2"/>
        <v>-1.8836970781156808</v>
      </c>
    </row>
    <row r="15" spans="1:11" x14ac:dyDescent="0.4">
      <c r="A15">
        <v>1898</v>
      </c>
      <c r="B15">
        <v>2</v>
      </c>
      <c r="C15">
        <v>-1.6</v>
      </c>
      <c r="D15">
        <v>8</v>
      </c>
      <c r="E15">
        <v>1</v>
      </c>
      <c r="F15">
        <f t="shared" si="0"/>
        <v>-6.8550516174716734</v>
      </c>
      <c r="G15">
        <f t="shared" si="1"/>
        <v>-4.3550516174716734</v>
      </c>
      <c r="H15">
        <f t="shared" si="2"/>
        <v>-1.8550516174716734</v>
      </c>
    </row>
    <row r="16" spans="1:11" x14ac:dyDescent="0.4">
      <c r="A16">
        <v>1899</v>
      </c>
      <c r="B16">
        <v>2</v>
      </c>
      <c r="C16">
        <v>-2</v>
      </c>
      <c r="D16">
        <v>8</v>
      </c>
      <c r="E16">
        <v>1</v>
      </c>
      <c r="F16">
        <f t="shared" si="0"/>
        <v>-6.8264061568276659</v>
      </c>
      <c r="G16">
        <f t="shared" si="1"/>
        <v>-4.3264061568276659</v>
      </c>
      <c r="H16">
        <f t="shared" si="2"/>
        <v>-1.8264061568276659</v>
      </c>
    </row>
    <row r="17" spans="1:8" x14ac:dyDescent="0.4">
      <c r="A17">
        <v>1900</v>
      </c>
      <c r="B17">
        <v>2</v>
      </c>
      <c r="C17">
        <v>-5.2</v>
      </c>
      <c r="D17">
        <v>8</v>
      </c>
      <c r="E17">
        <v>1</v>
      </c>
      <c r="F17">
        <f t="shared" si="0"/>
        <v>-6.7977606961836585</v>
      </c>
      <c r="G17">
        <f t="shared" si="1"/>
        <v>-4.2977606961836585</v>
      </c>
      <c r="H17">
        <f t="shared" si="2"/>
        <v>-1.7977606961836585</v>
      </c>
    </row>
    <row r="18" spans="1:8" x14ac:dyDescent="0.4">
      <c r="A18">
        <v>1901</v>
      </c>
      <c r="B18">
        <v>2</v>
      </c>
      <c r="C18">
        <v>-5.4</v>
      </c>
      <c r="D18">
        <v>8</v>
      </c>
      <c r="E18">
        <v>1</v>
      </c>
      <c r="F18">
        <f t="shared" si="0"/>
        <v>-6.7691152355396511</v>
      </c>
      <c r="G18">
        <f t="shared" si="1"/>
        <v>-4.2691152355396511</v>
      </c>
      <c r="H18">
        <f t="shared" si="2"/>
        <v>-1.7691152355396511</v>
      </c>
    </row>
    <row r="19" spans="1:8" x14ac:dyDescent="0.4">
      <c r="A19">
        <v>1902</v>
      </c>
      <c r="B19">
        <v>2</v>
      </c>
      <c r="C19">
        <v>-3.6</v>
      </c>
      <c r="D19">
        <v>8</v>
      </c>
      <c r="E19">
        <v>1</v>
      </c>
      <c r="F19">
        <f t="shared" si="0"/>
        <v>-6.7404697748956508</v>
      </c>
      <c r="G19">
        <f t="shared" si="1"/>
        <v>-4.2404697748956508</v>
      </c>
      <c r="H19">
        <f t="shared" si="2"/>
        <v>-1.7404697748956508</v>
      </c>
    </row>
    <row r="20" spans="1:8" x14ac:dyDescent="0.4">
      <c r="A20">
        <v>1903</v>
      </c>
      <c r="B20">
        <v>2</v>
      </c>
      <c r="C20">
        <v>-3.3</v>
      </c>
      <c r="D20">
        <v>8</v>
      </c>
      <c r="E20">
        <v>1</v>
      </c>
      <c r="F20">
        <f t="shared" si="0"/>
        <v>-6.7118243142516434</v>
      </c>
      <c r="G20">
        <f t="shared" si="1"/>
        <v>-4.2118243142516434</v>
      </c>
      <c r="H20">
        <f t="shared" si="2"/>
        <v>-1.7118243142516434</v>
      </c>
    </row>
    <row r="21" spans="1:8" x14ac:dyDescent="0.4">
      <c r="A21">
        <v>1904</v>
      </c>
      <c r="B21">
        <v>2</v>
      </c>
      <c r="C21">
        <v>-3</v>
      </c>
      <c r="D21">
        <v>8</v>
      </c>
      <c r="E21">
        <v>1</v>
      </c>
      <c r="F21">
        <f t="shared" si="0"/>
        <v>-6.683178853607636</v>
      </c>
      <c r="G21">
        <f t="shared" si="1"/>
        <v>-4.183178853607636</v>
      </c>
      <c r="H21">
        <f t="shared" si="2"/>
        <v>-1.683178853607636</v>
      </c>
    </row>
    <row r="22" spans="1:8" x14ac:dyDescent="0.4">
      <c r="A22">
        <v>1905</v>
      </c>
      <c r="B22">
        <v>2</v>
      </c>
      <c r="C22">
        <v>-4</v>
      </c>
      <c r="D22">
        <v>8</v>
      </c>
      <c r="E22">
        <v>1</v>
      </c>
      <c r="F22">
        <f t="shared" si="0"/>
        <v>-6.6545333929636286</v>
      </c>
      <c r="G22">
        <f t="shared" si="1"/>
        <v>-4.1545333929636286</v>
      </c>
      <c r="H22">
        <f t="shared" si="2"/>
        <v>-1.6545333929636286</v>
      </c>
    </row>
    <row r="23" spans="1:8" x14ac:dyDescent="0.4">
      <c r="A23">
        <v>1906</v>
      </c>
      <c r="B23">
        <v>2</v>
      </c>
      <c r="C23">
        <v>-2.9</v>
      </c>
      <c r="D23">
        <v>8</v>
      </c>
      <c r="E23">
        <v>1</v>
      </c>
      <c r="F23">
        <f t="shared" si="0"/>
        <v>-6.6258879323196211</v>
      </c>
      <c r="G23">
        <f t="shared" si="1"/>
        <v>-4.1258879323196211</v>
      </c>
      <c r="H23">
        <f t="shared" si="2"/>
        <v>-1.6258879323196211</v>
      </c>
    </row>
    <row r="24" spans="1:8" x14ac:dyDescent="0.4">
      <c r="A24">
        <v>1907</v>
      </c>
      <c r="B24">
        <v>2</v>
      </c>
      <c r="C24">
        <v>-3.4</v>
      </c>
      <c r="D24">
        <v>8</v>
      </c>
      <c r="E24">
        <v>1</v>
      </c>
      <c r="F24">
        <f t="shared" si="0"/>
        <v>-6.5972424716756137</v>
      </c>
      <c r="G24">
        <f t="shared" si="1"/>
        <v>-4.0972424716756137</v>
      </c>
      <c r="H24">
        <f t="shared" si="2"/>
        <v>-1.5972424716756137</v>
      </c>
    </row>
    <row r="25" spans="1:8" x14ac:dyDescent="0.4">
      <c r="A25">
        <v>1908</v>
      </c>
      <c r="B25">
        <v>2</v>
      </c>
      <c r="C25">
        <v>-3</v>
      </c>
      <c r="D25">
        <v>8</v>
      </c>
      <c r="E25">
        <v>1</v>
      </c>
      <c r="F25">
        <f t="shared" si="0"/>
        <v>-6.5685970110316063</v>
      </c>
      <c r="G25">
        <f t="shared" si="1"/>
        <v>-4.0685970110316063</v>
      </c>
      <c r="H25">
        <f t="shared" si="2"/>
        <v>-1.5685970110316063</v>
      </c>
    </row>
    <row r="26" spans="1:8" x14ac:dyDescent="0.4">
      <c r="A26">
        <v>1909</v>
      </c>
      <c r="B26">
        <v>2</v>
      </c>
      <c r="C26">
        <v>-4.4000000000000004</v>
      </c>
      <c r="D26">
        <v>8</v>
      </c>
      <c r="E26">
        <v>1</v>
      </c>
      <c r="F26">
        <f t="shared" si="0"/>
        <v>-6.5399515503875989</v>
      </c>
      <c r="G26">
        <f t="shared" si="1"/>
        <v>-4.0399515503875989</v>
      </c>
      <c r="H26">
        <f t="shared" si="2"/>
        <v>-1.5399515503875989</v>
      </c>
    </row>
    <row r="27" spans="1:8" x14ac:dyDescent="0.4">
      <c r="A27">
        <v>1910</v>
      </c>
      <c r="B27">
        <v>2</v>
      </c>
      <c r="C27">
        <v>-5.5</v>
      </c>
      <c r="D27">
        <v>8</v>
      </c>
      <c r="E27">
        <v>1</v>
      </c>
      <c r="F27">
        <f t="shared" si="0"/>
        <v>-6.5113060897435915</v>
      </c>
      <c r="G27">
        <f t="shared" si="1"/>
        <v>-4.0113060897435915</v>
      </c>
      <c r="H27">
        <f t="shared" si="2"/>
        <v>-1.5113060897435915</v>
      </c>
    </row>
    <row r="28" spans="1:8" x14ac:dyDescent="0.4">
      <c r="A28">
        <v>1911</v>
      </c>
      <c r="B28">
        <v>2</v>
      </c>
      <c r="C28">
        <v>-2.8</v>
      </c>
      <c r="D28">
        <v>8</v>
      </c>
      <c r="E28">
        <v>1</v>
      </c>
      <c r="F28">
        <f t="shared" si="0"/>
        <v>-6.4826606290995841</v>
      </c>
      <c r="G28">
        <f t="shared" si="1"/>
        <v>-3.9826606290995841</v>
      </c>
      <c r="H28">
        <f t="shared" si="2"/>
        <v>-1.4826606290995841</v>
      </c>
    </row>
    <row r="29" spans="1:8" x14ac:dyDescent="0.4">
      <c r="A29">
        <v>1912</v>
      </c>
      <c r="B29">
        <v>2</v>
      </c>
      <c r="C29">
        <v>-2.4</v>
      </c>
      <c r="D29">
        <v>8</v>
      </c>
      <c r="E29">
        <v>1</v>
      </c>
      <c r="F29">
        <f t="shared" si="0"/>
        <v>-6.4540151684555767</v>
      </c>
      <c r="G29">
        <f t="shared" si="1"/>
        <v>-3.9540151684555767</v>
      </c>
      <c r="H29">
        <f t="shared" si="2"/>
        <v>-1.4540151684555767</v>
      </c>
    </row>
    <row r="30" spans="1:8" x14ac:dyDescent="0.4">
      <c r="A30">
        <v>1913</v>
      </c>
      <c r="B30">
        <v>2</v>
      </c>
      <c r="C30">
        <v>-5.2</v>
      </c>
      <c r="D30">
        <v>8</v>
      </c>
      <c r="E30">
        <v>1</v>
      </c>
      <c r="F30">
        <f t="shared" si="0"/>
        <v>-6.4253697078115692</v>
      </c>
      <c r="G30">
        <f t="shared" si="1"/>
        <v>-3.9253697078115692</v>
      </c>
      <c r="H30">
        <f t="shared" si="2"/>
        <v>-1.4253697078115692</v>
      </c>
    </row>
    <row r="31" spans="1:8" x14ac:dyDescent="0.4">
      <c r="A31">
        <v>1914</v>
      </c>
      <c r="B31">
        <v>2</v>
      </c>
      <c r="C31">
        <v>-1.6</v>
      </c>
      <c r="D31">
        <v>8</v>
      </c>
      <c r="E31">
        <v>1</v>
      </c>
      <c r="F31">
        <f t="shared" si="0"/>
        <v>-6.3967242471675618</v>
      </c>
      <c r="G31">
        <f t="shared" si="1"/>
        <v>-3.8967242471675618</v>
      </c>
      <c r="H31">
        <f t="shared" si="2"/>
        <v>-1.3967242471675618</v>
      </c>
    </row>
    <row r="32" spans="1:8" x14ac:dyDescent="0.4">
      <c r="A32">
        <v>1915</v>
      </c>
      <c r="B32">
        <v>2</v>
      </c>
      <c r="C32">
        <v>-3.2</v>
      </c>
      <c r="D32">
        <v>8</v>
      </c>
      <c r="E32">
        <v>1</v>
      </c>
      <c r="F32">
        <f t="shared" si="0"/>
        <v>-6.3680787865235544</v>
      </c>
      <c r="G32">
        <f t="shared" si="1"/>
        <v>-3.8680787865235544</v>
      </c>
      <c r="H32">
        <f t="shared" si="2"/>
        <v>-1.3680787865235544</v>
      </c>
    </row>
    <row r="33" spans="1:8" x14ac:dyDescent="0.4">
      <c r="A33">
        <v>1916</v>
      </c>
      <c r="B33">
        <v>2</v>
      </c>
      <c r="C33">
        <v>-0.9</v>
      </c>
      <c r="D33">
        <v>8</v>
      </c>
      <c r="E33">
        <v>1</v>
      </c>
      <c r="F33">
        <f t="shared" si="0"/>
        <v>-6.339433325879547</v>
      </c>
      <c r="G33">
        <f t="shared" si="1"/>
        <v>-3.839433325879547</v>
      </c>
      <c r="H33">
        <f t="shared" si="2"/>
        <v>-1.339433325879547</v>
      </c>
    </row>
    <row r="34" spans="1:8" x14ac:dyDescent="0.4">
      <c r="A34">
        <v>1917</v>
      </c>
      <c r="B34">
        <v>2</v>
      </c>
      <c r="C34">
        <v>-2.6</v>
      </c>
      <c r="D34">
        <v>8</v>
      </c>
      <c r="E34">
        <v>1</v>
      </c>
      <c r="F34">
        <f t="shared" si="0"/>
        <v>-6.3107878652355396</v>
      </c>
      <c r="G34">
        <f t="shared" si="1"/>
        <v>-3.8107878652355396</v>
      </c>
      <c r="H34">
        <f t="shared" si="2"/>
        <v>-1.3107878652355396</v>
      </c>
    </row>
    <row r="35" spans="1:8" x14ac:dyDescent="0.4">
      <c r="A35">
        <v>1918</v>
      </c>
      <c r="B35">
        <v>2</v>
      </c>
      <c r="C35">
        <v>-4.9000000000000004</v>
      </c>
      <c r="D35">
        <v>8</v>
      </c>
      <c r="E35">
        <v>1</v>
      </c>
      <c r="F35">
        <f t="shared" si="0"/>
        <v>-6.2821424045915322</v>
      </c>
      <c r="G35">
        <f t="shared" si="1"/>
        <v>-3.7821424045915322</v>
      </c>
      <c r="H35">
        <f t="shared" si="2"/>
        <v>-1.2821424045915322</v>
      </c>
    </row>
    <row r="36" spans="1:8" x14ac:dyDescent="0.4">
      <c r="A36">
        <v>1919</v>
      </c>
      <c r="B36">
        <v>2</v>
      </c>
      <c r="C36">
        <v>-5.0999999999999996</v>
      </c>
      <c r="D36">
        <v>8</v>
      </c>
      <c r="E36">
        <v>1</v>
      </c>
      <c r="F36">
        <f t="shared" si="0"/>
        <v>-6.2534969439475248</v>
      </c>
      <c r="G36">
        <f t="shared" si="1"/>
        <v>-3.7534969439475248</v>
      </c>
      <c r="H36">
        <f t="shared" si="2"/>
        <v>-1.2534969439475248</v>
      </c>
    </row>
    <row r="37" spans="1:8" x14ac:dyDescent="0.4">
      <c r="A37">
        <v>1920</v>
      </c>
      <c r="B37">
        <v>2</v>
      </c>
      <c r="C37">
        <v>-5.8</v>
      </c>
      <c r="D37">
        <v>8</v>
      </c>
      <c r="E37">
        <v>1</v>
      </c>
      <c r="F37">
        <f t="shared" si="0"/>
        <v>-6.2248514833035173</v>
      </c>
      <c r="G37">
        <f t="shared" si="1"/>
        <v>-3.7248514833035173</v>
      </c>
      <c r="H37">
        <f t="shared" si="2"/>
        <v>-1.2248514833035173</v>
      </c>
    </row>
    <row r="38" spans="1:8" x14ac:dyDescent="0.4">
      <c r="A38">
        <v>1921</v>
      </c>
      <c r="B38">
        <v>2</v>
      </c>
      <c r="C38">
        <v>-2</v>
      </c>
      <c r="D38">
        <v>8</v>
      </c>
      <c r="E38">
        <v>1</v>
      </c>
      <c r="F38">
        <f t="shared" si="0"/>
        <v>-6.1962060226595099</v>
      </c>
      <c r="G38">
        <f t="shared" si="1"/>
        <v>-3.6962060226595099</v>
      </c>
      <c r="H38">
        <f t="shared" si="2"/>
        <v>-1.1962060226595099</v>
      </c>
    </row>
    <row r="39" spans="1:8" x14ac:dyDescent="0.4">
      <c r="A39">
        <v>1922</v>
      </c>
      <c r="B39">
        <v>2</v>
      </c>
      <c r="C39">
        <v>-2.4</v>
      </c>
      <c r="D39">
        <v>8</v>
      </c>
      <c r="E39">
        <v>1</v>
      </c>
      <c r="F39">
        <f t="shared" si="0"/>
        <v>-6.1675605620155025</v>
      </c>
      <c r="G39">
        <f t="shared" si="1"/>
        <v>-3.6675605620155025</v>
      </c>
      <c r="H39">
        <f t="shared" si="2"/>
        <v>-1.1675605620155025</v>
      </c>
    </row>
    <row r="40" spans="1:8" x14ac:dyDescent="0.4">
      <c r="A40">
        <v>1923</v>
      </c>
      <c r="B40">
        <v>2</v>
      </c>
      <c r="C40">
        <v>-5.4</v>
      </c>
      <c r="D40">
        <v>8</v>
      </c>
      <c r="E40">
        <v>1</v>
      </c>
      <c r="F40">
        <f t="shared" si="0"/>
        <v>-6.1389151013714951</v>
      </c>
      <c r="G40">
        <f t="shared" si="1"/>
        <v>-3.6389151013714951</v>
      </c>
      <c r="H40">
        <f t="shared" si="2"/>
        <v>-1.1389151013714951</v>
      </c>
    </row>
    <row r="41" spans="1:8" x14ac:dyDescent="0.4">
      <c r="A41">
        <v>1924</v>
      </c>
      <c r="B41">
        <v>2</v>
      </c>
      <c r="C41">
        <v>-3.2</v>
      </c>
      <c r="D41">
        <v>8</v>
      </c>
      <c r="E41">
        <v>1</v>
      </c>
      <c r="F41">
        <f t="shared" si="0"/>
        <v>-6.1102696407274877</v>
      </c>
      <c r="G41">
        <f t="shared" si="1"/>
        <v>-3.6102696407274877</v>
      </c>
      <c r="H41">
        <f t="shared" si="2"/>
        <v>-1.1102696407274877</v>
      </c>
    </row>
    <row r="42" spans="1:8" x14ac:dyDescent="0.4">
      <c r="A42">
        <v>1925</v>
      </c>
      <c r="B42">
        <v>2</v>
      </c>
      <c r="C42">
        <v>-4.2</v>
      </c>
      <c r="D42">
        <v>8</v>
      </c>
      <c r="E42">
        <v>1</v>
      </c>
      <c r="F42">
        <f t="shared" si="0"/>
        <v>-6.0816241800834803</v>
      </c>
      <c r="G42">
        <f t="shared" si="1"/>
        <v>-3.5816241800834803</v>
      </c>
      <c r="H42">
        <f t="shared" si="2"/>
        <v>-1.0816241800834803</v>
      </c>
    </row>
    <row r="43" spans="1:8" x14ac:dyDescent="0.4">
      <c r="A43">
        <v>1926</v>
      </c>
      <c r="B43">
        <v>2</v>
      </c>
      <c r="C43">
        <v>-3</v>
      </c>
      <c r="D43">
        <v>8</v>
      </c>
      <c r="E43">
        <v>1</v>
      </c>
      <c r="F43">
        <f t="shared" si="0"/>
        <v>-6.0529787194394729</v>
      </c>
      <c r="G43">
        <f t="shared" si="1"/>
        <v>-3.5529787194394729</v>
      </c>
      <c r="H43">
        <f t="shared" si="2"/>
        <v>-1.0529787194394729</v>
      </c>
    </row>
    <row r="44" spans="1:8" x14ac:dyDescent="0.4">
      <c r="A44">
        <v>1927</v>
      </c>
      <c r="B44">
        <v>2</v>
      </c>
      <c r="C44">
        <v>-4.5</v>
      </c>
      <c r="D44">
        <v>8</v>
      </c>
      <c r="E44">
        <v>1</v>
      </c>
      <c r="F44">
        <f t="shared" si="0"/>
        <v>-6.0243332587954654</v>
      </c>
      <c r="G44">
        <f t="shared" si="1"/>
        <v>-3.5243332587954654</v>
      </c>
      <c r="H44">
        <f t="shared" si="2"/>
        <v>-1.0243332587954654</v>
      </c>
    </row>
    <row r="45" spans="1:8" x14ac:dyDescent="0.4">
      <c r="A45">
        <v>1928</v>
      </c>
      <c r="B45">
        <v>2</v>
      </c>
      <c r="C45">
        <v>-2.5</v>
      </c>
      <c r="D45">
        <v>8</v>
      </c>
      <c r="E45">
        <v>1</v>
      </c>
      <c r="F45">
        <f t="shared" si="0"/>
        <v>-5.995687798151458</v>
      </c>
      <c r="G45">
        <f t="shared" si="1"/>
        <v>-3.495687798151458</v>
      </c>
      <c r="H45">
        <f t="shared" si="2"/>
        <v>-0.99568779815145803</v>
      </c>
    </row>
    <row r="46" spans="1:8" x14ac:dyDescent="0.4">
      <c r="A46">
        <v>1929</v>
      </c>
      <c r="B46">
        <v>2</v>
      </c>
      <c r="C46">
        <v>-4.5999999999999996</v>
      </c>
      <c r="D46">
        <v>8</v>
      </c>
      <c r="E46">
        <v>1</v>
      </c>
      <c r="F46">
        <f t="shared" si="0"/>
        <v>-5.9670423375074577</v>
      </c>
      <c r="G46">
        <f t="shared" si="1"/>
        <v>-3.4670423375074577</v>
      </c>
      <c r="H46">
        <f t="shared" si="2"/>
        <v>-0.96704233750745772</v>
      </c>
    </row>
    <row r="47" spans="1:8" x14ac:dyDescent="0.4">
      <c r="A47">
        <v>1930</v>
      </c>
      <c r="B47">
        <v>2</v>
      </c>
      <c r="C47">
        <v>-2.6</v>
      </c>
      <c r="D47">
        <v>8</v>
      </c>
      <c r="E47">
        <v>1</v>
      </c>
      <c r="F47">
        <f t="shared" si="0"/>
        <v>-5.9383968768634503</v>
      </c>
      <c r="G47">
        <f t="shared" si="1"/>
        <v>-3.4383968768634503</v>
      </c>
      <c r="H47">
        <f t="shared" si="2"/>
        <v>-0.9383968768634503</v>
      </c>
    </row>
    <row r="48" spans="1:8" x14ac:dyDescent="0.4">
      <c r="A48">
        <v>1931</v>
      </c>
      <c r="B48">
        <v>2</v>
      </c>
      <c r="C48">
        <v>-3.5</v>
      </c>
      <c r="D48">
        <v>8</v>
      </c>
      <c r="E48">
        <v>1</v>
      </c>
      <c r="F48">
        <f t="shared" si="0"/>
        <v>-5.9097514162194429</v>
      </c>
      <c r="G48">
        <f t="shared" si="1"/>
        <v>-3.4097514162194429</v>
      </c>
      <c r="H48">
        <f t="shared" si="2"/>
        <v>-0.90975141621944289</v>
      </c>
    </row>
    <row r="49" spans="1:8" x14ac:dyDescent="0.4">
      <c r="A49">
        <v>1932</v>
      </c>
      <c r="B49">
        <v>2</v>
      </c>
      <c r="C49">
        <v>-3.1</v>
      </c>
      <c r="D49">
        <v>8</v>
      </c>
      <c r="E49">
        <v>1</v>
      </c>
      <c r="F49">
        <f t="shared" si="0"/>
        <v>-5.8811059555754355</v>
      </c>
      <c r="G49">
        <f t="shared" si="1"/>
        <v>-3.3811059555754355</v>
      </c>
      <c r="H49">
        <f t="shared" si="2"/>
        <v>-0.88110595557543547</v>
      </c>
    </row>
    <row r="50" spans="1:8" x14ac:dyDescent="0.4">
      <c r="A50">
        <v>1933</v>
      </c>
      <c r="B50">
        <v>2</v>
      </c>
      <c r="C50">
        <v>-3.4</v>
      </c>
      <c r="D50">
        <v>8</v>
      </c>
      <c r="E50">
        <v>1</v>
      </c>
      <c r="F50">
        <f t="shared" si="0"/>
        <v>-5.8524604949314281</v>
      </c>
      <c r="G50">
        <f t="shared" si="1"/>
        <v>-3.3524604949314281</v>
      </c>
      <c r="H50">
        <f t="shared" si="2"/>
        <v>-0.85246049493142806</v>
      </c>
    </row>
    <row r="51" spans="1:8" x14ac:dyDescent="0.4">
      <c r="A51">
        <v>1934</v>
      </c>
      <c r="B51">
        <v>2</v>
      </c>
      <c r="C51">
        <v>-2.7</v>
      </c>
      <c r="D51">
        <v>8</v>
      </c>
      <c r="E51">
        <v>1</v>
      </c>
      <c r="F51">
        <f t="shared" si="0"/>
        <v>-5.8238150342874206</v>
      </c>
      <c r="G51">
        <f t="shared" si="1"/>
        <v>-3.3238150342874206</v>
      </c>
      <c r="H51">
        <f t="shared" si="2"/>
        <v>-0.82381503428742064</v>
      </c>
    </row>
    <row r="52" spans="1:8" x14ac:dyDescent="0.4">
      <c r="A52">
        <v>1935</v>
      </c>
      <c r="B52">
        <v>2</v>
      </c>
      <c r="C52">
        <v>-3.8</v>
      </c>
      <c r="D52">
        <v>8</v>
      </c>
      <c r="E52">
        <v>1</v>
      </c>
      <c r="F52">
        <f t="shared" si="0"/>
        <v>-5.7951695736434132</v>
      </c>
      <c r="G52">
        <f t="shared" si="1"/>
        <v>-3.2951695736434132</v>
      </c>
      <c r="H52">
        <f t="shared" si="2"/>
        <v>-0.79516957364341323</v>
      </c>
    </row>
    <row r="53" spans="1:8" x14ac:dyDescent="0.4">
      <c r="A53">
        <v>1936</v>
      </c>
      <c r="B53">
        <v>2</v>
      </c>
      <c r="C53">
        <v>-5.2</v>
      </c>
      <c r="D53">
        <v>8</v>
      </c>
      <c r="E53">
        <v>1</v>
      </c>
      <c r="F53">
        <f t="shared" si="0"/>
        <v>-5.7665241129994058</v>
      </c>
      <c r="G53">
        <f t="shared" si="1"/>
        <v>-3.2665241129994058</v>
      </c>
      <c r="H53">
        <f t="shared" si="2"/>
        <v>-0.76652411299940582</v>
      </c>
    </row>
    <row r="54" spans="1:8" x14ac:dyDescent="0.4">
      <c r="A54">
        <v>1937</v>
      </c>
      <c r="B54">
        <v>2</v>
      </c>
      <c r="C54">
        <v>-1.6</v>
      </c>
      <c r="D54">
        <v>8</v>
      </c>
      <c r="E54">
        <v>1</v>
      </c>
      <c r="F54">
        <f t="shared" si="0"/>
        <v>-5.7378786523553984</v>
      </c>
      <c r="G54">
        <f t="shared" si="1"/>
        <v>-3.2378786523553984</v>
      </c>
      <c r="H54">
        <f t="shared" si="2"/>
        <v>-0.7378786523553984</v>
      </c>
    </row>
    <row r="55" spans="1:8" x14ac:dyDescent="0.4">
      <c r="A55">
        <v>1938</v>
      </c>
      <c r="B55">
        <v>2</v>
      </c>
      <c r="C55">
        <v>-3.6</v>
      </c>
      <c r="D55">
        <v>8</v>
      </c>
      <c r="E55">
        <v>1</v>
      </c>
      <c r="F55">
        <f t="shared" si="0"/>
        <v>-5.709233191711391</v>
      </c>
      <c r="G55">
        <f t="shared" si="1"/>
        <v>-3.209233191711391</v>
      </c>
      <c r="H55">
        <f t="shared" si="2"/>
        <v>-0.70923319171139099</v>
      </c>
    </row>
    <row r="56" spans="1:8" x14ac:dyDescent="0.4">
      <c r="A56">
        <v>1939</v>
      </c>
      <c r="B56">
        <v>2</v>
      </c>
      <c r="C56">
        <v>-3.8</v>
      </c>
      <c r="D56">
        <v>8</v>
      </c>
      <c r="E56">
        <v>1</v>
      </c>
      <c r="F56">
        <f t="shared" si="0"/>
        <v>-5.6805877310673836</v>
      </c>
      <c r="G56">
        <f t="shared" si="1"/>
        <v>-3.1805877310673836</v>
      </c>
      <c r="H56">
        <f t="shared" si="2"/>
        <v>-0.68058773106738357</v>
      </c>
    </row>
    <row r="57" spans="1:8" x14ac:dyDescent="0.4">
      <c r="A57">
        <v>1940</v>
      </c>
      <c r="B57">
        <v>2</v>
      </c>
      <c r="C57">
        <v>-3.6</v>
      </c>
      <c r="D57">
        <v>8</v>
      </c>
      <c r="E57">
        <v>1</v>
      </c>
      <c r="F57">
        <f t="shared" si="0"/>
        <v>-5.6519422704233762</v>
      </c>
      <c r="G57">
        <f t="shared" si="1"/>
        <v>-3.1519422704233762</v>
      </c>
      <c r="H57">
        <f t="shared" si="2"/>
        <v>-0.65194227042337616</v>
      </c>
    </row>
    <row r="58" spans="1:8" x14ac:dyDescent="0.4">
      <c r="A58">
        <v>1941</v>
      </c>
      <c r="B58">
        <v>2</v>
      </c>
      <c r="C58">
        <v>-4.7</v>
      </c>
      <c r="D58">
        <v>8</v>
      </c>
      <c r="E58">
        <v>1</v>
      </c>
      <c r="F58">
        <f t="shared" si="0"/>
        <v>-5.6232968097793687</v>
      </c>
      <c r="G58">
        <f t="shared" si="1"/>
        <v>-3.1232968097793687</v>
      </c>
      <c r="H58">
        <f t="shared" si="2"/>
        <v>-0.62329680977936874</v>
      </c>
    </row>
    <row r="59" spans="1:8" x14ac:dyDescent="0.4">
      <c r="A59">
        <v>1942</v>
      </c>
      <c r="B59">
        <v>2</v>
      </c>
      <c r="C59">
        <v>-4.2</v>
      </c>
      <c r="D59">
        <v>8</v>
      </c>
      <c r="E59">
        <v>1</v>
      </c>
      <c r="F59">
        <f t="shared" si="0"/>
        <v>-5.5946513491353613</v>
      </c>
      <c r="G59">
        <f t="shared" si="1"/>
        <v>-3.0946513491353613</v>
      </c>
      <c r="H59">
        <f t="shared" si="2"/>
        <v>-0.59465134913536133</v>
      </c>
    </row>
    <row r="60" spans="1:8" x14ac:dyDescent="0.4">
      <c r="A60">
        <v>1943</v>
      </c>
      <c r="B60">
        <v>2</v>
      </c>
      <c r="C60">
        <v>-3.5</v>
      </c>
      <c r="D60">
        <v>8</v>
      </c>
      <c r="E60">
        <v>1</v>
      </c>
      <c r="F60">
        <f t="shared" si="0"/>
        <v>-5.5660058884913539</v>
      </c>
      <c r="G60">
        <f t="shared" si="1"/>
        <v>-3.0660058884913539</v>
      </c>
      <c r="H60">
        <f t="shared" si="2"/>
        <v>-0.56600588849135391</v>
      </c>
    </row>
    <row r="61" spans="1:8" x14ac:dyDescent="0.4">
      <c r="A61">
        <v>1944</v>
      </c>
      <c r="B61">
        <v>2</v>
      </c>
      <c r="C61">
        <v>-2.8</v>
      </c>
      <c r="D61">
        <v>8</v>
      </c>
      <c r="E61">
        <v>1</v>
      </c>
      <c r="F61">
        <f t="shared" si="0"/>
        <v>-5.5373604278473465</v>
      </c>
      <c r="G61">
        <f t="shared" si="1"/>
        <v>-3.0373604278473465</v>
      </c>
      <c r="H61">
        <f t="shared" si="2"/>
        <v>-0.5373604278473465</v>
      </c>
    </row>
    <row r="62" spans="1:8" x14ac:dyDescent="0.4">
      <c r="A62">
        <v>1945</v>
      </c>
      <c r="B62">
        <v>2</v>
      </c>
      <c r="C62">
        <v>-5.3</v>
      </c>
      <c r="D62">
        <v>8</v>
      </c>
      <c r="E62">
        <v>1</v>
      </c>
      <c r="F62">
        <f t="shared" si="0"/>
        <v>-5.5087149672033391</v>
      </c>
      <c r="G62">
        <f t="shared" si="1"/>
        <v>-3.0087149672033391</v>
      </c>
      <c r="H62">
        <f t="shared" si="2"/>
        <v>-0.50871496720333909</v>
      </c>
    </row>
    <row r="63" spans="1:8" x14ac:dyDescent="0.4">
      <c r="A63">
        <v>1946</v>
      </c>
      <c r="B63">
        <v>2</v>
      </c>
      <c r="C63">
        <v>-3.8</v>
      </c>
      <c r="D63">
        <v>8</v>
      </c>
      <c r="E63">
        <v>1</v>
      </c>
      <c r="F63">
        <f t="shared" si="0"/>
        <v>-5.4800695065593317</v>
      </c>
      <c r="G63">
        <f t="shared" si="1"/>
        <v>-2.9800695065593317</v>
      </c>
      <c r="H63">
        <f t="shared" si="2"/>
        <v>-0.48006950655933167</v>
      </c>
    </row>
    <row r="64" spans="1:8" x14ac:dyDescent="0.4">
      <c r="A64">
        <v>1947</v>
      </c>
      <c r="B64">
        <v>2</v>
      </c>
      <c r="C64">
        <v>-4.7</v>
      </c>
      <c r="D64">
        <v>8</v>
      </c>
      <c r="E64">
        <v>1</v>
      </c>
      <c r="F64">
        <f t="shared" si="0"/>
        <v>-5.4514240459153243</v>
      </c>
      <c r="G64">
        <f t="shared" si="1"/>
        <v>-2.9514240459153243</v>
      </c>
      <c r="H64">
        <f t="shared" si="2"/>
        <v>-0.45142404591532426</v>
      </c>
    </row>
    <row r="65" spans="1:8" x14ac:dyDescent="0.4">
      <c r="A65">
        <v>1948</v>
      </c>
      <c r="B65">
        <v>2</v>
      </c>
      <c r="C65">
        <v>-2.4</v>
      </c>
      <c r="D65">
        <v>8</v>
      </c>
      <c r="E65">
        <v>1</v>
      </c>
      <c r="F65">
        <f t="shared" si="0"/>
        <v>-5.4227785852713168</v>
      </c>
      <c r="G65">
        <f t="shared" si="1"/>
        <v>-2.9227785852713168</v>
      </c>
      <c r="H65">
        <f t="shared" si="2"/>
        <v>-0.42277858527131684</v>
      </c>
    </row>
    <row r="66" spans="1:8" x14ac:dyDescent="0.4">
      <c r="A66">
        <v>1949</v>
      </c>
      <c r="B66">
        <v>2</v>
      </c>
      <c r="C66">
        <v>-2.2000000000000002</v>
      </c>
      <c r="D66">
        <v>8</v>
      </c>
      <c r="E66">
        <v>1</v>
      </c>
      <c r="F66">
        <f t="shared" si="0"/>
        <v>-5.3941331246273094</v>
      </c>
      <c r="G66">
        <f t="shared" si="1"/>
        <v>-2.8941331246273094</v>
      </c>
      <c r="H66">
        <f t="shared" si="2"/>
        <v>-0.39413312462730943</v>
      </c>
    </row>
    <row r="67" spans="1:8" x14ac:dyDescent="0.4">
      <c r="A67">
        <v>1950</v>
      </c>
      <c r="B67">
        <v>2</v>
      </c>
      <c r="C67">
        <v>-3.2</v>
      </c>
      <c r="D67">
        <v>8</v>
      </c>
      <c r="E67">
        <v>1</v>
      </c>
      <c r="F67">
        <f t="shared" si="0"/>
        <v>-5.365487663983302</v>
      </c>
      <c r="G67">
        <f t="shared" si="1"/>
        <v>-2.865487663983302</v>
      </c>
      <c r="H67">
        <f t="shared" si="2"/>
        <v>-0.36548766398330201</v>
      </c>
    </row>
    <row r="68" spans="1:8" x14ac:dyDescent="0.4">
      <c r="A68">
        <v>1951</v>
      </c>
      <c r="B68">
        <v>2</v>
      </c>
      <c r="C68">
        <v>-2.1</v>
      </c>
      <c r="D68">
        <v>8</v>
      </c>
      <c r="E68">
        <v>1</v>
      </c>
      <c r="F68">
        <f t="shared" si="0"/>
        <v>-5.3368422033392946</v>
      </c>
      <c r="G68">
        <f t="shared" si="1"/>
        <v>-2.8368422033392946</v>
      </c>
      <c r="H68">
        <f t="shared" si="2"/>
        <v>-0.3368422033392946</v>
      </c>
    </row>
    <row r="69" spans="1:8" x14ac:dyDescent="0.4">
      <c r="A69">
        <v>1952</v>
      </c>
      <c r="B69">
        <v>2</v>
      </c>
      <c r="C69">
        <v>-3.3</v>
      </c>
      <c r="D69">
        <v>8</v>
      </c>
      <c r="E69">
        <v>1</v>
      </c>
      <c r="F69">
        <f t="shared" si="0"/>
        <v>-5.3081967426952872</v>
      </c>
      <c r="G69">
        <f t="shared" si="1"/>
        <v>-2.8081967426952872</v>
      </c>
      <c r="H69">
        <f t="shared" si="2"/>
        <v>-0.30819674269528718</v>
      </c>
    </row>
    <row r="70" spans="1:8" x14ac:dyDescent="0.4">
      <c r="A70">
        <v>1953</v>
      </c>
      <c r="B70">
        <v>2</v>
      </c>
      <c r="C70">
        <v>-2.6</v>
      </c>
      <c r="D70">
        <v>8</v>
      </c>
      <c r="E70">
        <v>1</v>
      </c>
      <c r="F70">
        <f t="shared" si="0"/>
        <v>-5.2795512820512798</v>
      </c>
      <c r="G70">
        <f t="shared" si="1"/>
        <v>-2.7795512820512798</v>
      </c>
      <c r="H70">
        <f t="shared" si="2"/>
        <v>-0.27955128205127977</v>
      </c>
    </row>
    <row r="71" spans="1:8" x14ac:dyDescent="0.4">
      <c r="A71">
        <v>1954</v>
      </c>
      <c r="B71">
        <v>2</v>
      </c>
      <c r="C71">
        <v>-3</v>
      </c>
      <c r="D71">
        <v>8</v>
      </c>
      <c r="E71">
        <v>1</v>
      </c>
      <c r="F71">
        <f t="shared" si="0"/>
        <v>-5.2509058214072724</v>
      </c>
      <c r="G71">
        <f t="shared" si="1"/>
        <v>-2.7509058214072724</v>
      </c>
      <c r="H71">
        <f t="shared" si="2"/>
        <v>-0.25090582140727236</v>
      </c>
    </row>
    <row r="72" spans="1:8" x14ac:dyDescent="0.4">
      <c r="A72">
        <v>1955</v>
      </c>
      <c r="B72">
        <v>2</v>
      </c>
      <c r="C72">
        <v>-3.1</v>
      </c>
      <c r="D72">
        <v>8</v>
      </c>
      <c r="E72">
        <v>1</v>
      </c>
      <c r="F72">
        <f t="shared" ref="F72:F135" si="3">G72-$K$4/2</f>
        <v>-5.222260360763272</v>
      </c>
      <c r="G72">
        <f t="shared" ref="G72:G135" si="4">$I$4*A72+$J$4</f>
        <v>-2.722260360763272</v>
      </c>
      <c r="H72">
        <f t="shared" ref="H72:H135" si="5">G72+$K$4/2</f>
        <v>-0.22226036076327205</v>
      </c>
    </row>
    <row r="73" spans="1:8" x14ac:dyDescent="0.4">
      <c r="A73">
        <v>1956</v>
      </c>
      <c r="B73">
        <v>2</v>
      </c>
      <c r="C73">
        <v>-2.6</v>
      </c>
      <c r="D73">
        <v>8</v>
      </c>
      <c r="E73">
        <v>1</v>
      </c>
      <c r="F73">
        <f t="shared" si="3"/>
        <v>-5.1936149001192646</v>
      </c>
      <c r="G73">
        <f t="shared" si="4"/>
        <v>-2.6936149001192646</v>
      </c>
      <c r="H73">
        <f t="shared" si="5"/>
        <v>-0.19361490011926463</v>
      </c>
    </row>
    <row r="74" spans="1:8" x14ac:dyDescent="0.4">
      <c r="A74">
        <v>1957</v>
      </c>
      <c r="B74">
        <v>2</v>
      </c>
      <c r="C74">
        <v>-3.2</v>
      </c>
      <c r="D74">
        <v>8</v>
      </c>
      <c r="E74">
        <v>1</v>
      </c>
      <c r="F74">
        <f t="shared" si="3"/>
        <v>-5.1649694394752572</v>
      </c>
      <c r="G74">
        <f t="shared" si="4"/>
        <v>-2.6649694394752572</v>
      </c>
      <c r="H74">
        <f t="shared" si="5"/>
        <v>-0.16496943947525722</v>
      </c>
    </row>
    <row r="75" spans="1:8" x14ac:dyDescent="0.4">
      <c r="A75">
        <v>1958</v>
      </c>
      <c r="B75">
        <v>2</v>
      </c>
      <c r="C75">
        <v>-1.1000000000000001</v>
      </c>
      <c r="D75">
        <v>8</v>
      </c>
      <c r="E75">
        <v>1</v>
      </c>
      <c r="F75">
        <f t="shared" si="3"/>
        <v>-5.1363239788312498</v>
      </c>
      <c r="G75">
        <f t="shared" si="4"/>
        <v>-2.6363239788312498</v>
      </c>
      <c r="H75">
        <f t="shared" si="5"/>
        <v>-0.1363239788312498</v>
      </c>
    </row>
    <row r="76" spans="1:8" x14ac:dyDescent="0.4">
      <c r="A76">
        <v>1959</v>
      </c>
      <c r="B76">
        <v>2</v>
      </c>
      <c r="C76">
        <v>-1.2</v>
      </c>
      <c r="D76">
        <v>8</v>
      </c>
      <c r="E76">
        <v>1</v>
      </c>
      <c r="F76">
        <f t="shared" si="3"/>
        <v>-5.1076785181872424</v>
      </c>
      <c r="G76">
        <f t="shared" si="4"/>
        <v>-2.6076785181872424</v>
      </c>
      <c r="H76">
        <f t="shared" si="5"/>
        <v>-0.10767851818724239</v>
      </c>
    </row>
    <row r="77" spans="1:8" x14ac:dyDescent="0.4">
      <c r="A77">
        <v>1960</v>
      </c>
      <c r="B77">
        <v>2</v>
      </c>
      <c r="C77">
        <v>-1.9</v>
      </c>
      <c r="D77">
        <v>8</v>
      </c>
      <c r="E77">
        <v>1</v>
      </c>
      <c r="F77">
        <f t="shared" si="3"/>
        <v>-5.079033057543235</v>
      </c>
      <c r="G77">
        <f t="shared" si="4"/>
        <v>-2.579033057543235</v>
      </c>
      <c r="H77">
        <f t="shared" si="5"/>
        <v>-7.9033057543234975E-2</v>
      </c>
    </row>
    <row r="78" spans="1:8" x14ac:dyDescent="0.4">
      <c r="A78">
        <v>1961</v>
      </c>
      <c r="B78">
        <v>2</v>
      </c>
      <c r="C78">
        <v>-2.8</v>
      </c>
      <c r="D78">
        <v>8</v>
      </c>
      <c r="E78">
        <v>1</v>
      </c>
      <c r="F78">
        <f t="shared" si="3"/>
        <v>-5.0503875968992276</v>
      </c>
      <c r="G78">
        <f t="shared" si="4"/>
        <v>-2.5503875968992276</v>
      </c>
      <c r="H78">
        <f t="shared" si="5"/>
        <v>-5.038759689922756E-2</v>
      </c>
    </row>
    <row r="79" spans="1:8" x14ac:dyDescent="0.4">
      <c r="A79">
        <v>1962</v>
      </c>
      <c r="B79">
        <v>2</v>
      </c>
      <c r="C79">
        <v>-1.7</v>
      </c>
      <c r="D79">
        <v>8</v>
      </c>
      <c r="E79">
        <v>1</v>
      </c>
      <c r="F79">
        <f t="shared" si="3"/>
        <v>-5.0217421362552201</v>
      </c>
      <c r="G79">
        <f t="shared" si="4"/>
        <v>-2.5217421362552201</v>
      </c>
      <c r="H79">
        <f t="shared" si="5"/>
        <v>-2.1742136255220146E-2</v>
      </c>
    </row>
    <row r="80" spans="1:8" x14ac:dyDescent="0.4">
      <c r="A80">
        <v>1963</v>
      </c>
      <c r="B80">
        <v>2</v>
      </c>
      <c r="C80">
        <v>-2.5</v>
      </c>
      <c r="D80">
        <v>8</v>
      </c>
      <c r="E80">
        <v>1</v>
      </c>
      <c r="F80">
        <f t="shared" si="3"/>
        <v>-4.9930966756112127</v>
      </c>
      <c r="G80">
        <f t="shared" si="4"/>
        <v>-2.4930966756112127</v>
      </c>
      <c r="H80">
        <f t="shared" si="5"/>
        <v>6.9033243887872686E-3</v>
      </c>
    </row>
    <row r="81" spans="1:8" x14ac:dyDescent="0.4">
      <c r="A81">
        <v>1964</v>
      </c>
      <c r="B81">
        <v>2</v>
      </c>
      <c r="C81">
        <v>-3.1</v>
      </c>
      <c r="D81">
        <v>8</v>
      </c>
      <c r="E81">
        <v>1</v>
      </c>
      <c r="F81">
        <f t="shared" si="3"/>
        <v>-4.9644512149672053</v>
      </c>
      <c r="G81">
        <f t="shared" si="4"/>
        <v>-2.4644512149672053</v>
      </c>
      <c r="H81">
        <f t="shared" si="5"/>
        <v>3.5548785032794683E-2</v>
      </c>
    </row>
    <row r="82" spans="1:8" x14ac:dyDescent="0.4">
      <c r="A82">
        <v>1965</v>
      </c>
      <c r="B82">
        <v>2</v>
      </c>
      <c r="C82">
        <v>-3.3</v>
      </c>
      <c r="D82">
        <v>8</v>
      </c>
      <c r="E82">
        <v>1</v>
      </c>
      <c r="F82">
        <f t="shared" si="3"/>
        <v>-4.9358057543231979</v>
      </c>
      <c r="G82">
        <f t="shared" si="4"/>
        <v>-2.4358057543231979</v>
      </c>
      <c r="H82">
        <f t="shared" si="5"/>
        <v>6.4194245676802097E-2</v>
      </c>
    </row>
    <row r="83" spans="1:8" x14ac:dyDescent="0.4">
      <c r="A83">
        <v>1966</v>
      </c>
      <c r="B83">
        <v>2</v>
      </c>
      <c r="C83">
        <v>-3.8</v>
      </c>
      <c r="D83">
        <v>8</v>
      </c>
      <c r="E83">
        <v>1</v>
      </c>
      <c r="F83">
        <f t="shared" si="3"/>
        <v>-4.9071602936791905</v>
      </c>
      <c r="G83">
        <f t="shared" si="4"/>
        <v>-2.4071602936791905</v>
      </c>
      <c r="H83">
        <f t="shared" si="5"/>
        <v>9.2839706320809512E-2</v>
      </c>
    </row>
    <row r="84" spans="1:8" x14ac:dyDescent="0.4">
      <c r="A84">
        <v>1967</v>
      </c>
      <c r="B84">
        <v>2</v>
      </c>
      <c r="C84">
        <v>-3.3</v>
      </c>
      <c r="D84">
        <v>8</v>
      </c>
      <c r="E84">
        <v>1</v>
      </c>
      <c r="F84">
        <f t="shared" si="3"/>
        <v>-4.8785148330351831</v>
      </c>
      <c r="G84">
        <f t="shared" si="4"/>
        <v>-2.3785148330351831</v>
      </c>
      <c r="H84">
        <f t="shared" si="5"/>
        <v>0.12148516696481693</v>
      </c>
    </row>
    <row r="85" spans="1:8" x14ac:dyDescent="0.4">
      <c r="A85">
        <v>1968</v>
      </c>
      <c r="B85">
        <v>2</v>
      </c>
      <c r="C85">
        <v>-3.1</v>
      </c>
      <c r="D85">
        <v>8</v>
      </c>
      <c r="E85">
        <v>1</v>
      </c>
      <c r="F85">
        <f t="shared" si="3"/>
        <v>-4.8498693723911757</v>
      </c>
      <c r="G85">
        <f t="shared" si="4"/>
        <v>-2.3498693723911757</v>
      </c>
      <c r="H85">
        <f t="shared" si="5"/>
        <v>0.15013062760882434</v>
      </c>
    </row>
    <row r="86" spans="1:8" x14ac:dyDescent="0.4">
      <c r="A86">
        <v>1969</v>
      </c>
      <c r="B86">
        <v>2</v>
      </c>
      <c r="C86">
        <v>-3.9</v>
      </c>
      <c r="D86">
        <v>8</v>
      </c>
      <c r="E86">
        <v>1</v>
      </c>
      <c r="F86">
        <f t="shared" si="3"/>
        <v>-4.8212239117471682</v>
      </c>
      <c r="G86">
        <f t="shared" si="4"/>
        <v>-2.3212239117471682</v>
      </c>
      <c r="H86">
        <f t="shared" si="5"/>
        <v>0.17877608825283176</v>
      </c>
    </row>
    <row r="87" spans="1:8" x14ac:dyDescent="0.4">
      <c r="A87">
        <v>1970</v>
      </c>
      <c r="B87">
        <v>2</v>
      </c>
      <c r="C87">
        <v>-3.1</v>
      </c>
      <c r="D87">
        <v>8</v>
      </c>
      <c r="E87">
        <v>1</v>
      </c>
      <c r="F87">
        <f t="shared" si="3"/>
        <v>-4.7925784511031608</v>
      </c>
      <c r="G87">
        <f t="shared" si="4"/>
        <v>-2.2925784511031608</v>
      </c>
      <c r="H87">
        <f t="shared" si="5"/>
        <v>0.20742154889683917</v>
      </c>
    </row>
    <row r="88" spans="1:8" x14ac:dyDescent="0.4">
      <c r="A88">
        <v>1971</v>
      </c>
      <c r="B88">
        <v>2</v>
      </c>
      <c r="C88">
        <v>-1.7</v>
      </c>
      <c r="D88">
        <v>8</v>
      </c>
      <c r="E88">
        <v>1</v>
      </c>
      <c r="F88">
        <f t="shared" si="3"/>
        <v>-4.7639329904591534</v>
      </c>
      <c r="G88">
        <f t="shared" si="4"/>
        <v>-2.2639329904591534</v>
      </c>
      <c r="H88">
        <f t="shared" si="5"/>
        <v>0.23606700954084658</v>
      </c>
    </row>
    <row r="89" spans="1:8" x14ac:dyDescent="0.4">
      <c r="A89">
        <v>1972</v>
      </c>
      <c r="B89">
        <v>2</v>
      </c>
      <c r="C89">
        <v>-1.3</v>
      </c>
      <c r="D89">
        <v>8</v>
      </c>
      <c r="E89">
        <v>1</v>
      </c>
      <c r="F89">
        <f t="shared" si="3"/>
        <v>-4.735287529815146</v>
      </c>
      <c r="G89">
        <f t="shared" si="4"/>
        <v>-2.235287529815146</v>
      </c>
      <c r="H89">
        <f t="shared" si="5"/>
        <v>0.264712470184854</v>
      </c>
    </row>
    <row r="90" spans="1:8" x14ac:dyDescent="0.4">
      <c r="A90">
        <v>1973</v>
      </c>
      <c r="B90">
        <v>2</v>
      </c>
      <c r="C90">
        <v>-3.3</v>
      </c>
      <c r="D90">
        <v>8</v>
      </c>
      <c r="E90">
        <v>1</v>
      </c>
      <c r="F90">
        <f t="shared" si="3"/>
        <v>-4.7066420691711386</v>
      </c>
      <c r="G90">
        <f t="shared" si="4"/>
        <v>-2.2066420691711386</v>
      </c>
      <c r="H90">
        <f t="shared" si="5"/>
        <v>0.29335793082886141</v>
      </c>
    </row>
    <row r="91" spans="1:8" x14ac:dyDescent="0.4">
      <c r="A91">
        <v>1974</v>
      </c>
      <c r="B91">
        <v>2</v>
      </c>
      <c r="C91">
        <v>-3.6</v>
      </c>
      <c r="D91">
        <v>8</v>
      </c>
      <c r="E91">
        <v>1</v>
      </c>
      <c r="F91">
        <f t="shared" si="3"/>
        <v>-4.6779966085271312</v>
      </c>
      <c r="G91">
        <f t="shared" si="4"/>
        <v>-2.1779966085271312</v>
      </c>
      <c r="H91">
        <f t="shared" si="5"/>
        <v>0.32200339147286883</v>
      </c>
    </row>
    <row r="92" spans="1:8" x14ac:dyDescent="0.4">
      <c r="A92">
        <v>1975</v>
      </c>
      <c r="B92">
        <v>2</v>
      </c>
      <c r="C92">
        <v>-2.5</v>
      </c>
      <c r="D92">
        <v>8</v>
      </c>
      <c r="E92">
        <v>1</v>
      </c>
      <c r="F92">
        <f t="shared" si="3"/>
        <v>-4.6493511478831238</v>
      </c>
      <c r="G92">
        <f t="shared" si="4"/>
        <v>-2.1493511478831238</v>
      </c>
      <c r="H92">
        <f t="shared" si="5"/>
        <v>0.35064885211687624</v>
      </c>
    </row>
    <row r="93" spans="1:8" x14ac:dyDescent="0.4">
      <c r="A93">
        <v>1976</v>
      </c>
      <c r="B93">
        <v>2</v>
      </c>
      <c r="C93">
        <v>-1.2</v>
      </c>
      <c r="D93">
        <v>8</v>
      </c>
      <c r="E93">
        <v>1</v>
      </c>
      <c r="F93">
        <f t="shared" si="3"/>
        <v>-4.6207056872391163</v>
      </c>
      <c r="G93">
        <f t="shared" si="4"/>
        <v>-2.1207056872391163</v>
      </c>
      <c r="H93">
        <f t="shared" si="5"/>
        <v>0.37929431276088366</v>
      </c>
    </row>
    <row r="94" spans="1:8" x14ac:dyDescent="0.4">
      <c r="A94">
        <v>1977</v>
      </c>
      <c r="B94">
        <v>2</v>
      </c>
      <c r="C94">
        <v>-6.2</v>
      </c>
      <c r="D94">
        <v>8</v>
      </c>
      <c r="E94">
        <v>1</v>
      </c>
      <c r="F94">
        <f t="shared" si="3"/>
        <v>-4.5920602265951089</v>
      </c>
      <c r="G94">
        <f t="shared" si="4"/>
        <v>-2.0920602265951089</v>
      </c>
      <c r="H94">
        <f t="shared" si="5"/>
        <v>0.40793977340489107</v>
      </c>
    </row>
    <row r="95" spans="1:8" x14ac:dyDescent="0.4">
      <c r="A95">
        <v>1978</v>
      </c>
      <c r="B95">
        <v>2</v>
      </c>
      <c r="C95">
        <v>-3.1</v>
      </c>
      <c r="D95">
        <v>8</v>
      </c>
      <c r="E95">
        <v>1</v>
      </c>
      <c r="F95">
        <f t="shared" si="3"/>
        <v>-4.5634147659511015</v>
      </c>
      <c r="G95">
        <f t="shared" si="4"/>
        <v>-2.0634147659511015</v>
      </c>
      <c r="H95">
        <f t="shared" si="5"/>
        <v>0.43658523404889849</v>
      </c>
    </row>
    <row r="96" spans="1:8" x14ac:dyDescent="0.4">
      <c r="A96">
        <v>1979</v>
      </c>
      <c r="B96">
        <v>2</v>
      </c>
      <c r="C96">
        <v>-0.6</v>
      </c>
      <c r="D96">
        <v>8</v>
      </c>
      <c r="E96">
        <v>1</v>
      </c>
      <c r="F96">
        <f t="shared" si="3"/>
        <v>-4.5347693053070941</v>
      </c>
      <c r="G96">
        <f t="shared" si="4"/>
        <v>-2.0347693053070941</v>
      </c>
      <c r="H96">
        <f t="shared" si="5"/>
        <v>0.4652306946929059</v>
      </c>
    </row>
    <row r="97" spans="1:8" x14ac:dyDescent="0.4">
      <c r="A97">
        <v>1980</v>
      </c>
      <c r="B97">
        <v>2</v>
      </c>
      <c r="C97">
        <v>-3.8</v>
      </c>
      <c r="D97">
        <v>8</v>
      </c>
      <c r="E97">
        <v>1</v>
      </c>
      <c r="F97">
        <f t="shared" si="3"/>
        <v>-4.5061238446630867</v>
      </c>
      <c r="G97">
        <f t="shared" si="4"/>
        <v>-2.0061238446630867</v>
      </c>
      <c r="H97">
        <f t="shared" si="5"/>
        <v>0.49387615533691331</v>
      </c>
    </row>
    <row r="98" spans="1:8" x14ac:dyDescent="0.4">
      <c r="A98">
        <v>1981</v>
      </c>
      <c r="B98">
        <v>2</v>
      </c>
      <c r="C98">
        <v>-7.2</v>
      </c>
      <c r="D98">
        <v>8</v>
      </c>
      <c r="E98">
        <v>1</v>
      </c>
      <c r="F98">
        <f t="shared" si="3"/>
        <v>-4.4774783840190793</v>
      </c>
      <c r="G98">
        <f t="shared" si="4"/>
        <v>-1.9774783840190793</v>
      </c>
      <c r="H98">
        <f t="shared" si="5"/>
        <v>0.52252161598092073</v>
      </c>
    </row>
    <row r="99" spans="1:8" x14ac:dyDescent="0.4">
      <c r="A99">
        <v>1982</v>
      </c>
      <c r="B99">
        <v>2</v>
      </c>
      <c r="C99">
        <v>-2</v>
      </c>
      <c r="D99">
        <v>8</v>
      </c>
      <c r="E99">
        <v>1</v>
      </c>
      <c r="F99">
        <f t="shared" si="3"/>
        <v>-4.448832923375079</v>
      </c>
      <c r="G99">
        <f t="shared" si="4"/>
        <v>-1.948832923375079</v>
      </c>
      <c r="H99">
        <f t="shared" si="5"/>
        <v>0.55116707662492104</v>
      </c>
    </row>
    <row r="100" spans="1:8" x14ac:dyDescent="0.4">
      <c r="A100">
        <v>1983</v>
      </c>
      <c r="B100">
        <v>2</v>
      </c>
      <c r="C100">
        <v>-3.4</v>
      </c>
      <c r="D100">
        <v>8</v>
      </c>
      <c r="E100">
        <v>1</v>
      </c>
      <c r="F100">
        <f t="shared" si="3"/>
        <v>-4.4201874627310715</v>
      </c>
      <c r="G100">
        <f t="shared" si="4"/>
        <v>-1.9201874627310715</v>
      </c>
      <c r="H100">
        <f t="shared" si="5"/>
        <v>0.57981253726892845</v>
      </c>
    </row>
    <row r="101" spans="1:8" x14ac:dyDescent="0.4">
      <c r="A101">
        <v>1984</v>
      </c>
      <c r="B101">
        <v>2</v>
      </c>
      <c r="C101">
        <v>-5</v>
      </c>
      <c r="D101">
        <v>8</v>
      </c>
      <c r="E101">
        <v>1</v>
      </c>
      <c r="F101">
        <f t="shared" si="3"/>
        <v>-4.3915420020870641</v>
      </c>
      <c r="G101">
        <f t="shared" si="4"/>
        <v>-1.8915420020870641</v>
      </c>
      <c r="H101">
        <f t="shared" si="5"/>
        <v>0.60845799791293587</v>
      </c>
    </row>
    <row r="102" spans="1:8" x14ac:dyDescent="0.4">
      <c r="A102">
        <v>1985</v>
      </c>
      <c r="B102">
        <v>2</v>
      </c>
      <c r="C102">
        <v>-2</v>
      </c>
      <c r="D102">
        <v>8</v>
      </c>
      <c r="E102">
        <v>1</v>
      </c>
      <c r="F102">
        <f t="shared" si="3"/>
        <v>-4.3628965414430567</v>
      </c>
      <c r="G102">
        <f t="shared" si="4"/>
        <v>-1.8628965414430567</v>
      </c>
      <c r="H102">
        <f t="shared" si="5"/>
        <v>0.63710345855694328</v>
      </c>
    </row>
    <row r="103" spans="1:8" x14ac:dyDescent="0.4">
      <c r="A103">
        <v>1986</v>
      </c>
      <c r="B103">
        <v>2</v>
      </c>
      <c r="C103">
        <v>-3.6</v>
      </c>
      <c r="D103">
        <v>8</v>
      </c>
      <c r="E103">
        <v>1</v>
      </c>
      <c r="F103">
        <f t="shared" si="3"/>
        <v>-4.3342510807990493</v>
      </c>
      <c r="G103">
        <f t="shared" si="4"/>
        <v>-1.8342510807990493</v>
      </c>
      <c r="H103">
        <f t="shared" si="5"/>
        <v>0.6657489192009507</v>
      </c>
    </row>
    <row r="104" spans="1:8" x14ac:dyDescent="0.4">
      <c r="A104">
        <v>1987</v>
      </c>
      <c r="B104">
        <v>2</v>
      </c>
      <c r="C104">
        <v>-2.2000000000000002</v>
      </c>
      <c r="D104">
        <v>8</v>
      </c>
      <c r="E104">
        <v>1</v>
      </c>
      <c r="F104">
        <f t="shared" si="3"/>
        <v>-4.3056056201550419</v>
      </c>
      <c r="G104">
        <f t="shared" si="4"/>
        <v>-1.8056056201550419</v>
      </c>
      <c r="H104">
        <f t="shared" si="5"/>
        <v>0.69439437984495811</v>
      </c>
    </row>
    <row r="105" spans="1:8" x14ac:dyDescent="0.4">
      <c r="A105">
        <v>1988</v>
      </c>
      <c r="B105">
        <v>2</v>
      </c>
      <c r="C105">
        <v>-2.5</v>
      </c>
      <c r="D105">
        <v>8</v>
      </c>
      <c r="E105">
        <v>1</v>
      </c>
      <c r="F105">
        <f t="shared" si="3"/>
        <v>-4.2769601595110345</v>
      </c>
      <c r="G105">
        <f t="shared" si="4"/>
        <v>-1.7769601595110345</v>
      </c>
      <c r="H105">
        <f t="shared" si="5"/>
        <v>0.72303984048896552</v>
      </c>
    </row>
    <row r="106" spans="1:8" x14ac:dyDescent="0.4">
      <c r="A106">
        <v>1989</v>
      </c>
      <c r="B106">
        <v>2</v>
      </c>
      <c r="C106">
        <v>-0.6</v>
      </c>
      <c r="D106">
        <v>8</v>
      </c>
      <c r="E106">
        <v>1</v>
      </c>
      <c r="F106">
        <f t="shared" si="3"/>
        <v>-4.2483146988670271</v>
      </c>
      <c r="G106">
        <f t="shared" si="4"/>
        <v>-1.7483146988670271</v>
      </c>
      <c r="H106">
        <f t="shared" si="5"/>
        <v>0.75168530113297294</v>
      </c>
    </row>
    <row r="107" spans="1:8" x14ac:dyDescent="0.4">
      <c r="A107">
        <v>1990</v>
      </c>
      <c r="B107">
        <v>2</v>
      </c>
      <c r="C107">
        <v>-0.1</v>
      </c>
      <c r="D107">
        <v>8</v>
      </c>
      <c r="E107">
        <v>1</v>
      </c>
      <c r="F107">
        <f t="shared" si="3"/>
        <v>-4.2196692382230196</v>
      </c>
      <c r="G107">
        <f t="shared" si="4"/>
        <v>-1.7196692382230196</v>
      </c>
      <c r="H107">
        <f t="shared" si="5"/>
        <v>0.78033076177698035</v>
      </c>
    </row>
    <row r="108" spans="1:8" x14ac:dyDescent="0.4">
      <c r="A108">
        <v>1991</v>
      </c>
      <c r="B108">
        <v>2</v>
      </c>
      <c r="C108">
        <v>-3.5</v>
      </c>
      <c r="D108">
        <v>8</v>
      </c>
      <c r="E108">
        <v>1</v>
      </c>
      <c r="F108">
        <f t="shared" si="3"/>
        <v>-4.1910237775790122</v>
      </c>
      <c r="G108">
        <f t="shared" si="4"/>
        <v>-1.6910237775790122</v>
      </c>
      <c r="H108">
        <f t="shared" si="5"/>
        <v>0.80897622242098777</v>
      </c>
    </row>
    <row r="109" spans="1:8" x14ac:dyDescent="0.4">
      <c r="A109">
        <v>1992</v>
      </c>
      <c r="B109">
        <v>2</v>
      </c>
      <c r="C109">
        <v>-0.5</v>
      </c>
      <c r="D109">
        <v>8</v>
      </c>
      <c r="E109">
        <v>1</v>
      </c>
      <c r="F109">
        <f t="shared" si="3"/>
        <v>-4.1623783169350048</v>
      </c>
      <c r="G109">
        <f t="shared" si="4"/>
        <v>-1.6623783169350048</v>
      </c>
      <c r="H109">
        <f t="shared" si="5"/>
        <v>0.83762168306499518</v>
      </c>
    </row>
    <row r="110" spans="1:8" x14ac:dyDescent="0.4">
      <c r="A110">
        <v>1993</v>
      </c>
      <c r="B110">
        <v>2</v>
      </c>
      <c r="C110">
        <v>-0.4</v>
      </c>
      <c r="D110">
        <v>8</v>
      </c>
      <c r="E110">
        <v>1</v>
      </c>
      <c r="F110">
        <f t="shared" si="3"/>
        <v>-4.1337328562909974</v>
      </c>
      <c r="G110">
        <f t="shared" si="4"/>
        <v>-1.6337328562909974</v>
      </c>
      <c r="H110">
        <f t="shared" si="5"/>
        <v>0.8662671437090026</v>
      </c>
    </row>
    <row r="111" spans="1:8" x14ac:dyDescent="0.4">
      <c r="A111">
        <v>1994</v>
      </c>
      <c r="B111">
        <v>2</v>
      </c>
      <c r="C111">
        <v>-1.4</v>
      </c>
      <c r="D111">
        <v>8</v>
      </c>
      <c r="E111">
        <v>1</v>
      </c>
      <c r="F111">
        <f t="shared" si="3"/>
        <v>-4.10508739564699</v>
      </c>
      <c r="G111">
        <f t="shared" si="4"/>
        <v>-1.60508739564699</v>
      </c>
      <c r="H111">
        <f t="shared" si="5"/>
        <v>0.89491260435301001</v>
      </c>
    </row>
    <row r="112" spans="1:8" x14ac:dyDescent="0.4">
      <c r="A112">
        <v>1995</v>
      </c>
      <c r="B112">
        <v>2</v>
      </c>
      <c r="C112">
        <v>-0.7</v>
      </c>
      <c r="D112">
        <v>8</v>
      </c>
      <c r="E112">
        <v>1</v>
      </c>
      <c r="F112">
        <f t="shared" si="3"/>
        <v>-4.0764419350029826</v>
      </c>
      <c r="G112">
        <f t="shared" si="4"/>
        <v>-1.5764419350029826</v>
      </c>
      <c r="H112">
        <f t="shared" si="5"/>
        <v>0.92355806499701742</v>
      </c>
    </row>
    <row r="113" spans="1:8" x14ac:dyDescent="0.4">
      <c r="A113">
        <v>1996</v>
      </c>
      <c r="B113">
        <v>2</v>
      </c>
      <c r="C113">
        <v>-2.6</v>
      </c>
      <c r="D113">
        <v>8</v>
      </c>
      <c r="E113">
        <v>1</v>
      </c>
      <c r="F113">
        <f t="shared" si="3"/>
        <v>-4.0477964743589752</v>
      </c>
      <c r="G113">
        <f t="shared" si="4"/>
        <v>-1.5477964743589752</v>
      </c>
      <c r="H113">
        <f t="shared" si="5"/>
        <v>0.95220352564102484</v>
      </c>
    </row>
    <row r="114" spans="1:8" x14ac:dyDescent="0.4">
      <c r="A114">
        <v>1997</v>
      </c>
      <c r="B114">
        <v>2</v>
      </c>
      <c r="C114">
        <v>-2.7</v>
      </c>
      <c r="D114">
        <v>8</v>
      </c>
      <c r="E114">
        <v>1</v>
      </c>
      <c r="F114">
        <f t="shared" si="3"/>
        <v>-4.0191510137149677</v>
      </c>
      <c r="G114">
        <f t="shared" si="4"/>
        <v>-1.5191510137149677</v>
      </c>
      <c r="H114">
        <f t="shared" si="5"/>
        <v>0.98084898628503225</v>
      </c>
    </row>
    <row r="115" spans="1:8" x14ac:dyDescent="0.4">
      <c r="A115">
        <v>1998</v>
      </c>
      <c r="B115">
        <v>2</v>
      </c>
      <c r="C115">
        <v>-1.3</v>
      </c>
      <c r="D115">
        <v>8</v>
      </c>
      <c r="E115">
        <v>1</v>
      </c>
      <c r="F115">
        <f t="shared" si="3"/>
        <v>-3.9905055530709603</v>
      </c>
      <c r="G115">
        <f t="shared" si="4"/>
        <v>-1.4905055530709603</v>
      </c>
      <c r="H115">
        <f t="shared" si="5"/>
        <v>1.0094944469290397</v>
      </c>
    </row>
    <row r="116" spans="1:8" x14ac:dyDescent="0.4">
      <c r="A116">
        <v>1999</v>
      </c>
      <c r="B116">
        <v>2</v>
      </c>
      <c r="C116">
        <v>-4.5</v>
      </c>
      <c r="D116">
        <v>8</v>
      </c>
      <c r="E116">
        <v>1</v>
      </c>
      <c r="F116">
        <f t="shared" si="3"/>
        <v>-3.9618600924269529</v>
      </c>
      <c r="G116">
        <f t="shared" si="4"/>
        <v>-1.4618600924269529</v>
      </c>
      <c r="H116">
        <f t="shared" si="5"/>
        <v>1.0381399075730471</v>
      </c>
    </row>
    <row r="117" spans="1:8" x14ac:dyDescent="0.4">
      <c r="A117">
        <v>2000</v>
      </c>
      <c r="B117">
        <v>2</v>
      </c>
      <c r="C117">
        <v>-1.1000000000000001</v>
      </c>
      <c r="D117">
        <v>8</v>
      </c>
      <c r="E117">
        <v>1</v>
      </c>
      <c r="F117">
        <f t="shared" si="3"/>
        <v>-3.9332146317829455</v>
      </c>
      <c r="G117">
        <f t="shared" si="4"/>
        <v>-1.4332146317829455</v>
      </c>
      <c r="H117">
        <f t="shared" si="5"/>
        <v>1.0667853682170545</v>
      </c>
    </row>
    <row r="118" spans="1:8" x14ac:dyDescent="0.4">
      <c r="A118">
        <v>2001</v>
      </c>
      <c r="B118">
        <v>2</v>
      </c>
      <c r="C118">
        <v>-0.5</v>
      </c>
      <c r="D118">
        <v>8</v>
      </c>
      <c r="E118">
        <v>1</v>
      </c>
      <c r="F118">
        <f t="shared" si="3"/>
        <v>-3.9045691711389381</v>
      </c>
      <c r="G118">
        <f t="shared" si="4"/>
        <v>-1.4045691711389381</v>
      </c>
      <c r="H118">
        <f t="shared" si="5"/>
        <v>1.0954308288610619</v>
      </c>
    </row>
    <row r="119" spans="1:8" x14ac:dyDescent="0.4">
      <c r="A119">
        <v>2002</v>
      </c>
      <c r="B119">
        <v>2</v>
      </c>
      <c r="C119">
        <v>-0.1</v>
      </c>
      <c r="D119">
        <v>8</v>
      </c>
      <c r="E119">
        <v>1</v>
      </c>
      <c r="F119">
        <f t="shared" si="3"/>
        <v>-3.8759237104949307</v>
      </c>
      <c r="G119">
        <f t="shared" si="4"/>
        <v>-1.3759237104949307</v>
      </c>
      <c r="H119">
        <f t="shared" si="5"/>
        <v>1.1240762895050693</v>
      </c>
    </row>
    <row r="120" spans="1:8" x14ac:dyDescent="0.4">
      <c r="A120">
        <v>2003</v>
      </c>
      <c r="B120">
        <v>2</v>
      </c>
      <c r="C120">
        <v>1.2</v>
      </c>
      <c r="D120">
        <v>8</v>
      </c>
      <c r="E120">
        <v>1</v>
      </c>
      <c r="F120">
        <f t="shared" si="3"/>
        <v>-3.8472782498509233</v>
      </c>
      <c r="G120">
        <f t="shared" si="4"/>
        <v>-1.3472782498509233</v>
      </c>
      <c r="H120">
        <f t="shared" si="5"/>
        <v>1.1527217501490767</v>
      </c>
    </row>
    <row r="121" spans="1:8" x14ac:dyDescent="0.4">
      <c r="A121">
        <v>2004</v>
      </c>
      <c r="B121">
        <v>2</v>
      </c>
      <c r="C121">
        <v>-0.5</v>
      </c>
      <c r="D121">
        <v>8</v>
      </c>
      <c r="E121">
        <v>1</v>
      </c>
      <c r="F121">
        <f t="shared" si="3"/>
        <v>-3.8186327892069158</v>
      </c>
      <c r="G121">
        <f t="shared" si="4"/>
        <v>-1.3186327892069158</v>
      </c>
      <c r="H121">
        <f t="shared" si="5"/>
        <v>1.1813672107930842</v>
      </c>
    </row>
    <row r="122" spans="1:8" x14ac:dyDescent="0.4">
      <c r="A122">
        <v>2005</v>
      </c>
      <c r="B122">
        <v>2</v>
      </c>
      <c r="C122">
        <v>-1.7</v>
      </c>
      <c r="D122">
        <v>8</v>
      </c>
      <c r="E122">
        <v>1</v>
      </c>
      <c r="F122">
        <f t="shared" si="3"/>
        <v>-3.7899873285629084</v>
      </c>
      <c r="G122">
        <f t="shared" si="4"/>
        <v>-1.2899873285629084</v>
      </c>
      <c r="H122">
        <f t="shared" si="5"/>
        <v>1.2100126714370916</v>
      </c>
    </row>
    <row r="123" spans="1:8" x14ac:dyDescent="0.4">
      <c r="A123">
        <v>2006</v>
      </c>
      <c r="B123">
        <v>2</v>
      </c>
      <c r="C123">
        <v>-2.2999999999999998</v>
      </c>
      <c r="D123">
        <v>8</v>
      </c>
      <c r="E123">
        <v>1</v>
      </c>
      <c r="F123">
        <f t="shared" si="3"/>
        <v>-3.761341867918901</v>
      </c>
      <c r="G123">
        <f t="shared" si="4"/>
        <v>-1.261341867918901</v>
      </c>
      <c r="H123">
        <f t="shared" si="5"/>
        <v>1.238658132081099</v>
      </c>
    </row>
    <row r="124" spans="1:8" x14ac:dyDescent="0.4">
      <c r="A124">
        <v>2007</v>
      </c>
      <c r="B124">
        <v>2</v>
      </c>
      <c r="C124">
        <v>1.1000000000000001</v>
      </c>
      <c r="D124">
        <v>8</v>
      </c>
      <c r="E124">
        <v>1</v>
      </c>
      <c r="F124">
        <f t="shared" si="3"/>
        <v>-3.7326964072748936</v>
      </c>
      <c r="G124">
        <f t="shared" si="4"/>
        <v>-1.2326964072748936</v>
      </c>
      <c r="H124">
        <f t="shared" si="5"/>
        <v>1.2673035927251064</v>
      </c>
    </row>
    <row r="125" spans="1:8" x14ac:dyDescent="0.4">
      <c r="A125">
        <v>2008</v>
      </c>
      <c r="B125">
        <v>2</v>
      </c>
      <c r="C125">
        <v>-1.2</v>
      </c>
      <c r="D125">
        <v>8</v>
      </c>
      <c r="E125">
        <v>1</v>
      </c>
      <c r="F125">
        <f t="shared" si="3"/>
        <v>-3.7040509466308862</v>
      </c>
      <c r="G125">
        <f t="shared" si="4"/>
        <v>-1.2040509466308862</v>
      </c>
      <c r="H125">
        <f t="shared" si="5"/>
        <v>1.2959490533691138</v>
      </c>
    </row>
    <row r="126" spans="1:8" x14ac:dyDescent="0.4">
      <c r="A126">
        <v>2009</v>
      </c>
      <c r="B126">
        <v>2</v>
      </c>
      <c r="C126">
        <v>0.6</v>
      </c>
      <c r="D126">
        <v>8</v>
      </c>
      <c r="E126">
        <v>1</v>
      </c>
      <c r="F126">
        <f t="shared" si="3"/>
        <v>-3.6754054859868859</v>
      </c>
      <c r="G126">
        <f t="shared" si="4"/>
        <v>-1.1754054859868859</v>
      </c>
      <c r="H126">
        <f t="shared" si="5"/>
        <v>1.3245945140131141</v>
      </c>
    </row>
    <row r="127" spans="1:8" x14ac:dyDescent="0.4">
      <c r="A127">
        <v>2010</v>
      </c>
      <c r="B127">
        <v>2</v>
      </c>
      <c r="C127">
        <v>0.3</v>
      </c>
      <c r="D127">
        <v>8</v>
      </c>
      <c r="E127">
        <v>1</v>
      </c>
      <c r="F127">
        <f t="shared" si="3"/>
        <v>-3.6467600253428785</v>
      </c>
      <c r="G127">
        <f t="shared" si="4"/>
        <v>-1.1467600253428785</v>
      </c>
      <c r="H127">
        <f t="shared" si="5"/>
        <v>1.3532399746571215</v>
      </c>
    </row>
    <row r="128" spans="1:8" x14ac:dyDescent="0.4">
      <c r="A128">
        <v>2011</v>
      </c>
      <c r="B128">
        <v>2</v>
      </c>
      <c r="C128">
        <v>0.2</v>
      </c>
      <c r="D128">
        <v>8</v>
      </c>
      <c r="E128">
        <v>1</v>
      </c>
      <c r="F128">
        <f t="shared" si="3"/>
        <v>-3.618114564698871</v>
      </c>
      <c r="G128">
        <f t="shared" si="4"/>
        <v>-1.118114564698871</v>
      </c>
      <c r="H128">
        <f t="shared" si="5"/>
        <v>1.381885435301129</v>
      </c>
    </row>
    <row r="129" spans="1:8" x14ac:dyDescent="0.4">
      <c r="A129">
        <v>2012</v>
      </c>
      <c r="B129">
        <v>2</v>
      </c>
      <c r="C129">
        <v>-2.4</v>
      </c>
      <c r="D129">
        <v>8</v>
      </c>
      <c r="E129">
        <v>1</v>
      </c>
      <c r="F129">
        <f t="shared" si="3"/>
        <v>-3.5894691040548636</v>
      </c>
      <c r="G129">
        <f t="shared" si="4"/>
        <v>-1.0894691040548636</v>
      </c>
      <c r="H129">
        <f t="shared" si="5"/>
        <v>1.4105308959451364</v>
      </c>
    </row>
    <row r="130" spans="1:8" x14ac:dyDescent="0.4">
      <c r="A130">
        <v>2013</v>
      </c>
      <c r="B130">
        <v>2</v>
      </c>
      <c r="C130">
        <v>-0.2</v>
      </c>
      <c r="D130">
        <v>8</v>
      </c>
      <c r="E130">
        <v>1</v>
      </c>
      <c r="F130">
        <f t="shared" si="3"/>
        <v>-3.5608236434108562</v>
      </c>
      <c r="G130">
        <f t="shared" si="4"/>
        <v>-1.0608236434108562</v>
      </c>
      <c r="H130">
        <f t="shared" si="5"/>
        <v>1.4391763565891438</v>
      </c>
    </row>
    <row r="131" spans="1:8" x14ac:dyDescent="0.4">
      <c r="A131">
        <v>2014</v>
      </c>
      <c r="B131">
        <v>2</v>
      </c>
      <c r="C131">
        <v>-0.2</v>
      </c>
      <c r="D131">
        <v>8</v>
      </c>
      <c r="E131">
        <v>1</v>
      </c>
      <c r="F131">
        <f t="shared" si="3"/>
        <v>-3.5321781827668488</v>
      </c>
      <c r="G131">
        <f t="shared" si="4"/>
        <v>-1.0321781827668488</v>
      </c>
      <c r="H131">
        <f t="shared" si="5"/>
        <v>1.4678218172331512</v>
      </c>
    </row>
    <row r="132" spans="1:8" x14ac:dyDescent="0.4">
      <c r="A132">
        <v>2015</v>
      </c>
      <c r="B132">
        <v>2</v>
      </c>
      <c r="C132">
        <v>-0.9</v>
      </c>
      <c r="D132">
        <v>8</v>
      </c>
      <c r="E132">
        <v>1</v>
      </c>
      <c r="F132">
        <f t="shared" si="3"/>
        <v>-3.5035327221228414</v>
      </c>
      <c r="G132">
        <f t="shared" si="4"/>
        <v>-1.0035327221228414</v>
      </c>
      <c r="H132">
        <f t="shared" si="5"/>
        <v>1.4964672778771586</v>
      </c>
    </row>
    <row r="133" spans="1:8" x14ac:dyDescent="0.4">
      <c r="A133">
        <v>2016</v>
      </c>
      <c r="B133">
        <v>2</v>
      </c>
      <c r="C133">
        <v>0.9</v>
      </c>
      <c r="D133">
        <v>8</v>
      </c>
      <c r="E133">
        <v>1</v>
      </c>
      <c r="F133">
        <f t="shared" si="3"/>
        <v>-3.474887261478834</v>
      </c>
      <c r="G133">
        <f t="shared" si="4"/>
        <v>-0.97488726147883398</v>
      </c>
      <c r="H133">
        <f t="shared" si="5"/>
        <v>1.525112738521166</v>
      </c>
    </row>
    <row r="134" spans="1:8" x14ac:dyDescent="0.4">
      <c r="A134">
        <v>2017</v>
      </c>
      <c r="B134">
        <v>2</v>
      </c>
      <c r="C134">
        <v>0.3</v>
      </c>
      <c r="D134">
        <v>8</v>
      </c>
      <c r="E134">
        <v>1</v>
      </c>
      <c r="F134">
        <f t="shared" si="3"/>
        <v>-3.4462418008348266</v>
      </c>
      <c r="G134">
        <f t="shared" si="4"/>
        <v>-0.94624180083482656</v>
      </c>
      <c r="H134">
        <f t="shared" si="5"/>
        <v>1.5537581991651734</v>
      </c>
    </row>
    <row r="135" spans="1:8" x14ac:dyDescent="0.4">
      <c r="A135">
        <v>2018</v>
      </c>
      <c r="B135">
        <v>2</v>
      </c>
      <c r="C135">
        <v>-2.4</v>
      </c>
      <c r="D135">
        <v>8</v>
      </c>
      <c r="E135">
        <v>1</v>
      </c>
      <c r="F135">
        <f t="shared" si="3"/>
        <v>-3.4175963401908191</v>
      </c>
      <c r="G135">
        <f t="shared" si="4"/>
        <v>-0.91759634019081915</v>
      </c>
      <c r="H135">
        <f t="shared" si="5"/>
        <v>1.5824036598091809</v>
      </c>
    </row>
    <row r="136" spans="1:8" x14ac:dyDescent="0.4">
      <c r="A136">
        <v>2019</v>
      </c>
      <c r="B136">
        <v>2</v>
      </c>
      <c r="C136">
        <v>1.7</v>
      </c>
      <c r="D136">
        <v>8</v>
      </c>
      <c r="E136">
        <v>1</v>
      </c>
      <c r="F136">
        <f t="shared" ref="F136:F167" si="6">G136-$K$4/2</f>
        <v>-3.3889508795468117</v>
      </c>
      <c r="G136">
        <f t="shared" ref="G136:G167" si="7">$I$4*A136+$J$4</f>
        <v>-0.88895087954681173</v>
      </c>
      <c r="H136">
        <f t="shared" ref="H136:H167" si="8">G136+$K$4/2</f>
        <v>1.6110491204531883</v>
      </c>
    </row>
    <row r="137" spans="1:8" x14ac:dyDescent="0.4">
      <c r="A137">
        <v>2020</v>
      </c>
      <c r="B137">
        <v>2</v>
      </c>
      <c r="C137">
        <v>0.2</v>
      </c>
      <c r="D137">
        <v>8</v>
      </c>
      <c r="E137">
        <v>1</v>
      </c>
      <c r="F137">
        <f t="shared" si="6"/>
        <v>-3.3603054189028043</v>
      </c>
      <c r="G137">
        <f t="shared" si="7"/>
        <v>-0.86030541890280432</v>
      </c>
      <c r="H137">
        <f t="shared" si="8"/>
        <v>1.6396945810971957</v>
      </c>
    </row>
    <row r="138" spans="1:8" x14ac:dyDescent="0.4">
      <c r="A138">
        <v>2021</v>
      </c>
      <c r="B138">
        <v>2</v>
      </c>
      <c r="C138">
        <v>-1.2</v>
      </c>
      <c r="D138">
        <v>8</v>
      </c>
      <c r="E138">
        <v>1</v>
      </c>
      <c r="F138">
        <f t="shared" si="6"/>
        <v>-3.3316599582587969</v>
      </c>
      <c r="G138">
        <f t="shared" si="7"/>
        <v>-0.83165995825879691</v>
      </c>
      <c r="H138">
        <f t="shared" si="8"/>
        <v>1.6683400417412031</v>
      </c>
    </row>
    <row r="139" spans="1:8" x14ac:dyDescent="0.4">
      <c r="A139">
        <v>2022</v>
      </c>
      <c r="B139">
        <v>2</v>
      </c>
      <c r="C139">
        <v>-0.5</v>
      </c>
      <c r="D139">
        <v>8</v>
      </c>
      <c r="E139">
        <v>1</v>
      </c>
      <c r="F139">
        <f t="shared" si="6"/>
        <v>-3.3030144976147895</v>
      </c>
      <c r="G139">
        <f t="shared" si="7"/>
        <v>-0.80301449761478949</v>
      </c>
      <c r="H139">
        <f t="shared" si="8"/>
        <v>1.6969855023852105</v>
      </c>
    </row>
    <row r="140" spans="1:8" x14ac:dyDescent="0.4">
      <c r="A140">
        <v>2023</v>
      </c>
      <c r="B140">
        <v>2</v>
      </c>
      <c r="C140">
        <v>0.5</v>
      </c>
      <c r="D140">
        <v>8</v>
      </c>
      <c r="E140">
        <v>1</v>
      </c>
      <c r="F140">
        <f t="shared" si="6"/>
        <v>-3.2743690369707821</v>
      </c>
      <c r="G140">
        <f t="shared" si="7"/>
        <v>-0.77436903697078208</v>
      </c>
      <c r="H140">
        <f t="shared" si="8"/>
        <v>1.7256309630292179</v>
      </c>
    </row>
    <row r="141" spans="1:8" x14ac:dyDescent="0.4">
      <c r="A141">
        <v>2024</v>
      </c>
      <c r="B141">
        <v>2</v>
      </c>
      <c r="C141">
        <v>2.8</v>
      </c>
      <c r="D141">
        <v>8</v>
      </c>
      <c r="E141">
        <v>1</v>
      </c>
      <c r="F141">
        <f t="shared" si="6"/>
        <v>-3.2457235763267747</v>
      </c>
      <c r="G141">
        <f t="shared" si="7"/>
        <v>-0.74572357632677466</v>
      </c>
      <c r="H141">
        <f t="shared" si="8"/>
        <v>1.7542764236732253</v>
      </c>
    </row>
    <row r="142" spans="1:8" x14ac:dyDescent="0.4">
      <c r="A142">
        <v>2025</v>
      </c>
      <c r="B142">
        <v>2</v>
      </c>
      <c r="C142">
        <v>-3.1</v>
      </c>
      <c r="D142">
        <v>8</v>
      </c>
      <c r="E142">
        <v>1</v>
      </c>
      <c r="F142">
        <f t="shared" si="6"/>
        <v>-3.2170781156827672</v>
      </c>
      <c r="G142">
        <f t="shared" si="7"/>
        <v>-0.71707811568276725</v>
      </c>
      <c r="H142">
        <f t="shared" si="8"/>
        <v>1.7829218843172328</v>
      </c>
    </row>
    <row r="143" spans="1:8" x14ac:dyDescent="0.4">
      <c r="A143">
        <v>2026</v>
      </c>
      <c r="F143">
        <f t="shared" si="6"/>
        <v>-3.1884326550387598</v>
      </c>
      <c r="G143">
        <f t="shared" si="7"/>
        <v>-0.68843265503875983</v>
      </c>
      <c r="H143">
        <f t="shared" si="8"/>
        <v>1.8115673449612402</v>
      </c>
    </row>
    <row r="144" spans="1:8" x14ac:dyDescent="0.4">
      <c r="A144">
        <v>2027</v>
      </c>
      <c r="F144">
        <f t="shared" si="6"/>
        <v>-3.1597871943947524</v>
      </c>
      <c r="G144">
        <f t="shared" si="7"/>
        <v>-0.65978719439475242</v>
      </c>
      <c r="H144">
        <f t="shared" si="8"/>
        <v>1.8402128056052476</v>
      </c>
    </row>
    <row r="145" spans="1:8" x14ac:dyDescent="0.4">
      <c r="A145">
        <v>2028</v>
      </c>
      <c r="F145">
        <f t="shared" si="6"/>
        <v>-3.131141733750745</v>
      </c>
      <c r="G145">
        <f t="shared" si="7"/>
        <v>-0.631141733750745</v>
      </c>
      <c r="H145">
        <f t="shared" si="8"/>
        <v>1.868858266249255</v>
      </c>
    </row>
    <row r="146" spans="1:8" x14ac:dyDescent="0.4">
      <c r="A146">
        <v>2029</v>
      </c>
      <c r="F146">
        <f t="shared" si="6"/>
        <v>-3.1024962731067376</v>
      </c>
      <c r="G146">
        <f t="shared" si="7"/>
        <v>-0.60249627310673759</v>
      </c>
      <c r="H146">
        <f t="shared" si="8"/>
        <v>1.8975037268932624</v>
      </c>
    </row>
    <row r="147" spans="1:8" x14ac:dyDescent="0.4">
      <c r="A147">
        <v>2030</v>
      </c>
      <c r="F147">
        <f t="shared" si="6"/>
        <v>-3.0738508124627302</v>
      </c>
      <c r="G147">
        <f t="shared" si="7"/>
        <v>-0.57385081246273018</v>
      </c>
      <c r="H147">
        <f t="shared" si="8"/>
        <v>1.9261491875372698</v>
      </c>
    </row>
    <row r="148" spans="1:8" x14ac:dyDescent="0.4">
      <c r="A148">
        <v>2031</v>
      </c>
      <c r="F148">
        <f t="shared" si="6"/>
        <v>-3.0452053518187228</v>
      </c>
      <c r="G148">
        <f t="shared" si="7"/>
        <v>-0.54520535181872276</v>
      </c>
      <c r="H148">
        <f t="shared" si="8"/>
        <v>1.9547946481812772</v>
      </c>
    </row>
    <row r="149" spans="1:8" x14ac:dyDescent="0.4">
      <c r="A149">
        <v>2032</v>
      </c>
      <c r="F149">
        <f t="shared" si="6"/>
        <v>-3.0165598911747153</v>
      </c>
      <c r="G149">
        <f t="shared" si="7"/>
        <v>-0.51655989117471535</v>
      </c>
      <c r="H149">
        <f t="shared" si="8"/>
        <v>1.9834401088252847</v>
      </c>
    </row>
    <row r="150" spans="1:8" x14ac:dyDescent="0.4">
      <c r="A150">
        <v>2033</v>
      </c>
      <c r="F150">
        <f t="shared" si="6"/>
        <v>-2.9879144305307079</v>
      </c>
      <c r="G150">
        <f t="shared" si="7"/>
        <v>-0.48791443053070793</v>
      </c>
      <c r="H150">
        <f t="shared" si="8"/>
        <v>2.0120855694692921</v>
      </c>
    </row>
    <row r="151" spans="1:8" x14ac:dyDescent="0.4">
      <c r="A151">
        <v>2034</v>
      </c>
      <c r="F151">
        <f t="shared" si="6"/>
        <v>-2.9592689698867005</v>
      </c>
      <c r="G151">
        <f t="shared" si="7"/>
        <v>-0.45926896988670052</v>
      </c>
      <c r="H151">
        <f t="shared" si="8"/>
        <v>2.0407310301132995</v>
      </c>
    </row>
    <row r="152" spans="1:8" x14ac:dyDescent="0.4">
      <c r="A152">
        <v>2035</v>
      </c>
      <c r="F152">
        <f t="shared" si="6"/>
        <v>-2.9306235092427002</v>
      </c>
      <c r="G152">
        <f t="shared" si="7"/>
        <v>-0.43062350924270021</v>
      </c>
      <c r="H152">
        <f t="shared" si="8"/>
        <v>2.0693764907572998</v>
      </c>
    </row>
    <row r="153" spans="1:8" x14ac:dyDescent="0.4">
      <c r="A153">
        <v>2036</v>
      </c>
      <c r="F153">
        <f t="shared" si="6"/>
        <v>-2.9019780485986928</v>
      </c>
      <c r="G153">
        <f t="shared" si="7"/>
        <v>-0.40197804859869279</v>
      </c>
      <c r="H153">
        <f t="shared" si="8"/>
        <v>2.0980219514013072</v>
      </c>
    </row>
    <row r="154" spans="1:8" x14ac:dyDescent="0.4">
      <c r="A154">
        <v>2037</v>
      </c>
      <c r="F154">
        <f t="shared" si="6"/>
        <v>-2.8733325879546854</v>
      </c>
      <c r="G154">
        <f t="shared" si="7"/>
        <v>-0.37333258795468538</v>
      </c>
      <c r="H154">
        <f t="shared" si="8"/>
        <v>2.1266674120453146</v>
      </c>
    </row>
    <row r="155" spans="1:8" x14ac:dyDescent="0.4">
      <c r="A155">
        <v>2038</v>
      </c>
      <c r="F155">
        <f t="shared" si="6"/>
        <v>-2.844687127310678</v>
      </c>
      <c r="G155">
        <f t="shared" si="7"/>
        <v>-0.34468712731067797</v>
      </c>
      <c r="H155">
        <f t="shared" si="8"/>
        <v>2.155312872689322</v>
      </c>
    </row>
    <row r="156" spans="1:8" x14ac:dyDescent="0.4">
      <c r="A156">
        <v>2039</v>
      </c>
      <c r="F156">
        <f t="shared" si="6"/>
        <v>-2.8160416666666706</v>
      </c>
      <c r="G156">
        <f t="shared" si="7"/>
        <v>-0.31604166666667055</v>
      </c>
      <c r="H156">
        <f t="shared" si="8"/>
        <v>2.1839583333333294</v>
      </c>
    </row>
    <row r="157" spans="1:8" x14ac:dyDescent="0.4">
      <c r="A157">
        <v>2040</v>
      </c>
      <c r="F157">
        <f t="shared" si="6"/>
        <v>-2.7873962060226631</v>
      </c>
      <c r="G157">
        <f t="shared" si="7"/>
        <v>-0.28739620602266314</v>
      </c>
      <c r="H157">
        <f t="shared" si="8"/>
        <v>2.2126037939773369</v>
      </c>
    </row>
    <row r="158" spans="1:8" x14ac:dyDescent="0.4">
      <c r="A158">
        <v>2041</v>
      </c>
      <c r="F158">
        <f t="shared" si="6"/>
        <v>-2.7587507453786557</v>
      </c>
      <c r="G158">
        <f t="shared" si="7"/>
        <v>-0.25875074537865572</v>
      </c>
      <c r="H158">
        <f t="shared" si="8"/>
        <v>2.2412492546213443</v>
      </c>
    </row>
    <row r="159" spans="1:8" x14ac:dyDescent="0.4">
      <c r="A159">
        <v>2042</v>
      </c>
      <c r="F159">
        <f t="shared" si="6"/>
        <v>-2.7301052847346483</v>
      </c>
      <c r="G159">
        <f t="shared" si="7"/>
        <v>-0.23010528473464831</v>
      </c>
      <c r="H159">
        <f t="shared" si="8"/>
        <v>2.2698947152653517</v>
      </c>
    </row>
    <row r="160" spans="1:8" x14ac:dyDescent="0.4">
      <c r="A160">
        <v>2043</v>
      </c>
      <c r="F160">
        <f t="shared" si="6"/>
        <v>-2.7014598240906409</v>
      </c>
      <c r="G160">
        <f t="shared" si="7"/>
        <v>-0.20145982409064089</v>
      </c>
      <c r="H160">
        <f t="shared" si="8"/>
        <v>2.2985401759093591</v>
      </c>
    </row>
    <row r="161" spans="1:8" x14ac:dyDescent="0.4">
      <c r="A161">
        <v>2044</v>
      </c>
      <c r="F161">
        <f t="shared" si="6"/>
        <v>-2.6728143634466335</v>
      </c>
      <c r="G161">
        <f t="shared" si="7"/>
        <v>-0.17281436344663348</v>
      </c>
      <c r="H161">
        <f t="shared" si="8"/>
        <v>2.3271856365533665</v>
      </c>
    </row>
    <row r="162" spans="1:8" x14ac:dyDescent="0.4">
      <c r="A162">
        <v>2045</v>
      </c>
      <c r="F162">
        <f t="shared" si="6"/>
        <v>-2.6441689028026261</v>
      </c>
      <c r="G162">
        <f t="shared" si="7"/>
        <v>-0.14416890280262606</v>
      </c>
      <c r="H162">
        <f t="shared" si="8"/>
        <v>2.3558310971973739</v>
      </c>
    </row>
    <row r="163" spans="1:8" x14ac:dyDescent="0.4">
      <c r="A163">
        <v>2046</v>
      </c>
      <c r="F163">
        <f t="shared" si="6"/>
        <v>-2.6155234421586186</v>
      </c>
      <c r="G163">
        <f t="shared" si="7"/>
        <v>-0.11552344215861865</v>
      </c>
      <c r="H163">
        <f t="shared" si="8"/>
        <v>2.3844765578413814</v>
      </c>
    </row>
    <row r="164" spans="1:8" x14ac:dyDescent="0.4">
      <c r="A164">
        <v>2047</v>
      </c>
      <c r="F164">
        <f t="shared" si="6"/>
        <v>-2.5868779815146112</v>
      </c>
      <c r="G164">
        <f t="shared" si="7"/>
        <v>-8.6877981514611236E-2</v>
      </c>
      <c r="H164">
        <f t="shared" si="8"/>
        <v>2.4131220184853888</v>
      </c>
    </row>
    <row r="165" spans="1:8" x14ac:dyDescent="0.4">
      <c r="A165">
        <v>2048</v>
      </c>
      <c r="F165">
        <f t="shared" si="6"/>
        <v>-2.5582325208706038</v>
      </c>
      <c r="G165">
        <f t="shared" si="7"/>
        <v>-5.8232520870603821E-2</v>
      </c>
      <c r="H165">
        <f t="shared" si="8"/>
        <v>2.4417674791293962</v>
      </c>
    </row>
    <row r="166" spans="1:8" x14ac:dyDescent="0.4">
      <c r="A166">
        <v>2049</v>
      </c>
      <c r="F166">
        <f t="shared" si="6"/>
        <v>-2.5295870602265964</v>
      </c>
      <c r="G166">
        <f t="shared" si="7"/>
        <v>-2.9587060226596407E-2</v>
      </c>
      <c r="H166">
        <f t="shared" si="8"/>
        <v>2.4704129397734036</v>
      </c>
    </row>
    <row r="167" spans="1:8" x14ac:dyDescent="0.4">
      <c r="A167">
        <v>2050</v>
      </c>
      <c r="F167">
        <f t="shared" si="6"/>
        <v>-2.500941599582589</v>
      </c>
      <c r="G167">
        <f t="shared" si="7"/>
        <v>-9.4159958258899223E-4</v>
      </c>
      <c r="H167">
        <f t="shared" si="8"/>
        <v>2.499058400417411</v>
      </c>
    </row>
  </sheetData>
  <phoneticPr fontId="18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C62B3-093B-4497-950E-71635EA8A3A9}">
  <dimension ref="A1:T151"/>
  <sheetViews>
    <sheetView tabSelected="1" topLeftCell="A34" workbookViewId="0">
      <selection activeCell="O36" sqref="O36"/>
    </sheetView>
  </sheetViews>
  <sheetFormatPr defaultRowHeight="18.75" x14ac:dyDescent="0.4"/>
  <cols>
    <col min="16" max="16" width="10.875" customWidth="1"/>
    <col min="17" max="20" width="10.625" customWidth="1"/>
  </cols>
  <sheetData>
    <row r="1" spans="1:20" x14ac:dyDescent="0.4">
      <c r="A1" t="s">
        <v>15</v>
      </c>
      <c r="B1" t="s">
        <v>17</v>
      </c>
      <c r="C1" t="s">
        <v>19</v>
      </c>
      <c r="D1" t="s">
        <v>21</v>
      </c>
      <c r="E1" t="s">
        <v>12</v>
      </c>
      <c r="Q1" s="3" t="s">
        <v>14</v>
      </c>
      <c r="R1" s="3" t="s">
        <v>16</v>
      </c>
      <c r="S1" s="3" t="s">
        <v>18</v>
      </c>
      <c r="T1" s="3" t="s">
        <v>20</v>
      </c>
    </row>
    <row r="2" spans="1:20" x14ac:dyDescent="0.4">
      <c r="A2">
        <v>5.0999999999999996</v>
      </c>
      <c r="B2">
        <v>3.5</v>
      </c>
      <c r="C2">
        <v>1.4</v>
      </c>
      <c r="D2">
        <v>0.2</v>
      </c>
      <c r="E2" t="s">
        <v>11</v>
      </c>
      <c r="P2" s="1"/>
      <c r="Q2" s="1"/>
      <c r="R2" s="1"/>
      <c r="S2" s="1"/>
      <c r="T2" s="1"/>
    </row>
    <row r="3" spans="1:20" x14ac:dyDescent="0.4">
      <c r="A3">
        <v>4.9000000000000004</v>
      </c>
      <c r="B3">
        <v>3</v>
      </c>
      <c r="C3">
        <v>1.4</v>
      </c>
      <c r="D3">
        <v>0.2</v>
      </c>
      <c r="E3" t="s">
        <v>11</v>
      </c>
      <c r="P3" s="1" t="s">
        <v>23</v>
      </c>
      <c r="Q3" s="1">
        <v>5.8433333333333346</v>
      </c>
      <c r="R3" s="1">
        <v>3.0573333333333341</v>
      </c>
      <c r="S3" s="1">
        <v>3.7580000000000027</v>
      </c>
      <c r="T3" s="1">
        <v>1.199333333333334</v>
      </c>
    </row>
    <row r="4" spans="1:20" x14ac:dyDescent="0.4">
      <c r="A4">
        <v>4.7</v>
      </c>
      <c r="B4">
        <v>3.2</v>
      </c>
      <c r="C4">
        <v>1.3</v>
      </c>
      <c r="D4">
        <v>0.2</v>
      </c>
      <c r="E4" t="s">
        <v>11</v>
      </c>
      <c r="P4" s="1" t="s">
        <v>24</v>
      </c>
      <c r="Q4" s="1">
        <v>6.7611316227597001E-2</v>
      </c>
      <c r="R4" s="1">
        <v>3.5588333139247239E-2</v>
      </c>
      <c r="S4" s="1">
        <v>0.14413599717741066</v>
      </c>
      <c r="T4" s="1">
        <v>6.2236445056044226E-2</v>
      </c>
    </row>
    <row r="5" spans="1:20" x14ac:dyDescent="0.4">
      <c r="A5">
        <v>4.5999999999999996</v>
      </c>
      <c r="B5">
        <v>3.1</v>
      </c>
      <c r="C5">
        <v>1.5</v>
      </c>
      <c r="D5">
        <v>0.2</v>
      </c>
      <c r="E5" t="s">
        <v>11</v>
      </c>
      <c r="P5" s="1" t="s">
        <v>25</v>
      </c>
      <c r="Q5" s="1">
        <v>5.8</v>
      </c>
      <c r="R5" s="1">
        <v>3</v>
      </c>
      <c r="S5" s="1">
        <v>4.3499999999999996</v>
      </c>
      <c r="T5" s="1">
        <v>1.3</v>
      </c>
    </row>
    <row r="6" spans="1:20" x14ac:dyDescent="0.4">
      <c r="A6">
        <v>5</v>
      </c>
      <c r="B6">
        <v>3.6</v>
      </c>
      <c r="C6">
        <v>1.4</v>
      </c>
      <c r="D6">
        <v>0.2</v>
      </c>
      <c r="E6" t="s">
        <v>11</v>
      </c>
      <c r="P6" s="1" t="s">
        <v>26</v>
      </c>
      <c r="Q6" s="1">
        <v>5</v>
      </c>
      <c r="R6" s="1">
        <v>3</v>
      </c>
      <c r="S6" s="1">
        <v>1.4</v>
      </c>
      <c r="T6" s="1">
        <v>0.2</v>
      </c>
    </row>
    <row r="7" spans="1:20" x14ac:dyDescent="0.4">
      <c r="A7">
        <v>5.4</v>
      </c>
      <c r="B7">
        <v>3.9</v>
      </c>
      <c r="C7">
        <v>1.7</v>
      </c>
      <c r="D7">
        <v>0.4</v>
      </c>
      <c r="E7" t="s">
        <v>11</v>
      </c>
      <c r="P7" s="1" t="s">
        <v>27</v>
      </c>
      <c r="Q7" s="1">
        <v>0.82806612797784351</v>
      </c>
      <c r="R7" s="1">
        <v>0.43586628493668389</v>
      </c>
      <c r="S7" s="1">
        <v>1.7652982332594624</v>
      </c>
      <c r="T7" s="1">
        <v>0.76223766896034584</v>
      </c>
    </row>
    <row r="8" spans="1:20" x14ac:dyDescent="0.4">
      <c r="A8">
        <v>4.5999999999999996</v>
      </c>
      <c r="B8">
        <v>3.4</v>
      </c>
      <c r="C8">
        <v>1.4</v>
      </c>
      <c r="D8">
        <v>0.3</v>
      </c>
      <c r="E8" t="s">
        <v>11</v>
      </c>
      <c r="P8" s="1" t="s">
        <v>28</v>
      </c>
      <c r="Q8" s="1">
        <v>0.68569351230421827</v>
      </c>
      <c r="R8" s="1">
        <v>0.18997941834450652</v>
      </c>
      <c r="S8" s="1">
        <v>3.1162778523489791</v>
      </c>
      <c r="T8" s="1">
        <v>0.58100626398210176</v>
      </c>
    </row>
    <row r="9" spans="1:20" x14ac:dyDescent="0.4">
      <c r="A9">
        <v>5</v>
      </c>
      <c r="B9">
        <v>3.4</v>
      </c>
      <c r="C9">
        <v>1.5</v>
      </c>
      <c r="D9">
        <v>0.2</v>
      </c>
      <c r="E9" t="s">
        <v>11</v>
      </c>
      <c r="P9" s="1" t="s">
        <v>29</v>
      </c>
      <c r="Q9" s="1">
        <v>-0.55206404131563946</v>
      </c>
      <c r="R9" s="1">
        <v>0.22824904246819555</v>
      </c>
      <c r="S9" s="1">
        <v>-1.4021034155217531</v>
      </c>
      <c r="T9" s="1">
        <v>-1.3406039966126471</v>
      </c>
    </row>
    <row r="10" spans="1:20" x14ac:dyDescent="0.4">
      <c r="A10">
        <v>4.4000000000000004</v>
      </c>
      <c r="B10">
        <v>2.9</v>
      </c>
      <c r="C10">
        <v>1.4</v>
      </c>
      <c r="D10">
        <v>0.2</v>
      </c>
      <c r="E10" t="s">
        <v>11</v>
      </c>
      <c r="P10" s="1" t="s">
        <v>30</v>
      </c>
      <c r="Q10" s="1">
        <v>0.31491095663696905</v>
      </c>
      <c r="R10" s="1">
        <v>0.31896566471359722</v>
      </c>
      <c r="S10" s="1">
        <v>-0.27488417975101648</v>
      </c>
      <c r="T10" s="1">
        <v>-0.1029667476489827</v>
      </c>
    </row>
    <row r="11" spans="1:20" x14ac:dyDescent="0.4">
      <c r="A11">
        <v>4.9000000000000004</v>
      </c>
      <c r="B11">
        <v>3.1</v>
      </c>
      <c r="C11">
        <v>1.5</v>
      </c>
      <c r="D11">
        <v>0.1</v>
      </c>
      <c r="E11" t="s">
        <v>11</v>
      </c>
      <c r="P11" s="1" t="s">
        <v>31</v>
      </c>
      <c r="Q11" s="1">
        <v>3.6000000000000005</v>
      </c>
      <c r="R11" s="1">
        <v>2.4000000000000004</v>
      </c>
      <c r="S11" s="1">
        <v>5.9</v>
      </c>
      <c r="T11" s="1">
        <v>2.4</v>
      </c>
    </row>
    <row r="12" spans="1:20" x14ac:dyDescent="0.4">
      <c r="A12">
        <v>5.4</v>
      </c>
      <c r="B12">
        <v>3.7</v>
      </c>
      <c r="C12">
        <v>1.5</v>
      </c>
      <c r="D12">
        <v>0.2</v>
      </c>
      <c r="E12" t="s">
        <v>11</v>
      </c>
      <c r="P12" s="1" t="s">
        <v>32</v>
      </c>
      <c r="Q12" s="1">
        <v>4.3</v>
      </c>
      <c r="R12" s="1">
        <v>2</v>
      </c>
      <c r="S12" s="1">
        <v>1</v>
      </c>
      <c r="T12" s="1">
        <v>0.1</v>
      </c>
    </row>
    <row r="13" spans="1:20" x14ac:dyDescent="0.4">
      <c r="A13">
        <v>4.8</v>
      </c>
      <c r="B13">
        <v>3.4</v>
      </c>
      <c r="C13">
        <v>1.6</v>
      </c>
      <c r="D13">
        <v>0.2</v>
      </c>
      <c r="E13" t="s">
        <v>11</v>
      </c>
      <c r="P13" s="1" t="s">
        <v>33</v>
      </c>
      <c r="Q13" s="1">
        <v>7.9</v>
      </c>
      <c r="R13" s="1">
        <v>4.4000000000000004</v>
      </c>
      <c r="S13" s="1">
        <v>6.9</v>
      </c>
      <c r="T13" s="1">
        <v>2.5</v>
      </c>
    </row>
    <row r="14" spans="1:20" x14ac:dyDescent="0.4">
      <c r="A14">
        <v>4.8</v>
      </c>
      <c r="B14">
        <v>3</v>
      </c>
      <c r="C14">
        <v>1.4</v>
      </c>
      <c r="D14">
        <v>0.1</v>
      </c>
      <c r="E14" t="s">
        <v>11</v>
      </c>
      <c r="P14" s="1" t="s">
        <v>34</v>
      </c>
      <c r="Q14" s="1">
        <v>876.50000000000023</v>
      </c>
      <c r="R14" s="1">
        <v>458.60000000000014</v>
      </c>
      <c r="S14" s="1">
        <v>563.70000000000039</v>
      </c>
      <c r="T14" s="1">
        <v>179.90000000000012</v>
      </c>
    </row>
    <row r="15" spans="1:20" ht="19.5" thickBot="1" x14ac:dyDescent="0.45">
      <c r="A15">
        <v>4.3</v>
      </c>
      <c r="B15">
        <v>3</v>
      </c>
      <c r="C15">
        <v>1.1000000000000001</v>
      </c>
      <c r="D15">
        <v>0.1</v>
      </c>
      <c r="E15" t="s">
        <v>11</v>
      </c>
      <c r="P15" s="2" t="s">
        <v>35</v>
      </c>
      <c r="Q15" s="2">
        <v>150</v>
      </c>
      <c r="R15" s="2">
        <v>150</v>
      </c>
      <c r="S15" s="2">
        <v>150</v>
      </c>
      <c r="T15" s="2">
        <v>150</v>
      </c>
    </row>
    <row r="16" spans="1:20" x14ac:dyDescent="0.4">
      <c r="A16">
        <v>5.8</v>
      </c>
      <c r="B16">
        <v>4</v>
      </c>
      <c r="C16">
        <v>1.2</v>
      </c>
      <c r="D16">
        <v>0.2</v>
      </c>
      <c r="E16" t="s">
        <v>11</v>
      </c>
    </row>
    <row r="17" spans="1:5" x14ac:dyDescent="0.4">
      <c r="A17">
        <v>5.7</v>
      </c>
      <c r="B17">
        <v>4.4000000000000004</v>
      </c>
      <c r="C17">
        <v>1.5</v>
      </c>
      <c r="D17">
        <v>0.4</v>
      </c>
      <c r="E17" t="s">
        <v>11</v>
      </c>
    </row>
    <row r="18" spans="1:5" x14ac:dyDescent="0.4">
      <c r="A18">
        <v>5.4</v>
      </c>
      <c r="B18">
        <v>3.9</v>
      </c>
      <c r="C18">
        <v>1.3</v>
      </c>
      <c r="D18">
        <v>0.4</v>
      </c>
      <c r="E18" t="s">
        <v>11</v>
      </c>
    </row>
    <row r="19" spans="1:5" x14ac:dyDescent="0.4">
      <c r="A19">
        <v>5.0999999999999996</v>
      </c>
      <c r="B19">
        <v>3.5</v>
      </c>
      <c r="C19">
        <v>1.4</v>
      </c>
      <c r="D19">
        <v>0.3</v>
      </c>
      <c r="E19" t="s">
        <v>11</v>
      </c>
    </row>
    <row r="20" spans="1:5" x14ac:dyDescent="0.4">
      <c r="A20">
        <v>5.7</v>
      </c>
      <c r="B20">
        <v>3.8</v>
      </c>
      <c r="C20">
        <v>1.7</v>
      </c>
      <c r="D20">
        <v>0.3</v>
      </c>
      <c r="E20" t="s">
        <v>11</v>
      </c>
    </row>
    <row r="21" spans="1:5" x14ac:dyDescent="0.4">
      <c r="A21">
        <v>5.0999999999999996</v>
      </c>
      <c r="B21">
        <v>3.8</v>
      </c>
      <c r="C21">
        <v>1.5</v>
      </c>
      <c r="D21">
        <v>0.3</v>
      </c>
      <c r="E21" t="s">
        <v>11</v>
      </c>
    </row>
    <row r="22" spans="1:5" x14ac:dyDescent="0.4">
      <c r="A22">
        <v>5.4</v>
      </c>
      <c r="B22">
        <v>3.4</v>
      </c>
      <c r="C22">
        <v>1.7</v>
      </c>
      <c r="D22">
        <v>0.2</v>
      </c>
      <c r="E22" t="s">
        <v>11</v>
      </c>
    </row>
    <row r="23" spans="1:5" x14ac:dyDescent="0.4">
      <c r="A23">
        <v>5.0999999999999996</v>
      </c>
      <c r="B23">
        <v>3.7</v>
      </c>
      <c r="C23">
        <v>1.5</v>
      </c>
      <c r="D23">
        <v>0.4</v>
      </c>
      <c r="E23" t="s">
        <v>11</v>
      </c>
    </row>
    <row r="24" spans="1:5" x14ac:dyDescent="0.4">
      <c r="A24">
        <v>4.5999999999999996</v>
      </c>
      <c r="B24">
        <v>3.6</v>
      </c>
      <c r="C24">
        <v>1</v>
      </c>
      <c r="D24">
        <v>0.2</v>
      </c>
      <c r="E24" t="s">
        <v>11</v>
      </c>
    </row>
    <row r="25" spans="1:5" x14ac:dyDescent="0.4">
      <c r="A25">
        <v>5.0999999999999996</v>
      </c>
      <c r="B25">
        <v>3.3</v>
      </c>
      <c r="C25">
        <v>1.7</v>
      </c>
      <c r="D25">
        <v>0.5</v>
      </c>
      <c r="E25" t="s">
        <v>11</v>
      </c>
    </row>
    <row r="26" spans="1:5" x14ac:dyDescent="0.4">
      <c r="A26">
        <v>4.8</v>
      </c>
      <c r="B26">
        <v>3.4</v>
      </c>
      <c r="C26">
        <v>1.9</v>
      </c>
      <c r="D26">
        <v>0.2</v>
      </c>
      <c r="E26" t="s">
        <v>11</v>
      </c>
    </row>
    <row r="27" spans="1:5" x14ac:dyDescent="0.4">
      <c r="A27">
        <v>5</v>
      </c>
      <c r="B27">
        <v>3</v>
      </c>
      <c r="C27">
        <v>1.6</v>
      </c>
      <c r="D27">
        <v>0.2</v>
      </c>
      <c r="E27" t="s">
        <v>11</v>
      </c>
    </row>
    <row r="28" spans="1:5" x14ac:dyDescent="0.4">
      <c r="A28">
        <v>5</v>
      </c>
      <c r="B28">
        <v>3.4</v>
      </c>
      <c r="C28">
        <v>1.6</v>
      </c>
      <c r="D28">
        <v>0.4</v>
      </c>
      <c r="E28" t="s">
        <v>11</v>
      </c>
    </row>
    <row r="29" spans="1:5" x14ac:dyDescent="0.4">
      <c r="A29">
        <v>5.2</v>
      </c>
      <c r="B29">
        <v>3.5</v>
      </c>
      <c r="C29">
        <v>1.5</v>
      </c>
      <c r="D29">
        <v>0.2</v>
      </c>
      <c r="E29" t="s">
        <v>11</v>
      </c>
    </row>
    <row r="30" spans="1:5" x14ac:dyDescent="0.4">
      <c r="A30">
        <v>5.2</v>
      </c>
      <c r="B30">
        <v>3.4</v>
      </c>
      <c r="C30">
        <v>1.4</v>
      </c>
      <c r="D30">
        <v>0.2</v>
      </c>
      <c r="E30" t="s">
        <v>11</v>
      </c>
    </row>
    <row r="31" spans="1:5" x14ac:dyDescent="0.4">
      <c r="A31">
        <v>4.7</v>
      </c>
      <c r="B31">
        <v>3.2</v>
      </c>
      <c r="C31">
        <v>1.6</v>
      </c>
      <c r="D31">
        <v>0.2</v>
      </c>
      <c r="E31" t="s">
        <v>11</v>
      </c>
    </row>
    <row r="32" spans="1:5" x14ac:dyDescent="0.4">
      <c r="A32">
        <v>4.8</v>
      </c>
      <c r="B32">
        <v>3.1</v>
      </c>
      <c r="C32">
        <v>1.6</v>
      </c>
      <c r="D32">
        <v>0.2</v>
      </c>
      <c r="E32" t="s">
        <v>11</v>
      </c>
    </row>
    <row r="33" spans="1:9" x14ac:dyDescent="0.4">
      <c r="A33">
        <v>5.4</v>
      </c>
      <c r="B33">
        <v>3.4</v>
      </c>
      <c r="C33">
        <v>1.5</v>
      </c>
      <c r="D33">
        <v>0.4</v>
      </c>
      <c r="E33" t="s">
        <v>11</v>
      </c>
    </row>
    <row r="34" spans="1:9" x14ac:dyDescent="0.4">
      <c r="A34">
        <v>5.2</v>
      </c>
      <c r="B34">
        <v>4.0999999999999996</v>
      </c>
      <c r="C34">
        <v>1.5</v>
      </c>
      <c r="D34">
        <v>0.1</v>
      </c>
      <c r="E34" t="s">
        <v>11</v>
      </c>
    </row>
    <row r="35" spans="1:9" x14ac:dyDescent="0.4">
      <c r="A35">
        <v>5.5</v>
      </c>
      <c r="B35">
        <v>4.2</v>
      </c>
      <c r="C35">
        <v>1.4</v>
      </c>
      <c r="D35">
        <v>0.2</v>
      </c>
      <c r="E35" t="s">
        <v>11</v>
      </c>
    </row>
    <row r="36" spans="1:9" ht="18.75" customHeight="1" x14ac:dyDescent="0.4">
      <c r="A36">
        <v>4.9000000000000004</v>
      </c>
      <c r="B36">
        <v>3.1</v>
      </c>
      <c r="C36">
        <v>1.5</v>
      </c>
      <c r="D36">
        <v>0.2</v>
      </c>
      <c r="E36" t="s">
        <v>11</v>
      </c>
      <c r="I36" s="4" t="s">
        <v>13</v>
      </c>
    </row>
    <row r="37" spans="1:9" x14ac:dyDescent="0.4">
      <c r="A37">
        <v>5</v>
      </c>
      <c r="B37">
        <v>3.2</v>
      </c>
      <c r="C37">
        <v>1.2</v>
      </c>
      <c r="D37">
        <v>0.2</v>
      </c>
      <c r="E37" t="s">
        <v>11</v>
      </c>
    </row>
    <row r="38" spans="1:9" x14ac:dyDescent="0.4">
      <c r="A38">
        <v>5.5</v>
      </c>
      <c r="B38">
        <v>3.5</v>
      </c>
      <c r="C38">
        <v>1.3</v>
      </c>
      <c r="D38">
        <v>0.2</v>
      </c>
      <c r="E38" t="s">
        <v>11</v>
      </c>
    </row>
    <row r="39" spans="1:9" x14ac:dyDescent="0.4">
      <c r="A39">
        <v>4.9000000000000004</v>
      </c>
      <c r="B39">
        <v>3.6</v>
      </c>
      <c r="C39">
        <v>1.4</v>
      </c>
      <c r="D39">
        <v>0.1</v>
      </c>
      <c r="E39" t="s">
        <v>11</v>
      </c>
    </row>
    <row r="40" spans="1:9" x14ac:dyDescent="0.4">
      <c r="A40">
        <v>4.4000000000000004</v>
      </c>
      <c r="B40">
        <v>3</v>
      </c>
      <c r="C40">
        <v>1.3</v>
      </c>
      <c r="D40">
        <v>0.2</v>
      </c>
      <c r="E40" t="s">
        <v>11</v>
      </c>
    </row>
    <row r="41" spans="1:9" x14ac:dyDescent="0.4">
      <c r="A41">
        <v>5.0999999999999996</v>
      </c>
      <c r="B41">
        <v>3.4</v>
      </c>
      <c r="C41">
        <v>1.5</v>
      </c>
      <c r="D41">
        <v>0.2</v>
      </c>
      <c r="E41" t="s">
        <v>11</v>
      </c>
    </row>
    <row r="42" spans="1:9" x14ac:dyDescent="0.4">
      <c r="A42">
        <v>5</v>
      </c>
      <c r="B42">
        <v>3.5</v>
      </c>
      <c r="C42">
        <v>1.3</v>
      </c>
      <c r="D42">
        <v>0.3</v>
      </c>
      <c r="E42" t="s">
        <v>11</v>
      </c>
    </row>
    <row r="43" spans="1:9" x14ac:dyDescent="0.4">
      <c r="A43">
        <v>4.5</v>
      </c>
      <c r="B43">
        <v>2.2999999999999998</v>
      </c>
      <c r="C43">
        <v>1.3</v>
      </c>
      <c r="D43">
        <v>0.3</v>
      </c>
      <c r="E43" t="s">
        <v>11</v>
      </c>
    </row>
    <row r="44" spans="1:9" x14ac:dyDescent="0.4">
      <c r="A44">
        <v>4.4000000000000004</v>
      </c>
      <c r="B44">
        <v>3.2</v>
      </c>
      <c r="C44">
        <v>1.3</v>
      </c>
      <c r="D44">
        <v>0.2</v>
      </c>
      <c r="E44" t="s">
        <v>11</v>
      </c>
    </row>
    <row r="45" spans="1:9" x14ac:dyDescent="0.4">
      <c r="A45">
        <v>5</v>
      </c>
      <c r="B45">
        <v>3.5</v>
      </c>
      <c r="C45">
        <v>1.6</v>
      </c>
      <c r="D45">
        <v>0.6</v>
      </c>
      <c r="E45" t="s">
        <v>11</v>
      </c>
    </row>
    <row r="46" spans="1:9" x14ac:dyDescent="0.4">
      <c r="A46">
        <v>5.0999999999999996</v>
      </c>
      <c r="B46">
        <v>3.8</v>
      </c>
      <c r="C46">
        <v>1.9</v>
      </c>
      <c r="D46">
        <v>0.4</v>
      </c>
      <c r="E46" t="s">
        <v>11</v>
      </c>
    </row>
    <row r="47" spans="1:9" x14ac:dyDescent="0.4">
      <c r="A47">
        <v>4.8</v>
      </c>
      <c r="B47">
        <v>3</v>
      </c>
      <c r="C47">
        <v>1.4</v>
      </c>
      <c r="D47">
        <v>0.3</v>
      </c>
      <c r="E47" t="s">
        <v>11</v>
      </c>
    </row>
    <row r="48" spans="1:9" x14ac:dyDescent="0.4">
      <c r="A48">
        <v>5.0999999999999996</v>
      </c>
      <c r="B48">
        <v>3.8</v>
      </c>
      <c r="C48">
        <v>1.6</v>
      </c>
      <c r="D48">
        <v>0.2</v>
      </c>
      <c r="E48" t="s">
        <v>11</v>
      </c>
    </row>
    <row r="49" spans="1:10" x14ac:dyDescent="0.4">
      <c r="A49">
        <v>4.5999999999999996</v>
      </c>
      <c r="B49">
        <v>3.2</v>
      </c>
      <c r="C49">
        <v>1.4</v>
      </c>
      <c r="D49">
        <v>0.2</v>
      </c>
      <c r="E49" t="s">
        <v>11</v>
      </c>
    </row>
    <row r="50" spans="1:10" x14ac:dyDescent="0.4">
      <c r="A50">
        <v>5.3</v>
      </c>
      <c r="B50">
        <v>3.7</v>
      </c>
      <c r="C50">
        <v>1.5</v>
      </c>
      <c r="D50">
        <v>0.2</v>
      </c>
      <c r="E50" t="s">
        <v>11</v>
      </c>
    </row>
    <row r="51" spans="1:10" x14ac:dyDescent="0.4">
      <c r="A51">
        <v>5</v>
      </c>
      <c r="B51">
        <v>3.3</v>
      </c>
      <c r="C51">
        <v>1.4</v>
      </c>
      <c r="D51">
        <v>0.2</v>
      </c>
      <c r="E51" t="s">
        <v>11</v>
      </c>
    </row>
    <row r="52" spans="1:10" x14ac:dyDescent="0.4">
      <c r="A52">
        <v>7</v>
      </c>
      <c r="B52">
        <v>3.2</v>
      </c>
      <c r="C52">
        <v>4.7</v>
      </c>
      <c r="D52">
        <v>1.4</v>
      </c>
      <c r="E52" t="s">
        <v>10</v>
      </c>
    </row>
    <row r="53" spans="1:10" x14ac:dyDescent="0.4">
      <c r="A53">
        <v>6.4</v>
      </c>
      <c r="B53">
        <v>3.2</v>
      </c>
      <c r="C53">
        <v>4.5</v>
      </c>
      <c r="D53">
        <v>1.5</v>
      </c>
      <c r="E53" t="s">
        <v>10</v>
      </c>
    </row>
    <row r="54" spans="1:10" x14ac:dyDescent="0.4">
      <c r="A54">
        <v>6.9</v>
      </c>
      <c r="B54">
        <v>3.1</v>
      </c>
      <c r="C54">
        <v>4.9000000000000004</v>
      </c>
      <c r="D54">
        <v>1.5</v>
      </c>
      <c r="E54" t="s">
        <v>10</v>
      </c>
    </row>
    <row r="55" spans="1:10" ht="24" x14ac:dyDescent="0.4">
      <c r="A55">
        <v>5.5</v>
      </c>
      <c r="B55">
        <v>2.2999999999999998</v>
      </c>
      <c r="C55">
        <v>4</v>
      </c>
      <c r="D55">
        <v>1.3</v>
      </c>
      <c r="E55" t="s">
        <v>10</v>
      </c>
      <c r="J55" s="4" t="s">
        <v>22</v>
      </c>
    </row>
    <row r="56" spans="1:10" x14ac:dyDescent="0.4">
      <c r="A56">
        <v>6.5</v>
      </c>
      <c r="B56">
        <v>2.8</v>
      </c>
      <c r="C56">
        <v>4.5999999999999996</v>
      </c>
      <c r="D56">
        <v>1.5</v>
      </c>
      <c r="E56" t="s">
        <v>10</v>
      </c>
    </row>
    <row r="57" spans="1:10" x14ac:dyDescent="0.4">
      <c r="A57">
        <v>5.7</v>
      </c>
      <c r="B57">
        <v>2.8</v>
      </c>
      <c r="C57">
        <v>4.5</v>
      </c>
      <c r="D57">
        <v>1.3</v>
      </c>
      <c r="E57" t="s">
        <v>10</v>
      </c>
    </row>
    <row r="58" spans="1:10" x14ac:dyDescent="0.4">
      <c r="A58">
        <v>6.3</v>
      </c>
      <c r="B58">
        <v>3.3</v>
      </c>
      <c r="C58">
        <v>4.7</v>
      </c>
      <c r="D58">
        <v>1.6</v>
      </c>
      <c r="E58" t="s">
        <v>10</v>
      </c>
    </row>
    <row r="59" spans="1:10" x14ac:dyDescent="0.4">
      <c r="A59">
        <v>4.9000000000000004</v>
      </c>
      <c r="B59">
        <v>2.4</v>
      </c>
      <c r="C59">
        <v>3.3</v>
      </c>
      <c r="D59">
        <v>1</v>
      </c>
      <c r="E59" t="s">
        <v>10</v>
      </c>
    </row>
    <row r="60" spans="1:10" x14ac:dyDescent="0.4">
      <c r="A60">
        <v>6.6</v>
      </c>
      <c r="B60">
        <v>2.9</v>
      </c>
      <c r="C60">
        <v>4.5999999999999996</v>
      </c>
      <c r="D60">
        <v>1.3</v>
      </c>
      <c r="E60" t="s">
        <v>10</v>
      </c>
    </row>
    <row r="61" spans="1:10" x14ac:dyDescent="0.4">
      <c r="A61">
        <v>5.2</v>
      </c>
      <c r="B61">
        <v>2.7</v>
      </c>
      <c r="C61">
        <v>3.9</v>
      </c>
      <c r="D61">
        <v>1.4</v>
      </c>
      <c r="E61" t="s">
        <v>10</v>
      </c>
    </row>
    <row r="62" spans="1:10" x14ac:dyDescent="0.4">
      <c r="A62">
        <v>5</v>
      </c>
      <c r="B62">
        <v>2</v>
      </c>
      <c r="C62">
        <v>3.5</v>
      </c>
      <c r="D62">
        <v>1</v>
      </c>
      <c r="E62" t="s">
        <v>10</v>
      </c>
    </row>
    <row r="63" spans="1:10" x14ac:dyDescent="0.4">
      <c r="A63">
        <v>5.9</v>
      </c>
      <c r="B63">
        <v>3</v>
      </c>
      <c r="C63">
        <v>4.2</v>
      </c>
      <c r="D63">
        <v>1.5</v>
      </c>
      <c r="E63" t="s">
        <v>10</v>
      </c>
    </row>
    <row r="64" spans="1:10" x14ac:dyDescent="0.4">
      <c r="A64">
        <v>6</v>
      </c>
      <c r="B64">
        <v>2.2000000000000002</v>
      </c>
      <c r="C64">
        <v>4</v>
      </c>
      <c r="D64">
        <v>1</v>
      </c>
      <c r="E64" t="s">
        <v>10</v>
      </c>
    </row>
    <row r="65" spans="1:5" x14ac:dyDescent="0.4">
      <c r="A65">
        <v>6.1</v>
      </c>
      <c r="B65">
        <v>2.9</v>
      </c>
      <c r="C65">
        <v>4.7</v>
      </c>
      <c r="D65">
        <v>1.4</v>
      </c>
      <c r="E65" t="s">
        <v>10</v>
      </c>
    </row>
    <row r="66" spans="1:5" x14ac:dyDescent="0.4">
      <c r="A66">
        <v>5.6</v>
      </c>
      <c r="B66">
        <v>2.9</v>
      </c>
      <c r="C66">
        <v>3.6</v>
      </c>
      <c r="D66">
        <v>1.3</v>
      </c>
      <c r="E66" t="s">
        <v>10</v>
      </c>
    </row>
    <row r="67" spans="1:5" x14ac:dyDescent="0.4">
      <c r="A67">
        <v>6.7</v>
      </c>
      <c r="B67">
        <v>3.1</v>
      </c>
      <c r="C67">
        <v>4.4000000000000004</v>
      </c>
      <c r="D67">
        <v>1.4</v>
      </c>
      <c r="E67" t="s">
        <v>10</v>
      </c>
    </row>
    <row r="68" spans="1:5" x14ac:dyDescent="0.4">
      <c r="A68">
        <v>5.6</v>
      </c>
      <c r="B68">
        <v>3</v>
      </c>
      <c r="C68">
        <v>4.5</v>
      </c>
      <c r="D68">
        <v>1.5</v>
      </c>
      <c r="E68" t="s">
        <v>10</v>
      </c>
    </row>
    <row r="69" spans="1:5" x14ac:dyDescent="0.4">
      <c r="A69">
        <v>5.8</v>
      </c>
      <c r="B69">
        <v>2.7</v>
      </c>
      <c r="C69">
        <v>4.0999999999999996</v>
      </c>
      <c r="D69">
        <v>1</v>
      </c>
      <c r="E69" t="s">
        <v>10</v>
      </c>
    </row>
    <row r="70" spans="1:5" x14ac:dyDescent="0.4">
      <c r="A70">
        <v>6.2</v>
      </c>
      <c r="B70">
        <v>2.2000000000000002</v>
      </c>
      <c r="C70">
        <v>4.5</v>
      </c>
      <c r="D70">
        <v>1.5</v>
      </c>
      <c r="E70" t="s">
        <v>10</v>
      </c>
    </row>
    <row r="71" spans="1:5" x14ac:dyDescent="0.4">
      <c r="A71">
        <v>5.6</v>
      </c>
      <c r="B71">
        <v>2.5</v>
      </c>
      <c r="C71">
        <v>3.9</v>
      </c>
      <c r="D71">
        <v>1.1000000000000001</v>
      </c>
      <c r="E71" t="s">
        <v>10</v>
      </c>
    </row>
    <row r="72" spans="1:5" x14ac:dyDescent="0.4">
      <c r="A72">
        <v>5.9</v>
      </c>
      <c r="B72">
        <v>3.2</v>
      </c>
      <c r="C72">
        <v>4.8</v>
      </c>
      <c r="D72">
        <v>1.8</v>
      </c>
      <c r="E72" t="s">
        <v>10</v>
      </c>
    </row>
    <row r="73" spans="1:5" x14ac:dyDescent="0.4">
      <c r="A73">
        <v>6.1</v>
      </c>
      <c r="B73">
        <v>2.8</v>
      </c>
      <c r="C73">
        <v>4</v>
      </c>
      <c r="D73">
        <v>1.3</v>
      </c>
      <c r="E73" t="s">
        <v>10</v>
      </c>
    </row>
    <row r="74" spans="1:5" x14ac:dyDescent="0.4">
      <c r="A74">
        <v>6.3</v>
      </c>
      <c r="B74">
        <v>2.5</v>
      </c>
      <c r="C74">
        <v>4.9000000000000004</v>
      </c>
      <c r="D74">
        <v>1.5</v>
      </c>
      <c r="E74" t="s">
        <v>10</v>
      </c>
    </row>
    <row r="75" spans="1:5" x14ac:dyDescent="0.4">
      <c r="A75">
        <v>6.1</v>
      </c>
      <c r="B75">
        <v>2.8</v>
      </c>
      <c r="C75">
        <v>4.7</v>
      </c>
      <c r="D75">
        <v>1.2</v>
      </c>
      <c r="E75" t="s">
        <v>10</v>
      </c>
    </row>
    <row r="76" spans="1:5" x14ac:dyDescent="0.4">
      <c r="A76">
        <v>6.4</v>
      </c>
      <c r="B76">
        <v>2.9</v>
      </c>
      <c r="C76">
        <v>4.3</v>
      </c>
      <c r="D76">
        <v>1.3</v>
      </c>
      <c r="E76" t="s">
        <v>10</v>
      </c>
    </row>
    <row r="77" spans="1:5" x14ac:dyDescent="0.4">
      <c r="A77">
        <v>6.6</v>
      </c>
      <c r="B77">
        <v>3</v>
      </c>
      <c r="C77">
        <v>4.4000000000000004</v>
      </c>
      <c r="D77">
        <v>1.4</v>
      </c>
      <c r="E77" t="s">
        <v>10</v>
      </c>
    </row>
    <row r="78" spans="1:5" x14ac:dyDescent="0.4">
      <c r="A78">
        <v>6.8</v>
      </c>
      <c r="B78">
        <v>2.8</v>
      </c>
      <c r="C78">
        <v>4.8</v>
      </c>
      <c r="D78">
        <v>1.4</v>
      </c>
      <c r="E78" t="s">
        <v>10</v>
      </c>
    </row>
    <row r="79" spans="1:5" x14ac:dyDescent="0.4">
      <c r="A79">
        <v>6.7</v>
      </c>
      <c r="B79">
        <v>3</v>
      </c>
      <c r="C79">
        <v>5</v>
      </c>
      <c r="D79">
        <v>1.7</v>
      </c>
      <c r="E79" t="s">
        <v>10</v>
      </c>
    </row>
    <row r="80" spans="1:5" x14ac:dyDescent="0.4">
      <c r="A80">
        <v>6</v>
      </c>
      <c r="B80">
        <v>2.9</v>
      </c>
      <c r="C80">
        <v>4.5</v>
      </c>
      <c r="D80">
        <v>1.5</v>
      </c>
      <c r="E80" t="s">
        <v>10</v>
      </c>
    </row>
    <row r="81" spans="1:5" x14ac:dyDescent="0.4">
      <c r="A81">
        <v>5.7</v>
      </c>
      <c r="B81">
        <v>2.6</v>
      </c>
      <c r="C81">
        <v>3.5</v>
      </c>
      <c r="D81">
        <v>1</v>
      </c>
      <c r="E81" t="s">
        <v>10</v>
      </c>
    </row>
    <row r="82" spans="1:5" x14ac:dyDescent="0.4">
      <c r="A82">
        <v>5.5</v>
      </c>
      <c r="B82">
        <v>2.4</v>
      </c>
      <c r="C82">
        <v>3.8</v>
      </c>
      <c r="D82">
        <v>1.1000000000000001</v>
      </c>
      <c r="E82" t="s">
        <v>10</v>
      </c>
    </row>
    <row r="83" spans="1:5" x14ac:dyDescent="0.4">
      <c r="A83">
        <v>5.5</v>
      </c>
      <c r="B83">
        <v>2.4</v>
      </c>
      <c r="C83">
        <v>3.7</v>
      </c>
      <c r="D83">
        <v>1</v>
      </c>
      <c r="E83" t="s">
        <v>10</v>
      </c>
    </row>
    <row r="84" spans="1:5" x14ac:dyDescent="0.4">
      <c r="A84">
        <v>5.8</v>
      </c>
      <c r="B84">
        <v>2.7</v>
      </c>
      <c r="C84">
        <v>3.9</v>
      </c>
      <c r="D84">
        <v>1.2</v>
      </c>
      <c r="E84" t="s">
        <v>10</v>
      </c>
    </row>
    <row r="85" spans="1:5" x14ac:dyDescent="0.4">
      <c r="A85">
        <v>6</v>
      </c>
      <c r="B85">
        <v>2.7</v>
      </c>
      <c r="C85">
        <v>5.0999999999999996</v>
      </c>
      <c r="D85">
        <v>1.6</v>
      </c>
      <c r="E85" t="s">
        <v>10</v>
      </c>
    </row>
    <row r="86" spans="1:5" x14ac:dyDescent="0.4">
      <c r="A86">
        <v>5.4</v>
      </c>
      <c r="B86">
        <v>3</v>
      </c>
      <c r="C86">
        <v>4.5</v>
      </c>
      <c r="D86">
        <v>1.5</v>
      </c>
      <c r="E86" t="s">
        <v>10</v>
      </c>
    </row>
    <row r="87" spans="1:5" x14ac:dyDescent="0.4">
      <c r="A87">
        <v>6</v>
      </c>
      <c r="B87">
        <v>3.4</v>
      </c>
      <c r="C87">
        <v>4.5</v>
      </c>
      <c r="D87">
        <v>1.6</v>
      </c>
      <c r="E87" t="s">
        <v>10</v>
      </c>
    </row>
    <row r="88" spans="1:5" x14ac:dyDescent="0.4">
      <c r="A88">
        <v>6.7</v>
      </c>
      <c r="B88">
        <v>3.1</v>
      </c>
      <c r="C88">
        <v>4.7</v>
      </c>
      <c r="D88">
        <v>1.5</v>
      </c>
      <c r="E88" t="s">
        <v>10</v>
      </c>
    </row>
    <row r="89" spans="1:5" x14ac:dyDescent="0.4">
      <c r="A89">
        <v>6.3</v>
      </c>
      <c r="B89">
        <v>2.2999999999999998</v>
      </c>
      <c r="C89">
        <v>4.4000000000000004</v>
      </c>
      <c r="D89">
        <v>1.3</v>
      </c>
      <c r="E89" t="s">
        <v>10</v>
      </c>
    </row>
    <row r="90" spans="1:5" x14ac:dyDescent="0.4">
      <c r="A90">
        <v>5.6</v>
      </c>
      <c r="B90">
        <v>3</v>
      </c>
      <c r="C90">
        <v>4.0999999999999996</v>
      </c>
      <c r="D90">
        <v>1.3</v>
      </c>
      <c r="E90" t="s">
        <v>10</v>
      </c>
    </row>
    <row r="91" spans="1:5" x14ac:dyDescent="0.4">
      <c r="A91">
        <v>5.5</v>
      </c>
      <c r="B91">
        <v>2.5</v>
      </c>
      <c r="C91">
        <v>4</v>
      </c>
      <c r="D91">
        <v>1.3</v>
      </c>
      <c r="E91" t="s">
        <v>10</v>
      </c>
    </row>
    <row r="92" spans="1:5" x14ac:dyDescent="0.4">
      <c r="A92">
        <v>5.5</v>
      </c>
      <c r="B92">
        <v>2.6</v>
      </c>
      <c r="C92">
        <v>4.4000000000000004</v>
      </c>
      <c r="D92">
        <v>1.2</v>
      </c>
      <c r="E92" t="s">
        <v>10</v>
      </c>
    </row>
    <row r="93" spans="1:5" x14ac:dyDescent="0.4">
      <c r="A93">
        <v>6.1</v>
      </c>
      <c r="B93">
        <v>3</v>
      </c>
      <c r="C93">
        <v>4.5999999999999996</v>
      </c>
      <c r="D93">
        <v>1.4</v>
      </c>
      <c r="E93" t="s">
        <v>10</v>
      </c>
    </row>
    <row r="94" spans="1:5" x14ac:dyDescent="0.4">
      <c r="A94">
        <v>5.8</v>
      </c>
      <c r="B94">
        <v>2.6</v>
      </c>
      <c r="C94">
        <v>4</v>
      </c>
      <c r="D94">
        <v>1.2</v>
      </c>
      <c r="E94" t="s">
        <v>10</v>
      </c>
    </row>
    <row r="95" spans="1:5" x14ac:dyDescent="0.4">
      <c r="A95">
        <v>5</v>
      </c>
      <c r="B95">
        <v>2.2999999999999998</v>
      </c>
      <c r="C95">
        <v>3.3</v>
      </c>
      <c r="D95">
        <v>1</v>
      </c>
      <c r="E95" t="s">
        <v>10</v>
      </c>
    </row>
    <row r="96" spans="1:5" x14ac:dyDescent="0.4">
      <c r="A96">
        <v>5.6</v>
      </c>
      <c r="B96">
        <v>2.7</v>
      </c>
      <c r="C96">
        <v>4.2</v>
      </c>
      <c r="D96">
        <v>1.3</v>
      </c>
      <c r="E96" t="s">
        <v>10</v>
      </c>
    </row>
    <row r="97" spans="1:5" x14ac:dyDescent="0.4">
      <c r="A97">
        <v>5.7</v>
      </c>
      <c r="B97">
        <v>3</v>
      </c>
      <c r="C97">
        <v>4.2</v>
      </c>
      <c r="D97">
        <v>1.2</v>
      </c>
      <c r="E97" t="s">
        <v>10</v>
      </c>
    </row>
    <row r="98" spans="1:5" x14ac:dyDescent="0.4">
      <c r="A98">
        <v>5.7</v>
      </c>
      <c r="B98">
        <v>2.9</v>
      </c>
      <c r="C98">
        <v>4.2</v>
      </c>
      <c r="D98">
        <v>1.3</v>
      </c>
      <c r="E98" t="s">
        <v>10</v>
      </c>
    </row>
    <row r="99" spans="1:5" x14ac:dyDescent="0.4">
      <c r="A99">
        <v>6.2</v>
      </c>
      <c r="B99">
        <v>2.9</v>
      </c>
      <c r="C99">
        <v>4.3</v>
      </c>
      <c r="D99">
        <v>1.3</v>
      </c>
      <c r="E99" t="s">
        <v>10</v>
      </c>
    </row>
    <row r="100" spans="1:5" x14ac:dyDescent="0.4">
      <c r="A100">
        <v>5.0999999999999996</v>
      </c>
      <c r="B100">
        <v>2.5</v>
      </c>
      <c r="C100">
        <v>3</v>
      </c>
      <c r="D100">
        <v>1.1000000000000001</v>
      </c>
      <c r="E100" t="s">
        <v>10</v>
      </c>
    </row>
    <row r="101" spans="1:5" x14ac:dyDescent="0.4">
      <c r="A101">
        <v>5.7</v>
      </c>
      <c r="B101">
        <v>2.8</v>
      </c>
      <c r="C101">
        <v>4.0999999999999996</v>
      </c>
      <c r="D101">
        <v>1.3</v>
      </c>
      <c r="E101" t="s">
        <v>10</v>
      </c>
    </row>
    <row r="102" spans="1:5" x14ac:dyDescent="0.4">
      <c r="A102">
        <v>6.3</v>
      </c>
      <c r="B102">
        <v>3.3</v>
      </c>
      <c r="C102">
        <v>6</v>
      </c>
      <c r="D102">
        <v>2.5</v>
      </c>
      <c r="E102" t="s">
        <v>9</v>
      </c>
    </row>
    <row r="103" spans="1:5" x14ac:dyDescent="0.4">
      <c r="A103">
        <v>5.8</v>
      </c>
      <c r="B103">
        <v>2.7</v>
      </c>
      <c r="C103">
        <v>5.0999999999999996</v>
      </c>
      <c r="D103">
        <v>1.9</v>
      </c>
      <c r="E103" t="s">
        <v>9</v>
      </c>
    </row>
    <row r="104" spans="1:5" x14ac:dyDescent="0.4">
      <c r="A104">
        <v>7.1</v>
      </c>
      <c r="B104">
        <v>3</v>
      </c>
      <c r="C104">
        <v>5.9</v>
      </c>
      <c r="D104">
        <v>2.1</v>
      </c>
      <c r="E104" t="s">
        <v>9</v>
      </c>
    </row>
    <row r="105" spans="1:5" x14ac:dyDescent="0.4">
      <c r="A105">
        <v>6.3</v>
      </c>
      <c r="B105">
        <v>2.9</v>
      </c>
      <c r="C105">
        <v>5.6</v>
      </c>
      <c r="D105">
        <v>1.8</v>
      </c>
      <c r="E105" t="s">
        <v>9</v>
      </c>
    </row>
    <row r="106" spans="1:5" x14ac:dyDescent="0.4">
      <c r="A106">
        <v>6.5</v>
      </c>
      <c r="B106">
        <v>3</v>
      </c>
      <c r="C106">
        <v>5.8</v>
      </c>
      <c r="D106">
        <v>2.2000000000000002</v>
      </c>
      <c r="E106" t="s">
        <v>9</v>
      </c>
    </row>
    <row r="107" spans="1:5" x14ac:dyDescent="0.4">
      <c r="A107">
        <v>7.6</v>
      </c>
      <c r="B107">
        <v>3</v>
      </c>
      <c r="C107">
        <v>6.6</v>
      </c>
      <c r="D107">
        <v>2.1</v>
      </c>
      <c r="E107" t="s">
        <v>9</v>
      </c>
    </row>
    <row r="108" spans="1:5" x14ac:dyDescent="0.4">
      <c r="A108">
        <v>4.9000000000000004</v>
      </c>
      <c r="B108">
        <v>2.5</v>
      </c>
      <c r="C108">
        <v>4.5</v>
      </c>
      <c r="D108">
        <v>1.7</v>
      </c>
      <c r="E108" t="s">
        <v>9</v>
      </c>
    </row>
    <row r="109" spans="1:5" x14ac:dyDescent="0.4">
      <c r="A109">
        <v>7.3</v>
      </c>
      <c r="B109">
        <v>2.9</v>
      </c>
      <c r="C109">
        <v>6.3</v>
      </c>
      <c r="D109">
        <v>1.8</v>
      </c>
      <c r="E109" t="s">
        <v>9</v>
      </c>
    </row>
    <row r="110" spans="1:5" x14ac:dyDescent="0.4">
      <c r="A110">
        <v>6.7</v>
      </c>
      <c r="B110">
        <v>2.5</v>
      </c>
      <c r="C110">
        <v>5.8</v>
      </c>
      <c r="D110">
        <v>1.8</v>
      </c>
      <c r="E110" t="s">
        <v>9</v>
      </c>
    </row>
    <row r="111" spans="1:5" x14ac:dyDescent="0.4">
      <c r="A111">
        <v>7.2</v>
      </c>
      <c r="B111">
        <v>3.6</v>
      </c>
      <c r="C111">
        <v>6.1</v>
      </c>
      <c r="D111">
        <v>2.5</v>
      </c>
      <c r="E111" t="s">
        <v>9</v>
      </c>
    </row>
    <row r="112" spans="1:5" x14ac:dyDescent="0.4">
      <c r="A112">
        <v>6.5</v>
      </c>
      <c r="B112">
        <v>3.2</v>
      </c>
      <c r="C112">
        <v>5.0999999999999996</v>
      </c>
      <c r="D112">
        <v>2</v>
      </c>
      <c r="E112" t="s">
        <v>9</v>
      </c>
    </row>
    <row r="113" spans="1:5" x14ac:dyDescent="0.4">
      <c r="A113">
        <v>6.4</v>
      </c>
      <c r="B113">
        <v>2.7</v>
      </c>
      <c r="C113">
        <v>5.3</v>
      </c>
      <c r="D113">
        <v>1.9</v>
      </c>
      <c r="E113" t="s">
        <v>9</v>
      </c>
    </row>
    <row r="114" spans="1:5" x14ac:dyDescent="0.4">
      <c r="A114">
        <v>6.8</v>
      </c>
      <c r="B114">
        <v>3</v>
      </c>
      <c r="C114">
        <v>5.5</v>
      </c>
      <c r="D114">
        <v>2.1</v>
      </c>
      <c r="E114" t="s">
        <v>9</v>
      </c>
    </row>
    <row r="115" spans="1:5" x14ac:dyDescent="0.4">
      <c r="A115">
        <v>5.7</v>
      </c>
      <c r="B115">
        <v>2.5</v>
      </c>
      <c r="C115">
        <v>5</v>
      </c>
      <c r="D115">
        <v>2</v>
      </c>
      <c r="E115" t="s">
        <v>9</v>
      </c>
    </row>
    <row r="116" spans="1:5" x14ac:dyDescent="0.4">
      <c r="A116">
        <v>5.8</v>
      </c>
      <c r="B116">
        <v>2.8</v>
      </c>
      <c r="C116">
        <v>5.0999999999999996</v>
      </c>
      <c r="D116">
        <v>2.4</v>
      </c>
      <c r="E116" t="s">
        <v>9</v>
      </c>
    </row>
    <row r="117" spans="1:5" x14ac:dyDescent="0.4">
      <c r="A117">
        <v>6.4</v>
      </c>
      <c r="B117">
        <v>3.2</v>
      </c>
      <c r="C117">
        <v>5.3</v>
      </c>
      <c r="D117">
        <v>2.2999999999999998</v>
      </c>
      <c r="E117" t="s">
        <v>9</v>
      </c>
    </row>
    <row r="118" spans="1:5" x14ac:dyDescent="0.4">
      <c r="A118">
        <v>6.5</v>
      </c>
      <c r="B118">
        <v>3</v>
      </c>
      <c r="C118">
        <v>5.5</v>
      </c>
      <c r="D118">
        <v>1.8</v>
      </c>
      <c r="E118" t="s">
        <v>9</v>
      </c>
    </row>
    <row r="119" spans="1:5" x14ac:dyDescent="0.4">
      <c r="A119">
        <v>7.7</v>
      </c>
      <c r="B119">
        <v>3.8</v>
      </c>
      <c r="C119">
        <v>6.7</v>
      </c>
      <c r="D119">
        <v>2.2000000000000002</v>
      </c>
      <c r="E119" t="s">
        <v>9</v>
      </c>
    </row>
    <row r="120" spans="1:5" x14ac:dyDescent="0.4">
      <c r="A120">
        <v>7.7</v>
      </c>
      <c r="B120">
        <v>2.6</v>
      </c>
      <c r="C120">
        <v>6.9</v>
      </c>
      <c r="D120">
        <v>2.2999999999999998</v>
      </c>
      <c r="E120" t="s">
        <v>9</v>
      </c>
    </row>
    <row r="121" spans="1:5" x14ac:dyDescent="0.4">
      <c r="A121">
        <v>6</v>
      </c>
      <c r="B121">
        <v>2.2000000000000002</v>
      </c>
      <c r="C121">
        <v>5</v>
      </c>
      <c r="D121">
        <v>1.5</v>
      </c>
      <c r="E121" t="s">
        <v>9</v>
      </c>
    </row>
    <row r="122" spans="1:5" x14ac:dyDescent="0.4">
      <c r="A122">
        <v>6.9</v>
      </c>
      <c r="B122">
        <v>3.2</v>
      </c>
      <c r="C122">
        <v>5.7</v>
      </c>
      <c r="D122">
        <v>2.2999999999999998</v>
      </c>
      <c r="E122" t="s">
        <v>9</v>
      </c>
    </row>
    <row r="123" spans="1:5" x14ac:dyDescent="0.4">
      <c r="A123">
        <v>5.6</v>
      </c>
      <c r="B123">
        <v>2.8</v>
      </c>
      <c r="C123">
        <v>4.9000000000000004</v>
      </c>
      <c r="D123">
        <v>2</v>
      </c>
      <c r="E123" t="s">
        <v>9</v>
      </c>
    </row>
    <row r="124" spans="1:5" x14ac:dyDescent="0.4">
      <c r="A124">
        <v>7.7</v>
      </c>
      <c r="B124">
        <v>2.8</v>
      </c>
      <c r="C124">
        <v>6.7</v>
      </c>
      <c r="D124">
        <v>2</v>
      </c>
      <c r="E124" t="s">
        <v>9</v>
      </c>
    </row>
    <row r="125" spans="1:5" x14ac:dyDescent="0.4">
      <c r="A125">
        <v>6.3</v>
      </c>
      <c r="B125">
        <v>2.7</v>
      </c>
      <c r="C125">
        <v>4.9000000000000004</v>
      </c>
      <c r="D125">
        <v>1.8</v>
      </c>
      <c r="E125" t="s">
        <v>9</v>
      </c>
    </row>
    <row r="126" spans="1:5" x14ac:dyDescent="0.4">
      <c r="A126">
        <v>6.7</v>
      </c>
      <c r="B126">
        <v>3.3</v>
      </c>
      <c r="C126">
        <v>5.7</v>
      </c>
      <c r="D126">
        <v>2.1</v>
      </c>
      <c r="E126" t="s">
        <v>9</v>
      </c>
    </row>
    <row r="127" spans="1:5" x14ac:dyDescent="0.4">
      <c r="A127">
        <v>7.2</v>
      </c>
      <c r="B127">
        <v>3.2</v>
      </c>
      <c r="C127">
        <v>6</v>
      </c>
      <c r="D127">
        <v>1.8</v>
      </c>
      <c r="E127" t="s">
        <v>9</v>
      </c>
    </row>
    <row r="128" spans="1:5" x14ac:dyDescent="0.4">
      <c r="A128">
        <v>6.2</v>
      </c>
      <c r="B128">
        <v>2.8</v>
      </c>
      <c r="C128">
        <v>4.8</v>
      </c>
      <c r="D128">
        <v>1.8</v>
      </c>
      <c r="E128" t="s">
        <v>9</v>
      </c>
    </row>
    <row r="129" spans="1:5" x14ac:dyDescent="0.4">
      <c r="A129">
        <v>6.1</v>
      </c>
      <c r="B129">
        <v>3</v>
      </c>
      <c r="C129">
        <v>4.9000000000000004</v>
      </c>
      <c r="D129">
        <v>1.8</v>
      </c>
      <c r="E129" t="s">
        <v>9</v>
      </c>
    </row>
    <row r="130" spans="1:5" x14ac:dyDescent="0.4">
      <c r="A130">
        <v>6.4</v>
      </c>
      <c r="B130">
        <v>2.8</v>
      </c>
      <c r="C130">
        <v>5.6</v>
      </c>
      <c r="D130">
        <v>2.1</v>
      </c>
      <c r="E130" t="s">
        <v>9</v>
      </c>
    </row>
    <row r="131" spans="1:5" x14ac:dyDescent="0.4">
      <c r="A131">
        <v>7.2</v>
      </c>
      <c r="B131">
        <v>3</v>
      </c>
      <c r="C131">
        <v>5.8</v>
      </c>
      <c r="D131">
        <v>1.6</v>
      </c>
      <c r="E131" t="s">
        <v>9</v>
      </c>
    </row>
    <row r="132" spans="1:5" x14ac:dyDescent="0.4">
      <c r="A132">
        <v>7.4</v>
      </c>
      <c r="B132">
        <v>2.8</v>
      </c>
      <c r="C132">
        <v>6.1</v>
      </c>
      <c r="D132">
        <v>1.9</v>
      </c>
      <c r="E132" t="s">
        <v>9</v>
      </c>
    </row>
    <row r="133" spans="1:5" x14ac:dyDescent="0.4">
      <c r="A133">
        <v>7.9</v>
      </c>
      <c r="B133">
        <v>3.8</v>
      </c>
      <c r="C133">
        <v>6.4</v>
      </c>
      <c r="D133">
        <v>2</v>
      </c>
      <c r="E133" t="s">
        <v>9</v>
      </c>
    </row>
    <row r="134" spans="1:5" x14ac:dyDescent="0.4">
      <c r="A134">
        <v>6.4</v>
      </c>
      <c r="B134">
        <v>2.8</v>
      </c>
      <c r="C134">
        <v>5.6</v>
      </c>
      <c r="D134">
        <v>2.2000000000000002</v>
      </c>
      <c r="E134" t="s">
        <v>9</v>
      </c>
    </row>
    <row r="135" spans="1:5" x14ac:dyDescent="0.4">
      <c r="A135">
        <v>6.3</v>
      </c>
      <c r="B135">
        <v>2.8</v>
      </c>
      <c r="C135">
        <v>5.0999999999999996</v>
      </c>
      <c r="D135">
        <v>1.5</v>
      </c>
      <c r="E135" t="s">
        <v>9</v>
      </c>
    </row>
    <row r="136" spans="1:5" x14ac:dyDescent="0.4">
      <c r="A136">
        <v>6.1</v>
      </c>
      <c r="B136">
        <v>2.6</v>
      </c>
      <c r="C136">
        <v>5.6</v>
      </c>
      <c r="D136">
        <v>1.4</v>
      </c>
      <c r="E136" t="s">
        <v>9</v>
      </c>
    </row>
    <row r="137" spans="1:5" x14ac:dyDescent="0.4">
      <c r="A137">
        <v>7.7</v>
      </c>
      <c r="B137">
        <v>3</v>
      </c>
      <c r="C137">
        <v>6.1</v>
      </c>
      <c r="D137">
        <v>2.2999999999999998</v>
      </c>
      <c r="E137" t="s">
        <v>9</v>
      </c>
    </row>
    <row r="138" spans="1:5" x14ac:dyDescent="0.4">
      <c r="A138">
        <v>6.3</v>
      </c>
      <c r="B138">
        <v>3.4</v>
      </c>
      <c r="C138">
        <v>5.6</v>
      </c>
      <c r="D138">
        <v>2.4</v>
      </c>
      <c r="E138" t="s">
        <v>9</v>
      </c>
    </row>
    <row r="139" spans="1:5" x14ac:dyDescent="0.4">
      <c r="A139">
        <v>6.4</v>
      </c>
      <c r="B139">
        <v>3.1</v>
      </c>
      <c r="C139">
        <v>5.5</v>
      </c>
      <c r="D139">
        <v>1.8</v>
      </c>
      <c r="E139" t="s">
        <v>9</v>
      </c>
    </row>
    <row r="140" spans="1:5" x14ac:dyDescent="0.4">
      <c r="A140">
        <v>6</v>
      </c>
      <c r="B140">
        <v>3</v>
      </c>
      <c r="C140">
        <v>4.8</v>
      </c>
      <c r="D140">
        <v>1.8</v>
      </c>
      <c r="E140" t="s">
        <v>9</v>
      </c>
    </row>
    <row r="141" spans="1:5" x14ac:dyDescent="0.4">
      <c r="A141">
        <v>6.9</v>
      </c>
      <c r="B141">
        <v>3.1</v>
      </c>
      <c r="C141">
        <v>5.4</v>
      </c>
      <c r="D141">
        <v>2.1</v>
      </c>
      <c r="E141" t="s">
        <v>9</v>
      </c>
    </row>
    <row r="142" spans="1:5" x14ac:dyDescent="0.4">
      <c r="A142">
        <v>6.7</v>
      </c>
      <c r="B142">
        <v>3.1</v>
      </c>
      <c r="C142">
        <v>5.6</v>
      </c>
      <c r="D142">
        <v>2.4</v>
      </c>
      <c r="E142" t="s">
        <v>9</v>
      </c>
    </row>
    <row r="143" spans="1:5" x14ac:dyDescent="0.4">
      <c r="A143">
        <v>6.9</v>
      </c>
      <c r="B143">
        <v>3.1</v>
      </c>
      <c r="C143">
        <v>5.0999999999999996</v>
      </c>
      <c r="D143">
        <v>2.2999999999999998</v>
      </c>
      <c r="E143" t="s">
        <v>9</v>
      </c>
    </row>
    <row r="144" spans="1:5" x14ac:dyDescent="0.4">
      <c r="A144">
        <v>5.8</v>
      </c>
      <c r="B144">
        <v>2.7</v>
      </c>
      <c r="C144">
        <v>5.0999999999999996</v>
      </c>
      <c r="D144">
        <v>1.9</v>
      </c>
      <c r="E144" t="s">
        <v>9</v>
      </c>
    </row>
    <row r="145" spans="1:5" x14ac:dyDescent="0.4">
      <c r="A145">
        <v>6.8</v>
      </c>
      <c r="B145">
        <v>3.2</v>
      </c>
      <c r="C145">
        <v>5.9</v>
      </c>
      <c r="D145">
        <v>2.2999999999999998</v>
      </c>
      <c r="E145" t="s">
        <v>9</v>
      </c>
    </row>
    <row r="146" spans="1:5" x14ac:dyDescent="0.4">
      <c r="A146">
        <v>6.7</v>
      </c>
      <c r="B146">
        <v>3.3</v>
      </c>
      <c r="C146">
        <v>5.7</v>
      </c>
      <c r="D146">
        <v>2.5</v>
      </c>
      <c r="E146" t="s">
        <v>9</v>
      </c>
    </row>
    <row r="147" spans="1:5" x14ac:dyDescent="0.4">
      <c r="A147">
        <v>6.7</v>
      </c>
      <c r="B147">
        <v>3</v>
      </c>
      <c r="C147">
        <v>5.2</v>
      </c>
      <c r="D147">
        <v>2.2999999999999998</v>
      </c>
      <c r="E147" t="s">
        <v>9</v>
      </c>
    </row>
    <row r="148" spans="1:5" x14ac:dyDescent="0.4">
      <c r="A148">
        <v>6.3</v>
      </c>
      <c r="B148">
        <v>2.5</v>
      </c>
      <c r="C148">
        <v>5</v>
      </c>
      <c r="D148">
        <v>1.9</v>
      </c>
      <c r="E148" t="s">
        <v>9</v>
      </c>
    </row>
    <row r="149" spans="1:5" x14ac:dyDescent="0.4">
      <c r="A149">
        <v>6.5</v>
      </c>
      <c r="B149">
        <v>3</v>
      </c>
      <c r="C149">
        <v>5.2</v>
      </c>
      <c r="D149">
        <v>2</v>
      </c>
      <c r="E149" t="s">
        <v>9</v>
      </c>
    </row>
    <row r="150" spans="1:5" x14ac:dyDescent="0.4">
      <c r="A150">
        <v>6.2</v>
      </c>
      <c r="B150">
        <v>3.4</v>
      </c>
      <c r="C150">
        <v>5.4</v>
      </c>
      <c r="D150">
        <v>2.2999999999999998</v>
      </c>
      <c r="E150" t="s">
        <v>9</v>
      </c>
    </row>
    <row r="151" spans="1:5" x14ac:dyDescent="0.4">
      <c r="A151">
        <v>5.9</v>
      </c>
      <c r="B151">
        <v>3</v>
      </c>
      <c r="C151">
        <v>5.0999999999999996</v>
      </c>
      <c r="D151">
        <v>1.8</v>
      </c>
      <c r="E151" t="s">
        <v>9</v>
      </c>
    </row>
  </sheetData>
  <phoneticPr fontId="18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5B1BC-EE07-4963-8D90-987835EF09F0}">
  <dimension ref="A1:C3"/>
  <sheetViews>
    <sheetView workbookViewId="0">
      <selection activeCell="K7" sqref="K7"/>
    </sheetView>
  </sheetViews>
  <sheetFormatPr defaultRowHeight="18.75" x14ac:dyDescent="0.4"/>
  <sheetData>
    <row r="1" spans="1:3" x14ac:dyDescent="0.4">
      <c r="B1" t="s">
        <v>38</v>
      </c>
      <c r="C1" t="s">
        <v>39</v>
      </c>
    </row>
    <row r="2" spans="1:3" x14ac:dyDescent="0.4">
      <c r="A2" t="s">
        <v>36</v>
      </c>
      <c r="B2">
        <v>35</v>
      </c>
      <c r="C2">
        <v>25</v>
      </c>
    </row>
    <row r="3" spans="1:3" x14ac:dyDescent="0.4">
      <c r="A3" t="s">
        <v>37</v>
      </c>
      <c r="B3">
        <v>45</v>
      </c>
      <c r="C3">
        <v>30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神戸8月最高気温</vt:lpstr>
      <vt:lpstr>神戸2月最低気温</vt:lpstr>
      <vt:lpstr>iris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miura</cp:lastModifiedBy>
  <dcterms:created xsi:type="dcterms:W3CDTF">2022-10-02T05:04:01Z</dcterms:created>
  <dcterms:modified xsi:type="dcterms:W3CDTF">2025-10-12T08:00:45Z</dcterms:modified>
</cp:coreProperties>
</file>