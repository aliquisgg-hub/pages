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0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1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2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3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4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5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6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30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1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2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3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6.xml" ContentType="application/vnd.openxmlformats-officedocument.drawing+xml"/>
  <Override PartName="/xl/charts/chart34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3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4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5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6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7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8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filterPrivacy="1"/>
  <xr:revisionPtr revIDLastSave="0" documentId="13_ncr:1_{2E67F630-DDA3-4B87-BA2C-A17BD7009CD8}" xr6:coauthVersionLast="47" xr6:coauthVersionMax="47" xr10:uidLastSave="{00000000-0000-0000-0000-000000000000}"/>
  <bookViews>
    <workbookView xWindow="7275" yWindow="0" windowWidth="20310" windowHeight="16200" activeTab="5" xr2:uid="{00000000-000D-0000-FFFF-FFFF00000000}"/>
  </bookViews>
  <sheets>
    <sheet name="乗法モデル" sheetId="3" r:id="rId1"/>
    <sheet name="加法モデル" sheetId="2" r:id="rId2"/>
    <sheet name="Sheet1" sheetId="4" r:id="rId3"/>
    <sheet name="発展-成長率" sheetId="5" r:id="rId4"/>
    <sheet name="TCSI" sheetId="6" r:id="rId5"/>
    <sheet name="Sheet4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09" i="6"/>
  <c r="J210" i="6"/>
  <c r="J211" i="6"/>
  <c r="J212" i="6"/>
  <c r="J213" i="6"/>
  <c r="J214" i="6"/>
  <c r="J215" i="6"/>
  <c r="J216" i="6"/>
  <c r="J217" i="6"/>
  <c r="J218" i="6"/>
  <c r="J2" i="6"/>
  <c r="I8" i="6"/>
  <c r="I16" i="6"/>
  <c r="I27" i="6"/>
  <c r="I35" i="6"/>
  <c r="I43" i="6"/>
  <c r="I51" i="6"/>
  <c r="I59" i="6"/>
  <c r="I67" i="6"/>
  <c r="I83" i="6"/>
  <c r="I99" i="6"/>
  <c r="I115" i="6"/>
  <c r="I131" i="6"/>
  <c r="I147" i="6"/>
  <c r="D3" i="6"/>
  <c r="F3" i="6" s="1"/>
  <c r="D4" i="6"/>
  <c r="F4" i="6" s="1"/>
  <c r="D5" i="6"/>
  <c r="F5" i="6" s="1"/>
  <c r="D6" i="6"/>
  <c r="F6" i="6" s="1"/>
  <c r="D7" i="6"/>
  <c r="F7" i="6" s="1"/>
  <c r="D8" i="6"/>
  <c r="F8" i="6" s="1"/>
  <c r="D9" i="6"/>
  <c r="F9" i="6" s="1"/>
  <c r="D10" i="6"/>
  <c r="F10" i="6" s="1"/>
  <c r="D11" i="6"/>
  <c r="F11" i="6" s="1"/>
  <c r="D12" i="6"/>
  <c r="F12" i="6" s="1"/>
  <c r="D13" i="6"/>
  <c r="F13" i="6" s="1"/>
  <c r="D14" i="6"/>
  <c r="F14" i="6" s="1"/>
  <c r="D15" i="6"/>
  <c r="F15" i="6" s="1"/>
  <c r="D16" i="6"/>
  <c r="F16" i="6" s="1"/>
  <c r="D17" i="6"/>
  <c r="F17" i="6" s="1"/>
  <c r="D18" i="6"/>
  <c r="F18" i="6" s="1"/>
  <c r="D19" i="6"/>
  <c r="F19" i="6" s="1"/>
  <c r="D20" i="6"/>
  <c r="F20" i="6" s="1"/>
  <c r="D21" i="6"/>
  <c r="F21" i="6" s="1"/>
  <c r="D22" i="6"/>
  <c r="F22" i="6" s="1"/>
  <c r="D23" i="6"/>
  <c r="F23" i="6" s="1"/>
  <c r="D24" i="6"/>
  <c r="F24" i="6" s="1"/>
  <c r="D25" i="6"/>
  <c r="F25" i="6" s="1"/>
  <c r="D26" i="6"/>
  <c r="F26" i="6" s="1"/>
  <c r="D27" i="6"/>
  <c r="F27" i="6" s="1"/>
  <c r="D28" i="6"/>
  <c r="F28" i="6" s="1"/>
  <c r="D29" i="6"/>
  <c r="F29" i="6" s="1"/>
  <c r="D30" i="6"/>
  <c r="F30" i="6" s="1"/>
  <c r="D31" i="6"/>
  <c r="F31" i="6" s="1"/>
  <c r="D32" i="6"/>
  <c r="F32" i="6" s="1"/>
  <c r="D33" i="6"/>
  <c r="F33" i="6" s="1"/>
  <c r="D34" i="6"/>
  <c r="F34" i="6" s="1"/>
  <c r="D35" i="6"/>
  <c r="F35" i="6" s="1"/>
  <c r="D36" i="6"/>
  <c r="F36" i="6" s="1"/>
  <c r="D37" i="6"/>
  <c r="F37" i="6" s="1"/>
  <c r="D38" i="6"/>
  <c r="F38" i="6" s="1"/>
  <c r="D39" i="6"/>
  <c r="F39" i="6" s="1"/>
  <c r="D40" i="6"/>
  <c r="F40" i="6" s="1"/>
  <c r="D41" i="6"/>
  <c r="F41" i="6" s="1"/>
  <c r="D42" i="6"/>
  <c r="F42" i="6" s="1"/>
  <c r="D43" i="6"/>
  <c r="F43" i="6" s="1"/>
  <c r="D44" i="6"/>
  <c r="F44" i="6" s="1"/>
  <c r="D45" i="6"/>
  <c r="F45" i="6" s="1"/>
  <c r="D46" i="6"/>
  <c r="F46" i="6" s="1"/>
  <c r="D47" i="6"/>
  <c r="F47" i="6" s="1"/>
  <c r="D48" i="6"/>
  <c r="F48" i="6" s="1"/>
  <c r="D49" i="6"/>
  <c r="F49" i="6" s="1"/>
  <c r="D50" i="6"/>
  <c r="F50" i="6" s="1"/>
  <c r="D51" i="6"/>
  <c r="F51" i="6" s="1"/>
  <c r="D52" i="6"/>
  <c r="F52" i="6" s="1"/>
  <c r="D53" i="6"/>
  <c r="F53" i="6" s="1"/>
  <c r="D54" i="6"/>
  <c r="F54" i="6" s="1"/>
  <c r="D55" i="6"/>
  <c r="F55" i="6" s="1"/>
  <c r="D56" i="6"/>
  <c r="F56" i="6" s="1"/>
  <c r="D57" i="6"/>
  <c r="F57" i="6" s="1"/>
  <c r="D58" i="6"/>
  <c r="F58" i="6" s="1"/>
  <c r="D59" i="6"/>
  <c r="F59" i="6" s="1"/>
  <c r="D60" i="6"/>
  <c r="F60" i="6" s="1"/>
  <c r="D61" i="6"/>
  <c r="F61" i="6" s="1"/>
  <c r="D62" i="6"/>
  <c r="F62" i="6" s="1"/>
  <c r="D63" i="6"/>
  <c r="F63" i="6" s="1"/>
  <c r="D64" i="6"/>
  <c r="F64" i="6" s="1"/>
  <c r="D65" i="6"/>
  <c r="F65" i="6" s="1"/>
  <c r="D66" i="6"/>
  <c r="F66" i="6" s="1"/>
  <c r="D67" i="6"/>
  <c r="F67" i="6" s="1"/>
  <c r="D68" i="6"/>
  <c r="F68" i="6" s="1"/>
  <c r="D69" i="6"/>
  <c r="F69" i="6" s="1"/>
  <c r="D70" i="6"/>
  <c r="F70" i="6" s="1"/>
  <c r="D71" i="6"/>
  <c r="F71" i="6" s="1"/>
  <c r="D72" i="6"/>
  <c r="F72" i="6" s="1"/>
  <c r="D73" i="6"/>
  <c r="F73" i="6" s="1"/>
  <c r="D74" i="6"/>
  <c r="F74" i="6" s="1"/>
  <c r="D75" i="6"/>
  <c r="F75" i="6" s="1"/>
  <c r="D76" i="6"/>
  <c r="F76" i="6" s="1"/>
  <c r="D77" i="6"/>
  <c r="F77" i="6" s="1"/>
  <c r="D78" i="6"/>
  <c r="F78" i="6" s="1"/>
  <c r="D79" i="6"/>
  <c r="F79" i="6" s="1"/>
  <c r="D80" i="6"/>
  <c r="F80" i="6" s="1"/>
  <c r="D81" i="6"/>
  <c r="F81" i="6" s="1"/>
  <c r="D82" i="6"/>
  <c r="F82" i="6" s="1"/>
  <c r="D83" i="6"/>
  <c r="F83" i="6" s="1"/>
  <c r="D84" i="6"/>
  <c r="F84" i="6" s="1"/>
  <c r="D85" i="6"/>
  <c r="F85" i="6" s="1"/>
  <c r="D86" i="6"/>
  <c r="F86" i="6" s="1"/>
  <c r="D87" i="6"/>
  <c r="F87" i="6" s="1"/>
  <c r="D88" i="6"/>
  <c r="F88" i="6" s="1"/>
  <c r="D89" i="6"/>
  <c r="F89" i="6" s="1"/>
  <c r="D90" i="6"/>
  <c r="F90" i="6" s="1"/>
  <c r="D91" i="6"/>
  <c r="F91" i="6" s="1"/>
  <c r="D92" i="6"/>
  <c r="F92" i="6" s="1"/>
  <c r="D93" i="6"/>
  <c r="F93" i="6" s="1"/>
  <c r="D94" i="6"/>
  <c r="F94" i="6" s="1"/>
  <c r="D95" i="6"/>
  <c r="F95" i="6" s="1"/>
  <c r="D96" i="6"/>
  <c r="F96" i="6" s="1"/>
  <c r="D97" i="6"/>
  <c r="F97" i="6" s="1"/>
  <c r="D98" i="6"/>
  <c r="F98" i="6" s="1"/>
  <c r="D99" i="6"/>
  <c r="F99" i="6" s="1"/>
  <c r="D100" i="6"/>
  <c r="F100" i="6" s="1"/>
  <c r="D101" i="6"/>
  <c r="F101" i="6" s="1"/>
  <c r="D102" i="6"/>
  <c r="F102" i="6" s="1"/>
  <c r="D103" i="6"/>
  <c r="F103" i="6" s="1"/>
  <c r="D104" i="6"/>
  <c r="F104" i="6" s="1"/>
  <c r="D105" i="6"/>
  <c r="F105" i="6" s="1"/>
  <c r="D106" i="6"/>
  <c r="F106" i="6" s="1"/>
  <c r="D107" i="6"/>
  <c r="F107" i="6" s="1"/>
  <c r="D108" i="6"/>
  <c r="F108" i="6" s="1"/>
  <c r="D109" i="6"/>
  <c r="F109" i="6" s="1"/>
  <c r="D110" i="6"/>
  <c r="F110" i="6" s="1"/>
  <c r="D111" i="6"/>
  <c r="F111" i="6" s="1"/>
  <c r="D112" i="6"/>
  <c r="F112" i="6" s="1"/>
  <c r="D113" i="6"/>
  <c r="F113" i="6" s="1"/>
  <c r="D114" i="6"/>
  <c r="F114" i="6" s="1"/>
  <c r="D115" i="6"/>
  <c r="F115" i="6" s="1"/>
  <c r="D116" i="6"/>
  <c r="F116" i="6" s="1"/>
  <c r="D117" i="6"/>
  <c r="F117" i="6" s="1"/>
  <c r="D118" i="6"/>
  <c r="F118" i="6" s="1"/>
  <c r="D119" i="6"/>
  <c r="F119" i="6" s="1"/>
  <c r="D120" i="6"/>
  <c r="F120" i="6" s="1"/>
  <c r="D121" i="6"/>
  <c r="F121" i="6" s="1"/>
  <c r="D122" i="6"/>
  <c r="F122" i="6" s="1"/>
  <c r="D123" i="6"/>
  <c r="F123" i="6" s="1"/>
  <c r="D124" i="6"/>
  <c r="F124" i="6" s="1"/>
  <c r="D125" i="6"/>
  <c r="F125" i="6" s="1"/>
  <c r="D126" i="6"/>
  <c r="F126" i="6" s="1"/>
  <c r="D127" i="6"/>
  <c r="F127" i="6" s="1"/>
  <c r="D128" i="6"/>
  <c r="F128" i="6" s="1"/>
  <c r="D129" i="6"/>
  <c r="F129" i="6" s="1"/>
  <c r="D130" i="6"/>
  <c r="F130" i="6" s="1"/>
  <c r="D131" i="6"/>
  <c r="F131" i="6" s="1"/>
  <c r="D132" i="6"/>
  <c r="F132" i="6" s="1"/>
  <c r="D133" i="6"/>
  <c r="F133" i="6" s="1"/>
  <c r="D134" i="6"/>
  <c r="F134" i="6" s="1"/>
  <c r="D135" i="6"/>
  <c r="F135" i="6" s="1"/>
  <c r="D136" i="6"/>
  <c r="F136" i="6" s="1"/>
  <c r="D137" i="6"/>
  <c r="F137" i="6" s="1"/>
  <c r="D138" i="6"/>
  <c r="F138" i="6" s="1"/>
  <c r="D139" i="6"/>
  <c r="F139" i="6" s="1"/>
  <c r="D140" i="6"/>
  <c r="F140" i="6" s="1"/>
  <c r="D141" i="6"/>
  <c r="F141" i="6" s="1"/>
  <c r="D142" i="6"/>
  <c r="F142" i="6" s="1"/>
  <c r="D143" i="6"/>
  <c r="F143" i="6" s="1"/>
  <c r="D144" i="6"/>
  <c r="F144" i="6" s="1"/>
  <c r="D145" i="6"/>
  <c r="F145" i="6" s="1"/>
  <c r="D146" i="6"/>
  <c r="F146" i="6" s="1"/>
  <c r="D147" i="6"/>
  <c r="F147" i="6" s="1"/>
  <c r="D148" i="6"/>
  <c r="F148" i="6" s="1"/>
  <c r="D149" i="6"/>
  <c r="F149" i="6" s="1"/>
  <c r="D150" i="6"/>
  <c r="F150" i="6" s="1"/>
  <c r="D151" i="6"/>
  <c r="F151" i="6" s="1"/>
  <c r="D152" i="6"/>
  <c r="F152" i="6" s="1"/>
  <c r="D153" i="6"/>
  <c r="F153" i="6" s="1"/>
  <c r="D154" i="6"/>
  <c r="F154" i="6" s="1"/>
  <c r="D155" i="6"/>
  <c r="F155" i="6" s="1"/>
  <c r="D156" i="6"/>
  <c r="F156" i="6" s="1"/>
  <c r="D157" i="6"/>
  <c r="F157" i="6" s="1"/>
  <c r="D158" i="6"/>
  <c r="F158" i="6" s="1"/>
  <c r="D159" i="6"/>
  <c r="F159" i="6" s="1"/>
  <c r="D160" i="6"/>
  <c r="F160" i="6" s="1"/>
  <c r="D161" i="6"/>
  <c r="F161" i="6" s="1"/>
  <c r="D162" i="6"/>
  <c r="F162" i="6" s="1"/>
  <c r="D163" i="6"/>
  <c r="F163" i="6" s="1"/>
  <c r="D164" i="6"/>
  <c r="F164" i="6" s="1"/>
  <c r="D165" i="6"/>
  <c r="F165" i="6" s="1"/>
  <c r="D166" i="6"/>
  <c r="F166" i="6" s="1"/>
  <c r="D167" i="6"/>
  <c r="F167" i="6" s="1"/>
  <c r="D168" i="6"/>
  <c r="F168" i="6" s="1"/>
  <c r="D169" i="6"/>
  <c r="F169" i="6" s="1"/>
  <c r="D170" i="6"/>
  <c r="F170" i="6" s="1"/>
  <c r="D171" i="6"/>
  <c r="F171" i="6" s="1"/>
  <c r="D172" i="6"/>
  <c r="F172" i="6" s="1"/>
  <c r="D173" i="6"/>
  <c r="F173" i="6" s="1"/>
  <c r="D174" i="6"/>
  <c r="F174" i="6" s="1"/>
  <c r="D175" i="6"/>
  <c r="F175" i="6" s="1"/>
  <c r="D176" i="6"/>
  <c r="F176" i="6" s="1"/>
  <c r="D177" i="6"/>
  <c r="F177" i="6" s="1"/>
  <c r="D178" i="6"/>
  <c r="F178" i="6" s="1"/>
  <c r="D179" i="6"/>
  <c r="F179" i="6" s="1"/>
  <c r="D180" i="6"/>
  <c r="F180" i="6" s="1"/>
  <c r="D181" i="6"/>
  <c r="F181" i="6" s="1"/>
  <c r="D182" i="6"/>
  <c r="F182" i="6" s="1"/>
  <c r="D183" i="6"/>
  <c r="F183" i="6" s="1"/>
  <c r="D184" i="6"/>
  <c r="F184" i="6" s="1"/>
  <c r="D185" i="6"/>
  <c r="F185" i="6" s="1"/>
  <c r="D186" i="6"/>
  <c r="F186" i="6" s="1"/>
  <c r="D187" i="6"/>
  <c r="F187" i="6" s="1"/>
  <c r="D188" i="6"/>
  <c r="F188" i="6" s="1"/>
  <c r="D189" i="6"/>
  <c r="F189" i="6" s="1"/>
  <c r="D190" i="6"/>
  <c r="F190" i="6" s="1"/>
  <c r="D191" i="6"/>
  <c r="F191" i="6" s="1"/>
  <c r="D192" i="6"/>
  <c r="F192" i="6" s="1"/>
  <c r="D193" i="6"/>
  <c r="F193" i="6" s="1"/>
  <c r="D194" i="6"/>
  <c r="F194" i="6" s="1"/>
  <c r="D195" i="6"/>
  <c r="F195" i="6" s="1"/>
  <c r="D196" i="6"/>
  <c r="F196" i="6" s="1"/>
  <c r="D197" i="6"/>
  <c r="F197" i="6" s="1"/>
  <c r="D198" i="6"/>
  <c r="F198" i="6" s="1"/>
  <c r="D199" i="6"/>
  <c r="F199" i="6" s="1"/>
  <c r="D200" i="6"/>
  <c r="F200" i="6" s="1"/>
  <c r="D201" i="6"/>
  <c r="F201" i="6" s="1"/>
  <c r="D202" i="6"/>
  <c r="F202" i="6" s="1"/>
  <c r="D203" i="6"/>
  <c r="F203" i="6" s="1"/>
  <c r="D204" i="6"/>
  <c r="F204" i="6" s="1"/>
  <c r="D205" i="6"/>
  <c r="F205" i="6" s="1"/>
  <c r="D206" i="6"/>
  <c r="F206" i="6" s="1"/>
  <c r="D207" i="6"/>
  <c r="F207" i="6" s="1"/>
  <c r="D208" i="6"/>
  <c r="F208" i="6" s="1"/>
  <c r="D209" i="6"/>
  <c r="F209" i="6" s="1"/>
  <c r="D210" i="6"/>
  <c r="F210" i="6" s="1"/>
  <c r="D211" i="6"/>
  <c r="F211" i="6" s="1"/>
  <c r="D212" i="6"/>
  <c r="F212" i="6" s="1"/>
  <c r="D213" i="6"/>
  <c r="F213" i="6" s="1"/>
  <c r="D214" i="6"/>
  <c r="F214" i="6" s="1"/>
  <c r="D215" i="6"/>
  <c r="F215" i="6" s="1"/>
  <c r="D216" i="6"/>
  <c r="F216" i="6" s="1"/>
  <c r="D217" i="6"/>
  <c r="F217" i="6" s="1"/>
  <c r="D218" i="6"/>
  <c r="F218" i="6" s="1"/>
  <c r="D2" i="6"/>
  <c r="F2" i="6" s="1"/>
  <c r="I2" i="5" a="1"/>
  <c r="J2" i="5" s="1"/>
  <c r="I143" i="6" l="1"/>
  <c r="I127" i="6"/>
  <c r="I111" i="6"/>
  <c r="I95" i="6"/>
  <c r="I79" i="6"/>
  <c r="I64" i="6"/>
  <c r="I56" i="6"/>
  <c r="I48" i="6"/>
  <c r="I40" i="6"/>
  <c r="I32" i="6"/>
  <c r="I23" i="6"/>
  <c r="I15" i="6"/>
  <c r="I7" i="6"/>
  <c r="I139" i="6"/>
  <c r="I123" i="6"/>
  <c r="I107" i="6"/>
  <c r="I91" i="6"/>
  <c r="I75" i="6"/>
  <c r="I63" i="6"/>
  <c r="I55" i="6"/>
  <c r="I47" i="6"/>
  <c r="I39" i="6"/>
  <c r="I31" i="6"/>
  <c r="I20" i="6"/>
  <c r="I12" i="6"/>
  <c r="I4" i="6"/>
  <c r="I151" i="6"/>
  <c r="I135" i="6"/>
  <c r="I119" i="6"/>
  <c r="I103" i="6"/>
  <c r="I87" i="6"/>
  <c r="I71" i="6"/>
  <c r="I60" i="6"/>
  <c r="I52" i="6"/>
  <c r="I44" i="6"/>
  <c r="I36" i="6"/>
  <c r="I28" i="6"/>
  <c r="I19" i="6"/>
  <c r="I11" i="6"/>
  <c r="I3" i="6"/>
  <c r="I215" i="6"/>
  <c r="I207" i="6"/>
  <c r="I199" i="6"/>
  <c r="I191" i="6"/>
  <c r="I179" i="6"/>
  <c r="I167" i="6"/>
  <c r="I159" i="6"/>
  <c r="I218" i="6"/>
  <c r="I214" i="6"/>
  <c r="I210" i="6"/>
  <c r="I206" i="6"/>
  <c r="I202" i="6"/>
  <c r="I198" i="6"/>
  <c r="I194" i="6"/>
  <c r="I190" i="6"/>
  <c r="I186" i="6"/>
  <c r="I182" i="6"/>
  <c r="I178" i="6"/>
  <c r="I174" i="6"/>
  <c r="I170" i="6"/>
  <c r="I166" i="6"/>
  <c r="I162" i="6"/>
  <c r="I158" i="6"/>
  <c r="I154" i="6"/>
  <c r="I150" i="6"/>
  <c r="I146" i="6"/>
  <c r="I142" i="6"/>
  <c r="I138" i="6"/>
  <c r="I134" i="6"/>
  <c r="I130" i="6"/>
  <c r="I126" i="6"/>
  <c r="I122" i="6"/>
  <c r="I118" i="6"/>
  <c r="I114" i="6"/>
  <c r="I110" i="6"/>
  <c r="I106" i="6"/>
  <c r="I102" i="6"/>
  <c r="I98" i="6"/>
  <c r="I94" i="6"/>
  <c r="I90" i="6"/>
  <c r="I86" i="6"/>
  <c r="I82" i="6"/>
  <c r="I78" i="6"/>
  <c r="I74" i="6"/>
  <c r="I70" i="6"/>
  <c r="I66" i="6"/>
  <c r="I62" i="6"/>
  <c r="I58" i="6"/>
  <c r="I54" i="6"/>
  <c r="I50" i="6"/>
  <c r="I46" i="6"/>
  <c r="I42" i="6"/>
  <c r="I38" i="6"/>
  <c r="I34" i="6"/>
  <c r="I30" i="6"/>
  <c r="I26" i="6"/>
  <c r="I22" i="6"/>
  <c r="I18" i="6"/>
  <c r="I14" i="6"/>
  <c r="I10" i="6"/>
  <c r="I6" i="6"/>
  <c r="I2" i="6"/>
  <c r="I211" i="6"/>
  <c r="I203" i="6"/>
  <c r="I195" i="6"/>
  <c r="I187" i="6"/>
  <c r="I183" i="6"/>
  <c r="I175" i="6"/>
  <c r="I171" i="6"/>
  <c r="I163" i="6"/>
  <c r="I155" i="6"/>
  <c r="I217" i="6"/>
  <c r="I213" i="6"/>
  <c r="I209" i="6"/>
  <c r="I205" i="6"/>
  <c r="I201" i="6"/>
  <c r="I197" i="6"/>
  <c r="I193" i="6"/>
  <c r="I189" i="6"/>
  <c r="I185" i="6"/>
  <c r="I181" i="6"/>
  <c r="I177" i="6"/>
  <c r="I173" i="6"/>
  <c r="I169" i="6"/>
  <c r="I165" i="6"/>
  <c r="I161" i="6"/>
  <c r="I157" i="6"/>
  <c r="I153" i="6"/>
  <c r="I149" i="6"/>
  <c r="I145" i="6"/>
  <c r="I141" i="6"/>
  <c r="I137" i="6"/>
  <c r="I133" i="6"/>
  <c r="I129" i="6"/>
  <c r="I125" i="6"/>
  <c r="I121" i="6"/>
  <c r="I117" i="6"/>
  <c r="I113" i="6"/>
  <c r="I109" i="6"/>
  <c r="I105" i="6"/>
  <c r="I101" i="6"/>
  <c r="I97" i="6"/>
  <c r="I93" i="6"/>
  <c r="I89" i="6"/>
  <c r="I85" i="6"/>
  <c r="I81" i="6"/>
  <c r="I77" i="6"/>
  <c r="I73" i="6"/>
  <c r="I69" i="6"/>
  <c r="I65" i="6"/>
  <c r="I61" i="6"/>
  <c r="I57" i="6"/>
  <c r="I53" i="6"/>
  <c r="I49" i="6"/>
  <c r="I45" i="6"/>
  <c r="I41" i="6"/>
  <c r="I37" i="6"/>
  <c r="I33" i="6"/>
  <c r="I29" i="6"/>
  <c r="I25" i="6"/>
  <c r="I21" i="6"/>
  <c r="I17" i="6"/>
  <c r="I13" i="6"/>
  <c r="I9" i="6"/>
  <c r="I5" i="6"/>
  <c r="I216" i="6"/>
  <c r="I212" i="6"/>
  <c r="I208" i="6"/>
  <c r="I204" i="6"/>
  <c r="I200" i="6"/>
  <c r="I196" i="6"/>
  <c r="I192" i="6"/>
  <c r="I188" i="6"/>
  <c r="I184" i="6"/>
  <c r="I180" i="6"/>
  <c r="I176" i="6"/>
  <c r="I172" i="6"/>
  <c r="I168" i="6"/>
  <c r="I164" i="6"/>
  <c r="I160" i="6"/>
  <c r="I156" i="6"/>
  <c r="I152" i="6"/>
  <c r="I148" i="6"/>
  <c r="I144" i="6"/>
  <c r="I140" i="6"/>
  <c r="I136" i="6"/>
  <c r="I132" i="6"/>
  <c r="I128" i="6"/>
  <c r="I124" i="6"/>
  <c r="I120" i="6"/>
  <c r="I116" i="6"/>
  <c r="I112" i="6"/>
  <c r="I108" i="6"/>
  <c r="I104" i="6"/>
  <c r="I100" i="6"/>
  <c r="I96" i="6"/>
  <c r="I92" i="6"/>
  <c r="I88" i="6"/>
  <c r="I84" i="6"/>
  <c r="I80" i="6"/>
  <c r="I76" i="6"/>
  <c r="I72" i="6"/>
  <c r="I68" i="6"/>
  <c r="I24" i="6"/>
  <c r="I2" i="5"/>
  <c r="L2" i="5"/>
  <c r="K2" i="5"/>
  <c r="P218" i="5" l="1"/>
  <c r="P2" i="5"/>
  <c r="P3" i="5"/>
  <c r="P7" i="5"/>
  <c r="P11" i="5"/>
  <c r="P15" i="5"/>
  <c r="P19" i="5"/>
  <c r="P23" i="5"/>
  <c r="P27" i="5"/>
  <c r="P31" i="5"/>
  <c r="P35" i="5"/>
  <c r="P39" i="5"/>
  <c r="P43" i="5"/>
  <c r="P47" i="5"/>
  <c r="P51" i="5"/>
  <c r="P55" i="5"/>
  <c r="P59" i="5"/>
  <c r="P63" i="5"/>
  <c r="P67" i="5"/>
  <c r="P71" i="5"/>
  <c r="P75" i="5"/>
  <c r="P79" i="5"/>
  <c r="P83" i="5"/>
  <c r="P87" i="5"/>
  <c r="P91" i="5"/>
  <c r="P95" i="5"/>
  <c r="P99" i="5"/>
  <c r="P103" i="5"/>
  <c r="P107" i="5"/>
  <c r="P111" i="5"/>
  <c r="P4" i="5"/>
  <c r="P9" i="5"/>
  <c r="P14" i="5"/>
  <c r="P20" i="5"/>
  <c r="P25" i="5"/>
  <c r="P30" i="5"/>
  <c r="P36" i="5"/>
  <c r="P41" i="5"/>
  <c r="P46" i="5"/>
  <c r="P52" i="5"/>
  <c r="P57" i="5"/>
  <c r="P62" i="5"/>
  <c r="P68" i="5"/>
  <c r="P73" i="5"/>
  <c r="P78" i="5"/>
  <c r="P84" i="5"/>
  <c r="P89" i="5"/>
  <c r="P94" i="5"/>
  <c r="P100" i="5"/>
  <c r="P105" i="5"/>
  <c r="P110" i="5"/>
  <c r="P115" i="5"/>
  <c r="P119" i="5"/>
  <c r="P123" i="5"/>
  <c r="P127" i="5"/>
  <c r="P131" i="5"/>
  <c r="P135" i="5"/>
  <c r="P139" i="5"/>
  <c r="P143" i="5"/>
  <c r="P147" i="5"/>
  <c r="P151" i="5"/>
  <c r="P155" i="5"/>
  <c r="P159" i="5"/>
  <c r="P163" i="5"/>
  <c r="P167" i="5"/>
  <c r="P171" i="5"/>
  <c r="P175" i="5"/>
  <c r="P179" i="5"/>
  <c r="P183" i="5"/>
  <c r="P187" i="5"/>
  <c r="P191" i="5"/>
  <c r="P195" i="5"/>
  <c r="P199" i="5"/>
  <c r="P203" i="5"/>
  <c r="P207" i="5"/>
  <c r="P211" i="5"/>
  <c r="P215" i="5"/>
  <c r="P5" i="5"/>
  <c r="P10" i="5"/>
  <c r="P16" i="5"/>
  <c r="P21" i="5"/>
  <c r="P26" i="5"/>
  <c r="P32" i="5"/>
  <c r="P37" i="5"/>
  <c r="P42" i="5"/>
  <c r="P48" i="5"/>
  <c r="P53" i="5"/>
  <c r="P58" i="5"/>
  <c r="P64" i="5"/>
  <c r="P69" i="5"/>
  <c r="P74" i="5"/>
  <c r="P80" i="5"/>
  <c r="P85" i="5"/>
  <c r="P90" i="5"/>
  <c r="P96" i="5"/>
  <c r="P101" i="5"/>
  <c r="P106" i="5"/>
  <c r="P112" i="5"/>
  <c r="P116" i="5"/>
  <c r="P120" i="5"/>
  <c r="P124" i="5"/>
  <c r="P128" i="5"/>
  <c r="P132" i="5"/>
  <c r="P136" i="5"/>
  <c r="P140" i="5"/>
  <c r="P144" i="5"/>
  <c r="P148" i="5"/>
  <c r="P152" i="5"/>
  <c r="P156" i="5"/>
  <c r="P160" i="5"/>
  <c r="P164" i="5"/>
  <c r="P168" i="5"/>
  <c r="P172" i="5"/>
  <c r="P176" i="5"/>
  <c r="P180" i="5"/>
  <c r="P184" i="5"/>
  <c r="P188" i="5"/>
  <c r="P192" i="5"/>
  <c r="P196" i="5"/>
  <c r="P200" i="5"/>
  <c r="P204" i="5"/>
  <c r="P208" i="5"/>
  <c r="P212" i="5"/>
  <c r="P216" i="5"/>
  <c r="P6" i="5"/>
  <c r="P12" i="5"/>
  <c r="P17" i="5"/>
  <c r="P22" i="5"/>
  <c r="P28" i="5"/>
  <c r="P33" i="5"/>
  <c r="P38" i="5"/>
  <c r="P44" i="5"/>
  <c r="P49" i="5"/>
  <c r="P54" i="5"/>
  <c r="P60" i="5"/>
  <c r="P65" i="5"/>
  <c r="P70" i="5"/>
  <c r="P76" i="5"/>
  <c r="P81" i="5"/>
  <c r="P86" i="5"/>
  <c r="P92" i="5"/>
  <c r="P97" i="5"/>
  <c r="P102" i="5"/>
  <c r="P108" i="5"/>
  <c r="P113" i="5"/>
  <c r="P117" i="5"/>
  <c r="P121" i="5"/>
  <c r="P125" i="5"/>
  <c r="P129" i="5"/>
  <c r="P133" i="5"/>
  <c r="P137" i="5"/>
  <c r="P141" i="5"/>
  <c r="P145" i="5"/>
  <c r="P149" i="5"/>
  <c r="P153" i="5"/>
  <c r="P157" i="5"/>
  <c r="P161" i="5"/>
  <c r="P165" i="5"/>
  <c r="P169" i="5"/>
  <c r="P173" i="5"/>
  <c r="P177" i="5"/>
  <c r="P181" i="5"/>
  <c r="P185" i="5"/>
  <c r="P189" i="5"/>
  <c r="P193" i="5"/>
  <c r="P197" i="5"/>
  <c r="P201" i="5"/>
  <c r="P205" i="5"/>
  <c r="P209" i="5"/>
  <c r="P213" i="5"/>
  <c r="P217" i="5"/>
  <c r="P18" i="5"/>
  <c r="P40" i="5"/>
  <c r="P61" i="5"/>
  <c r="P82" i="5"/>
  <c r="P104" i="5"/>
  <c r="P122" i="5"/>
  <c r="P138" i="5"/>
  <c r="P154" i="5"/>
  <c r="P170" i="5"/>
  <c r="P186" i="5"/>
  <c r="P202" i="5"/>
  <c r="P150" i="5"/>
  <c r="P24" i="5"/>
  <c r="P45" i="5"/>
  <c r="P66" i="5"/>
  <c r="P88" i="5"/>
  <c r="P109" i="5"/>
  <c r="P126" i="5"/>
  <c r="P142" i="5"/>
  <c r="P158" i="5"/>
  <c r="P174" i="5"/>
  <c r="P190" i="5"/>
  <c r="P206" i="5"/>
  <c r="P166" i="5"/>
  <c r="P8" i="5"/>
  <c r="P29" i="5"/>
  <c r="P50" i="5"/>
  <c r="P72" i="5"/>
  <c r="P93" i="5"/>
  <c r="P114" i="5"/>
  <c r="P130" i="5"/>
  <c r="P146" i="5"/>
  <c r="P162" i="5"/>
  <c r="P178" i="5"/>
  <c r="P194" i="5"/>
  <c r="P210" i="5"/>
  <c r="P13" i="5"/>
  <c r="P34" i="5"/>
  <c r="P56" i="5"/>
  <c r="P77" i="5"/>
  <c r="P98" i="5"/>
  <c r="P118" i="5"/>
  <c r="P134" i="5"/>
  <c r="P182" i="5"/>
  <c r="P198" i="5"/>
  <c r="P214" i="5"/>
  <c r="D3" i="5"/>
  <c r="D7" i="5"/>
  <c r="D11" i="5"/>
  <c r="D15" i="5"/>
  <c r="D19" i="5"/>
  <c r="D2" i="5"/>
  <c r="D5" i="5"/>
  <c r="D13" i="5"/>
  <c r="D21" i="5"/>
  <c r="D4" i="5"/>
  <c r="D8" i="5"/>
  <c r="D12" i="5"/>
  <c r="D16" i="5"/>
  <c r="D20" i="5"/>
  <c r="D9" i="5"/>
  <c r="D17" i="5"/>
  <c r="D6" i="5"/>
  <c r="D10" i="5"/>
  <c r="D14" i="5"/>
  <c r="D18" i="5"/>
  <c r="D22" i="5"/>
  <c r="I3" i="5" l="1" a="1"/>
  <c r="I3" i="5" l="1"/>
  <c r="J3" i="5"/>
  <c r="H218" i="6" l="1"/>
  <c r="H217" i="6"/>
  <c r="H216" i="6"/>
  <c r="H215" i="6"/>
  <c r="H214" i="6"/>
  <c r="H213" i="6"/>
  <c r="H212" i="6"/>
  <c r="H211" i="6"/>
  <c r="H210" i="6"/>
  <c r="H209" i="6"/>
  <c r="H208" i="6"/>
  <c r="H207" i="6"/>
  <c r="H206" i="6"/>
  <c r="H205" i="6"/>
  <c r="H204" i="6"/>
  <c r="H203" i="6"/>
  <c r="H202" i="6"/>
  <c r="H201" i="6"/>
  <c r="H200" i="6"/>
  <c r="H199" i="6"/>
  <c r="H198" i="6"/>
  <c r="H197" i="6"/>
  <c r="H196" i="6"/>
  <c r="H195" i="6"/>
  <c r="H194" i="6"/>
  <c r="H193" i="6"/>
  <c r="H192" i="6"/>
  <c r="H191" i="6"/>
  <c r="H190" i="6"/>
  <c r="H189" i="6"/>
  <c r="H188" i="6"/>
  <c r="H187" i="6"/>
  <c r="H186" i="6"/>
  <c r="H185" i="6"/>
  <c r="H184" i="6"/>
  <c r="H183" i="6"/>
  <c r="H182" i="6"/>
  <c r="H181" i="6"/>
  <c r="H180" i="6"/>
  <c r="H179" i="6"/>
  <c r="H178" i="6"/>
  <c r="H177" i="6"/>
  <c r="H176" i="6"/>
  <c r="H175" i="6"/>
  <c r="H174" i="6"/>
  <c r="H173" i="6"/>
  <c r="H172" i="6"/>
  <c r="H171" i="6"/>
  <c r="H170" i="6"/>
  <c r="H169" i="6"/>
  <c r="H168" i="6"/>
  <c r="H167" i="6"/>
  <c r="H166" i="6"/>
  <c r="H165" i="6"/>
  <c r="H164" i="6"/>
  <c r="H163" i="6"/>
  <c r="H162" i="6"/>
  <c r="H161" i="6"/>
  <c r="H160" i="6"/>
  <c r="H159" i="6"/>
  <c r="H158" i="6"/>
  <c r="H157" i="6"/>
  <c r="H156" i="6"/>
  <c r="H155" i="6"/>
  <c r="H154" i="6"/>
  <c r="H153" i="6"/>
  <c r="H152" i="6"/>
  <c r="H151" i="6"/>
  <c r="H150" i="6"/>
  <c r="H149" i="6"/>
  <c r="H148" i="6"/>
  <c r="H147" i="6"/>
  <c r="H146" i="6"/>
  <c r="H145" i="6"/>
  <c r="H144" i="6"/>
  <c r="H143" i="6"/>
  <c r="H142" i="6"/>
  <c r="H141" i="6"/>
  <c r="H140" i="6"/>
  <c r="H139" i="6"/>
  <c r="H138" i="6"/>
  <c r="H137" i="6"/>
  <c r="H136" i="6"/>
  <c r="H135" i="6"/>
  <c r="H134" i="6"/>
  <c r="H132" i="6"/>
  <c r="H130" i="6"/>
  <c r="H128" i="6"/>
  <c r="H126" i="6"/>
  <c r="H124" i="6"/>
  <c r="H122" i="6"/>
  <c r="H120" i="6"/>
  <c r="H118" i="6"/>
  <c r="H116" i="6"/>
  <c r="H114" i="6"/>
  <c r="H112" i="6"/>
  <c r="H110" i="6"/>
  <c r="H108" i="6"/>
  <c r="H105" i="6"/>
  <c r="H106" i="6"/>
  <c r="H131" i="6"/>
  <c r="H127" i="6"/>
  <c r="H123" i="6"/>
  <c r="H119" i="6"/>
  <c r="H115" i="6"/>
  <c r="H111" i="6"/>
  <c r="H107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18" i="6"/>
  <c r="H14" i="6"/>
  <c r="H10" i="6"/>
  <c r="H6" i="6"/>
  <c r="H3" i="6"/>
  <c r="H104" i="6"/>
  <c r="H102" i="6"/>
  <c r="H100" i="6"/>
  <c r="H98" i="6"/>
  <c r="H96" i="6"/>
  <c r="H94" i="6"/>
  <c r="H92" i="6"/>
  <c r="H90" i="6"/>
  <c r="H88" i="6"/>
  <c r="H86" i="6"/>
  <c r="H84" i="6"/>
  <c r="H82" i="6"/>
  <c r="H80" i="6"/>
  <c r="H78" i="6"/>
  <c r="H76" i="6"/>
  <c r="H74" i="6"/>
  <c r="H72" i="6"/>
  <c r="H70" i="6"/>
  <c r="H68" i="6"/>
  <c r="H66" i="6"/>
  <c r="H64" i="6"/>
  <c r="H62" i="6"/>
  <c r="H19" i="6"/>
  <c r="H15" i="6"/>
  <c r="H11" i="6"/>
  <c r="H7" i="6"/>
  <c r="H133" i="6"/>
  <c r="H129" i="6"/>
  <c r="H125" i="6"/>
  <c r="H121" i="6"/>
  <c r="H117" i="6"/>
  <c r="H113" i="6"/>
  <c r="H109" i="6"/>
  <c r="H97" i="6"/>
  <c r="H89" i="6"/>
  <c r="H81" i="6"/>
  <c r="H73" i="6"/>
  <c r="H65" i="6"/>
  <c r="H16" i="6"/>
  <c r="H8" i="6"/>
  <c r="H67" i="6"/>
  <c r="H21" i="6"/>
  <c r="H103" i="6"/>
  <c r="H95" i="6"/>
  <c r="H87" i="6"/>
  <c r="H79" i="6"/>
  <c r="H71" i="6"/>
  <c r="H63" i="6"/>
  <c r="H17" i="6"/>
  <c r="H9" i="6"/>
  <c r="H101" i="6"/>
  <c r="H93" i="6"/>
  <c r="H85" i="6"/>
  <c r="H77" i="6"/>
  <c r="H69" i="6"/>
  <c r="H20" i="6"/>
  <c r="H12" i="6"/>
  <c r="H4" i="6"/>
  <c r="H99" i="6"/>
  <c r="H91" i="6"/>
  <c r="H83" i="6"/>
  <c r="H75" i="6"/>
  <c r="H13" i="6"/>
  <c r="H5" i="6"/>
  <c r="H2" i="6"/>
  <c r="Q218" i="5"/>
  <c r="Q214" i="5"/>
  <c r="Q210" i="5"/>
  <c r="Q206" i="5"/>
  <c r="Q202" i="5"/>
  <c r="Q198" i="5"/>
  <c r="Q194" i="5"/>
  <c r="Q190" i="5"/>
  <c r="Q186" i="5"/>
  <c r="Q182" i="5"/>
  <c r="Q178" i="5"/>
  <c r="Q174" i="5"/>
  <c r="Q170" i="5"/>
  <c r="Q166" i="5"/>
  <c r="Q162" i="5"/>
  <c r="Q158" i="5"/>
  <c r="Q154" i="5"/>
  <c r="Q150" i="5"/>
  <c r="Q146" i="5"/>
  <c r="Q142" i="5"/>
  <c r="Q138" i="5"/>
  <c r="Q134" i="5"/>
  <c r="Q130" i="5"/>
  <c r="Q126" i="5"/>
  <c r="Q122" i="5"/>
  <c r="Q118" i="5"/>
  <c r="Q217" i="5"/>
  <c r="Q213" i="5"/>
  <c r="Q209" i="5"/>
  <c r="Q205" i="5"/>
  <c r="Q201" i="5"/>
  <c r="Q197" i="5"/>
  <c r="Q193" i="5"/>
  <c r="Q189" i="5"/>
  <c r="Q185" i="5"/>
  <c r="Q181" i="5"/>
  <c r="Q177" i="5"/>
  <c r="Q173" i="5"/>
  <c r="Q169" i="5"/>
  <c r="Q165" i="5"/>
  <c r="Q161" i="5"/>
  <c r="Q157" i="5"/>
  <c r="Q216" i="5"/>
  <c r="Q212" i="5"/>
  <c r="Q208" i="5"/>
  <c r="Q204" i="5"/>
  <c r="Q200" i="5"/>
  <c r="Q196" i="5"/>
  <c r="Q192" i="5"/>
  <c r="Q188" i="5"/>
  <c r="Q184" i="5"/>
  <c r="Q180" i="5"/>
  <c r="Q176" i="5"/>
  <c r="Q172" i="5"/>
  <c r="Q168" i="5"/>
  <c r="Q164" i="5"/>
  <c r="Q160" i="5"/>
  <c r="Q156" i="5"/>
  <c r="Q152" i="5"/>
  <c r="Q148" i="5"/>
  <c r="Q144" i="5"/>
  <c r="Q140" i="5"/>
  <c r="Q136" i="5"/>
  <c r="Q132" i="5"/>
  <c r="Q128" i="5"/>
  <c r="Q124" i="5"/>
  <c r="Q120" i="5"/>
  <c r="Q116" i="5"/>
  <c r="Q211" i="5"/>
  <c r="Q195" i="5"/>
  <c r="Q179" i="5"/>
  <c r="Q163" i="5"/>
  <c r="Q151" i="5"/>
  <c r="Q143" i="5"/>
  <c r="Q135" i="5"/>
  <c r="Q127" i="5"/>
  <c r="Q119" i="5"/>
  <c r="Q113" i="5"/>
  <c r="Q109" i="5"/>
  <c r="Q105" i="5"/>
  <c r="Q101" i="5"/>
  <c r="Q97" i="5"/>
  <c r="Q93" i="5"/>
  <c r="Q89" i="5"/>
  <c r="Q85" i="5"/>
  <c r="Q81" i="5"/>
  <c r="Q77" i="5"/>
  <c r="Q73" i="5"/>
  <c r="Q69" i="5"/>
  <c r="Q65" i="5"/>
  <c r="Q61" i="5"/>
  <c r="Q57" i="5"/>
  <c r="Q53" i="5"/>
  <c r="Q49" i="5"/>
  <c r="Q45" i="5"/>
  <c r="Q41" i="5"/>
  <c r="Q37" i="5"/>
  <c r="Q33" i="5"/>
  <c r="Q203" i="5"/>
  <c r="Q187" i="5"/>
  <c r="Q171" i="5"/>
  <c r="Q155" i="5"/>
  <c r="Q147" i="5"/>
  <c r="Q139" i="5"/>
  <c r="Q131" i="5"/>
  <c r="Q123" i="5"/>
  <c r="Q115" i="5"/>
  <c r="Q111" i="5"/>
  <c r="Q107" i="5"/>
  <c r="Q103" i="5"/>
  <c r="Q99" i="5"/>
  <c r="Q95" i="5"/>
  <c r="Q91" i="5"/>
  <c r="Q87" i="5"/>
  <c r="Q83" i="5"/>
  <c r="Q79" i="5"/>
  <c r="Q75" i="5"/>
  <c r="Q71" i="5"/>
  <c r="Q67" i="5"/>
  <c r="Q63" i="5"/>
  <c r="Q59" i="5"/>
  <c r="Q55" i="5"/>
  <c r="Q51" i="5"/>
  <c r="Q47" i="5"/>
  <c r="Q43" i="5"/>
  <c r="Q39" i="5"/>
  <c r="Q35" i="5"/>
  <c r="Q31" i="5"/>
  <c r="Q27" i="5"/>
  <c r="Q23" i="5"/>
  <c r="Q19" i="5"/>
  <c r="Q15" i="5"/>
  <c r="Q11" i="5"/>
  <c r="Q7" i="5"/>
  <c r="Q3" i="5"/>
  <c r="E20" i="5"/>
  <c r="F20" i="5" s="1"/>
  <c r="E16" i="5"/>
  <c r="F16" i="5" s="1"/>
  <c r="E12" i="5"/>
  <c r="F12" i="5" s="1"/>
  <c r="E8" i="5"/>
  <c r="F8" i="5" s="1"/>
  <c r="E4" i="5"/>
  <c r="F4" i="5" s="1"/>
  <c r="Q191" i="5"/>
  <c r="Q159" i="5"/>
  <c r="Q141" i="5"/>
  <c r="Q125" i="5"/>
  <c r="Q112" i="5"/>
  <c r="Q104" i="5"/>
  <c r="Q96" i="5"/>
  <c r="Q88" i="5"/>
  <c r="Q80" i="5"/>
  <c r="Q72" i="5"/>
  <c r="Q64" i="5"/>
  <c r="Q56" i="5"/>
  <c r="Q48" i="5"/>
  <c r="Q40" i="5"/>
  <c r="Q32" i="5"/>
  <c r="Q26" i="5"/>
  <c r="Q21" i="5"/>
  <c r="Q16" i="5"/>
  <c r="Q10" i="5"/>
  <c r="Q5" i="5"/>
  <c r="E21" i="5"/>
  <c r="F21" i="5" s="1"/>
  <c r="E15" i="5"/>
  <c r="F15" i="5" s="1"/>
  <c r="E10" i="5"/>
  <c r="F10" i="5" s="1"/>
  <c r="E5" i="5"/>
  <c r="F5" i="5" s="1"/>
  <c r="Q215" i="5"/>
  <c r="Q183" i="5"/>
  <c r="Q153" i="5"/>
  <c r="Q137" i="5"/>
  <c r="Q121" i="5"/>
  <c r="Q110" i="5"/>
  <c r="Q102" i="5"/>
  <c r="Q94" i="5"/>
  <c r="Q86" i="5"/>
  <c r="Q78" i="5"/>
  <c r="Q70" i="5"/>
  <c r="Q62" i="5"/>
  <c r="Q54" i="5"/>
  <c r="Q46" i="5"/>
  <c r="Q38" i="5"/>
  <c r="Q30" i="5"/>
  <c r="Q25" i="5"/>
  <c r="Q20" i="5"/>
  <c r="Q14" i="5"/>
  <c r="Q9" i="5"/>
  <c r="Q4" i="5"/>
  <c r="E19" i="5"/>
  <c r="F19" i="5" s="1"/>
  <c r="E14" i="5"/>
  <c r="F14" i="5" s="1"/>
  <c r="E9" i="5"/>
  <c r="F9" i="5" s="1"/>
  <c r="E3" i="5"/>
  <c r="F3" i="5" s="1"/>
  <c r="Q199" i="5"/>
  <c r="Q167" i="5"/>
  <c r="Q145" i="5"/>
  <c r="Q129" i="5"/>
  <c r="Q207" i="5"/>
  <c r="Q175" i="5"/>
  <c r="Q149" i="5"/>
  <c r="Q133" i="5"/>
  <c r="Q117" i="5"/>
  <c r="Q108" i="5"/>
  <c r="Q100" i="5"/>
  <c r="Q92" i="5"/>
  <c r="Q84" i="5"/>
  <c r="Q76" i="5"/>
  <c r="Q68" i="5"/>
  <c r="Q60" i="5"/>
  <c r="Q52" i="5"/>
  <c r="Q44" i="5"/>
  <c r="Q36" i="5"/>
  <c r="Q29" i="5"/>
  <c r="Q24" i="5"/>
  <c r="Q18" i="5"/>
  <c r="Q13" i="5"/>
  <c r="Q8" i="5"/>
  <c r="Q2" i="5"/>
  <c r="E18" i="5"/>
  <c r="F18" i="5" s="1"/>
  <c r="E13" i="5"/>
  <c r="F13" i="5" s="1"/>
  <c r="E7" i="5"/>
  <c r="F7" i="5" s="1"/>
  <c r="E2" i="5"/>
  <c r="F2" i="5" s="1"/>
  <c r="Q90" i="5"/>
  <c r="Q58" i="5"/>
  <c r="Q28" i="5"/>
  <c r="Q6" i="5"/>
  <c r="E6" i="5"/>
  <c r="F6" i="5" s="1"/>
  <c r="Q114" i="5"/>
  <c r="Q82" i="5"/>
  <c r="Q50" i="5"/>
  <c r="Q22" i="5"/>
  <c r="E22" i="5"/>
  <c r="F22" i="5" s="1"/>
  <c r="Q106" i="5"/>
  <c r="Q74" i="5"/>
  <c r="Q42" i="5"/>
  <c r="Q17" i="5"/>
  <c r="E17" i="5"/>
  <c r="F17" i="5" s="1"/>
  <c r="Q98" i="5"/>
  <c r="Q66" i="5"/>
  <c r="Q34" i="5"/>
  <c r="Q12" i="5"/>
  <c r="E11" i="5"/>
  <c r="F11" i="5" s="1"/>
  <c r="T218" i="5" l="1"/>
  <c r="V218" i="5" s="1"/>
  <c r="T42" i="5"/>
  <c r="V42" i="5" s="1"/>
  <c r="T90" i="5"/>
  <c r="V90" i="5" s="1"/>
  <c r="T18" i="5"/>
  <c r="V18" i="5" s="1"/>
  <c r="T76" i="5"/>
  <c r="V76" i="5" s="1"/>
  <c r="T175" i="5"/>
  <c r="V175" i="5" s="1"/>
  <c r="T167" i="5"/>
  <c r="V167" i="5" s="1"/>
  <c r="T14" i="5"/>
  <c r="V14" i="5" s="1"/>
  <c r="T70" i="5"/>
  <c r="V70" i="5" s="1"/>
  <c r="T32" i="5"/>
  <c r="V32" i="5" s="1"/>
  <c r="T96" i="5"/>
  <c r="V96" i="5" s="1"/>
  <c r="T141" i="5"/>
  <c r="V141" i="5" s="1"/>
  <c r="T3" i="5"/>
  <c r="V3" i="5" s="1"/>
  <c r="T35" i="5"/>
  <c r="V35" i="5" s="1"/>
  <c r="T67" i="5"/>
  <c r="V67" i="5" s="1"/>
  <c r="T99" i="5"/>
  <c r="V99" i="5" s="1"/>
  <c r="T147" i="5"/>
  <c r="V147" i="5" s="1"/>
  <c r="T93" i="5"/>
  <c r="V93" i="5" s="1"/>
  <c r="T12" i="5"/>
  <c r="V12" i="5" s="1"/>
  <c r="T106" i="5"/>
  <c r="V106" i="5" s="1"/>
  <c r="T82" i="5"/>
  <c r="V82" i="5" s="1"/>
  <c r="T28" i="5"/>
  <c r="V28" i="5" s="1"/>
  <c r="T8" i="5"/>
  <c r="V8" i="5" s="1"/>
  <c r="T29" i="5"/>
  <c r="V29" i="5" s="1"/>
  <c r="T60" i="5"/>
  <c r="V60" i="5" s="1"/>
  <c r="T92" i="5"/>
  <c r="V92" i="5" s="1"/>
  <c r="T133" i="5"/>
  <c r="V133" i="5" s="1"/>
  <c r="T129" i="5"/>
  <c r="V129" i="5" s="1"/>
  <c r="T4" i="5"/>
  <c r="V4" i="5" s="1"/>
  <c r="T25" i="5"/>
  <c r="V25" i="5" s="1"/>
  <c r="T54" i="5"/>
  <c r="V54" i="5" s="1"/>
  <c r="T86" i="5"/>
  <c r="V86" i="5" s="1"/>
  <c r="T121" i="5"/>
  <c r="V121" i="5" s="1"/>
  <c r="T215" i="5"/>
  <c r="V215" i="5" s="1"/>
  <c r="T21" i="5"/>
  <c r="V21" i="5" s="1"/>
  <c r="T48" i="5"/>
  <c r="V48" i="5" s="1"/>
  <c r="T80" i="5"/>
  <c r="V80" i="5" s="1"/>
  <c r="T112" i="5"/>
  <c r="V112" i="5" s="1"/>
  <c r="T191" i="5"/>
  <c r="V191" i="5" s="1"/>
  <c r="T11" i="5"/>
  <c r="V11" i="5" s="1"/>
  <c r="T27" i="5"/>
  <c r="V27" i="5" s="1"/>
  <c r="T43" i="5"/>
  <c r="V43" i="5" s="1"/>
  <c r="T59" i="5"/>
  <c r="V59" i="5" s="1"/>
  <c r="T75" i="5"/>
  <c r="V75" i="5" s="1"/>
  <c r="T91" i="5"/>
  <c r="V91" i="5" s="1"/>
  <c r="T107" i="5"/>
  <c r="V107" i="5" s="1"/>
  <c r="T131" i="5"/>
  <c r="V131" i="5" s="1"/>
  <c r="T171" i="5"/>
  <c r="V171" i="5" s="1"/>
  <c r="T37" i="5"/>
  <c r="V37" i="5" s="1"/>
  <c r="T53" i="5"/>
  <c r="V53" i="5" s="1"/>
  <c r="T69" i="5"/>
  <c r="V69" i="5" s="1"/>
  <c r="T85" i="5"/>
  <c r="V85" i="5" s="1"/>
  <c r="T101" i="5"/>
  <c r="V101" i="5" s="1"/>
  <c r="T119" i="5"/>
  <c r="V119" i="5" s="1"/>
  <c r="T151" i="5"/>
  <c r="V151" i="5" s="1"/>
  <c r="T211" i="5"/>
  <c r="V211" i="5" s="1"/>
  <c r="T128" i="5"/>
  <c r="V128" i="5" s="1"/>
  <c r="T144" i="5"/>
  <c r="V144" i="5" s="1"/>
  <c r="T160" i="5"/>
  <c r="V160" i="5" s="1"/>
  <c r="T176" i="5"/>
  <c r="V176" i="5" s="1"/>
  <c r="T192" i="5"/>
  <c r="V192" i="5" s="1"/>
  <c r="T208" i="5"/>
  <c r="V208" i="5" s="1"/>
  <c r="T161" i="5"/>
  <c r="V161" i="5" s="1"/>
  <c r="T177" i="5"/>
  <c r="V177" i="5" s="1"/>
  <c r="T193" i="5"/>
  <c r="V193" i="5" s="1"/>
  <c r="T209" i="5"/>
  <c r="V209" i="5" s="1"/>
  <c r="T122" i="5"/>
  <c r="V122" i="5" s="1"/>
  <c r="T138" i="5"/>
  <c r="V138" i="5" s="1"/>
  <c r="T154" i="5"/>
  <c r="V154" i="5" s="1"/>
  <c r="T170" i="5"/>
  <c r="V170" i="5" s="1"/>
  <c r="T186" i="5"/>
  <c r="V186" i="5" s="1"/>
  <c r="T202" i="5"/>
  <c r="V202" i="5" s="1"/>
  <c r="T34" i="5"/>
  <c r="V34" i="5" s="1"/>
  <c r="T17" i="5"/>
  <c r="V17" i="5" s="1"/>
  <c r="T114" i="5"/>
  <c r="V114" i="5" s="1"/>
  <c r="T58" i="5"/>
  <c r="V58" i="5" s="1"/>
  <c r="T13" i="5"/>
  <c r="V13" i="5" s="1"/>
  <c r="T36" i="5"/>
  <c r="V36" i="5" s="1"/>
  <c r="T68" i="5"/>
  <c r="V68" i="5" s="1"/>
  <c r="T100" i="5"/>
  <c r="V100" i="5" s="1"/>
  <c r="T149" i="5"/>
  <c r="V149" i="5" s="1"/>
  <c r="T145" i="5"/>
  <c r="V145" i="5" s="1"/>
  <c r="T9" i="5"/>
  <c r="V9" i="5" s="1"/>
  <c r="T30" i="5"/>
  <c r="V30" i="5" s="1"/>
  <c r="T62" i="5"/>
  <c r="V62" i="5" s="1"/>
  <c r="T94" i="5"/>
  <c r="V94" i="5" s="1"/>
  <c r="T137" i="5"/>
  <c r="V137" i="5" s="1"/>
  <c r="T5" i="5"/>
  <c r="V5" i="5" s="1"/>
  <c r="T26" i="5"/>
  <c r="V26" i="5" s="1"/>
  <c r="T56" i="5"/>
  <c r="V56" i="5" s="1"/>
  <c r="T88" i="5"/>
  <c r="V88" i="5" s="1"/>
  <c r="T125" i="5"/>
  <c r="V125" i="5" s="1"/>
  <c r="T15" i="5"/>
  <c r="V15" i="5" s="1"/>
  <c r="T31" i="5"/>
  <c r="V31" i="5" s="1"/>
  <c r="T47" i="5"/>
  <c r="V47" i="5" s="1"/>
  <c r="T63" i="5"/>
  <c r="V63" i="5" s="1"/>
  <c r="T79" i="5"/>
  <c r="V79" i="5" s="1"/>
  <c r="T95" i="5"/>
  <c r="V95" i="5" s="1"/>
  <c r="T111" i="5"/>
  <c r="V111" i="5" s="1"/>
  <c r="T139" i="5"/>
  <c r="V139" i="5" s="1"/>
  <c r="T187" i="5"/>
  <c r="V187" i="5" s="1"/>
  <c r="T41" i="5"/>
  <c r="V41" i="5" s="1"/>
  <c r="T57" i="5"/>
  <c r="V57" i="5" s="1"/>
  <c r="T73" i="5"/>
  <c r="V73" i="5" s="1"/>
  <c r="T89" i="5"/>
  <c r="V89" i="5" s="1"/>
  <c r="T105" i="5"/>
  <c r="V105" i="5" s="1"/>
  <c r="T127" i="5"/>
  <c r="V127" i="5" s="1"/>
  <c r="T163" i="5"/>
  <c r="V163" i="5" s="1"/>
  <c r="T116" i="5"/>
  <c r="V116" i="5" s="1"/>
  <c r="T132" i="5"/>
  <c r="V132" i="5" s="1"/>
  <c r="T148" i="5"/>
  <c r="V148" i="5" s="1"/>
  <c r="T164" i="5"/>
  <c r="V164" i="5" s="1"/>
  <c r="T180" i="5"/>
  <c r="V180" i="5" s="1"/>
  <c r="T196" i="5"/>
  <c r="V196" i="5" s="1"/>
  <c r="T212" i="5"/>
  <c r="V212" i="5" s="1"/>
  <c r="T165" i="5"/>
  <c r="V165" i="5" s="1"/>
  <c r="T181" i="5"/>
  <c r="V181" i="5" s="1"/>
  <c r="T197" i="5"/>
  <c r="V197" i="5" s="1"/>
  <c r="T213" i="5"/>
  <c r="V213" i="5" s="1"/>
  <c r="T126" i="5"/>
  <c r="V126" i="5" s="1"/>
  <c r="T142" i="5"/>
  <c r="V142" i="5" s="1"/>
  <c r="T158" i="5"/>
  <c r="V158" i="5" s="1"/>
  <c r="T174" i="5"/>
  <c r="V174" i="5" s="1"/>
  <c r="T190" i="5"/>
  <c r="V190" i="5" s="1"/>
  <c r="T206" i="5"/>
  <c r="V206" i="5" s="1"/>
  <c r="T66" i="5"/>
  <c r="V66" i="5" s="1"/>
  <c r="T22" i="5"/>
  <c r="V22" i="5" s="1"/>
  <c r="T44" i="5"/>
  <c r="V44" i="5" s="1"/>
  <c r="T108" i="5"/>
  <c r="V108" i="5" s="1"/>
  <c r="T38" i="5"/>
  <c r="V38" i="5" s="1"/>
  <c r="T102" i="5"/>
  <c r="V102" i="5" s="1"/>
  <c r="T153" i="5"/>
  <c r="V153" i="5" s="1"/>
  <c r="T10" i="5"/>
  <c r="V10" i="5" s="1"/>
  <c r="T64" i="5"/>
  <c r="V64" i="5" s="1"/>
  <c r="T19" i="5"/>
  <c r="V19" i="5" s="1"/>
  <c r="T51" i="5"/>
  <c r="V51" i="5" s="1"/>
  <c r="T83" i="5"/>
  <c r="V83" i="5" s="1"/>
  <c r="T115" i="5"/>
  <c r="V115" i="5" s="1"/>
  <c r="T203" i="5"/>
  <c r="V203" i="5" s="1"/>
  <c r="T45" i="5"/>
  <c r="V45" i="5" s="1"/>
  <c r="T61" i="5"/>
  <c r="V61" i="5" s="1"/>
  <c r="T77" i="5"/>
  <c r="V77" i="5" s="1"/>
  <c r="T109" i="5"/>
  <c r="V109" i="5" s="1"/>
  <c r="T135" i="5"/>
  <c r="V135" i="5" s="1"/>
  <c r="T179" i="5"/>
  <c r="V179" i="5" s="1"/>
  <c r="T120" i="5"/>
  <c r="V120" i="5" s="1"/>
  <c r="T136" i="5"/>
  <c r="V136" i="5" s="1"/>
  <c r="T152" i="5"/>
  <c r="V152" i="5" s="1"/>
  <c r="T168" i="5"/>
  <c r="V168" i="5" s="1"/>
  <c r="T184" i="5"/>
  <c r="V184" i="5" s="1"/>
  <c r="T200" i="5"/>
  <c r="V200" i="5" s="1"/>
  <c r="T216" i="5"/>
  <c r="V216" i="5" s="1"/>
  <c r="T169" i="5"/>
  <c r="V169" i="5" s="1"/>
  <c r="T185" i="5"/>
  <c r="V185" i="5" s="1"/>
  <c r="T201" i="5"/>
  <c r="V201" i="5" s="1"/>
  <c r="T217" i="5"/>
  <c r="V217" i="5" s="1"/>
  <c r="T130" i="5"/>
  <c r="V130" i="5" s="1"/>
  <c r="T146" i="5"/>
  <c r="V146" i="5" s="1"/>
  <c r="T162" i="5"/>
  <c r="V162" i="5" s="1"/>
  <c r="T178" i="5"/>
  <c r="V178" i="5" s="1"/>
  <c r="T194" i="5"/>
  <c r="V194" i="5" s="1"/>
  <c r="T210" i="5"/>
  <c r="V210" i="5" s="1"/>
  <c r="T98" i="5"/>
  <c r="V98" i="5" s="1"/>
  <c r="T74" i="5"/>
  <c r="V74" i="5" s="1"/>
  <c r="T50" i="5"/>
  <c r="V50" i="5" s="1"/>
  <c r="T6" i="5"/>
  <c r="V6" i="5" s="1"/>
  <c r="T2" i="5"/>
  <c r="V2" i="5" s="1"/>
  <c r="T24" i="5"/>
  <c r="V24" i="5" s="1"/>
  <c r="T52" i="5"/>
  <c r="V52" i="5" s="1"/>
  <c r="T84" i="5"/>
  <c r="V84" i="5" s="1"/>
  <c r="T117" i="5"/>
  <c r="V117" i="5" s="1"/>
  <c r="T207" i="5"/>
  <c r="V207" i="5" s="1"/>
  <c r="T199" i="5"/>
  <c r="V199" i="5" s="1"/>
  <c r="T20" i="5"/>
  <c r="V20" i="5" s="1"/>
  <c r="T46" i="5"/>
  <c r="V46" i="5" s="1"/>
  <c r="T78" i="5"/>
  <c r="V78" i="5" s="1"/>
  <c r="T110" i="5"/>
  <c r="V110" i="5" s="1"/>
  <c r="T183" i="5"/>
  <c r="V183" i="5" s="1"/>
  <c r="T16" i="5"/>
  <c r="V16" i="5" s="1"/>
  <c r="T40" i="5"/>
  <c r="V40" i="5" s="1"/>
  <c r="T72" i="5"/>
  <c r="V72" i="5" s="1"/>
  <c r="T104" i="5"/>
  <c r="V104" i="5" s="1"/>
  <c r="T159" i="5"/>
  <c r="V159" i="5" s="1"/>
  <c r="T7" i="5"/>
  <c r="V7" i="5" s="1"/>
  <c r="T23" i="5"/>
  <c r="V23" i="5" s="1"/>
  <c r="T39" i="5"/>
  <c r="V39" i="5" s="1"/>
  <c r="T55" i="5"/>
  <c r="V55" i="5" s="1"/>
  <c r="T71" i="5"/>
  <c r="V71" i="5" s="1"/>
  <c r="T87" i="5"/>
  <c r="V87" i="5" s="1"/>
  <c r="T103" i="5"/>
  <c r="V103" i="5" s="1"/>
  <c r="T123" i="5"/>
  <c r="V123" i="5" s="1"/>
  <c r="T155" i="5"/>
  <c r="V155" i="5" s="1"/>
  <c r="T33" i="5"/>
  <c r="V33" i="5" s="1"/>
  <c r="T49" i="5"/>
  <c r="V49" i="5" s="1"/>
  <c r="T65" i="5"/>
  <c r="V65" i="5" s="1"/>
  <c r="T81" i="5"/>
  <c r="V81" i="5" s="1"/>
  <c r="T97" i="5"/>
  <c r="V97" i="5" s="1"/>
  <c r="T113" i="5"/>
  <c r="V113" i="5" s="1"/>
  <c r="T143" i="5"/>
  <c r="V143" i="5" s="1"/>
  <c r="T195" i="5"/>
  <c r="V195" i="5" s="1"/>
  <c r="T124" i="5"/>
  <c r="V124" i="5" s="1"/>
  <c r="T140" i="5"/>
  <c r="V140" i="5" s="1"/>
  <c r="T156" i="5"/>
  <c r="V156" i="5" s="1"/>
  <c r="T172" i="5"/>
  <c r="V172" i="5" s="1"/>
  <c r="T188" i="5"/>
  <c r="V188" i="5" s="1"/>
  <c r="T204" i="5"/>
  <c r="V204" i="5" s="1"/>
  <c r="T157" i="5"/>
  <c r="V157" i="5" s="1"/>
  <c r="T173" i="5"/>
  <c r="V173" i="5" s="1"/>
  <c r="T189" i="5"/>
  <c r="V189" i="5" s="1"/>
  <c r="T205" i="5"/>
  <c r="V205" i="5" s="1"/>
  <c r="T118" i="5"/>
  <c r="V118" i="5" s="1"/>
  <c r="T134" i="5"/>
  <c r="V134" i="5" s="1"/>
  <c r="T150" i="5"/>
  <c r="V150" i="5" s="1"/>
  <c r="T166" i="5"/>
  <c r="V166" i="5" s="1"/>
  <c r="T182" i="5"/>
  <c r="V182" i="5" s="1"/>
  <c r="T198" i="5"/>
  <c r="V198" i="5" s="1"/>
  <c r="T214" i="5"/>
  <c r="V214" i="5" s="1"/>
  <c r="E2" i="4" l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D3" i="4"/>
  <c r="D4" i="4"/>
  <c r="F4" i="4" s="1"/>
  <c r="D5" i="4"/>
  <c r="D6" i="4"/>
  <c r="D7" i="4"/>
  <c r="F7" i="4" s="1"/>
  <c r="D8" i="4"/>
  <c r="F8" i="4" s="1"/>
  <c r="D9" i="4"/>
  <c r="D10" i="4"/>
  <c r="D11" i="4"/>
  <c r="F11" i="4" s="1"/>
  <c r="D12" i="4"/>
  <c r="F12" i="4" s="1"/>
  <c r="D13" i="4"/>
  <c r="D14" i="4"/>
  <c r="D15" i="4"/>
  <c r="F15" i="4" s="1"/>
  <c r="D16" i="4"/>
  <c r="F16" i="4" s="1"/>
  <c r="D17" i="4"/>
  <c r="D18" i="4"/>
  <c r="D19" i="4"/>
  <c r="F19" i="4" s="1"/>
  <c r="D20" i="4"/>
  <c r="F20" i="4" s="1"/>
  <c r="D21" i="4"/>
  <c r="D22" i="4"/>
  <c r="D23" i="4"/>
  <c r="F23" i="4" s="1"/>
  <c r="D24" i="4"/>
  <c r="F24" i="4" s="1"/>
  <c r="D25" i="4"/>
  <c r="D26" i="4"/>
  <c r="G26" i="4" s="1"/>
  <c r="D27" i="4"/>
  <c r="F27" i="4" s="1"/>
  <c r="D28" i="4"/>
  <c r="F28" i="4" s="1"/>
  <c r="D29" i="4"/>
  <c r="D30" i="4"/>
  <c r="D31" i="4"/>
  <c r="F31" i="4" s="1"/>
  <c r="D32" i="4"/>
  <c r="F32" i="4" s="1"/>
  <c r="D33" i="4"/>
  <c r="D34" i="4"/>
  <c r="D35" i="4"/>
  <c r="G35" i="4" s="1"/>
  <c r="D36" i="4"/>
  <c r="F36" i="4" s="1"/>
  <c r="D37" i="4"/>
  <c r="D38" i="4"/>
  <c r="G38" i="4" s="1"/>
  <c r="D39" i="4"/>
  <c r="G39" i="4" s="1"/>
  <c r="D40" i="4"/>
  <c r="F40" i="4" s="1"/>
  <c r="D41" i="4"/>
  <c r="D42" i="4"/>
  <c r="D43" i="4"/>
  <c r="G43" i="4" s="1"/>
  <c r="D44" i="4"/>
  <c r="F44" i="4" s="1"/>
  <c r="D45" i="4"/>
  <c r="D46" i="4"/>
  <c r="D47" i="4"/>
  <c r="G47" i="4" s="1"/>
  <c r="D48" i="4"/>
  <c r="F48" i="4" s="1"/>
  <c r="D49" i="4"/>
  <c r="D50" i="4"/>
  <c r="D51" i="4"/>
  <c r="G51" i="4" s="1"/>
  <c r="D52" i="4"/>
  <c r="F52" i="4" s="1"/>
  <c r="D53" i="4"/>
  <c r="D54" i="4"/>
  <c r="D55" i="4"/>
  <c r="G55" i="4" s="1"/>
  <c r="D56" i="4"/>
  <c r="F56" i="4" s="1"/>
  <c r="D57" i="4"/>
  <c r="D58" i="4"/>
  <c r="D59" i="4"/>
  <c r="G59" i="4" s="1"/>
  <c r="D60" i="4"/>
  <c r="F60" i="4" s="1"/>
  <c r="D61" i="4"/>
  <c r="D62" i="4"/>
  <c r="D63" i="4"/>
  <c r="G63" i="4" s="1"/>
  <c r="D64" i="4"/>
  <c r="F64" i="4" s="1"/>
  <c r="D65" i="4"/>
  <c r="D66" i="4"/>
  <c r="D67" i="4"/>
  <c r="G67" i="4" s="1"/>
  <c r="D68" i="4"/>
  <c r="F68" i="4" s="1"/>
  <c r="D69" i="4"/>
  <c r="D70" i="4"/>
  <c r="D71" i="4"/>
  <c r="G71" i="4" s="1"/>
  <c r="D72" i="4"/>
  <c r="F72" i="4" s="1"/>
  <c r="D73" i="4"/>
  <c r="D74" i="4"/>
  <c r="D75" i="4"/>
  <c r="G75" i="4" s="1"/>
  <c r="D76" i="4"/>
  <c r="F76" i="4" s="1"/>
  <c r="D77" i="4"/>
  <c r="D78" i="4"/>
  <c r="D79" i="4"/>
  <c r="G79" i="4" s="1"/>
  <c r="D80" i="4"/>
  <c r="F80" i="4" s="1"/>
  <c r="D81" i="4"/>
  <c r="D82" i="4"/>
  <c r="D83" i="4"/>
  <c r="G83" i="4" s="1"/>
  <c r="D84" i="4"/>
  <c r="F84" i="4" s="1"/>
  <c r="D85" i="4"/>
  <c r="D86" i="4"/>
  <c r="D87" i="4"/>
  <c r="G87" i="4" s="1"/>
  <c r="D88" i="4"/>
  <c r="F88" i="4" s="1"/>
  <c r="D89" i="4"/>
  <c r="D90" i="4"/>
  <c r="D91" i="4"/>
  <c r="G91" i="4" s="1"/>
  <c r="D92" i="4"/>
  <c r="F92" i="4" s="1"/>
  <c r="D93" i="4"/>
  <c r="D94" i="4"/>
  <c r="D95" i="4"/>
  <c r="G95" i="4" s="1"/>
  <c r="D96" i="4"/>
  <c r="F96" i="4" s="1"/>
  <c r="D97" i="4"/>
  <c r="D98" i="4"/>
  <c r="D99" i="4"/>
  <c r="F99" i="4" s="1"/>
  <c r="D100" i="4"/>
  <c r="F100" i="4" s="1"/>
  <c r="D101" i="4"/>
  <c r="D102" i="4"/>
  <c r="D103" i="4"/>
  <c r="F103" i="4" s="1"/>
  <c r="D104" i="4"/>
  <c r="F104" i="4" s="1"/>
  <c r="D105" i="4"/>
  <c r="D106" i="4"/>
  <c r="D107" i="4"/>
  <c r="F107" i="4" s="1"/>
  <c r="D108" i="4"/>
  <c r="F108" i="4" s="1"/>
  <c r="D109" i="4"/>
  <c r="D110" i="4"/>
  <c r="D111" i="4"/>
  <c r="G111" i="4" s="1"/>
  <c r="D112" i="4"/>
  <c r="F112" i="4" s="1"/>
  <c r="D113" i="4"/>
  <c r="D114" i="4"/>
  <c r="D115" i="4"/>
  <c r="G115" i="4" s="1"/>
  <c r="D116" i="4"/>
  <c r="F116" i="4" s="1"/>
  <c r="D117" i="4"/>
  <c r="D118" i="4"/>
  <c r="D119" i="4"/>
  <c r="D120" i="4"/>
  <c r="F120" i="4" s="1"/>
  <c r="D121" i="4"/>
  <c r="D122" i="4"/>
  <c r="D123" i="4"/>
  <c r="F123" i="4" s="1"/>
  <c r="D124" i="4"/>
  <c r="F124" i="4" s="1"/>
  <c r="D125" i="4"/>
  <c r="D126" i="4"/>
  <c r="D127" i="4"/>
  <c r="F127" i="4" s="1"/>
  <c r="D128" i="4"/>
  <c r="F128" i="4" s="1"/>
  <c r="D129" i="4"/>
  <c r="D130" i="4"/>
  <c r="D131" i="4"/>
  <c r="F131" i="4" s="1"/>
  <c r="D132" i="4"/>
  <c r="F132" i="4" s="1"/>
  <c r="D133" i="4"/>
  <c r="D134" i="4"/>
  <c r="D135" i="4"/>
  <c r="G135" i="4" s="1"/>
  <c r="D136" i="4"/>
  <c r="F136" i="4" s="1"/>
  <c r="D137" i="4"/>
  <c r="D138" i="4"/>
  <c r="D139" i="4"/>
  <c r="F139" i="4" s="1"/>
  <c r="D140" i="4"/>
  <c r="F140" i="4" s="1"/>
  <c r="D141" i="4"/>
  <c r="D142" i="4"/>
  <c r="D143" i="4"/>
  <c r="F143" i="4" s="1"/>
  <c r="D144" i="4"/>
  <c r="F144" i="4" s="1"/>
  <c r="D145" i="4"/>
  <c r="D146" i="4"/>
  <c r="D147" i="4"/>
  <c r="F147" i="4" s="1"/>
  <c r="D148" i="4"/>
  <c r="F148" i="4" s="1"/>
  <c r="D149" i="4"/>
  <c r="D150" i="4"/>
  <c r="D151" i="4"/>
  <c r="F151" i="4" s="1"/>
  <c r="D152" i="4"/>
  <c r="F152" i="4" s="1"/>
  <c r="D153" i="4"/>
  <c r="D154" i="4"/>
  <c r="D155" i="4"/>
  <c r="F155" i="4" s="1"/>
  <c r="D156" i="4"/>
  <c r="F156" i="4" s="1"/>
  <c r="D157" i="4"/>
  <c r="D158" i="4"/>
  <c r="D159" i="4"/>
  <c r="G159" i="4" s="1"/>
  <c r="D160" i="4"/>
  <c r="F160" i="4" s="1"/>
  <c r="D161" i="4"/>
  <c r="D162" i="4"/>
  <c r="D163" i="4"/>
  <c r="F163" i="4" s="1"/>
  <c r="D164" i="4"/>
  <c r="F164" i="4" s="1"/>
  <c r="D165" i="4"/>
  <c r="D166" i="4"/>
  <c r="D167" i="4"/>
  <c r="G167" i="4" s="1"/>
  <c r="D168" i="4"/>
  <c r="F168" i="4" s="1"/>
  <c r="D169" i="4"/>
  <c r="D170" i="4"/>
  <c r="D171" i="4"/>
  <c r="D172" i="4"/>
  <c r="F172" i="4" s="1"/>
  <c r="D173" i="4"/>
  <c r="D174" i="4"/>
  <c r="D175" i="4"/>
  <c r="G175" i="4" s="1"/>
  <c r="D176" i="4"/>
  <c r="F176" i="4" s="1"/>
  <c r="D177" i="4"/>
  <c r="D178" i="4"/>
  <c r="D179" i="4"/>
  <c r="G179" i="4" s="1"/>
  <c r="D180" i="4"/>
  <c r="F180" i="4" s="1"/>
  <c r="D181" i="4"/>
  <c r="D182" i="4"/>
  <c r="D183" i="4"/>
  <c r="D184" i="4"/>
  <c r="F184" i="4" s="1"/>
  <c r="D185" i="4"/>
  <c r="D186" i="4"/>
  <c r="D187" i="4"/>
  <c r="D188" i="4"/>
  <c r="F188" i="4" s="1"/>
  <c r="D189" i="4"/>
  <c r="D190" i="4"/>
  <c r="D191" i="4"/>
  <c r="D192" i="4"/>
  <c r="F192" i="4" s="1"/>
  <c r="D193" i="4"/>
  <c r="D194" i="4"/>
  <c r="D195" i="4"/>
  <c r="D196" i="4"/>
  <c r="F196" i="4" s="1"/>
  <c r="D197" i="4"/>
  <c r="D198" i="4"/>
  <c r="D199" i="4"/>
  <c r="D200" i="4"/>
  <c r="D201" i="4"/>
  <c r="D202" i="4"/>
  <c r="D203" i="4"/>
  <c r="D204" i="4"/>
  <c r="F204" i="4" s="1"/>
  <c r="D205" i="4"/>
  <c r="D206" i="4"/>
  <c r="D207" i="4"/>
  <c r="D208" i="4"/>
  <c r="F208" i="4" s="1"/>
  <c r="D209" i="4"/>
  <c r="D210" i="4"/>
  <c r="D211" i="4"/>
  <c r="D212" i="4"/>
  <c r="F212" i="4" s="1"/>
  <c r="D213" i="4"/>
  <c r="D214" i="4"/>
  <c r="D215" i="4"/>
  <c r="D216" i="4"/>
  <c r="F216" i="4" s="1"/>
  <c r="D217" i="4"/>
  <c r="D218" i="4"/>
  <c r="D219" i="4"/>
  <c r="D220" i="4"/>
  <c r="F220" i="4" s="1"/>
  <c r="D221" i="4"/>
  <c r="D222" i="4"/>
  <c r="D223" i="4"/>
  <c r="D224" i="4"/>
  <c r="F224" i="4" s="1"/>
  <c r="D225" i="4"/>
  <c r="D226" i="4"/>
  <c r="D227" i="4"/>
  <c r="D228" i="4"/>
  <c r="F228" i="4" s="1"/>
  <c r="D229" i="4"/>
  <c r="D230" i="4"/>
  <c r="D231" i="4"/>
  <c r="D232" i="4"/>
  <c r="D233" i="4"/>
  <c r="D234" i="4"/>
  <c r="D235" i="4"/>
  <c r="D236" i="4"/>
  <c r="F236" i="4" s="1"/>
  <c r="D237" i="4"/>
  <c r="D238" i="4"/>
  <c r="D239" i="4"/>
  <c r="D240" i="4"/>
  <c r="F240" i="4" s="1"/>
  <c r="D241" i="4"/>
  <c r="D242" i="4"/>
  <c r="D243" i="4"/>
  <c r="D244" i="4"/>
  <c r="F244" i="4" s="1"/>
  <c r="D245" i="4"/>
  <c r="D246" i="4"/>
  <c r="D247" i="4"/>
  <c r="D248" i="4"/>
  <c r="D249" i="4"/>
  <c r="D250" i="4"/>
  <c r="D251" i="4"/>
  <c r="D252" i="4"/>
  <c r="D253" i="4"/>
  <c r="D254" i="4"/>
  <c r="D255" i="4"/>
  <c r="D256" i="4"/>
  <c r="F256" i="4" s="1"/>
  <c r="D257" i="4"/>
  <c r="D258" i="4"/>
  <c r="D259" i="4"/>
  <c r="D260" i="4"/>
  <c r="F260" i="4" s="1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G277" i="4" s="1"/>
  <c r="D278" i="4"/>
  <c r="D279" i="4"/>
  <c r="D280" i="4"/>
  <c r="D281" i="4"/>
  <c r="G281" i="4" s="1"/>
  <c r="D282" i="4"/>
  <c r="D283" i="4"/>
  <c r="D284" i="4"/>
  <c r="D285" i="4"/>
  <c r="F285" i="4" s="1"/>
  <c r="D286" i="4"/>
  <c r="D287" i="4"/>
  <c r="D288" i="4"/>
  <c r="D289" i="4"/>
  <c r="G289" i="4" s="1"/>
  <c r="D290" i="4"/>
  <c r="D291" i="4"/>
  <c r="D292" i="4"/>
  <c r="D293" i="4"/>
  <c r="D294" i="4"/>
  <c r="D295" i="4"/>
  <c r="D296" i="4"/>
  <c r="D297" i="4"/>
  <c r="G297" i="4" s="1"/>
  <c r="D298" i="4"/>
  <c r="D299" i="4"/>
  <c r="D300" i="4"/>
  <c r="D301" i="4"/>
  <c r="F301" i="4" s="1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2" i="4"/>
  <c r="F252" i="4" l="1"/>
  <c r="F248" i="4"/>
  <c r="F232" i="4"/>
  <c r="F200" i="4"/>
  <c r="G102" i="4"/>
  <c r="G90" i="4"/>
  <c r="F254" i="4"/>
  <c r="F102" i="4"/>
  <c r="F261" i="4"/>
  <c r="F179" i="4"/>
  <c r="G171" i="4"/>
  <c r="G119" i="4"/>
  <c r="G103" i="4"/>
  <c r="F401" i="4"/>
  <c r="F397" i="4"/>
  <c r="F393" i="4"/>
  <c r="F389" i="4"/>
  <c r="F385" i="4"/>
  <c r="F381" i="4"/>
  <c r="F377" i="4"/>
  <c r="F373" i="4"/>
  <c r="F369" i="4"/>
  <c r="F365" i="4"/>
  <c r="F361" i="4"/>
  <c r="F357" i="4"/>
  <c r="F353" i="4"/>
  <c r="F349" i="4"/>
  <c r="F345" i="4"/>
  <c r="F337" i="4"/>
  <c r="G333" i="4"/>
  <c r="F329" i="4"/>
  <c r="G321" i="4"/>
  <c r="G313" i="4"/>
  <c r="F400" i="4"/>
  <c r="F396" i="4"/>
  <c r="F392" i="4"/>
  <c r="F388" i="4"/>
  <c r="F384" i="4"/>
  <c r="F380" i="4"/>
  <c r="F376" i="4"/>
  <c r="F372" i="4"/>
  <c r="F368" i="4"/>
  <c r="F364" i="4"/>
  <c r="F360" i="4"/>
  <c r="F356" i="4"/>
  <c r="F352" i="4"/>
  <c r="F348" i="4"/>
  <c r="F344" i="4"/>
  <c r="F340" i="4"/>
  <c r="F336" i="4"/>
  <c r="F332" i="4"/>
  <c r="F328" i="4"/>
  <c r="F324" i="4"/>
  <c r="F320" i="4"/>
  <c r="F316" i="4"/>
  <c r="F312" i="4"/>
  <c r="F308" i="4"/>
  <c r="F304" i="4"/>
  <c r="F300" i="4"/>
  <c r="F296" i="4"/>
  <c r="F292" i="4"/>
  <c r="F288" i="4"/>
  <c r="F284" i="4"/>
  <c r="F280" i="4"/>
  <c r="F276" i="4"/>
  <c r="F272" i="4"/>
  <c r="F268" i="4"/>
  <c r="F264" i="4"/>
  <c r="G177" i="4"/>
  <c r="F173" i="4"/>
  <c r="F169" i="4"/>
  <c r="G165" i="4"/>
  <c r="F161" i="4"/>
  <c r="G157" i="4"/>
  <c r="F153" i="4"/>
  <c r="G149" i="4"/>
  <c r="F145" i="4"/>
  <c r="G141" i="4"/>
  <c r="G137" i="4"/>
  <c r="G133" i="4"/>
  <c r="G129" i="4"/>
  <c r="G125" i="4"/>
  <c r="G121" i="4"/>
  <c r="G117" i="4"/>
  <c r="G113" i="4"/>
  <c r="G109" i="4"/>
  <c r="F105" i="4"/>
  <c r="G101" i="4"/>
  <c r="F97" i="4"/>
  <c r="G93" i="4"/>
  <c r="G89" i="4"/>
  <c r="G85" i="4"/>
  <c r="G81" i="4"/>
  <c r="G77" i="4"/>
  <c r="G73" i="4"/>
  <c r="G69" i="4"/>
  <c r="G65" i="4"/>
  <c r="G61" i="4"/>
  <c r="G57" i="4"/>
  <c r="G53" i="4"/>
  <c r="F49" i="4"/>
  <c r="G45" i="4"/>
  <c r="G41" i="4"/>
  <c r="F37" i="4"/>
  <c r="F33" i="4"/>
  <c r="G29" i="4"/>
  <c r="G25" i="4"/>
  <c r="G21" i="4"/>
  <c r="G17" i="4"/>
  <c r="G13" i="4"/>
  <c r="G9" i="4"/>
  <c r="G5" i="4"/>
  <c r="F341" i="4"/>
  <c r="G325" i="4"/>
  <c r="F317" i="4"/>
  <c r="F309" i="4"/>
  <c r="G305" i="4"/>
  <c r="F293" i="4"/>
  <c r="G273" i="4"/>
  <c r="G269" i="4"/>
  <c r="G265" i="4"/>
  <c r="F399" i="4"/>
  <c r="F395" i="4"/>
  <c r="G391" i="4"/>
  <c r="F387" i="4"/>
  <c r="F383" i="4"/>
  <c r="F379" i="4"/>
  <c r="F375" i="4"/>
  <c r="F371" i="4"/>
  <c r="F367" i="4"/>
  <c r="F363" i="4"/>
  <c r="G359" i="4"/>
  <c r="F355" i="4"/>
  <c r="F351" i="4"/>
  <c r="F347" i="4"/>
  <c r="F343" i="4"/>
  <c r="F339" i="4"/>
  <c r="F335" i="4"/>
  <c r="F331" i="4"/>
  <c r="G327" i="4"/>
  <c r="G323" i="4"/>
  <c r="F319" i="4"/>
  <c r="F315" i="4"/>
  <c r="F311" i="4"/>
  <c r="F307" i="4"/>
  <c r="F303" i="4"/>
  <c r="F299" i="4"/>
  <c r="F295" i="4"/>
  <c r="G291" i="4"/>
  <c r="F287" i="4"/>
  <c r="F283" i="4"/>
  <c r="F279" i="4"/>
  <c r="F275" i="4"/>
  <c r="F271" i="4"/>
  <c r="F267" i="4"/>
  <c r="F263" i="4"/>
  <c r="F402" i="4"/>
  <c r="F398" i="4"/>
  <c r="F394" i="4"/>
  <c r="F390" i="4"/>
  <c r="G386" i="4"/>
  <c r="F382" i="4"/>
  <c r="F378" i="4"/>
  <c r="F374" i="4"/>
  <c r="F370" i="4"/>
  <c r="F366" i="4"/>
  <c r="F362" i="4"/>
  <c r="F358" i="4"/>
  <c r="F354" i="4"/>
  <c r="F350" i="4"/>
  <c r="G346" i="4"/>
  <c r="G314" i="4"/>
  <c r="G282" i="4"/>
  <c r="G259" i="4"/>
  <c r="F255" i="4"/>
  <c r="F251" i="4"/>
  <c r="F247" i="4"/>
  <c r="F243" i="4"/>
  <c r="F239" i="4"/>
  <c r="F235" i="4"/>
  <c r="F231" i="4"/>
  <c r="G227" i="4"/>
  <c r="G223" i="4"/>
  <c r="F219" i="4"/>
  <c r="F215" i="4"/>
  <c r="F211" i="4"/>
  <c r="G207" i="4"/>
  <c r="G203" i="4"/>
  <c r="F199" i="4"/>
  <c r="F195" i="4"/>
  <c r="G191" i="4"/>
  <c r="G187" i="4"/>
  <c r="G183" i="4"/>
  <c r="G261" i="4"/>
  <c r="G257" i="4"/>
  <c r="G254" i="4"/>
  <c r="G190" i="4"/>
  <c r="G253" i="4"/>
  <c r="G249" i="4"/>
  <c r="F245" i="4"/>
  <c r="G241" i="4"/>
  <c r="F237" i="4"/>
  <c r="G233" i="4"/>
  <c r="G229" i="4"/>
  <c r="F225" i="4"/>
  <c r="G221" i="4"/>
  <c r="F217" i="4"/>
  <c r="G213" i="4"/>
  <c r="F209" i="4"/>
  <c r="G205" i="4"/>
  <c r="G201" i="4"/>
  <c r="F197" i="4"/>
  <c r="G193" i="4"/>
  <c r="G189" i="4"/>
  <c r="F185" i="4"/>
  <c r="F181" i="4"/>
  <c r="G174" i="4"/>
  <c r="G162" i="4"/>
  <c r="G126" i="4"/>
  <c r="F2" i="4"/>
  <c r="F391" i="4"/>
  <c r="F314" i="4"/>
  <c r="G192" i="4"/>
  <c r="G80" i="4"/>
  <c r="G37" i="4"/>
  <c r="G15" i="4"/>
  <c r="G68" i="4"/>
  <c r="G27" i="4"/>
  <c r="G11" i="4"/>
  <c r="G358" i="4"/>
  <c r="G60" i="4"/>
  <c r="G23" i="4"/>
  <c r="G7" i="4"/>
  <c r="F386" i="4"/>
  <c r="F259" i="4"/>
  <c r="F190" i="4"/>
  <c r="G288" i="4"/>
  <c r="G48" i="4"/>
  <c r="G160" i="4"/>
  <c r="G140" i="4"/>
  <c r="F90" i="4"/>
  <c r="G354" i="4"/>
  <c r="G284" i="4"/>
  <c r="G188" i="4"/>
  <c r="G169" i="4"/>
  <c r="G156" i="4"/>
  <c r="G132" i="4"/>
  <c r="G96" i="4"/>
  <c r="G76" i="4"/>
  <c r="G52" i="4"/>
  <c r="G33" i="4"/>
  <c r="F327" i="4"/>
  <c r="F162" i="4"/>
  <c r="G350" i="4"/>
  <c r="G319" i="4"/>
  <c r="G180" i="4"/>
  <c r="G148" i="4"/>
  <c r="G128" i="4"/>
  <c r="G92" i="4"/>
  <c r="F325" i="4"/>
  <c r="F323" i="4"/>
  <c r="G387" i="4"/>
  <c r="G315" i="4"/>
  <c r="G255" i="4"/>
  <c r="G144" i="4"/>
  <c r="G123" i="4"/>
  <c r="G107" i="4"/>
  <c r="G84" i="4"/>
  <c r="G64" i="4"/>
  <c r="G44" i="4"/>
  <c r="F322" i="4"/>
  <c r="G322" i="4"/>
  <c r="F318" i="4"/>
  <c r="G318" i="4"/>
  <c r="F346" i="4"/>
  <c r="F294" i="4"/>
  <c r="G294" i="4"/>
  <c r="F282" i="4"/>
  <c r="F250" i="4"/>
  <c r="G250" i="4"/>
  <c r="F246" i="4"/>
  <c r="G246" i="4"/>
  <c r="F222" i="4"/>
  <c r="G222" i="4"/>
  <c r="F210" i="4"/>
  <c r="G210" i="4"/>
  <c r="F206" i="4"/>
  <c r="G206" i="4"/>
  <c r="F202" i="4"/>
  <c r="G202" i="4"/>
  <c r="F94" i="4"/>
  <c r="G94" i="4"/>
  <c r="F359" i="4"/>
  <c r="F291" i="4"/>
  <c r="F290" i="4"/>
  <c r="G290" i="4"/>
  <c r="F286" i="4"/>
  <c r="G286" i="4"/>
  <c r="F229" i="4"/>
  <c r="F227" i="4"/>
  <c r="F223" i="4"/>
  <c r="F186" i="4"/>
  <c r="G186" i="4"/>
  <c r="F182" i="4"/>
  <c r="G182" i="4"/>
  <c r="F174" i="4"/>
  <c r="F159" i="4"/>
  <c r="F158" i="4"/>
  <c r="G158" i="4"/>
  <c r="F154" i="4"/>
  <c r="G154" i="4"/>
  <c r="F150" i="4"/>
  <c r="G150" i="4"/>
  <c r="F146" i="4"/>
  <c r="G146" i="4"/>
  <c r="F142" i="4"/>
  <c r="G142" i="4"/>
  <c r="F138" i="4"/>
  <c r="G138" i="4"/>
  <c r="F134" i="4"/>
  <c r="G134" i="4"/>
  <c r="F130" i="4"/>
  <c r="G130" i="4"/>
  <c r="F86" i="4"/>
  <c r="G86" i="4"/>
  <c r="F82" i="4"/>
  <c r="G82" i="4"/>
  <c r="F78" i="4"/>
  <c r="G78" i="4"/>
  <c r="F74" i="4"/>
  <c r="G74" i="4"/>
  <c r="F70" i="4"/>
  <c r="G70" i="4"/>
  <c r="F66" i="4"/>
  <c r="G66" i="4"/>
  <c r="F62" i="4"/>
  <c r="G62" i="4"/>
  <c r="F58" i="4"/>
  <c r="G58" i="4"/>
  <c r="F54" i="4"/>
  <c r="G54" i="4"/>
  <c r="F50" i="4"/>
  <c r="G50" i="4"/>
  <c r="F46" i="4"/>
  <c r="G46" i="4"/>
  <c r="F42" i="4"/>
  <c r="G42" i="4"/>
  <c r="F26" i="4"/>
  <c r="F3" i="4"/>
  <c r="G3" i="4"/>
  <c r="G400" i="4"/>
  <c r="G396" i="4"/>
  <c r="G392" i="4"/>
  <c r="G388" i="4"/>
  <c r="G384" i="4"/>
  <c r="G380" i="4"/>
  <c r="G376" i="4"/>
  <c r="G372" i="4"/>
  <c r="G368" i="4"/>
  <c r="G364" i="4"/>
  <c r="G360" i="4"/>
  <c r="G356" i="4"/>
  <c r="G352" i="4"/>
  <c r="G348" i="4"/>
  <c r="G344" i="4"/>
  <c r="G339" i="4"/>
  <c r="G328" i="4"/>
  <c r="G317" i="4"/>
  <c r="G312" i="4"/>
  <c r="G307" i="4"/>
  <c r="G301" i="4"/>
  <c r="G296" i="4"/>
  <c r="G285" i="4"/>
  <c r="G280" i="4"/>
  <c r="G275" i="4"/>
  <c r="G264" i="4"/>
  <c r="G248" i="4"/>
  <c r="G243" i="4"/>
  <c r="G237" i="4"/>
  <c r="G232" i="4"/>
  <c r="G216" i="4"/>
  <c r="G211" i="4"/>
  <c r="G200" i="4"/>
  <c r="G195" i="4"/>
  <c r="G184" i="4"/>
  <c r="G173" i="4"/>
  <c r="G168" i="4"/>
  <c r="G163" i="4"/>
  <c r="G152" i="4"/>
  <c r="G147" i="4"/>
  <c r="G136" i="4"/>
  <c r="G131" i="4"/>
  <c r="G120" i="4"/>
  <c r="G104" i="4"/>
  <c r="G99" i="4"/>
  <c r="G88" i="4"/>
  <c r="G72" i="4"/>
  <c r="G56" i="4"/>
  <c r="G40" i="4"/>
  <c r="G24" i="4"/>
  <c r="G19" i="4"/>
  <c r="G8" i="4"/>
  <c r="F342" i="4"/>
  <c r="G342" i="4"/>
  <c r="F330" i="4"/>
  <c r="G330" i="4"/>
  <c r="F278" i="4"/>
  <c r="G278" i="4"/>
  <c r="F274" i="4"/>
  <c r="G274" i="4"/>
  <c r="F270" i="4"/>
  <c r="G270" i="4"/>
  <c r="F266" i="4"/>
  <c r="G266" i="4"/>
  <c r="F262" i="4"/>
  <c r="G262" i="4"/>
  <c r="F178" i="4"/>
  <c r="G178" i="4"/>
  <c r="F122" i="4"/>
  <c r="G122" i="4"/>
  <c r="F118" i="4"/>
  <c r="G118" i="4"/>
  <c r="F114" i="4"/>
  <c r="G114" i="4"/>
  <c r="F110" i="4"/>
  <c r="G110" i="4"/>
  <c r="F106" i="4"/>
  <c r="G106" i="4"/>
  <c r="F83" i="4"/>
  <c r="F81" i="4"/>
  <c r="F79" i="4"/>
  <c r="F77" i="4"/>
  <c r="F53" i="4"/>
  <c r="F51" i="4"/>
  <c r="F47" i="4"/>
  <c r="F34" i="4"/>
  <c r="G34" i="4"/>
  <c r="F30" i="4"/>
  <c r="G30" i="4"/>
  <c r="G2" i="4"/>
  <c r="G399" i="4"/>
  <c r="G395" i="4"/>
  <c r="G383" i="4"/>
  <c r="G379" i="4"/>
  <c r="G375" i="4"/>
  <c r="G371" i="4"/>
  <c r="G367" i="4"/>
  <c r="G363" i="4"/>
  <c r="G355" i="4"/>
  <c r="G351" i="4"/>
  <c r="G347" i="4"/>
  <c r="G343" i="4"/>
  <c r="G337" i="4"/>
  <c r="G332" i="4"/>
  <c r="G316" i="4"/>
  <c r="G311" i="4"/>
  <c r="G300" i="4"/>
  <c r="G295" i="4"/>
  <c r="G279" i="4"/>
  <c r="G268" i="4"/>
  <c r="G263" i="4"/>
  <c r="G252" i="4"/>
  <c r="G247" i="4"/>
  <c r="G236" i="4"/>
  <c r="G231" i="4"/>
  <c r="G225" i="4"/>
  <c r="G220" i="4"/>
  <c r="G215" i="4"/>
  <c r="G209" i="4"/>
  <c r="G204" i="4"/>
  <c r="G199" i="4"/>
  <c r="G172" i="4"/>
  <c r="G161" i="4"/>
  <c r="G151" i="4"/>
  <c r="G145" i="4"/>
  <c r="G124" i="4"/>
  <c r="G108" i="4"/>
  <c r="G97" i="4"/>
  <c r="G49" i="4"/>
  <c r="G28" i="4"/>
  <c r="G12" i="4"/>
  <c r="F338" i="4"/>
  <c r="G338" i="4"/>
  <c r="F326" i="4"/>
  <c r="G326" i="4"/>
  <c r="F258" i="4"/>
  <c r="G258" i="4"/>
  <c r="F170" i="4"/>
  <c r="G170" i="4"/>
  <c r="F166" i="4"/>
  <c r="G166" i="4"/>
  <c r="F22" i="4"/>
  <c r="G22" i="4"/>
  <c r="F18" i="4"/>
  <c r="G18" i="4"/>
  <c r="F14" i="4"/>
  <c r="G14" i="4"/>
  <c r="F10" i="4"/>
  <c r="G10" i="4"/>
  <c r="F6" i="4"/>
  <c r="G6" i="4"/>
  <c r="G402" i="4"/>
  <c r="G398" i="4"/>
  <c r="G394" i="4"/>
  <c r="G390" i="4"/>
  <c r="G382" i="4"/>
  <c r="G378" i="4"/>
  <c r="G374" i="4"/>
  <c r="G370" i="4"/>
  <c r="G366" i="4"/>
  <c r="G362" i="4"/>
  <c r="G341" i="4"/>
  <c r="G336" i="4"/>
  <c r="G331" i="4"/>
  <c r="G320" i="4"/>
  <c r="G309" i="4"/>
  <c r="G304" i="4"/>
  <c r="G299" i="4"/>
  <c r="G293" i="4"/>
  <c r="G283" i="4"/>
  <c r="G272" i="4"/>
  <c r="G267" i="4"/>
  <c r="G256" i="4"/>
  <c r="G251" i="4"/>
  <c r="G245" i="4"/>
  <c r="G240" i="4"/>
  <c r="G235" i="4"/>
  <c r="G224" i="4"/>
  <c r="G219" i="4"/>
  <c r="G208" i="4"/>
  <c r="G197" i="4"/>
  <c r="G181" i="4"/>
  <c r="G176" i="4"/>
  <c r="G155" i="4"/>
  <c r="G139" i="4"/>
  <c r="G112" i="4"/>
  <c r="G32" i="4"/>
  <c r="G16" i="4"/>
  <c r="F334" i="4"/>
  <c r="G334" i="4"/>
  <c r="F310" i="4"/>
  <c r="G310" i="4"/>
  <c r="F306" i="4"/>
  <c r="G306" i="4"/>
  <c r="F302" i="4"/>
  <c r="G302" i="4"/>
  <c r="F298" i="4"/>
  <c r="G298" i="4"/>
  <c r="F242" i="4"/>
  <c r="G242" i="4"/>
  <c r="F238" i="4"/>
  <c r="G238" i="4"/>
  <c r="F234" i="4"/>
  <c r="G234" i="4"/>
  <c r="F230" i="4"/>
  <c r="G230" i="4"/>
  <c r="F226" i="4"/>
  <c r="G226" i="4"/>
  <c r="F218" i="4"/>
  <c r="G218" i="4"/>
  <c r="F214" i="4"/>
  <c r="G214" i="4"/>
  <c r="F198" i="4"/>
  <c r="G198" i="4"/>
  <c r="F194" i="4"/>
  <c r="G194" i="4"/>
  <c r="F126" i="4"/>
  <c r="F98" i="4"/>
  <c r="G98" i="4"/>
  <c r="F38" i="4"/>
  <c r="G401" i="4"/>
  <c r="G397" i="4"/>
  <c r="G393" i="4"/>
  <c r="G389" i="4"/>
  <c r="G385" i="4"/>
  <c r="G381" i="4"/>
  <c r="G377" i="4"/>
  <c r="G373" i="4"/>
  <c r="G369" i="4"/>
  <c r="G365" i="4"/>
  <c r="G361" i="4"/>
  <c r="G357" i="4"/>
  <c r="G353" i="4"/>
  <c r="G349" i="4"/>
  <c r="G345" i="4"/>
  <c r="G340" i="4"/>
  <c r="G335" i="4"/>
  <c r="G329" i="4"/>
  <c r="G324" i="4"/>
  <c r="G308" i="4"/>
  <c r="G303" i="4"/>
  <c r="G292" i="4"/>
  <c r="G287" i="4"/>
  <c r="G276" i="4"/>
  <c r="G271" i="4"/>
  <c r="G260" i="4"/>
  <c r="G244" i="4"/>
  <c r="G239" i="4"/>
  <c r="G228" i="4"/>
  <c r="G217" i="4"/>
  <c r="G212" i="4"/>
  <c r="G196" i="4"/>
  <c r="G185" i="4"/>
  <c r="G164" i="4"/>
  <c r="G153" i="4"/>
  <c r="G143" i="4"/>
  <c r="G127" i="4"/>
  <c r="G116" i="4"/>
  <c r="G105" i="4"/>
  <c r="G100" i="4"/>
  <c r="G36" i="4"/>
  <c r="G31" i="4"/>
  <c r="G20" i="4"/>
  <c r="G4" i="4"/>
  <c r="F85" i="4"/>
  <c r="F21" i="4"/>
  <c r="F17" i="4"/>
  <c r="F191" i="4"/>
  <c r="F137" i="4"/>
  <c r="F135" i="4"/>
  <c r="F133" i="4"/>
  <c r="F269" i="4"/>
  <c r="F253" i="4"/>
  <c r="F171" i="4"/>
  <c r="F167" i="4"/>
  <c r="F95" i="4"/>
  <c r="F93" i="4"/>
  <c r="F69" i="4"/>
  <c r="F67" i="4"/>
  <c r="F65" i="4"/>
  <c r="F63" i="4"/>
  <c r="F35" i="4"/>
  <c r="F5" i="4"/>
  <c r="F277" i="4"/>
  <c r="F207" i="4"/>
  <c r="F205" i="4"/>
  <c r="F203" i="4"/>
  <c r="F183" i="4"/>
  <c r="F121" i="4"/>
  <c r="F119" i="4"/>
  <c r="F117" i="4"/>
  <c r="F115" i="4"/>
  <c r="F111" i="4"/>
  <c r="F265" i="4"/>
  <c r="F257" i="4"/>
  <c r="F249" i="4"/>
  <c r="F201" i="4"/>
  <c r="F129" i="4"/>
  <c r="F91" i="4"/>
  <c r="F75" i="4"/>
  <c r="F61" i="4"/>
  <c r="F59" i="4"/>
  <c r="F43" i="4"/>
  <c r="F29" i="4"/>
  <c r="F13" i="4"/>
  <c r="F273" i="4"/>
  <c r="F187" i="4"/>
  <c r="F175" i="4"/>
  <c r="F125" i="4"/>
  <c r="F89" i="4"/>
  <c r="F87" i="4"/>
  <c r="F73" i="4"/>
  <c r="F71" i="4"/>
  <c r="F57" i="4"/>
  <c r="F55" i="4"/>
  <c r="F41" i="4"/>
  <c r="F39" i="4"/>
  <c r="F25" i="4"/>
  <c r="F9" i="4"/>
  <c r="F241" i="4"/>
  <c r="F233" i="4"/>
  <c r="F221" i="4"/>
  <c r="F165" i="4"/>
  <c r="F157" i="4"/>
  <c r="F113" i="4"/>
  <c r="F45" i="4"/>
  <c r="F333" i="4"/>
  <c r="F213" i="4"/>
  <c r="F193" i="4"/>
  <c r="F149" i="4"/>
  <c r="F141" i="4"/>
  <c r="F321" i="4"/>
  <c r="F313" i="4"/>
  <c r="F305" i="4"/>
  <c r="F297" i="4"/>
  <c r="F289" i="4"/>
  <c r="F281" i="4"/>
  <c r="F189" i="4"/>
  <c r="F177" i="4"/>
  <c r="F109" i="4"/>
  <c r="F101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2" i="3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2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F4" i="2"/>
  <c r="F8" i="2"/>
  <c r="F11" i="2"/>
  <c r="F12" i="2"/>
  <c r="F15" i="2"/>
  <c r="F16" i="2"/>
  <c r="F20" i="2"/>
  <c r="F24" i="2"/>
  <c r="F27" i="2"/>
  <c r="F28" i="2"/>
  <c r="F32" i="2"/>
  <c r="F36" i="2"/>
  <c r="F39" i="2"/>
  <c r="F40" i="2"/>
  <c r="F43" i="2"/>
  <c r="F44" i="2"/>
  <c r="F48" i="2"/>
  <c r="F51" i="2"/>
  <c r="F52" i="2"/>
  <c r="F55" i="2"/>
  <c r="F60" i="2"/>
  <c r="F63" i="2"/>
  <c r="F64" i="2"/>
  <c r="F67" i="2"/>
  <c r="F68" i="2"/>
  <c r="F72" i="2"/>
  <c r="F76" i="2"/>
  <c r="F79" i="2"/>
  <c r="F80" i="2"/>
  <c r="F84" i="2"/>
  <c r="F88" i="2"/>
  <c r="F91" i="2"/>
  <c r="F92" i="2"/>
  <c r="F96" i="2"/>
  <c r="F100" i="2"/>
  <c r="F103" i="2"/>
  <c r="F104" i="2"/>
  <c r="F107" i="2"/>
  <c r="F108" i="2"/>
  <c r="F112" i="2"/>
  <c r="F116" i="2"/>
  <c r="F119" i="2"/>
  <c r="F120" i="2"/>
  <c r="F123" i="2"/>
  <c r="F124" i="2"/>
  <c r="F128" i="2"/>
  <c r="F132" i="2"/>
  <c r="F135" i="2"/>
  <c r="F136" i="2"/>
  <c r="F139" i="2"/>
  <c r="F144" i="2"/>
  <c r="F147" i="2"/>
  <c r="F148" i="2"/>
  <c r="F152" i="2"/>
  <c r="F155" i="2"/>
  <c r="F156" i="2"/>
  <c r="F159" i="2"/>
  <c r="F160" i="2"/>
  <c r="F164" i="2"/>
  <c r="F168" i="2"/>
  <c r="F172" i="2"/>
  <c r="F175" i="2"/>
  <c r="F176" i="2"/>
  <c r="F179" i="2"/>
  <c r="F180" i="2"/>
  <c r="F183" i="2"/>
  <c r="F184" i="2"/>
  <c r="F187" i="2"/>
  <c r="F188" i="2"/>
  <c r="F192" i="2"/>
  <c r="F196" i="2"/>
  <c r="F199" i="2"/>
  <c r="F200" i="2"/>
  <c r="F204" i="2"/>
  <c r="F207" i="2"/>
  <c r="F208" i="2"/>
  <c r="F211" i="2"/>
  <c r="F212" i="2"/>
  <c r="F215" i="2"/>
  <c r="F216" i="2"/>
  <c r="F219" i="2"/>
  <c r="F220" i="2"/>
  <c r="F224" i="2"/>
  <c r="F227" i="2"/>
  <c r="F228" i="2"/>
  <c r="F235" i="2"/>
  <c r="F236" i="2"/>
  <c r="F239" i="2"/>
  <c r="F240" i="2"/>
  <c r="F244" i="2"/>
  <c r="F247" i="2"/>
  <c r="F248" i="2"/>
  <c r="F252" i="2"/>
  <c r="F255" i="2"/>
  <c r="F256" i="2"/>
  <c r="F259" i="2"/>
  <c r="F260" i="2"/>
  <c r="F264" i="2"/>
  <c r="F267" i="2"/>
  <c r="F268" i="2"/>
  <c r="F271" i="2"/>
  <c r="F272" i="2"/>
  <c r="F276" i="2"/>
  <c r="F279" i="2"/>
  <c r="F280" i="2"/>
  <c r="F284" i="2"/>
  <c r="F288" i="2"/>
  <c r="F292" i="2"/>
  <c r="F295" i="2"/>
  <c r="F296" i="2"/>
  <c r="F299" i="2"/>
  <c r="F300" i="2"/>
  <c r="F304" i="2"/>
  <c r="F307" i="2"/>
  <c r="F308" i="2"/>
  <c r="F315" i="2"/>
  <c r="F316" i="2"/>
  <c r="F319" i="2"/>
  <c r="F320" i="2"/>
  <c r="F323" i="2"/>
  <c r="F324" i="2"/>
  <c r="F327" i="2"/>
  <c r="F332" i="2"/>
  <c r="F335" i="2"/>
  <c r="F340" i="2"/>
  <c r="F343" i="2"/>
  <c r="F344" i="2"/>
  <c r="F347" i="2"/>
  <c r="F348" i="2"/>
  <c r="F351" i="2"/>
  <c r="F356" i="2"/>
  <c r="F360" i="2"/>
  <c r="F363" i="2"/>
  <c r="F367" i="2"/>
  <c r="F368" i="2"/>
  <c r="F371" i="2"/>
  <c r="F372" i="2"/>
  <c r="F379" i="2"/>
  <c r="F380" i="2"/>
  <c r="F383" i="2"/>
  <c r="F387" i="2"/>
  <c r="F391" i="2"/>
  <c r="F396" i="2"/>
  <c r="E3" i="3"/>
  <c r="E4" i="3"/>
  <c r="E5" i="3"/>
  <c r="E6" i="3"/>
  <c r="E7" i="3"/>
  <c r="E8" i="3"/>
  <c r="F8" i="3" s="1"/>
  <c r="E9" i="3"/>
  <c r="E10" i="3"/>
  <c r="E11" i="3"/>
  <c r="E12" i="3"/>
  <c r="F12" i="3" s="1"/>
  <c r="E13" i="3"/>
  <c r="E14" i="3"/>
  <c r="E15" i="3"/>
  <c r="E16" i="3"/>
  <c r="F16" i="3" s="1"/>
  <c r="E17" i="3"/>
  <c r="E18" i="3"/>
  <c r="E19" i="3"/>
  <c r="E20" i="3"/>
  <c r="F20" i="3" s="1"/>
  <c r="E21" i="3"/>
  <c r="E22" i="3"/>
  <c r="E23" i="3"/>
  <c r="E24" i="3"/>
  <c r="F24" i="3" s="1"/>
  <c r="E25" i="3"/>
  <c r="E26" i="3"/>
  <c r="E27" i="3"/>
  <c r="E28" i="3"/>
  <c r="F28" i="3" s="1"/>
  <c r="E29" i="3"/>
  <c r="E30" i="3"/>
  <c r="E31" i="3"/>
  <c r="E32" i="3"/>
  <c r="F32" i="3" s="1"/>
  <c r="E33" i="3"/>
  <c r="E34" i="3"/>
  <c r="E35" i="3"/>
  <c r="E36" i="3"/>
  <c r="F36" i="3" s="1"/>
  <c r="E37" i="3"/>
  <c r="E38" i="3"/>
  <c r="E39" i="3"/>
  <c r="E40" i="3"/>
  <c r="F40" i="3" s="1"/>
  <c r="E41" i="3"/>
  <c r="E42" i="3"/>
  <c r="E43" i="3"/>
  <c r="E44" i="3"/>
  <c r="F44" i="3" s="1"/>
  <c r="E45" i="3"/>
  <c r="E46" i="3"/>
  <c r="E47" i="3"/>
  <c r="E48" i="3"/>
  <c r="F48" i="3" s="1"/>
  <c r="E49" i="3"/>
  <c r="E50" i="3"/>
  <c r="E51" i="3"/>
  <c r="E52" i="3"/>
  <c r="F52" i="3" s="1"/>
  <c r="E53" i="3"/>
  <c r="E54" i="3"/>
  <c r="E55" i="3"/>
  <c r="E56" i="3"/>
  <c r="F56" i="3" s="1"/>
  <c r="E57" i="3"/>
  <c r="E58" i="3"/>
  <c r="E59" i="3"/>
  <c r="E60" i="3"/>
  <c r="F60" i="3" s="1"/>
  <c r="E61" i="3"/>
  <c r="E62" i="3"/>
  <c r="E63" i="3"/>
  <c r="E64" i="3"/>
  <c r="F64" i="3" s="1"/>
  <c r="E65" i="3"/>
  <c r="E66" i="3"/>
  <c r="E67" i="3"/>
  <c r="E68" i="3"/>
  <c r="F68" i="3" s="1"/>
  <c r="E69" i="3"/>
  <c r="E70" i="3"/>
  <c r="E71" i="3"/>
  <c r="E72" i="3"/>
  <c r="F72" i="3" s="1"/>
  <c r="E73" i="3"/>
  <c r="E74" i="3"/>
  <c r="E75" i="3"/>
  <c r="E76" i="3"/>
  <c r="F76" i="3" s="1"/>
  <c r="E77" i="3"/>
  <c r="E78" i="3"/>
  <c r="E79" i="3"/>
  <c r="E80" i="3"/>
  <c r="F80" i="3" s="1"/>
  <c r="E81" i="3"/>
  <c r="E82" i="3"/>
  <c r="E83" i="3"/>
  <c r="E84" i="3"/>
  <c r="F84" i="3" s="1"/>
  <c r="E85" i="3"/>
  <c r="E86" i="3"/>
  <c r="E87" i="3"/>
  <c r="E88" i="3"/>
  <c r="F88" i="3" s="1"/>
  <c r="E89" i="3"/>
  <c r="E90" i="3"/>
  <c r="E91" i="3"/>
  <c r="E92" i="3"/>
  <c r="F92" i="3" s="1"/>
  <c r="E93" i="3"/>
  <c r="E94" i="3"/>
  <c r="E95" i="3"/>
  <c r="E96" i="3"/>
  <c r="F96" i="3" s="1"/>
  <c r="E97" i="3"/>
  <c r="E98" i="3"/>
  <c r="E99" i="3"/>
  <c r="E100" i="3"/>
  <c r="F100" i="3" s="1"/>
  <c r="E101" i="3"/>
  <c r="E102" i="3"/>
  <c r="E103" i="3"/>
  <c r="E104" i="3"/>
  <c r="F104" i="3" s="1"/>
  <c r="E105" i="3"/>
  <c r="E106" i="3"/>
  <c r="E107" i="3"/>
  <c r="E108" i="3"/>
  <c r="F108" i="3" s="1"/>
  <c r="E109" i="3"/>
  <c r="E110" i="3"/>
  <c r="E111" i="3"/>
  <c r="E112" i="3"/>
  <c r="F112" i="3" s="1"/>
  <c r="E113" i="3"/>
  <c r="E114" i="3"/>
  <c r="E115" i="3"/>
  <c r="E116" i="3"/>
  <c r="F116" i="3" s="1"/>
  <c r="E117" i="3"/>
  <c r="E118" i="3"/>
  <c r="E119" i="3"/>
  <c r="E120" i="3"/>
  <c r="F120" i="3" s="1"/>
  <c r="E121" i="3"/>
  <c r="E122" i="3"/>
  <c r="E123" i="3"/>
  <c r="E124" i="3"/>
  <c r="F124" i="3" s="1"/>
  <c r="E125" i="3"/>
  <c r="E126" i="3"/>
  <c r="E127" i="3"/>
  <c r="E128" i="3"/>
  <c r="F128" i="3" s="1"/>
  <c r="E129" i="3"/>
  <c r="E130" i="3"/>
  <c r="E131" i="3"/>
  <c r="E132" i="3"/>
  <c r="F132" i="3" s="1"/>
  <c r="E133" i="3"/>
  <c r="E134" i="3"/>
  <c r="E135" i="3"/>
  <c r="E136" i="3"/>
  <c r="F136" i="3" s="1"/>
  <c r="E137" i="3"/>
  <c r="E138" i="3"/>
  <c r="E139" i="3"/>
  <c r="E140" i="3"/>
  <c r="F140" i="3" s="1"/>
  <c r="E141" i="3"/>
  <c r="E142" i="3"/>
  <c r="E143" i="3"/>
  <c r="E144" i="3"/>
  <c r="F144" i="3" s="1"/>
  <c r="E145" i="3"/>
  <c r="E146" i="3"/>
  <c r="E147" i="3"/>
  <c r="E148" i="3"/>
  <c r="F148" i="3" s="1"/>
  <c r="E149" i="3"/>
  <c r="E150" i="3"/>
  <c r="E151" i="3"/>
  <c r="E152" i="3"/>
  <c r="F152" i="3" s="1"/>
  <c r="E153" i="3"/>
  <c r="E154" i="3"/>
  <c r="E155" i="3"/>
  <c r="E156" i="3"/>
  <c r="F156" i="3" s="1"/>
  <c r="E157" i="3"/>
  <c r="E158" i="3"/>
  <c r="E159" i="3"/>
  <c r="E160" i="3"/>
  <c r="F160" i="3" s="1"/>
  <c r="E161" i="3"/>
  <c r="E162" i="3"/>
  <c r="E163" i="3"/>
  <c r="E164" i="3"/>
  <c r="F164" i="3" s="1"/>
  <c r="E165" i="3"/>
  <c r="E166" i="3"/>
  <c r="E167" i="3"/>
  <c r="E168" i="3"/>
  <c r="F168" i="3" s="1"/>
  <c r="E169" i="3"/>
  <c r="E170" i="3"/>
  <c r="E171" i="3"/>
  <c r="E172" i="3"/>
  <c r="F172" i="3" s="1"/>
  <c r="E173" i="3"/>
  <c r="E174" i="3"/>
  <c r="E175" i="3"/>
  <c r="E176" i="3"/>
  <c r="F176" i="3" s="1"/>
  <c r="E177" i="3"/>
  <c r="E178" i="3"/>
  <c r="E179" i="3"/>
  <c r="E180" i="3"/>
  <c r="F180" i="3" s="1"/>
  <c r="E181" i="3"/>
  <c r="E182" i="3"/>
  <c r="E183" i="3"/>
  <c r="E184" i="3"/>
  <c r="F184" i="3" s="1"/>
  <c r="E185" i="3"/>
  <c r="E186" i="3"/>
  <c r="E187" i="3"/>
  <c r="E188" i="3"/>
  <c r="F188" i="3" s="1"/>
  <c r="E189" i="3"/>
  <c r="E190" i="3"/>
  <c r="E191" i="3"/>
  <c r="E192" i="3"/>
  <c r="F192" i="3" s="1"/>
  <c r="E193" i="3"/>
  <c r="E194" i="3"/>
  <c r="E195" i="3"/>
  <c r="E196" i="3"/>
  <c r="F196" i="3" s="1"/>
  <c r="E197" i="3"/>
  <c r="E198" i="3"/>
  <c r="E199" i="3"/>
  <c r="E200" i="3"/>
  <c r="F200" i="3" s="1"/>
  <c r="E201" i="3"/>
  <c r="E202" i="3"/>
  <c r="E203" i="3"/>
  <c r="E204" i="3"/>
  <c r="F204" i="3" s="1"/>
  <c r="E205" i="3"/>
  <c r="E206" i="3"/>
  <c r="E207" i="3"/>
  <c r="E208" i="3"/>
  <c r="F208" i="3" s="1"/>
  <c r="E209" i="3"/>
  <c r="E210" i="3"/>
  <c r="E211" i="3"/>
  <c r="E212" i="3"/>
  <c r="F212" i="3" s="1"/>
  <c r="E213" i="3"/>
  <c r="E214" i="3"/>
  <c r="E215" i="3"/>
  <c r="E216" i="3"/>
  <c r="F216" i="3" s="1"/>
  <c r="E217" i="3"/>
  <c r="E218" i="3"/>
  <c r="E219" i="3"/>
  <c r="E220" i="3"/>
  <c r="F220" i="3" s="1"/>
  <c r="E221" i="3"/>
  <c r="E222" i="3"/>
  <c r="E223" i="3"/>
  <c r="E224" i="3"/>
  <c r="F224" i="3" s="1"/>
  <c r="E225" i="3"/>
  <c r="E226" i="3"/>
  <c r="E227" i="3"/>
  <c r="E228" i="3"/>
  <c r="F228" i="3" s="1"/>
  <c r="E229" i="3"/>
  <c r="E230" i="3"/>
  <c r="E231" i="3"/>
  <c r="E232" i="3"/>
  <c r="F232" i="3" s="1"/>
  <c r="E233" i="3"/>
  <c r="E234" i="3"/>
  <c r="E235" i="3"/>
  <c r="E236" i="3"/>
  <c r="F236" i="3" s="1"/>
  <c r="E237" i="3"/>
  <c r="E238" i="3"/>
  <c r="E239" i="3"/>
  <c r="E240" i="3"/>
  <c r="F240" i="3" s="1"/>
  <c r="E241" i="3"/>
  <c r="E242" i="3"/>
  <c r="E243" i="3"/>
  <c r="E244" i="3"/>
  <c r="F244" i="3" s="1"/>
  <c r="E245" i="3"/>
  <c r="E246" i="3"/>
  <c r="E247" i="3"/>
  <c r="E248" i="3"/>
  <c r="F248" i="3" s="1"/>
  <c r="E249" i="3"/>
  <c r="E250" i="3"/>
  <c r="E251" i="3"/>
  <c r="E252" i="3"/>
  <c r="F252" i="3" s="1"/>
  <c r="E253" i="3"/>
  <c r="E254" i="3"/>
  <c r="E255" i="3"/>
  <c r="E256" i="3"/>
  <c r="F256" i="3" s="1"/>
  <c r="E257" i="3"/>
  <c r="E258" i="3"/>
  <c r="E259" i="3"/>
  <c r="E260" i="3"/>
  <c r="F260" i="3" s="1"/>
  <c r="E261" i="3"/>
  <c r="E262" i="3"/>
  <c r="E263" i="3"/>
  <c r="E264" i="3"/>
  <c r="F264" i="3" s="1"/>
  <c r="E265" i="3"/>
  <c r="E266" i="3"/>
  <c r="E267" i="3"/>
  <c r="E268" i="3"/>
  <c r="F268" i="3" s="1"/>
  <c r="E269" i="3"/>
  <c r="E270" i="3"/>
  <c r="E271" i="3"/>
  <c r="E272" i="3"/>
  <c r="F272" i="3" s="1"/>
  <c r="E273" i="3"/>
  <c r="E274" i="3"/>
  <c r="E275" i="3"/>
  <c r="E276" i="3"/>
  <c r="F276" i="3" s="1"/>
  <c r="E277" i="3"/>
  <c r="E278" i="3"/>
  <c r="E279" i="3"/>
  <c r="E280" i="3"/>
  <c r="F280" i="3" s="1"/>
  <c r="E281" i="3"/>
  <c r="E282" i="3"/>
  <c r="E283" i="3"/>
  <c r="E284" i="3"/>
  <c r="F284" i="3" s="1"/>
  <c r="E285" i="3"/>
  <c r="E286" i="3"/>
  <c r="E287" i="3"/>
  <c r="E288" i="3"/>
  <c r="F288" i="3" s="1"/>
  <c r="E289" i="3"/>
  <c r="E290" i="3"/>
  <c r="E291" i="3"/>
  <c r="E292" i="3"/>
  <c r="F292" i="3" s="1"/>
  <c r="E293" i="3"/>
  <c r="E294" i="3"/>
  <c r="E295" i="3"/>
  <c r="E296" i="3"/>
  <c r="F296" i="3" s="1"/>
  <c r="E297" i="3"/>
  <c r="E298" i="3"/>
  <c r="E299" i="3"/>
  <c r="E300" i="3"/>
  <c r="F300" i="3" s="1"/>
  <c r="E301" i="3"/>
  <c r="E302" i="3"/>
  <c r="E303" i="3"/>
  <c r="E304" i="3"/>
  <c r="F304" i="3" s="1"/>
  <c r="E305" i="3"/>
  <c r="E306" i="3"/>
  <c r="E307" i="3"/>
  <c r="E308" i="3"/>
  <c r="F308" i="3" s="1"/>
  <c r="E309" i="3"/>
  <c r="E310" i="3"/>
  <c r="E311" i="3"/>
  <c r="E312" i="3"/>
  <c r="F312" i="3" s="1"/>
  <c r="E313" i="3"/>
  <c r="E314" i="3"/>
  <c r="E315" i="3"/>
  <c r="E316" i="3"/>
  <c r="F316" i="3" s="1"/>
  <c r="E317" i="3"/>
  <c r="E318" i="3"/>
  <c r="E319" i="3"/>
  <c r="E320" i="3"/>
  <c r="F320" i="3" s="1"/>
  <c r="E321" i="3"/>
  <c r="E322" i="3"/>
  <c r="E323" i="3"/>
  <c r="E324" i="3"/>
  <c r="F324" i="3" s="1"/>
  <c r="E325" i="3"/>
  <c r="E326" i="3"/>
  <c r="E327" i="3"/>
  <c r="E328" i="3"/>
  <c r="F328" i="3" s="1"/>
  <c r="E329" i="3"/>
  <c r="E330" i="3"/>
  <c r="E331" i="3"/>
  <c r="E332" i="3"/>
  <c r="F332" i="3" s="1"/>
  <c r="E333" i="3"/>
  <c r="E334" i="3"/>
  <c r="E335" i="3"/>
  <c r="E336" i="3"/>
  <c r="F336" i="3" s="1"/>
  <c r="E337" i="3"/>
  <c r="E338" i="3"/>
  <c r="E339" i="3"/>
  <c r="E340" i="3"/>
  <c r="F340" i="3" s="1"/>
  <c r="E341" i="3"/>
  <c r="E342" i="3"/>
  <c r="E343" i="3"/>
  <c r="E344" i="3"/>
  <c r="F344" i="3" s="1"/>
  <c r="E345" i="3"/>
  <c r="E346" i="3"/>
  <c r="E347" i="3"/>
  <c r="E348" i="3"/>
  <c r="F348" i="3" s="1"/>
  <c r="E349" i="3"/>
  <c r="E350" i="3"/>
  <c r="E351" i="3"/>
  <c r="E352" i="3"/>
  <c r="F352" i="3" s="1"/>
  <c r="E353" i="3"/>
  <c r="E354" i="3"/>
  <c r="E355" i="3"/>
  <c r="E356" i="3"/>
  <c r="F356" i="3" s="1"/>
  <c r="E357" i="3"/>
  <c r="E358" i="3"/>
  <c r="E359" i="3"/>
  <c r="E360" i="3"/>
  <c r="F360" i="3" s="1"/>
  <c r="E361" i="3"/>
  <c r="E362" i="3"/>
  <c r="E363" i="3"/>
  <c r="E364" i="3"/>
  <c r="F364" i="3" s="1"/>
  <c r="E365" i="3"/>
  <c r="E366" i="3"/>
  <c r="E367" i="3"/>
  <c r="E368" i="3"/>
  <c r="F368" i="3" s="1"/>
  <c r="E369" i="3"/>
  <c r="E370" i="3"/>
  <c r="E371" i="3"/>
  <c r="E372" i="3"/>
  <c r="F372" i="3" s="1"/>
  <c r="E373" i="3"/>
  <c r="E374" i="3"/>
  <c r="E375" i="3"/>
  <c r="E376" i="3"/>
  <c r="F376" i="3" s="1"/>
  <c r="E377" i="3"/>
  <c r="E378" i="3"/>
  <c r="E379" i="3"/>
  <c r="E380" i="3"/>
  <c r="F380" i="3" s="1"/>
  <c r="E381" i="3"/>
  <c r="E382" i="3"/>
  <c r="E383" i="3"/>
  <c r="E384" i="3"/>
  <c r="F384" i="3" s="1"/>
  <c r="E385" i="3"/>
  <c r="E386" i="3"/>
  <c r="E387" i="3"/>
  <c r="E388" i="3"/>
  <c r="F388" i="3" s="1"/>
  <c r="E389" i="3"/>
  <c r="E390" i="3"/>
  <c r="E391" i="3"/>
  <c r="E392" i="3"/>
  <c r="F392" i="3" s="1"/>
  <c r="E393" i="3"/>
  <c r="E394" i="3"/>
  <c r="E395" i="3"/>
  <c r="E396" i="3"/>
  <c r="F396" i="3" s="1"/>
  <c r="E397" i="3"/>
  <c r="E398" i="3"/>
  <c r="E399" i="3"/>
  <c r="E400" i="3"/>
  <c r="F400" i="3" s="1"/>
  <c r="E401" i="3"/>
  <c r="E402" i="3"/>
  <c r="E2" i="3"/>
  <c r="F2" i="3" s="1"/>
  <c r="F167" i="2"/>
  <c r="F171" i="2"/>
  <c r="F191" i="2"/>
  <c r="F203" i="2"/>
  <c r="F223" i="2"/>
  <c r="F231" i="2"/>
  <c r="F251" i="2"/>
  <c r="F263" i="2"/>
  <c r="F283" i="2"/>
  <c r="F287" i="2"/>
  <c r="F303" i="2"/>
  <c r="F311" i="2"/>
  <c r="F331" i="2"/>
  <c r="F339" i="2"/>
  <c r="F355" i="2"/>
  <c r="F359" i="2"/>
  <c r="F375" i="2"/>
  <c r="F395" i="2"/>
  <c r="F399" i="2"/>
  <c r="F291" i="2"/>
  <c r="F275" i="2"/>
  <c r="F243" i="2"/>
  <c r="F232" i="2"/>
  <c r="F195" i="2"/>
  <c r="F163" i="2"/>
  <c r="F151" i="2"/>
  <c r="F143" i="2"/>
  <c r="F140" i="2"/>
  <c r="F131" i="2"/>
  <c r="F127" i="2"/>
  <c r="F115" i="2"/>
  <c r="F111" i="2"/>
  <c r="F99" i="2"/>
  <c r="F95" i="2"/>
  <c r="F87" i="2"/>
  <c r="F83" i="2"/>
  <c r="F75" i="2"/>
  <c r="F71" i="2"/>
  <c r="F59" i="2"/>
  <c r="F56" i="2"/>
  <c r="F47" i="2"/>
  <c r="F35" i="2"/>
  <c r="F31" i="2"/>
  <c r="F23" i="2"/>
  <c r="F19" i="2"/>
  <c r="F7" i="2"/>
  <c r="F3" i="2"/>
  <c r="F18" i="2" l="1"/>
  <c r="F4" i="3"/>
  <c r="F402" i="3"/>
  <c r="F398" i="3"/>
  <c r="F394" i="3"/>
  <c r="F390" i="3"/>
  <c r="F386" i="3"/>
  <c r="F382" i="3"/>
  <c r="F378" i="3"/>
  <c r="F374" i="3"/>
  <c r="F370" i="3"/>
  <c r="F366" i="3"/>
  <c r="F362" i="3"/>
  <c r="F358" i="3"/>
  <c r="F354" i="3"/>
  <c r="F350" i="3"/>
  <c r="F346" i="3"/>
  <c r="F342" i="3"/>
  <c r="F338" i="3"/>
  <c r="F334" i="3"/>
  <c r="F330" i="3"/>
  <c r="F326" i="3"/>
  <c r="F322" i="3"/>
  <c r="F318" i="3"/>
  <c r="F314" i="3"/>
  <c r="F310" i="3"/>
  <c r="F306" i="3"/>
  <c r="F302" i="3"/>
  <c r="F298" i="3"/>
  <c r="F294" i="3"/>
  <c r="F290" i="3"/>
  <c r="F286" i="3"/>
  <c r="F282" i="3"/>
  <c r="F278" i="3"/>
  <c r="F274" i="3"/>
  <c r="F270" i="3"/>
  <c r="F266" i="3"/>
  <c r="F262" i="3"/>
  <c r="F258" i="3"/>
  <c r="F254" i="3"/>
  <c r="F250" i="3"/>
  <c r="F246" i="3"/>
  <c r="F242" i="3"/>
  <c r="F238" i="3"/>
  <c r="F234" i="3"/>
  <c r="F230" i="3"/>
  <c r="F226" i="3"/>
  <c r="F222" i="3"/>
  <c r="F218" i="3"/>
  <c r="F214" i="3"/>
  <c r="F210" i="3"/>
  <c r="F206" i="3"/>
  <c r="F202" i="3"/>
  <c r="F198" i="3"/>
  <c r="F194" i="3"/>
  <c r="F190" i="3"/>
  <c r="F186" i="3"/>
  <c r="F182" i="3"/>
  <c r="F178" i="3"/>
  <c r="F174" i="3"/>
  <c r="F170" i="3"/>
  <c r="F166" i="3"/>
  <c r="F162" i="3"/>
  <c r="F158" i="3"/>
  <c r="F154" i="3"/>
  <c r="F150" i="3"/>
  <c r="F146" i="3"/>
  <c r="F142" i="3"/>
  <c r="F138" i="3"/>
  <c r="F134" i="3"/>
  <c r="F130" i="3"/>
  <c r="F126" i="3"/>
  <c r="F122" i="3"/>
  <c r="F118" i="3"/>
  <c r="F114" i="3"/>
  <c r="F110" i="3"/>
  <c r="F106" i="3"/>
  <c r="F102" i="3"/>
  <c r="F98" i="3"/>
  <c r="F94" i="3"/>
  <c r="F90" i="3"/>
  <c r="F86" i="3"/>
  <c r="F82" i="3"/>
  <c r="F78" i="3"/>
  <c r="F74" i="3"/>
  <c r="F70" i="3"/>
  <c r="F66" i="3"/>
  <c r="F62" i="3"/>
  <c r="F58" i="3"/>
  <c r="F54" i="3"/>
  <c r="F50" i="3"/>
  <c r="F46" i="3"/>
  <c r="F42" i="3"/>
  <c r="F38" i="3"/>
  <c r="F34" i="3"/>
  <c r="F30" i="3"/>
  <c r="F26" i="3"/>
  <c r="F22" i="3"/>
  <c r="F18" i="3"/>
  <c r="F14" i="3"/>
  <c r="F10" i="3"/>
  <c r="F6" i="3"/>
  <c r="F401" i="3"/>
  <c r="F397" i="3"/>
  <c r="F393" i="3"/>
  <c r="F389" i="3"/>
  <c r="F385" i="3"/>
  <c r="F381" i="3"/>
  <c r="F377" i="3"/>
  <c r="F373" i="3"/>
  <c r="F369" i="3"/>
  <c r="F365" i="3"/>
  <c r="F361" i="3"/>
  <c r="F357" i="3"/>
  <c r="F353" i="3"/>
  <c r="F349" i="3"/>
  <c r="F345" i="3"/>
  <c r="F341" i="3"/>
  <c r="F337" i="3"/>
  <c r="F333" i="3"/>
  <c r="F329" i="3"/>
  <c r="F325" i="3"/>
  <c r="F321" i="3"/>
  <c r="F317" i="3"/>
  <c r="F313" i="3"/>
  <c r="F309" i="3"/>
  <c r="F305" i="3"/>
  <c r="F301" i="3"/>
  <c r="F297" i="3"/>
  <c r="F293" i="3"/>
  <c r="F289" i="3"/>
  <c r="F285" i="3"/>
  <c r="F281" i="3"/>
  <c r="F277" i="3"/>
  <c r="F273" i="3"/>
  <c r="F269" i="3"/>
  <c r="F265" i="3"/>
  <c r="F261" i="3"/>
  <c r="F257" i="3"/>
  <c r="F253" i="3"/>
  <c r="F249" i="3"/>
  <c r="F245" i="3"/>
  <c r="F241" i="3"/>
  <c r="F237" i="3"/>
  <c r="F233" i="3"/>
  <c r="F229" i="3"/>
  <c r="F225" i="3"/>
  <c r="F221" i="3"/>
  <c r="F217" i="3"/>
  <c r="F213" i="3"/>
  <c r="F209" i="3"/>
  <c r="F205" i="3"/>
  <c r="F201" i="3"/>
  <c r="F197" i="3"/>
  <c r="F193" i="3"/>
  <c r="F189" i="3"/>
  <c r="F185" i="3"/>
  <c r="F181" i="3"/>
  <c r="F177" i="3"/>
  <c r="F173" i="3"/>
  <c r="F169" i="3"/>
  <c r="F165" i="3"/>
  <c r="F161" i="3"/>
  <c r="F157" i="3"/>
  <c r="F153" i="3"/>
  <c r="F149" i="3"/>
  <c r="F145" i="3"/>
  <c r="F141" i="3"/>
  <c r="F137" i="3"/>
  <c r="F133" i="3"/>
  <c r="F129" i="3"/>
  <c r="F125" i="3"/>
  <c r="F121" i="3"/>
  <c r="F117" i="3"/>
  <c r="F113" i="3"/>
  <c r="F109" i="3"/>
  <c r="F105" i="3"/>
  <c r="F101" i="3"/>
  <c r="F97" i="3"/>
  <c r="F93" i="3"/>
  <c r="F89" i="3"/>
  <c r="F85" i="3"/>
  <c r="F81" i="3"/>
  <c r="F77" i="3"/>
  <c r="F73" i="3"/>
  <c r="F69" i="3"/>
  <c r="F65" i="3"/>
  <c r="F61" i="3"/>
  <c r="F57" i="3"/>
  <c r="F53" i="3"/>
  <c r="F49" i="3"/>
  <c r="F45" i="3"/>
  <c r="F41" i="3"/>
  <c r="F37" i="3"/>
  <c r="F81" i="2"/>
  <c r="F5" i="2"/>
  <c r="F401" i="2"/>
  <c r="F397" i="2"/>
  <c r="F385" i="2"/>
  <c r="F381" i="2"/>
  <c r="F377" i="2"/>
  <c r="F373" i="2"/>
  <c r="F369" i="2"/>
  <c r="F365" i="2"/>
  <c r="F353" i="2"/>
  <c r="F349" i="2"/>
  <c r="F337" i="2"/>
  <c r="F333" i="2"/>
  <c r="F329" i="2"/>
  <c r="F321" i="2"/>
  <c r="F317" i="2"/>
  <c r="F309" i="2"/>
  <c r="F305" i="2"/>
  <c r="F301" i="2"/>
  <c r="F297" i="2"/>
  <c r="F289" i="2"/>
  <c r="F285" i="2"/>
  <c r="F281" i="2"/>
  <c r="F277" i="2"/>
  <c r="F273" i="2"/>
  <c r="F269" i="2"/>
  <c r="F257" i="2"/>
  <c r="F253" i="2"/>
  <c r="F249" i="2"/>
  <c r="F245" i="2"/>
  <c r="F241" i="2"/>
  <c r="F237" i="2"/>
  <c r="F229" i="2"/>
  <c r="F225" i="2"/>
  <c r="F217" i="2"/>
  <c r="F209" i="2"/>
  <c r="F201" i="2"/>
  <c r="F193" i="2"/>
  <c r="F185" i="2"/>
  <c r="F177" i="2"/>
  <c r="F169" i="2"/>
  <c r="F161" i="2"/>
  <c r="F153" i="2"/>
  <c r="F149" i="2"/>
  <c r="F145" i="2"/>
  <c r="F141" i="2"/>
  <c r="F137" i="2"/>
  <c r="F129" i="2"/>
  <c r="F125" i="2"/>
  <c r="F113" i="2"/>
  <c r="F101" i="2"/>
  <c r="F97" i="2"/>
  <c r="F89" i="2"/>
  <c r="F85" i="2"/>
  <c r="F77" i="2"/>
  <c r="F73" i="2"/>
  <c r="F65" i="2"/>
  <c r="F61" i="2"/>
  <c r="F49" i="2"/>
  <c r="F37" i="2"/>
  <c r="F33" i="2"/>
  <c r="F25" i="2"/>
  <c r="F21" i="2"/>
  <c r="F9" i="2"/>
  <c r="F400" i="2"/>
  <c r="F392" i="2"/>
  <c r="F388" i="2"/>
  <c r="F376" i="2"/>
  <c r="F352" i="2"/>
  <c r="F336" i="2"/>
  <c r="F328" i="2"/>
  <c r="F312" i="2"/>
  <c r="F14" i="2"/>
  <c r="F361" i="2"/>
  <c r="F345" i="2"/>
  <c r="F313" i="2"/>
  <c r="F265" i="2"/>
  <c r="F233" i="2"/>
  <c r="F221" i="2"/>
  <c r="F213" i="2"/>
  <c r="F205" i="2"/>
  <c r="F197" i="2"/>
  <c r="F189" i="2"/>
  <c r="F181" i="2"/>
  <c r="F173" i="2"/>
  <c r="F165" i="2"/>
  <c r="F157" i="2"/>
  <c r="F133" i="2"/>
  <c r="F121" i="2"/>
  <c r="F117" i="2"/>
  <c r="F109" i="2"/>
  <c r="F105" i="2"/>
  <c r="F93" i="2"/>
  <c r="F69" i="2"/>
  <c r="F57" i="2"/>
  <c r="F53" i="2"/>
  <c r="F45" i="2"/>
  <c r="F41" i="2"/>
  <c r="F29" i="2"/>
  <c r="F17" i="2"/>
  <c r="F13" i="2"/>
  <c r="F364" i="2"/>
  <c r="F3" i="3"/>
  <c r="F7" i="3"/>
  <c r="F11" i="3"/>
  <c r="F15" i="3"/>
  <c r="F19" i="3"/>
  <c r="F23" i="3"/>
  <c r="F27" i="3"/>
  <c r="F31" i="3"/>
  <c r="F35" i="3"/>
  <c r="F39" i="3"/>
  <c r="F43" i="3"/>
  <c r="F47" i="3"/>
  <c r="F51" i="3"/>
  <c r="F55" i="3"/>
  <c r="F59" i="3"/>
  <c r="F63" i="3"/>
  <c r="F67" i="3"/>
  <c r="F71" i="3"/>
  <c r="F75" i="3"/>
  <c r="F79" i="3"/>
  <c r="F83" i="3"/>
  <c r="F87" i="3"/>
  <c r="F91" i="3"/>
  <c r="F95" i="3"/>
  <c r="F99" i="3"/>
  <c r="F103" i="3"/>
  <c r="F107" i="3"/>
  <c r="F111" i="3"/>
  <c r="F115" i="3"/>
  <c r="F119" i="3"/>
  <c r="F123" i="3"/>
  <c r="F127" i="3"/>
  <c r="F131" i="3"/>
  <c r="F135" i="3"/>
  <c r="F139" i="3"/>
  <c r="F143" i="3"/>
  <c r="F147" i="3"/>
  <c r="F151" i="3"/>
  <c r="F155" i="3"/>
  <c r="F159" i="3"/>
  <c r="F163" i="3"/>
  <c r="F167" i="3"/>
  <c r="F171" i="3"/>
  <c r="F175" i="3"/>
  <c r="F179" i="3"/>
  <c r="F183" i="3"/>
  <c r="F187" i="3"/>
  <c r="F191" i="3"/>
  <c r="F195" i="3"/>
  <c r="F199" i="3"/>
  <c r="F203" i="3"/>
  <c r="F207" i="3"/>
  <c r="F211" i="3"/>
  <c r="F215" i="3"/>
  <c r="F219" i="3"/>
  <c r="F223" i="3"/>
  <c r="F227" i="3"/>
  <c r="F231" i="3"/>
  <c r="F235" i="3"/>
  <c r="F239" i="3"/>
  <c r="F243" i="3"/>
  <c r="F247" i="3"/>
  <c r="F251" i="3"/>
  <c r="F255" i="3"/>
  <c r="F259" i="3"/>
  <c r="F263" i="3"/>
  <c r="F267" i="3"/>
  <c r="F271" i="3"/>
  <c r="F275" i="3"/>
  <c r="F279" i="3"/>
  <c r="F283" i="3"/>
  <c r="F287" i="3"/>
  <c r="F291" i="3"/>
  <c r="F295" i="3"/>
  <c r="F299" i="3"/>
  <c r="F303" i="3"/>
  <c r="F307" i="3"/>
  <c r="F311" i="3"/>
  <c r="F315" i="3"/>
  <c r="F319" i="3"/>
  <c r="F323" i="3"/>
  <c r="F327" i="3"/>
  <c r="F331" i="3"/>
  <c r="F335" i="3"/>
  <c r="F339" i="3"/>
  <c r="F343" i="3"/>
  <c r="F347" i="3"/>
  <c r="F351" i="3"/>
  <c r="F355" i="3"/>
  <c r="F359" i="3"/>
  <c r="F363" i="3"/>
  <c r="F367" i="3"/>
  <c r="F371" i="3"/>
  <c r="F375" i="3"/>
  <c r="F379" i="3"/>
  <c r="F383" i="3"/>
  <c r="F387" i="3"/>
  <c r="F391" i="3"/>
  <c r="F395" i="3"/>
  <c r="F399" i="3"/>
  <c r="F5" i="3"/>
  <c r="F9" i="3"/>
  <c r="F13" i="3"/>
  <c r="F17" i="3"/>
  <c r="F21" i="3"/>
  <c r="F25" i="3"/>
  <c r="F29" i="3"/>
  <c r="F33" i="3"/>
  <c r="F341" i="2"/>
  <c r="F10" i="2"/>
  <c r="F6" i="2"/>
  <c r="F393" i="2"/>
  <c r="F389" i="2"/>
  <c r="F357" i="2"/>
  <c r="F325" i="2"/>
  <c r="F293" i="2"/>
  <c r="F261" i="2"/>
  <c r="F384" i="2"/>
  <c r="F390" i="2"/>
  <c r="F378" i="2"/>
  <c r="F362" i="2"/>
  <c r="F402" i="2"/>
  <c r="F394" i="2"/>
  <c r="F382" i="2"/>
  <c r="F374" i="2"/>
  <c r="F366" i="2"/>
  <c r="F398" i="2"/>
  <c r="F386" i="2"/>
  <c r="F370" i="2"/>
  <c r="F358" i="2"/>
  <c r="F354" i="2"/>
  <c r="F350" i="2"/>
  <c r="F346" i="2"/>
  <c r="F342" i="2"/>
  <c r="F338" i="2"/>
  <c r="F334" i="2"/>
  <c r="F330" i="2"/>
  <c r="F326" i="2"/>
  <c r="F322" i="2"/>
  <c r="F318" i="2"/>
  <c r="F314" i="2"/>
  <c r="F310" i="2"/>
  <c r="F306" i="2"/>
  <c r="F302" i="2"/>
  <c r="F298" i="2"/>
  <c r="F294" i="2"/>
  <c r="F290" i="2"/>
  <c r="F286" i="2"/>
  <c r="F282" i="2"/>
  <c r="F278" i="2"/>
  <c r="F274" i="2"/>
  <c r="F270" i="2"/>
  <c r="F266" i="2"/>
  <c r="F262" i="2"/>
  <c r="F258" i="2"/>
  <c r="F254" i="2"/>
  <c r="F250" i="2"/>
  <c r="F246" i="2"/>
  <c r="F242" i="2"/>
  <c r="F238" i="2"/>
  <c r="F234" i="2"/>
  <c r="F230" i="2"/>
  <c r="F226" i="2"/>
  <c r="F222" i="2"/>
  <c r="F218" i="2"/>
  <c r="F214" i="2"/>
  <c r="F210" i="2"/>
  <c r="F206" i="2"/>
  <c r="F202" i="2"/>
  <c r="F198" i="2"/>
  <c r="F194" i="2"/>
  <c r="F190" i="2"/>
  <c r="F186" i="2"/>
  <c r="F182" i="2"/>
  <c r="F178" i="2"/>
  <c r="F174" i="2"/>
  <c r="F170" i="2"/>
  <c r="F166" i="2"/>
  <c r="F162" i="2"/>
  <c r="F158" i="2"/>
  <c r="F154" i="2"/>
  <c r="F150" i="2"/>
  <c r="F146" i="2"/>
  <c r="F142" i="2"/>
  <c r="F138" i="2"/>
  <c r="F134" i="2"/>
  <c r="F130" i="2"/>
  <c r="F126" i="2"/>
  <c r="F122" i="2"/>
  <c r="F118" i="2"/>
  <c r="F114" i="2"/>
  <c r="F110" i="2"/>
  <c r="F106" i="2"/>
  <c r="F102" i="2"/>
  <c r="F98" i="2"/>
  <c r="F94" i="2"/>
  <c r="F90" i="2"/>
  <c r="F86" i="2"/>
  <c r="F82" i="2"/>
  <c r="F78" i="2"/>
  <c r="F74" i="2"/>
  <c r="F70" i="2"/>
  <c r="F66" i="2"/>
  <c r="F62" i="2"/>
  <c r="F58" i="2"/>
  <c r="F54" i="2"/>
  <c r="F50" i="2"/>
  <c r="F46" i="2"/>
  <c r="F42" i="2"/>
  <c r="F38" i="2"/>
  <c r="F34" i="2"/>
  <c r="F30" i="2"/>
  <c r="F26" i="2"/>
  <c r="F22" i="2"/>
  <c r="F2" i="2"/>
</calcChain>
</file>

<file path=xl/sharedStrings.xml><?xml version="1.0" encoding="utf-8"?>
<sst xmlns="http://schemas.openxmlformats.org/spreadsheetml/2006/main" count="63" uniqueCount="39">
  <si>
    <t>t</t>
    <phoneticPr fontId="1"/>
  </si>
  <si>
    <t>T(t)</t>
    <phoneticPr fontId="1"/>
  </si>
  <si>
    <t>S(t)</t>
    <phoneticPr fontId="1"/>
  </si>
  <si>
    <t>T(t)+S(t)</t>
    <phoneticPr fontId="1"/>
  </si>
  <si>
    <t>T(t)*S(t)</t>
    <phoneticPr fontId="1"/>
  </si>
  <si>
    <t>T</t>
    <phoneticPr fontId="1"/>
  </si>
  <si>
    <t>S</t>
    <phoneticPr fontId="1"/>
  </si>
  <si>
    <t>T×S</t>
    <phoneticPr fontId="1"/>
  </si>
  <si>
    <t>T+S</t>
    <phoneticPr fontId="1"/>
  </si>
  <si>
    <t>： 前年度からの増減 (E列の同じ行) を前年度の名目GDP (C列の一つ上の行) で割った物</t>
    <rPh sb="2" eb="5">
      <t>ゼンネンド</t>
    </rPh>
    <rPh sb="8" eb="10">
      <t>ゾウゲン</t>
    </rPh>
    <rPh sb="13" eb="14">
      <t>レツ</t>
    </rPh>
    <rPh sb="15" eb="16">
      <t>オナ</t>
    </rPh>
    <rPh sb="17" eb="18">
      <t>ギョウ</t>
    </rPh>
    <rPh sb="21" eb="24">
      <t>ゼンネンド</t>
    </rPh>
    <rPh sb="25" eb="27">
      <t>メイモク</t>
    </rPh>
    <rPh sb="43" eb="44">
      <t>ワ</t>
    </rPh>
    <rPh sb="46" eb="47">
      <t>モノ</t>
    </rPh>
    <phoneticPr fontId="5"/>
  </si>
  <si>
    <t>成長率</t>
    <rPh sb="0" eb="3">
      <t>セイチョウリツ</t>
    </rPh>
    <phoneticPr fontId="5"/>
  </si>
  <si>
    <t>： 当該年度の名目GDP (C列の同じ行) から前年度の名目GDP (C列の一つ上の行) を引いた物</t>
    <rPh sb="2" eb="4">
      <t>トウガイ</t>
    </rPh>
    <rPh sb="4" eb="6">
      <t>ネンド</t>
    </rPh>
    <rPh sb="7" eb="9">
      <t>メイモク</t>
    </rPh>
    <rPh sb="15" eb="16">
      <t>レツ</t>
    </rPh>
    <rPh sb="17" eb="18">
      <t>オナ</t>
    </rPh>
    <rPh sb="19" eb="20">
      <t>ギョウ</t>
    </rPh>
    <rPh sb="24" eb="27">
      <t>ゼンネンド</t>
    </rPh>
    <rPh sb="28" eb="30">
      <t>メイモク</t>
    </rPh>
    <rPh sb="36" eb="37">
      <t>レツ</t>
    </rPh>
    <rPh sb="38" eb="39">
      <t>ヒト</t>
    </rPh>
    <rPh sb="40" eb="41">
      <t>ウエ</t>
    </rPh>
    <rPh sb="42" eb="43">
      <t>ギョウ</t>
    </rPh>
    <rPh sb="46" eb="47">
      <t>ヒ</t>
    </rPh>
    <rPh sb="49" eb="50">
      <t>モノ</t>
    </rPh>
    <phoneticPr fontId="5"/>
  </si>
  <si>
    <t>増減</t>
    <rPh sb="0" eb="2">
      <t>ゾウゲン</t>
    </rPh>
    <phoneticPr fontId="5"/>
  </si>
  <si>
    <t>： 当該年度の名目GDP (C列の同じ行) を1980年度の名目GDP (C4) で割った物</t>
    <rPh sb="2" eb="4">
      <t>トウガイ</t>
    </rPh>
    <rPh sb="4" eb="6">
      <t>ネンド</t>
    </rPh>
    <rPh sb="7" eb="9">
      <t>メイモク</t>
    </rPh>
    <rPh sb="15" eb="16">
      <t>レツ</t>
    </rPh>
    <rPh sb="17" eb="18">
      <t>オナ</t>
    </rPh>
    <rPh sb="19" eb="20">
      <t>ギョウ</t>
    </rPh>
    <rPh sb="27" eb="29">
      <t>ネンド</t>
    </rPh>
    <rPh sb="30" eb="32">
      <t>メイモク</t>
    </rPh>
    <rPh sb="42" eb="43">
      <t>ワ</t>
    </rPh>
    <rPh sb="45" eb="46">
      <t>モノ</t>
    </rPh>
    <phoneticPr fontId="5"/>
  </si>
  <si>
    <t>1980を1とした指数</t>
    <rPh sb="9" eb="11">
      <t>シスウ</t>
    </rPh>
    <phoneticPr fontId="5"/>
  </si>
  <si>
    <t>名目GDP (十億円)</t>
    <rPh sb="0" eb="2">
      <t>メイモク</t>
    </rPh>
    <rPh sb="7" eb="10">
      <t>ジュウオクエン</t>
    </rPh>
    <phoneticPr fontId="5"/>
  </si>
  <si>
    <t>T+C</t>
    <phoneticPr fontId="1"/>
  </si>
  <si>
    <t>C</t>
    <phoneticPr fontId="1"/>
  </si>
  <si>
    <t>T+C+S</t>
    <phoneticPr fontId="1"/>
  </si>
  <si>
    <t>I</t>
    <phoneticPr fontId="1"/>
  </si>
  <si>
    <t>T+C+S+I</t>
    <phoneticPr fontId="1"/>
  </si>
  <si>
    <t>x</t>
    <phoneticPr fontId="1"/>
  </si>
  <si>
    <t>Y</t>
    <phoneticPr fontId="1"/>
  </si>
  <si>
    <t>T+C+I</t>
    <phoneticPr fontId="1"/>
  </si>
  <si>
    <t>→</t>
    <phoneticPr fontId="1"/>
  </si>
  <si>
    <t>抽出</t>
    <rPh sb="0" eb="2">
      <t>チュウシュツ</t>
    </rPh>
    <phoneticPr fontId="1"/>
  </si>
  <si>
    <t>平滑化</t>
    <rPh sb="0" eb="3">
      <t>ヘイカツカ</t>
    </rPh>
    <phoneticPr fontId="1"/>
  </si>
  <si>
    <t>S+I</t>
    <phoneticPr fontId="1"/>
  </si>
  <si>
    <t>近似</t>
    <rPh sb="0" eb="2">
      <t>キンジ</t>
    </rPh>
    <phoneticPr fontId="1"/>
  </si>
  <si>
    <t>(最小二乗法)</t>
    <rPh sb="1" eb="6">
      <t>サイショウニジョウホウ</t>
    </rPh>
    <phoneticPr fontId="1"/>
  </si>
  <si>
    <t xml:space="preserve">+  </t>
    <phoneticPr fontId="1"/>
  </si>
  <si>
    <t xml:space="preserve">=  </t>
    <phoneticPr fontId="1"/>
  </si>
  <si>
    <t xml:space="preserve"> 抽出</t>
    <rPh sb="1" eb="3">
      <t>チュウシュツ</t>
    </rPh>
    <phoneticPr fontId="1"/>
  </si>
  <si>
    <t>(平均)</t>
    <rPh sb="1" eb="3">
      <t>ヘイキン</t>
    </rPh>
    <phoneticPr fontId="1"/>
  </si>
  <si>
    <t>Y: 観測値</t>
    <rPh sb="3" eb="6">
      <t>カンソクチ</t>
    </rPh>
    <phoneticPr fontId="1"/>
  </si>
  <si>
    <t>T: 傾向変動</t>
    <rPh sb="3" eb="7">
      <t>ケイコウヘンドウ</t>
    </rPh>
    <phoneticPr fontId="1"/>
  </si>
  <si>
    <t>C: 循環変動</t>
    <rPh sb="3" eb="5">
      <t>ジュンカン</t>
    </rPh>
    <rPh sb="5" eb="7">
      <t>ヘンドウ</t>
    </rPh>
    <phoneticPr fontId="1"/>
  </si>
  <si>
    <t>S: 季節変動</t>
    <rPh sb="3" eb="5">
      <t>キセツ</t>
    </rPh>
    <rPh sb="5" eb="7">
      <t>ヘンドウ</t>
    </rPh>
    <phoneticPr fontId="1"/>
  </si>
  <si>
    <t>I: 不規則変動</t>
    <rPh sb="3" eb="6">
      <t>フキソク</t>
    </rPh>
    <rPh sb="6" eb="8">
      <t>ヘンドウ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</si>
</sst>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_);[Red]\(0\)"/>
  </numFmts>
  <fonts count="10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Yu Gothic"/>
      <family val="3"/>
      <charset val="128"/>
      <scheme val="minor"/>
    </font>
    <font>
      <b/>
      <sz val="11"/>
      <color indexed="12"/>
      <name val="Yu Gothic"/>
      <family val="3"/>
      <charset val="128"/>
      <scheme val="minor"/>
    </font>
    <font>
      <sz val="6"/>
      <name val="ＭＳ Ｐゴシック"/>
      <family val="3"/>
      <charset val="128"/>
    </font>
    <font>
      <sz val="36"/>
      <name val="Yu Gothic"/>
      <family val="3"/>
      <charset val="128"/>
      <scheme val="minor"/>
    </font>
    <font>
      <sz val="14"/>
      <name val="Yu Gothic"/>
      <family val="3"/>
      <charset val="128"/>
      <scheme val="minor"/>
    </font>
    <font>
      <sz val="24"/>
      <color theme="1"/>
      <name val="Yu Gothic"/>
      <family val="3"/>
      <charset val="128"/>
      <scheme val="minor"/>
    </font>
    <font>
      <sz val="18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5">
    <xf numFmtId="0" fontId="0" fillId="0" borderId="0" xfId="0"/>
    <xf numFmtId="176" fontId="0" fillId="0" borderId="0" xfId="0" applyNumberFormat="1"/>
    <xf numFmtId="0" fontId="3" fillId="0" borderId="0" xfId="1" applyFont="1">
      <alignment vertical="center"/>
    </xf>
    <xf numFmtId="0" fontId="4" fillId="0" borderId="0" xfId="1" applyFont="1">
      <alignment vertical="center"/>
    </xf>
    <xf numFmtId="0" fontId="4" fillId="0" borderId="0" xfId="1" applyFont="1" applyAlignment="1">
      <alignment horizontal="right" vertical="center"/>
    </xf>
    <xf numFmtId="0" fontId="3" fillId="0" borderId="1" xfId="1" applyFont="1" applyBorder="1">
      <alignment vertical="center"/>
    </xf>
    <xf numFmtId="0" fontId="3" fillId="0" borderId="2" xfId="1" applyFont="1" applyBorder="1">
      <alignment vertical="center"/>
    </xf>
    <xf numFmtId="0" fontId="3" fillId="0" borderId="3" xfId="1" applyFont="1" applyBorder="1" applyAlignment="1">
      <alignment vertical="center" wrapText="1"/>
    </xf>
    <xf numFmtId="0" fontId="3" fillId="0" borderId="4" xfId="1" applyFont="1" applyBorder="1">
      <alignment vertical="center"/>
    </xf>
    <xf numFmtId="14" fontId="3" fillId="0" borderId="2" xfId="1" applyNumberFormat="1" applyFont="1" applyBorder="1">
      <alignment vertical="center"/>
    </xf>
    <xf numFmtId="177" fontId="3" fillId="0" borderId="2" xfId="1" applyNumberFormat="1" applyFont="1" applyBorder="1">
      <alignment vertical="center"/>
    </xf>
    <xf numFmtId="177" fontId="3" fillId="0" borderId="0" xfId="1" applyNumberFormat="1" applyFont="1">
      <alignment vertical="center"/>
    </xf>
    <xf numFmtId="177" fontId="3" fillId="0" borderId="3" xfId="1" applyNumberFormat="1" applyFont="1" applyBorder="1" applyAlignment="1">
      <alignment vertical="center" wrapText="1"/>
    </xf>
    <xf numFmtId="177" fontId="3" fillId="0" borderId="1" xfId="1" applyNumberFormat="1" applyFont="1" applyBorder="1">
      <alignment vertical="center"/>
    </xf>
    <xf numFmtId="177" fontId="3" fillId="0" borderId="5" xfId="1" applyNumberFormat="1" applyFont="1" applyBorder="1">
      <alignment vertical="center"/>
    </xf>
    <xf numFmtId="177" fontId="3" fillId="0" borderId="3" xfId="1" applyNumberFormat="1" applyFont="1" applyBorder="1">
      <alignment vertical="center"/>
    </xf>
    <xf numFmtId="14" fontId="0" fillId="0" borderId="0" xfId="0" applyNumberFormat="1" applyAlignment="1">
      <alignment vertical="center"/>
    </xf>
    <xf numFmtId="0" fontId="3" fillId="0" borderId="0" xfId="1" applyFont="1" applyAlignment="1">
      <alignment horizontal="center" vertical="center"/>
    </xf>
    <xf numFmtId="177" fontId="3" fillId="0" borderId="0" xfId="1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7" fillId="0" borderId="0" xfId="1" applyFont="1" applyAlignment="1">
      <alignment horizontal="left" vertical="center"/>
    </xf>
    <xf numFmtId="0" fontId="7" fillId="0" borderId="0" xfId="1" applyFont="1">
      <alignment vertical="center"/>
    </xf>
    <xf numFmtId="0" fontId="0" fillId="0" borderId="0" xfId="0" applyAlignment="1">
      <alignment horizontal="right"/>
    </xf>
    <xf numFmtId="0" fontId="9" fillId="0" borderId="0" xfId="0" applyFont="1" applyAlignment="1">
      <alignment horizontal="center"/>
    </xf>
  </cellXfs>
  <cellStyles count="2">
    <cellStyle name="標準" xfId="0" builtinId="0"/>
    <cellStyle name="標準_GDP" xfId="1" xr:uid="{12A25F34-C191-477C-BD6E-AE0716A36C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0.14473684210526316"/>
          <c:w val="0.93888888888888888"/>
          <c:h val="0.4407428512225445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乗法モデル!$E$1</c:f>
              <c:strCache>
                <c:ptCount val="1"/>
                <c:pt idx="0">
                  <c:v>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乗法モデル!$C$2:$C$402</c:f>
              <c:numCache>
                <c:formatCode>General</c:formatCode>
                <c:ptCount val="401"/>
                <c:pt idx="0">
                  <c:v>-2</c:v>
                </c:pt>
                <c:pt idx="1">
                  <c:v>-1.99</c:v>
                </c:pt>
                <c:pt idx="2">
                  <c:v>-1.98</c:v>
                </c:pt>
                <c:pt idx="3">
                  <c:v>-1.97</c:v>
                </c:pt>
                <c:pt idx="4">
                  <c:v>-1.96</c:v>
                </c:pt>
                <c:pt idx="5">
                  <c:v>-1.95</c:v>
                </c:pt>
                <c:pt idx="6">
                  <c:v>-1.94</c:v>
                </c:pt>
                <c:pt idx="7">
                  <c:v>-1.93</c:v>
                </c:pt>
                <c:pt idx="8">
                  <c:v>-1.92</c:v>
                </c:pt>
                <c:pt idx="9">
                  <c:v>-1.91</c:v>
                </c:pt>
                <c:pt idx="10">
                  <c:v>-1.9</c:v>
                </c:pt>
                <c:pt idx="11">
                  <c:v>-1.89</c:v>
                </c:pt>
                <c:pt idx="12">
                  <c:v>-1.88</c:v>
                </c:pt>
                <c:pt idx="13">
                  <c:v>-1.87</c:v>
                </c:pt>
                <c:pt idx="14">
                  <c:v>-1.86</c:v>
                </c:pt>
                <c:pt idx="15">
                  <c:v>-1.85</c:v>
                </c:pt>
                <c:pt idx="16">
                  <c:v>-1.84</c:v>
                </c:pt>
                <c:pt idx="17">
                  <c:v>-1.83</c:v>
                </c:pt>
                <c:pt idx="18">
                  <c:v>-1.82</c:v>
                </c:pt>
                <c:pt idx="19">
                  <c:v>-1.81</c:v>
                </c:pt>
                <c:pt idx="20">
                  <c:v>-1.8</c:v>
                </c:pt>
                <c:pt idx="21">
                  <c:v>-1.79</c:v>
                </c:pt>
                <c:pt idx="22">
                  <c:v>-1.78</c:v>
                </c:pt>
                <c:pt idx="23">
                  <c:v>-1.77</c:v>
                </c:pt>
                <c:pt idx="24">
                  <c:v>-1.76</c:v>
                </c:pt>
                <c:pt idx="25">
                  <c:v>-1.75</c:v>
                </c:pt>
                <c:pt idx="26">
                  <c:v>-1.74</c:v>
                </c:pt>
                <c:pt idx="27">
                  <c:v>-1.73</c:v>
                </c:pt>
                <c:pt idx="28">
                  <c:v>-1.72</c:v>
                </c:pt>
                <c:pt idx="29">
                  <c:v>-1.71</c:v>
                </c:pt>
                <c:pt idx="30">
                  <c:v>-1.7</c:v>
                </c:pt>
                <c:pt idx="31">
                  <c:v>-1.69</c:v>
                </c:pt>
                <c:pt idx="32">
                  <c:v>-1.68</c:v>
                </c:pt>
                <c:pt idx="33">
                  <c:v>-1.67</c:v>
                </c:pt>
                <c:pt idx="34">
                  <c:v>-1.66</c:v>
                </c:pt>
                <c:pt idx="35">
                  <c:v>-1.65</c:v>
                </c:pt>
                <c:pt idx="36">
                  <c:v>-1.64</c:v>
                </c:pt>
                <c:pt idx="37">
                  <c:v>-1.63</c:v>
                </c:pt>
                <c:pt idx="38">
                  <c:v>-1.62</c:v>
                </c:pt>
                <c:pt idx="39">
                  <c:v>-1.61</c:v>
                </c:pt>
                <c:pt idx="40">
                  <c:v>-1.6</c:v>
                </c:pt>
                <c:pt idx="41">
                  <c:v>-1.59</c:v>
                </c:pt>
                <c:pt idx="42">
                  <c:v>-1.58</c:v>
                </c:pt>
                <c:pt idx="43">
                  <c:v>-1.57</c:v>
                </c:pt>
                <c:pt idx="44">
                  <c:v>-1.56</c:v>
                </c:pt>
                <c:pt idx="45">
                  <c:v>-1.55</c:v>
                </c:pt>
                <c:pt idx="46">
                  <c:v>-1.54</c:v>
                </c:pt>
                <c:pt idx="47">
                  <c:v>-1.53</c:v>
                </c:pt>
                <c:pt idx="48">
                  <c:v>-1.52</c:v>
                </c:pt>
                <c:pt idx="49">
                  <c:v>-1.51</c:v>
                </c:pt>
                <c:pt idx="50">
                  <c:v>-1.5</c:v>
                </c:pt>
                <c:pt idx="51">
                  <c:v>-1.49</c:v>
                </c:pt>
                <c:pt idx="52">
                  <c:v>-1.48</c:v>
                </c:pt>
                <c:pt idx="53">
                  <c:v>-1.47</c:v>
                </c:pt>
                <c:pt idx="54">
                  <c:v>-1.46</c:v>
                </c:pt>
                <c:pt idx="55">
                  <c:v>-1.45</c:v>
                </c:pt>
                <c:pt idx="56">
                  <c:v>-1.44</c:v>
                </c:pt>
                <c:pt idx="57">
                  <c:v>-1.43</c:v>
                </c:pt>
                <c:pt idx="58">
                  <c:v>-1.42</c:v>
                </c:pt>
                <c:pt idx="59">
                  <c:v>-1.41</c:v>
                </c:pt>
                <c:pt idx="60">
                  <c:v>-1.4</c:v>
                </c:pt>
                <c:pt idx="61">
                  <c:v>-1.39</c:v>
                </c:pt>
                <c:pt idx="62">
                  <c:v>-1.38</c:v>
                </c:pt>
                <c:pt idx="63">
                  <c:v>-1.37</c:v>
                </c:pt>
                <c:pt idx="64">
                  <c:v>-1.36</c:v>
                </c:pt>
                <c:pt idx="65">
                  <c:v>-1.35</c:v>
                </c:pt>
                <c:pt idx="66">
                  <c:v>-1.34</c:v>
                </c:pt>
                <c:pt idx="67">
                  <c:v>-1.33</c:v>
                </c:pt>
                <c:pt idx="68">
                  <c:v>-1.32</c:v>
                </c:pt>
                <c:pt idx="69">
                  <c:v>-1.31</c:v>
                </c:pt>
                <c:pt idx="70">
                  <c:v>-1.3</c:v>
                </c:pt>
                <c:pt idx="71">
                  <c:v>-1.29</c:v>
                </c:pt>
                <c:pt idx="72">
                  <c:v>-1.28</c:v>
                </c:pt>
                <c:pt idx="73">
                  <c:v>-1.27</c:v>
                </c:pt>
                <c:pt idx="74">
                  <c:v>-1.26</c:v>
                </c:pt>
                <c:pt idx="75">
                  <c:v>-1.25</c:v>
                </c:pt>
                <c:pt idx="76">
                  <c:v>-1.24</c:v>
                </c:pt>
                <c:pt idx="77">
                  <c:v>-1.23</c:v>
                </c:pt>
                <c:pt idx="78">
                  <c:v>-1.22</c:v>
                </c:pt>
                <c:pt idx="79">
                  <c:v>-1.21</c:v>
                </c:pt>
                <c:pt idx="80">
                  <c:v>-1.2</c:v>
                </c:pt>
                <c:pt idx="81">
                  <c:v>-1.19</c:v>
                </c:pt>
                <c:pt idx="82">
                  <c:v>-1.18</c:v>
                </c:pt>
                <c:pt idx="83">
                  <c:v>-1.17</c:v>
                </c:pt>
                <c:pt idx="84">
                  <c:v>-1.1599999999999999</c:v>
                </c:pt>
                <c:pt idx="85">
                  <c:v>-1.1499999999999999</c:v>
                </c:pt>
                <c:pt idx="86">
                  <c:v>-1.1399999999999999</c:v>
                </c:pt>
                <c:pt idx="87">
                  <c:v>-1.1299999999999999</c:v>
                </c:pt>
                <c:pt idx="88">
                  <c:v>-1.1200000000000001</c:v>
                </c:pt>
                <c:pt idx="89">
                  <c:v>-1.1100000000000001</c:v>
                </c:pt>
                <c:pt idx="90">
                  <c:v>-1.1000000000000001</c:v>
                </c:pt>
                <c:pt idx="91">
                  <c:v>-1.0900000000000001</c:v>
                </c:pt>
                <c:pt idx="92">
                  <c:v>-1.08</c:v>
                </c:pt>
                <c:pt idx="93">
                  <c:v>-1.07</c:v>
                </c:pt>
                <c:pt idx="94">
                  <c:v>-1.06</c:v>
                </c:pt>
                <c:pt idx="95">
                  <c:v>-1.05</c:v>
                </c:pt>
                <c:pt idx="96">
                  <c:v>-1.04</c:v>
                </c:pt>
                <c:pt idx="97">
                  <c:v>-1.03</c:v>
                </c:pt>
                <c:pt idx="98">
                  <c:v>-1.02</c:v>
                </c:pt>
                <c:pt idx="99">
                  <c:v>-1.01</c:v>
                </c:pt>
                <c:pt idx="100">
                  <c:v>-1</c:v>
                </c:pt>
                <c:pt idx="101">
                  <c:v>-0.99</c:v>
                </c:pt>
                <c:pt idx="102">
                  <c:v>-0.98</c:v>
                </c:pt>
                <c:pt idx="103">
                  <c:v>-0.97</c:v>
                </c:pt>
                <c:pt idx="104">
                  <c:v>-0.96</c:v>
                </c:pt>
                <c:pt idx="105">
                  <c:v>-0.95</c:v>
                </c:pt>
                <c:pt idx="106">
                  <c:v>-0.94</c:v>
                </c:pt>
                <c:pt idx="107">
                  <c:v>-0.93</c:v>
                </c:pt>
                <c:pt idx="108">
                  <c:v>-0.92</c:v>
                </c:pt>
                <c:pt idx="109">
                  <c:v>-0.91</c:v>
                </c:pt>
                <c:pt idx="110">
                  <c:v>-0.9</c:v>
                </c:pt>
                <c:pt idx="111">
                  <c:v>-0.89</c:v>
                </c:pt>
                <c:pt idx="112">
                  <c:v>-0.88</c:v>
                </c:pt>
                <c:pt idx="113">
                  <c:v>-0.87</c:v>
                </c:pt>
                <c:pt idx="114">
                  <c:v>-0.86</c:v>
                </c:pt>
                <c:pt idx="115">
                  <c:v>-0.85</c:v>
                </c:pt>
                <c:pt idx="116">
                  <c:v>-0.84</c:v>
                </c:pt>
                <c:pt idx="117">
                  <c:v>-0.83</c:v>
                </c:pt>
                <c:pt idx="118">
                  <c:v>-0.82</c:v>
                </c:pt>
                <c:pt idx="119">
                  <c:v>-0.81</c:v>
                </c:pt>
                <c:pt idx="120">
                  <c:v>-0.8</c:v>
                </c:pt>
                <c:pt idx="121">
                  <c:v>-0.79</c:v>
                </c:pt>
                <c:pt idx="122">
                  <c:v>-0.78</c:v>
                </c:pt>
                <c:pt idx="123">
                  <c:v>-0.77</c:v>
                </c:pt>
                <c:pt idx="124">
                  <c:v>-0.76</c:v>
                </c:pt>
                <c:pt idx="125">
                  <c:v>-0.75</c:v>
                </c:pt>
                <c:pt idx="126">
                  <c:v>-0.74</c:v>
                </c:pt>
                <c:pt idx="127">
                  <c:v>-0.73</c:v>
                </c:pt>
                <c:pt idx="128">
                  <c:v>-0.72</c:v>
                </c:pt>
                <c:pt idx="129">
                  <c:v>-0.71</c:v>
                </c:pt>
                <c:pt idx="130">
                  <c:v>-0.7</c:v>
                </c:pt>
                <c:pt idx="131">
                  <c:v>-0.69</c:v>
                </c:pt>
                <c:pt idx="132">
                  <c:v>-0.68</c:v>
                </c:pt>
                <c:pt idx="133">
                  <c:v>-0.67</c:v>
                </c:pt>
                <c:pt idx="134">
                  <c:v>-0.66</c:v>
                </c:pt>
                <c:pt idx="135">
                  <c:v>-0.65</c:v>
                </c:pt>
                <c:pt idx="136">
                  <c:v>-0.64</c:v>
                </c:pt>
                <c:pt idx="137">
                  <c:v>-0.63</c:v>
                </c:pt>
                <c:pt idx="138">
                  <c:v>-0.62</c:v>
                </c:pt>
                <c:pt idx="139">
                  <c:v>-0.61</c:v>
                </c:pt>
                <c:pt idx="140">
                  <c:v>-0.6</c:v>
                </c:pt>
                <c:pt idx="141">
                  <c:v>-0.59</c:v>
                </c:pt>
                <c:pt idx="142">
                  <c:v>-0.57999999999999996</c:v>
                </c:pt>
                <c:pt idx="143">
                  <c:v>-0.56999999999999995</c:v>
                </c:pt>
                <c:pt idx="144">
                  <c:v>-0.56000000000000005</c:v>
                </c:pt>
                <c:pt idx="145">
                  <c:v>-0.55000000000000004</c:v>
                </c:pt>
                <c:pt idx="146">
                  <c:v>-0.54</c:v>
                </c:pt>
                <c:pt idx="147">
                  <c:v>-0.53</c:v>
                </c:pt>
                <c:pt idx="148">
                  <c:v>-0.52</c:v>
                </c:pt>
                <c:pt idx="149">
                  <c:v>-0.51</c:v>
                </c:pt>
                <c:pt idx="150">
                  <c:v>-0.5</c:v>
                </c:pt>
                <c:pt idx="151">
                  <c:v>-0.49</c:v>
                </c:pt>
                <c:pt idx="152">
                  <c:v>-0.48</c:v>
                </c:pt>
                <c:pt idx="153">
                  <c:v>-0.47</c:v>
                </c:pt>
                <c:pt idx="154">
                  <c:v>-0.46</c:v>
                </c:pt>
                <c:pt idx="155">
                  <c:v>-0.45</c:v>
                </c:pt>
                <c:pt idx="156">
                  <c:v>-0.44</c:v>
                </c:pt>
                <c:pt idx="157">
                  <c:v>-0.43</c:v>
                </c:pt>
                <c:pt idx="158">
                  <c:v>-0.42</c:v>
                </c:pt>
                <c:pt idx="159">
                  <c:v>-0.41</c:v>
                </c:pt>
                <c:pt idx="160">
                  <c:v>-0.4</c:v>
                </c:pt>
                <c:pt idx="161">
                  <c:v>-0.39</c:v>
                </c:pt>
                <c:pt idx="162">
                  <c:v>-0.38</c:v>
                </c:pt>
                <c:pt idx="163">
                  <c:v>-0.37</c:v>
                </c:pt>
                <c:pt idx="164">
                  <c:v>-0.36</c:v>
                </c:pt>
                <c:pt idx="165">
                  <c:v>-0.35</c:v>
                </c:pt>
                <c:pt idx="166">
                  <c:v>-0.34</c:v>
                </c:pt>
                <c:pt idx="167">
                  <c:v>-0.33</c:v>
                </c:pt>
                <c:pt idx="168">
                  <c:v>-0.32</c:v>
                </c:pt>
                <c:pt idx="169">
                  <c:v>-0.31</c:v>
                </c:pt>
                <c:pt idx="170">
                  <c:v>-0.3</c:v>
                </c:pt>
                <c:pt idx="171">
                  <c:v>-0.28999999999999998</c:v>
                </c:pt>
                <c:pt idx="172">
                  <c:v>-0.28000000000000003</c:v>
                </c:pt>
                <c:pt idx="173">
                  <c:v>-0.27</c:v>
                </c:pt>
                <c:pt idx="174">
                  <c:v>-0.26</c:v>
                </c:pt>
                <c:pt idx="175">
                  <c:v>-0.25</c:v>
                </c:pt>
                <c:pt idx="176">
                  <c:v>-0.24</c:v>
                </c:pt>
                <c:pt idx="177">
                  <c:v>-0.23</c:v>
                </c:pt>
                <c:pt idx="178">
                  <c:v>-0.22</c:v>
                </c:pt>
                <c:pt idx="179">
                  <c:v>-0.21</c:v>
                </c:pt>
                <c:pt idx="180">
                  <c:v>-0.2</c:v>
                </c:pt>
                <c:pt idx="181">
                  <c:v>-0.19</c:v>
                </c:pt>
                <c:pt idx="182">
                  <c:v>-0.18</c:v>
                </c:pt>
                <c:pt idx="183">
                  <c:v>-0.17</c:v>
                </c:pt>
                <c:pt idx="184">
                  <c:v>-0.16</c:v>
                </c:pt>
                <c:pt idx="185">
                  <c:v>-0.15</c:v>
                </c:pt>
                <c:pt idx="186">
                  <c:v>-0.14000000000000001</c:v>
                </c:pt>
                <c:pt idx="187">
                  <c:v>-0.13</c:v>
                </c:pt>
                <c:pt idx="188">
                  <c:v>-0.12</c:v>
                </c:pt>
                <c:pt idx="189">
                  <c:v>-0.11</c:v>
                </c:pt>
                <c:pt idx="190">
                  <c:v>-0.1</c:v>
                </c:pt>
                <c:pt idx="191">
                  <c:v>-9.0000000000000094E-2</c:v>
                </c:pt>
                <c:pt idx="192">
                  <c:v>-8.0000000000000099E-2</c:v>
                </c:pt>
                <c:pt idx="193">
                  <c:v>-7.0000000000000104E-2</c:v>
                </c:pt>
                <c:pt idx="194">
                  <c:v>-6.0000000000000102E-2</c:v>
                </c:pt>
                <c:pt idx="195">
                  <c:v>-0.05</c:v>
                </c:pt>
                <c:pt idx="196">
                  <c:v>-0.04</c:v>
                </c:pt>
                <c:pt idx="197">
                  <c:v>-0.03</c:v>
                </c:pt>
                <c:pt idx="198">
                  <c:v>-0.02</c:v>
                </c:pt>
                <c:pt idx="199">
                  <c:v>-0.01</c:v>
                </c:pt>
                <c:pt idx="200">
                  <c:v>0</c:v>
                </c:pt>
                <c:pt idx="201">
                  <c:v>9.9999999999997903E-3</c:v>
                </c:pt>
                <c:pt idx="202">
                  <c:v>0.02</c:v>
                </c:pt>
                <c:pt idx="203">
                  <c:v>2.9999999999999801E-2</c:v>
                </c:pt>
                <c:pt idx="204">
                  <c:v>0.04</c:v>
                </c:pt>
                <c:pt idx="205">
                  <c:v>4.9999999999999802E-2</c:v>
                </c:pt>
                <c:pt idx="206">
                  <c:v>6.0000000000000102E-2</c:v>
                </c:pt>
                <c:pt idx="207">
                  <c:v>6.9999999999999798E-2</c:v>
                </c:pt>
                <c:pt idx="208">
                  <c:v>8.0000000000000099E-2</c:v>
                </c:pt>
                <c:pt idx="209">
                  <c:v>8.99999999999999E-2</c:v>
                </c:pt>
                <c:pt idx="210">
                  <c:v>0.1</c:v>
                </c:pt>
                <c:pt idx="211">
                  <c:v>0.11</c:v>
                </c:pt>
                <c:pt idx="212">
                  <c:v>0.12</c:v>
                </c:pt>
                <c:pt idx="213">
                  <c:v>0.13</c:v>
                </c:pt>
                <c:pt idx="214">
                  <c:v>0.14000000000000001</c:v>
                </c:pt>
                <c:pt idx="215">
                  <c:v>0.15</c:v>
                </c:pt>
                <c:pt idx="216">
                  <c:v>0.16</c:v>
                </c:pt>
                <c:pt idx="217">
                  <c:v>0.17</c:v>
                </c:pt>
                <c:pt idx="218">
                  <c:v>0.18</c:v>
                </c:pt>
                <c:pt idx="219">
                  <c:v>0.19</c:v>
                </c:pt>
                <c:pt idx="220">
                  <c:v>0.2</c:v>
                </c:pt>
                <c:pt idx="221">
                  <c:v>0.21</c:v>
                </c:pt>
                <c:pt idx="222">
                  <c:v>0.22</c:v>
                </c:pt>
                <c:pt idx="223">
                  <c:v>0.23</c:v>
                </c:pt>
                <c:pt idx="224">
                  <c:v>0.24</c:v>
                </c:pt>
                <c:pt idx="225">
                  <c:v>0.25</c:v>
                </c:pt>
                <c:pt idx="226">
                  <c:v>0.26</c:v>
                </c:pt>
                <c:pt idx="227">
                  <c:v>0.27</c:v>
                </c:pt>
                <c:pt idx="228">
                  <c:v>0.28000000000000003</c:v>
                </c:pt>
                <c:pt idx="229">
                  <c:v>0.28999999999999998</c:v>
                </c:pt>
                <c:pt idx="230">
                  <c:v>0.3</c:v>
                </c:pt>
                <c:pt idx="231">
                  <c:v>0.31</c:v>
                </c:pt>
                <c:pt idx="232">
                  <c:v>0.32</c:v>
                </c:pt>
                <c:pt idx="233">
                  <c:v>0.33</c:v>
                </c:pt>
                <c:pt idx="234">
                  <c:v>0.34</c:v>
                </c:pt>
                <c:pt idx="235">
                  <c:v>0.35</c:v>
                </c:pt>
                <c:pt idx="236">
                  <c:v>0.36</c:v>
                </c:pt>
                <c:pt idx="237">
                  <c:v>0.37</c:v>
                </c:pt>
                <c:pt idx="238">
                  <c:v>0.38</c:v>
                </c:pt>
                <c:pt idx="239">
                  <c:v>0.39</c:v>
                </c:pt>
                <c:pt idx="240">
                  <c:v>0.4</c:v>
                </c:pt>
                <c:pt idx="241">
                  <c:v>0.41</c:v>
                </c:pt>
                <c:pt idx="242">
                  <c:v>0.42</c:v>
                </c:pt>
                <c:pt idx="243">
                  <c:v>0.43</c:v>
                </c:pt>
                <c:pt idx="244">
                  <c:v>0.44</c:v>
                </c:pt>
                <c:pt idx="245">
                  <c:v>0.45</c:v>
                </c:pt>
                <c:pt idx="246">
                  <c:v>0.46</c:v>
                </c:pt>
                <c:pt idx="247">
                  <c:v>0.47</c:v>
                </c:pt>
                <c:pt idx="248">
                  <c:v>0.48</c:v>
                </c:pt>
                <c:pt idx="249">
                  <c:v>0.49</c:v>
                </c:pt>
                <c:pt idx="250">
                  <c:v>0.5</c:v>
                </c:pt>
                <c:pt idx="251">
                  <c:v>0.51</c:v>
                </c:pt>
                <c:pt idx="252">
                  <c:v>0.52</c:v>
                </c:pt>
                <c:pt idx="253">
                  <c:v>0.53</c:v>
                </c:pt>
                <c:pt idx="254">
                  <c:v>0.54</c:v>
                </c:pt>
                <c:pt idx="255">
                  <c:v>0.55000000000000004</c:v>
                </c:pt>
                <c:pt idx="256">
                  <c:v>0.56000000000000005</c:v>
                </c:pt>
                <c:pt idx="257">
                  <c:v>0.56999999999999995</c:v>
                </c:pt>
                <c:pt idx="258">
                  <c:v>0.57999999999999996</c:v>
                </c:pt>
                <c:pt idx="259">
                  <c:v>0.59</c:v>
                </c:pt>
                <c:pt idx="260">
                  <c:v>0.6</c:v>
                </c:pt>
                <c:pt idx="261">
                  <c:v>0.61</c:v>
                </c:pt>
                <c:pt idx="262">
                  <c:v>0.62</c:v>
                </c:pt>
                <c:pt idx="263">
                  <c:v>0.63</c:v>
                </c:pt>
                <c:pt idx="264">
                  <c:v>0.64</c:v>
                </c:pt>
                <c:pt idx="265">
                  <c:v>0.65</c:v>
                </c:pt>
                <c:pt idx="266">
                  <c:v>0.66</c:v>
                </c:pt>
                <c:pt idx="267">
                  <c:v>0.67</c:v>
                </c:pt>
                <c:pt idx="268">
                  <c:v>0.68</c:v>
                </c:pt>
                <c:pt idx="269">
                  <c:v>0.69</c:v>
                </c:pt>
                <c:pt idx="270">
                  <c:v>0.7</c:v>
                </c:pt>
                <c:pt idx="271">
                  <c:v>0.71</c:v>
                </c:pt>
                <c:pt idx="272">
                  <c:v>0.72</c:v>
                </c:pt>
                <c:pt idx="273">
                  <c:v>0.73</c:v>
                </c:pt>
                <c:pt idx="274">
                  <c:v>0.74</c:v>
                </c:pt>
                <c:pt idx="275">
                  <c:v>0.75</c:v>
                </c:pt>
                <c:pt idx="276">
                  <c:v>0.76</c:v>
                </c:pt>
                <c:pt idx="277">
                  <c:v>0.77</c:v>
                </c:pt>
                <c:pt idx="278">
                  <c:v>0.78</c:v>
                </c:pt>
                <c:pt idx="279">
                  <c:v>0.79</c:v>
                </c:pt>
                <c:pt idx="280">
                  <c:v>0.8</c:v>
                </c:pt>
                <c:pt idx="281">
                  <c:v>0.81</c:v>
                </c:pt>
                <c:pt idx="282">
                  <c:v>0.82</c:v>
                </c:pt>
                <c:pt idx="283">
                  <c:v>0.83</c:v>
                </c:pt>
                <c:pt idx="284">
                  <c:v>0.84</c:v>
                </c:pt>
                <c:pt idx="285">
                  <c:v>0.85</c:v>
                </c:pt>
                <c:pt idx="286">
                  <c:v>0.86</c:v>
                </c:pt>
                <c:pt idx="287">
                  <c:v>0.87</c:v>
                </c:pt>
                <c:pt idx="288">
                  <c:v>0.88</c:v>
                </c:pt>
                <c:pt idx="289">
                  <c:v>0.89</c:v>
                </c:pt>
                <c:pt idx="290">
                  <c:v>0.9</c:v>
                </c:pt>
                <c:pt idx="291">
                  <c:v>0.91</c:v>
                </c:pt>
                <c:pt idx="292">
                  <c:v>0.92</c:v>
                </c:pt>
                <c:pt idx="293">
                  <c:v>0.93</c:v>
                </c:pt>
                <c:pt idx="294">
                  <c:v>0.94</c:v>
                </c:pt>
                <c:pt idx="295">
                  <c:v>0.95</c:v>
                </c:pt>
                <c:pt idx="296">
                  <c:v>0.96</c:v>
                </c:pt>
                <c:pt idx="297">
                  <c:v>0.97</c:v>
                </c:pt>
                <c:pt idx="298">
                  <c:v>0.98</c:v>
                </c:pt>
                <c:pt idx="299">
                  <c:v>0.99</c:v>
                </c:pt>
                <c:pt idx="300">
                  <c:v>1</c:v>
                </c:pt>
                <c:pt idx="301">
                  <c:v>1.01</c:v>
                </c:pt>
                <c:pt idx="302">
                  <c:v>1.02</c:v>
                </c:pt>
                <c:pt idx="303">
                  <c:v>1.03</c:v>
                </c:pt>
                <c:pt idx="304">
                  <c:v>1.04</c:v>
                </c:pt>
                <c:pt idx="305">
                  <c:v>1.05</c:v>
                </c:pt>
                <c:pt idx="306">
                  <c:v>1.06</c:v>
                </c:pt>
                <c:pt idx="307">
                  <c:v>1.07</c:v>
                </c:pt>
                <c:pt idx="308">
                  <c:v>1.08</c:v>
                </c:pt>
                <c:pt idx="309">
                  <c:v>1.0900000000000001</c:v>
                </c:pt>
                <c:pt idx="310">
                  <c:v>1.1000000000000001</c:v>
                </c:pt>
                <c:pt idx="311">
                  <c:v>1.1100000000000001</c:v>
                </c:pt>
                <c:pt idx="312">
                  <c:v>1.1200000000000001</c:v>
                </c:pt>
                <c:pt idx="313">
                  <c:v>1.1299999999999999</c:v>
                </c:pt>
                <c:pt idx="314">
                  <c:v>1.1399999999999999</c:v>
                </c:pt>
                <c:pt idx="315">
                  <c:v>1.1499999999999999</c:v>
                </c:pt>
                <c:pt idx="316">
                  <c:v>1.1599999999999999</c:v>
                </c:pt>
                <c:pt idx="317">
                  <c:v>1.17</c:v>
                </c:pt>
                <c:pt idx="318">
                  <c:v>1.18</c:v>
                </c:pt>
                <c:pt idx="319">
                  <c:v>1.19</c:v>
                </c:pt>
                <c:pt idx="320">
                  <c:v>1.2</c:v>
                </c:pt>
                <c:pt idx="321">
                  <c:v>1.21</c:v>
                </c:pt>
                <c:pt idx="322">
                  <c:v>1.22</c:v>
                </c:pt>
                <c:pt idx="323">
                  <c:v>1.23</c:v>
                </c:pt>
                <c:pt idx="324">
                  <c:v>1.24</c:v>
                </c:pt>
                <c:pt idx="325">
                  <c:v>1.25</c:v>
                </c:pt>
                <c:pt idx="326">
                  <c:v>1.26</c:v>
                </c:pt>
                <c:pt idx="327">
                  <c:v>1.27</c:v>
                </c:pt>
                <c:pt idx="328">
                  <c:v>1.28</c:v>
                </c:pt>
                <c:pt idx="329">
                  <c:v>1.29</c:v>
                </c:pt>
                <c:pt idx="330">
                  <c:v>1.3</c:v>
                </c:pt>
                <c:pt idx="331">
                  <c:v>1.31</c:v>
                </c:pt>
                <c:pt idx="332">
                  <c:v>1.32</c:v>
                </c:pt>
                <c:pt idx="333">
                  <c:v>1.33</c:v>
                </c:pt>
                <c:pt idx="334">
                  <c:v>1.34</c:v>
                </c:pt>
                <c:pt idx="335">
                  <c:v>1.35</c:v>
                </c:pt>
                <c:pt idx="336">
                  <c:v>1.36</c:v>
                </c:pt>
                <c:pt idx="337">
                  <c:v>1.37</c:v>
                </c:pt>
                <c:pt idx="338">
                  <c:v>1.38</c:v>
                </c:pt>
                <c:pt idx="339">
                  <c:v>1.39</c:v>
                </c:pt>
                <c:pt idx="340">
                  <c:v>1.4</c:v>
                </c:pt>
                <c:pt idx="341">
                  <c:v>1.41</c:v>
                </c:pt>
                <c:pt idx="342">
                  <c:v>1.42</c:v>
                </c:pt>
                <c:pt idx="343">
                  <c:v>1.43</c:v>
                </c:pt>
                <c:pt idx="344">
                  <c:v>1.44</c:v>
                </c:pt>
                <c:pt idx="345">
                  <c:v>1.45</c:v>
                </c:pt>
                <c:pt idx="346">
                  <c:v>1.46</c:v>
                </c:pt>
                <c:pt idx="347">
                  <c:v>1.47</c:v>
                </c:pt>
                <c:pt idx="348">
                  <c:v>1.48</c:v>
                </c:pt>
                <c:pt idx="349">
                  <c:v>1.49</c:v>
                </c:pt>
                <c:pt idx="350">
                  <c:v>1.5</c:v>
                </c:pt>
                <c:pt idx="351">
                  <c:v>1.51</c:v>
                </c:pt>
                <c:pt idx="352">
                  <c:v>1.52</c:v>
                </c:pt>
                <c:pt idx="353">
                  <c:v>1.53</c:v>
                </c:pt>
                <c:pt idx="354">
                  <c:v>1.54</c:v>
                </c:pt>
                <c:pt idx="355">
                  <c:v>1.55</c:v>
                </c:pt>
                <c:pt idx="356">
                  <c:v>1.56</c:v>
                </c:pt>
                <c:pt idx="357">
                  <c:v>1.57</c:v>
                </c:pt>
                <c:pt idx="358">
                  <c:v>1.58</c:v>
                </c:pt>
                <c:pt idx="359">
                  <c:v>1.59</c:v>
                </c:pt>
                <c:pt idx="360">
                  <c:v>1.6</c:v>
                </c:pt>
                <c:pt idx="361">
                  <c:v>1.61</c:v>
                </c:pt>
                <c:pt idx="362">
                  <c:v>1.62</c:v>
                </c:pt>
                <c:pt idx="363">
                  <c:v>1.63</c:v>
                </c:pt>
                <c:pt idx="364">
                  <c:v>1.64</c:v>
                </c:pt>
                <c:pt idx="365">
                  <c:v>1.65</c:v>
                </c:pt>
                <c:pt idx="366">
                  <c:v>1.66</c:v>
                </c:pt>
                <c:pt idx="367">
                  <c:v>1.67</c:v>
                </c:pt>
                <c:pt idx="368">
                  <c:v>1.68</c:v>
                </c:pt>
                <c:pt idx="369">
                  <c:v>1.69</c:v>
                </c:pt>
                <c:pt idx="370">
                  <c:v>1.7</c:v>
                </c:pt>
                <c:pt idx="371">
                  <c:v>1.71</c:v>
                </c:pt>
                <c:pt idx="372">
                  <c:v>1.72</c:v>
                </c:pt>
                <c:pt idx="373">
                  <c:v>1.73</c:v>
                </c:pt>
                <c:pt idx="374">
                  <c:v>1.74</c:v>
                </c:pt>
                <c:pt idx="375">
                  <c:v>1.75</c:v>
                </c:pt>
                <c:pt idx="376">
                  <c:v>1.76</c:v>
                </c:pt>
                <c:pt idx="377">
                  <c:v>1.77</c:v>
                </c:pt>
                <c:pt idx="378">
                  <c:v>1.78</c:v>
                </c:pt>
                <c:pt idx="379">
                  <c:v>1.79</c:v>
                </c:pt>
                <c:pt idx="380">
                  <c:v>1.8</c:v>
                </c:pt>
                <c:pt idx="381">
                  <c:v>1.81</c:v>
                </c:pt>
                <c:pt idx="382">
                  <c:v>1.82</c:v>
                </c:pt>
                <c:pt idx="383">
                  <c:v>1.83</c:v>
                </c:pt>
                <c:pt idx="384">
                  <c:v>1.84</c:v>
                </c:pt>
                <c:pt idx="385">
                  <c:v>1.85</c:v>
                </c:pt>
                <c:pt idx="386">
                  <c:v>1.86</c:v>
                </c:pt>
                <c:pt idx="387">
                  <c:v>1.87</c:v>
                </c:pt>
                <c:pt idx="388">
                  <c:v>1.88</c:v>
                </c:pt>
                <c:pt idx="389">
                  <c:v>1.89</c:v>
                </c:pt>
                <c:pt idx="390">
                  <c:v>1.9</c:v>
                </c:pt>
                <c:pt idx="391">
                  <c:v>1.91</c:v>
                </c:pt>
                <c:pt idx="392">
                  <c:v>1.92</c:v>
                </c:pt>
                <c:pt idx="393">
                  <c:v>1.93</c:v>
                </c:pt>
                <c:pt idx="394">
                  <c:v>1.94</c:v>
                </c:pt>
                <c:pt idx="395">
                  <c:v>1.95</c:v>
                </c:pt>
                <c:pt idx="396">
                  <c:v>1.96</c:v>
                </c:pt>
                <c:pt idx="397">
                  <c:v>1.97</c:v>
                </c:pt>
                <c:pt idx="398">
                  <c:v>1.98</c:v>
                </c:pt>
                <c:pt idx="399">
                  <c:v>1.99</c:v>
                </c:pt>
                <c:pt idx="400">
                  <c:v>2</c:v>
                </c:pt>
              </c:numCache>
            </c:numRef>
          </c:xVal>
          <c:yVal>
            <c:numRef>
              <c:f>乗法モデル!$E$2:$E$402</c:f>
              <c:numCache>
                <c:formatCode>General</c:formatCode>
                <c:ptCount val="401"/>
                <c:pt idx="0">
                  <c:v>1.2981665961770126</c:v>
                </c:pt>
                <c:pt idx="1">
                  <c:v>1.2617335762009083</c:v>
                </c:pt>
                <c:pt idx="2">
                  <c:v>1.1839785795420668</c:v>
                </c:pt>
                <c:pt idx="3">
                  <c:v>1.0771774104955985</c:v>
                </c:pt>
                <c:pt idx="4">
                  <c:v>0.9581916253092263</c:v>
                </c:pt>
                <c:pt idx="5">
                  <c:v>0.84580646320373942</c:v>
                </c:pt>
                <c:pt idx="6">
                  <c:v>0.75776507015000605</c:v>
                </c:pt>
                <c:pt idx="7">
                  <c:v>0.70796724625655338</c:v>
                </c:pt>
                <c:pt idx="8">
                  <c:v>0.70427497296131547</c:v>
                </c:pt>
                <c:pt idx="9">
                  <c:v>0.74727117903188622</c:v>
                </c:pt>
                <c:pt idx="10">
                  <c:v>0.83016770893054592</c:v>
                </c:pt>
                <c:pt idx="11">
                  <c:v>0.93987702331567946</c:v>
                </c:pt>
                <c:pt idx="12">
                  <c:v>1.0590784337349093</c:v>
                </c:pt>
                <c:pt idx="13">
                  <c:v>1.1689526584843315</c:v>
                </c:pt>
                <c:pt idx="14">
                  <c:v>1.252152973391115</c:v>
                </c:pt>
                <c:pt idx="15">
                  <c:v>1.2955438781404742</c:v>
                </c:pt>
                <c:pt idx="16">
                  <c:v>1.29227490295195</c:v>
                </c:pt>
                <c:pt idx="17">
                  <c:v>1.2428621471295651</c:v>
                </c:pt>
                <c:pt idx="18">
                  <c:v>1.155106798329713</c:v>
                </c:pt>
                <c:pt idx="19">
                  <c:v>1.0428634965627797</c:v>
                </c:pt>
                <c:pt idx="20">
                  <c:v>0.92385299117138908</c:v>
                </c:pt>
                <c:pt idx="21">
                  <c:v>0.81686442415316718</c:v>
                </c:pt>
                <c:pt idx="22">
                  <c:v>0.73878893777506449</c:v>
                </c:pt>
                <c:pt idx="23">
                  <c:v>0.70195293461193364</c:v>
                </c:pt>
                <c:pt idx="24">
                  <c:v>0.71217200961298488</c:v>
                </c:pt>
                <c:pt idx="25">
                  <c:v>0.76783279553263328</c:v>
                </c:pt>
                <c:pt idx="26">
                  <c:v>0.8601476781438484</c:v>
                </c:pt>
                <c:pt idx="27">
                  <c:v>0.97454216730248622</c:v>
                </c:pt>
                <c:pt idx="28">
                  <c:v>1.0929558884770931</c:v>
                </c:pt>
                <c:pt idx="29">
                  <c:v>1.1966939187757757</c:v>
                </c:pt>
                <c:pt idx="30">
                  <c:v>1.2693783042067874</c:v>
                </c:pt>
                <c:pt idx="31">
                  <c:v>1.2995337784952534</c:v>
                </c:pt>
                <c:pt idx="32">
                  <c:v>1.2823994553097688</c:v>
                </c:pt>
                <c:pt idx="33">
                  <c:v>1.2206804675317238</c:v>
                </c:pt>
                <c:pt idx="34">
                  <c:v>1.1241208862538119</c:v>
                </c:pt>
                <c:pt idx="35">
                  <c:v>1.00796534620719</c:v>
                </c:pt>
                <c:pt idx="36">
                  <c:v>0.89055225313652731</c:v>
                </c:pt>
                <c:pt idx="37">
                  <c:v>0.79041855275791773</c:v>
                </c:pt>
                <c:pt idx="38">
                  <c:v>0.72337315462076601</c:v>
                </c:pt>
                <c:pt idx="39">
                  <c:v>0.70000105289631809</c:v>
                </c:pt>
                <c:pt idx="40">
                  <c:v>0.72399218854096281</c:v>
                </c:pt>
                <c:pt idx="41">
                  <c:v>0.79155888875363822</c:v>
                </c:pt>
                <c:pt idx="42">
                  <c:v>0.89203385722775719</c:v>
                </c:pt>
                <c:pt idx="43">
                  <c:v>1.0095543056854428</c:v>
                </c:pt>
                <c:pt idx="44">
                  <c:v>1.1255663393555257</c:v>
                </c:pt>
                <c:pt idx="45">
                  <c:v>1.2217542089947668</c:v>
                </c:pt>
                <c:pt idx="46">
                  <c:v>1.2829319649665596</c:v>
                </c:pt>
                <c:pt idx="47">
                  <c:v>1.2994409847798112</c:v>
                </c:pt>
                <c:pt idx="48">
                  <c:v>1.268674857206431</c:v>
                </c:pt>
                <c:pt idx="49">
                  <c:v>1.1954908773044663</c:v>
                </c:pt>
                <c:pt idx="50">
                  <c:v>1.0914431863306651</c:v>
                </c:pt>
                <c:pt idx="51">
                  <c:v>0.97295862688856039</c:v>
                </c:pt>
                <c:pt idx="52">
                  <c:v>0.85874330567488399</c:v>
                </c:pt>
                <c:pt idx="53">
                  <c:v>0.76682931054213199</c:v>
                </c:pt>
                <c:pt idx="54">
                  <c:v>0.71172784031631386</c:v>
                </c:pt>
                <c:pt idx="55">
                  <c:v>0.7021382055746388</c:v>
                </c:pt>
                <c:pt idx="56">
                  <c:v>0.73957439878587461</c:v>
                </c:pt>
                <c:pt idx="57">
                  <c:v>0.81812606818919797</c:v>
                </c:pt>
                <c:pt idx="58">
                  <c:v>0.92539163238038469</c:v>
                </c:pt>
                <c:pt idx="59">
                  <c:v>1.044436217329491</c:v>
                </c:pt>
                <c:pt idx="60">
                  <c:v>1.1564653006260737</c:v>
                </c:pt>
                <c:pt idx="61">
                  <c:v>1.2437919533137336</c:v>
                </c:pt>
                <c:pt idx="62">
                  <c:v>1.2926292170720297</c:v>
                </c:pt>
                <c:pt idx="63">
                  <c:v>1.2952667617875666</c:v>
                </c:pt>
                <c:pt idx="64">
                  <c:v>1.2512881771441093</c:v>
                </c:pt>
                <c:pt idx="65">
                  <c:v>1.1676367146554849</c:v>
                </c:pt>
                <c:pt idx="66">
                  <c:v>1.0575191009198097</c:v>
                </c:pt>
                <c:pt idx="67">
                  <c:v>0.93832048587921968</c:v>
                </c:pt>
                <c:pt idx="68">
                  <c:v>0.82885970990878832</c:v>
                </c:pt>
                <c:pt idx="69">
                  <c:v>0.74641822271007308</c:v>
                </c:pt>
                <c:pt idx="70">
                  <c:v>0.70401172238785437</c:v>
                </c:pt>
                <c:pt idx="71">
                  <c:v>0.70833526290863835</c:v>
                </c:pt>
                <c:pt idx="72">
                  <c:v>0.75870625229022581</c:v>
                </c:pt>
                <c:pt idx="73">
                  <c:v>0.84717221886687122</c:v>
                </c:pt>
                <c:pt idx="74">
                  <c:v>0.95976633170630288</c:v>
                </c:pt>
                <c:pt idx="75">
                  <c:v>1.0787124561111787</c:v>
                </c:pt>
                <c:pt idx="76">
                  <c:v>1.1852316144260384</c:v>
                </c:pt>
                <c:pt idx="77">
                  <c:v>1.2625067736968341</c:v>
                </c:pt>
                <c:pt idx="78">
                  <c:v>1.2983378854013545</c:v>
                </c:pt>
                <c:pt idx="79">
                  <c:v>1.2870680048561463</c:v>
                </c:pt>
                <c:pt idx="80">
                  <c:v>1.2304763983971001</c:v>
                </c:pt>
                <c:pt idx="81">
                  <c:v>1.1374976363475278</c:v>
                </c:pt>
                <c:pt idx="82">
                  <c:v>1.0228110208175039</c:v>
                </c:pt>
                <c:pt idx="83">
                  <c:v>0.90452304666925354</c:v>
                </c:pt>
                <c:pt idx="84">
                  <c:v>0.80130878410412709</c:v>
                </c:pt>
                <c:pt idx="85">
                  <c:v>0.72946349570535718</c:v>
                </c:pt>
                <c:pt idx="86">
                  <c:v>0.70032997277649356</c:v>
                </c:pt>
                <c:pt idx="87">
                  <c:v>0.71850775799993438</c:v>
                </c:pt>
                <c:pt idx="88">
                  <c:v>0.78112697878214254</c:v>
                </c:pt>
                <c:pt idx="89">
                  <c:v>0.87830143703339725</c:v>
                </c:pt>
                <c:pt idx="90">
                  <c:v>0.99468942246837588</c:v>
                </c:pt>
                <c:pt idx="91">
                  <c:v>1.1119158313265867</c:v>
                </c:pt>
                <c:pt idx="92">
                  <c:v>1.2114731912242744</c:v>
                </c:pt>
                <c:pt idx="93">
                  <c:v>1.2776435841013984</c:v>
                </c:pt>
                <c:pt idx="94">
                  <c:v>1.299980159877641</c:v>
                </c:pt>
                <c:pt idx="95">
                  <c:v>1.2749564643746902</c:v>
                </c:pt>
                <c:pt idx="96">
                  <c:v>1.2065231888913011</c:v>
                </c:pt>
                <c:pt idx="97">
                  <c:v>1.1054844429150448</c:v>
                </c:pt>
                <c:pt idx="98">
                  <c:v>0.98779202279504053</c:v>
                </c:pt>
                <c:pt idx="99">
                  <c:v>0.87202697384662808</c:v>
                </c:pt>
                <c:pt idx="100">
                  <c:v>0.77646605185619533</c:v>
                </c:pt>
                <c:pt idx="101">
                  <c:v>0.71619622521192761</c:v>
                </c:pt>
                <c:pt idx="102">
                  <c:v>0.70073277432765846</c:v>
                </c:pt>
                <c:pt idx="103">
                  <c:v>0.73251703808756785</c:v>
                </c:pt>
                <c:pt idx="104">
                  <c:v>0.80653098011653979</c:v>
                </c:pt>
                <c:pt idx="105">
                  <c:v>0.91108942638718438</c:v>
                </c:pt>
                <c:pt idx="106">
                  <c:v>1.0296848972650889</c:v>
                </c:pt>
                <c:pt idx="107">
                  <c:v>1.1435937755765244</c:v>
                </c:pt>
                <c:pt idx="108">
                  <c:v>1.2348323540651949</c:v>
                </c:pt>
                <c:pt idx="109">
                  <c:v>1.2889960673421283</c:v>
                </c:pt>
                <c:pt idx="110">
                  <c:v>1.2975336560329347</c:v>
                </c:pt>
                <c:pt idx="111">
                  <c:v>1.2590972226078869</c:v>
                </c:pt>
                <c:pt idx="112">
                  <c:v>1.1797550347642796</c:v>
                </c:pt>
                <c:pt idx="113">
                  <c:v>1.0720334793861324</c:v>
                </c:pt>
                <c:pt idx="114">
                  <c:v>0.95293942148547695</c:v>
                </c:pt>
                <c:pt idx="115">
                  <c:v>0.84127519416399288</c:v>
                </c:pt>
                <c:pt idx="116">
                  <c:v>0.75467012364206743</c:v>
                </c:pt>
                <c:pt idx="117">
                  <c:v>0.70679724628232199</c:v>
                </c:pt>
                <c:pt idx="118">
                  <c:v>0.70521463679075813</c:v>
                </c:pt>
                <c:pt idx="119">
                  <c:v>0.75017215440766494</c:v>
                </c:pt>
                <c:pt idx="120">
                  <c:v>0.83457199562749285</c:v>
                </c:pt>
                <c:pt idx="121">
                  <c:v>0.94508928130582359</c:v>
                </c:pt>
                <c:pt idx="122">
                  <c:v>1.0642757620887653</c:v>
                </c:pt>
                <c:pt idx="123">
                  <c:v>1.1733145133337195</c:v>
                </c:pt>
                <c:pt idx="124">
                  <c:v>1.2549907137637983</c:v>
                </c:pt>
                <c:pt idx="125">
                  <c:v>1.2964094872278586</c:v>
                </c:pt>
                <c:pt idx="126">
                  <c:v>1.2910317201121555</c:v>
                </c:pt>
                <c:pt idx="127">
                  <c:v>1.2397064435978842</c:v>
                </c:pt>
                <c:pt idx="128">
                  <c:v>1.1505367903061714</c:v>
                </c:pt>
                <c:pt idx="129">
                  <c:v>1.0376006878289288</c:v>
                </c:pt>
                <c:pt idx="130">
                  <c:v>0.91872826350763925</c:v>
                </c:pt>
                <c:pt idx="131">
                  <c:v>0.81268685937508178</c:v>
                </c:pt>
                <c:pt idx="132">
                  <c:v>0.73621808150478318</c:v>
                </c:pt>
                <c:pt idx="133">
                  <c:v>0.70139466852653221</c:v>
                </c:pt>
                <c:pt idx="134">
                  <c:v>0.7137144716521906</c:v>
                </c:pt>
                <c:pt idx="135">
                  <c:v>0.77123246485611918</c:v>
                </c:pt>
                <c:pt idx="136">
                  <c:v>0.86486782171738319</c:v>
                </c:pt>
                <c:pt idx="137">
                  <c:v>0.97983757824235751</c:v>
                </c:pt>
                <c:pt idx="138">
                  <c:v>1.0979905378314168</c:v>
                </c:pt>
                <c:pt idx="139">
                  <c:v>1.2006729461134074</c:v>
                </c:pt>
                <c:pt idx="140">
                  <c:v>1.271673508601987</c:v>
                </c:pt>
                <c:pt idx="141">
                  <c:v>1.2997827976409884</c:v>
                </c:pt>
                <c:pt idx="142">
                  <c:v>1.2805629745583618</c:v>
                </c:pt>
                <c:pt idx="143">
                  <c:v>1.2170484268132729</c:v>
                </c:pt>
                <c:pt idx="144">
                  <c:v>1.1192667049364309</c:v>
                </c:pt>
                <c:pt idx="145">
                  <c:v>1.0026553927871211</c:v>
                </c:pt>
                <c:pt idx="146">
                  <c:v>0.88562485250351797</c:v>
                </c:pt>
                <c:pt idx="147">
                  <c:v>0.78665163312820607</c:v>
                </c:pt>
                <c:pt idx="148">
                  <c:v>0.72136142977682782</c:v>
                </c:pt>
                <c:pt idx="149">
                  <c:v>0.70006212995719919</c:v>
                </c:pt>
                <c:pt idx="150">
                  <c:v>0.72611642478171179</c:v>
                </c:pt>
                <c:pt idx="151">
                  <c:v>0.79541091397955932</c:v>
                </c:pt>
                <c:pt idx="152">
                  <c:v>0.89700552135403133</c:v>
                </c:pt>
                <c:pt idx="153">
                  <c:v>1.0148606922635113</c:v>
                </c:pt>
                <c:pt idx="154">
                  <c:v>1.130369686621568</c:v>
                </c:pt>
                <c:pt idx="155">
                  <c:v>1.2252961740315027</c:v>
                </c:pt>
                <c:pt idx="156">
                  <c:v>1.2846533493754371</c:v>
                </c:pt>
                <c:pt idx="157">
                  <c:v>1.2990700198124787</c:v>
                </c:pt>
                <c:pt idx="158">
                  <c:v>1.2662701100744513</c:v>
                </c:pt>
                <c:pt idx="159">
                  <c:v>1.1914320047043843</c:v>
                </c:pt>
                <c:pt idx="160">
                  <c:v>1.0863709949995195</c:v>
                </c:pt>
                <c:pt idx="161">
                  <c:v>0.96767390431016731</c:v>
                </c:pt>
                <c:pt idx="162">
                  <c:v>0.8540803933438601</c:v>
                </c:pt>
                <c:pt idx="163">
                  <c:v>0.76352437978740517</c:v>
                </c:pt>
                <c:pt idx="164">
                  <c:v>0.71030266703521661</c:v>
                </c:pt>
                <c:pt idx="165">
                  <c:v>0.70281779329153893</c:v>
                </c:pt>
                <c:pt idx="166">
                  <c:v>0.74225145554305105</c:v>
                </c:pt>
                <c:pt idx="167">
                  <c:v>0.82237794558783262</c:v>
                </c:pt>
                <c:pt idx="168">
                  <c:v>0.93054705246953828</c:v>
                </c:pt>
                <c:pt idx="169">
                  <c:v>1.0496812526344927</c:v>
                </c:pt>
                <c:pt idx="170">
                  <c:v>1.1609718754001306</c:v>
                </c:pt>
                <c:pt idx="171">
                  <c:v>1.2468485784906127</c:v>
                </c:pt>
                <c:pt idx="172">
                  <c:v>1.2937533187453951</c:v>
                </c:pt>
                <c:pt idx="173">
                  <c:v>1.2942808690199474</c:v>
                </c:pt>
                <c:pt idx="174">
                  <c:v>1.2483479407256961</c:v>
                </c:pt>
                <c:pt idx="175">
                  <c:v>1.163206333266811</c:v>
                </c:pt>
                <c:pt idx="176">
                  <c:v>1.052298034366894</c:v>
                </c:pt>
                <c:pt idx="177">
                  <c:v>0.93313302576992618</c:v>
                </c:pt>
                <c:pt idx="178">
                  <c:v>0.82452484213247146</c:v>
                </c:pt>
                <c:pt idx="179">
                  <c:v>0.74362032757351582</c:v>
                </c:pt>
                <c:pt idx="180">
                  <c:v>0.70319252601298543</c:v>
                </c:pt>
                <c:pt idx="181">
                  <c:v>0.70962409839055418</c:v>
                </c:pt>
                <c:pt idx="182">
                  <c:v>0.76189964084525419</c:v>
                </c:pt>
                <c:pt idx="183">
                  <c:v>0.85176599465841729</c:v>
                </c:pt>
                <c:pt idx="184">
                  <c:v>0.96503523854485196</c:v>
                </c:pt>
                <c:pt idx="185">
                  <c:v>1.0838246494596777</c:v>
                </c:pt>
                <c:pt idx="186">
                  <c:v>1.1893799913616963</c:v>
                </c:pt>
                <c:pt idx="187">
                  <c:v>1.2650363967160461</c:v>
                </c:pt>
                <c:pt idx="188">
                  <c:v>1.2988493826507521</c:v>
                </c:pt>
                <c:pt idx="189">
                  <c:v>1.2854806221668547</c:v>
                </c:pt>
                <c:pt idx="190">
                  <c:v>1.2270407485923784</c:v>
                </c:pt>
                <c:pt idx="191">
                  <c:v>1.1327561329884568</c:v>
                </c:pt>
                <c:pt idx="192">
                  <c:v>1.017512243028275</c:v>
                </c:pt>
                <c:pt idx="193">
                  <c:v>0.89950355495322976</c:v>
                </c:pt>
                <c:pt idx="194">
                  <c:v>0.79736104583465561</c:v>
                </c:pt>
                <c:pt idx="195">
                  <c:v>0.72721077195229555</c:v>
                </c:pt>
                <c:pt idx="196">
                  <c:v>0.70012791908754846</c:v>
                </c:pt>
                <c:pt idx="197">
                  <c:v>0.7203882742098322</c:v>
                </c:pt>
                <c:pt idx="198">
                  <c:v>0.78479317273014315</c:v>
                </c:pt>
                <c:pt idx="199">
                  <c:v>0.88317449730740483</c:v>
                </c:pt>
                <c:pt idx="200">
                  <c:v>1</c:v>
                </c:pt>
                <c:pt idx="201">
                  <c:v>1.1168255026925928</c:v>
                </c:pt>
                <c:pt idx="202">
                  <c:v>1.2152068272698568</c:v>
                </c:pt>
                <c:pt idx="203">
                  <c:v>1.2796117257901671</c:v>
                </c:pt>
                <c:pt idx="204">
                  <c:v>1.2998720809124515</c:v>
                </c:pt>
                <c:pt idx="205">
                  <c:v>1.2727892280477056</c:v>
                </c:pt>
                <c:pt idx="206">
                  <c:v>1.2026389541653444</c:v>
                </c:pt>
                <c:pt idx="207">
                  <c:v>1.1004964450467738</c:v>
                </c:pt>
                <c:pt idx="208">
                  <c:v>0.98248775697172497</c:v>
                </c:pt>
                <c:pt idx="209">
                  <c:v>0.86724386701154532</c:v>
                </c:pt>
                <c:pt idx="210">
                  <c:v>0.77295925140762156</c:v>
                </c:pt>
                <c:pt idx="211">
                  <c:v>0.71451937783314523</c:v>
                </c:pt>
                <c:pt idx="212">
                  <c:v>0.70115061734924788</c:v>
                </c:pt>
                <c:pt idx="213">
                  <c:v>0.73496360328395405</c:v>
                </c:pt>
                <c:pt idx="214">
                  <c:v>0.81062000863830375</c:v>
                </c:pt>
                <c:pt idx="215">
                  <c:v>0.91617535054032229</c:v>
                </c:pt>
                <c:pt idx="216">
                  <c:v>1.034964761455148</c:v>
                </c:pt>
                <c:pt idx="217">
                  <c:v>1.1482340053415827</c:v>
                </c:pt>
                <c:pt idx="218">
                  <c:v>1.2381003591547457</c:v>
                </c:pt>
                <c:pt idx="219">
                  <c:v>1.2903759016094458</c:v>
                </c:pt>
                <c:pt idx="220">
                  <c:v>1.2968074739870146</c:v>
                </c:pt>
                <c:pt idx="221">
                  <c:v>1.2563796724264842</c:v>
                </c:pt>
                <c:pt idx="222">
                  <c:v>1.1754751578675284</c:v>
                </c:pt>
                <c:pt idx="223">
                  <c:v>1.0668669742300738</c:v>
                </c:pt>
                <c:pt idx="224">
                  <c:v>0.94770196563310616</c:v>
                </c:pt>
                <c:pt idx="225">
                  <c:v>0.83679366673318911</c:v>
                </c:pt>
                <c:pt idx="226">
                  <c:v>0.7516520592743039</c:v>
                </c:pt>
                <c:pt idx="227">
                  <c:v>0.70571913098005257</c:v>
                </c:pt>
                <c:pt idx="228">
                  <c:v>0.70624668125460488</c:v>
                </c:pt>
                <c:pt idx="229">
                  <c:v>0.7531514215093873</c:v>
                </c:pt>
                <c:pt idx="230">
                  <c:v>0.83902812459986953</c:v>
                </c:pt>
                <c:pt idx="231">
                  <c:v>0.95031874736550714</c:v>
                </c:pt>
                <c:pt idx="232">
                  <c:v>1.0694529475304617</c:v>
                </c:pt>
                <c:pt idx="233">
                  <c:v>1.1776220544121674</c:v>
                </c:pt>
                <c:pt idx="234">
                  <c:v>1.2577485444569489</c:v>
                </c:pt>
                <c:pt idx="235">
                  <c:v>1.2971822067084611</c:v>
                </c:pt>
                <c:pt idx="236">
                  <c:v>1.2896973329647834</c:v>
                </c:pt>
                <c:pt idx="237">
                  <c:v>1.2364756202125948</c:v>
                </c:pt>
                <c:pt idx="238">
                  <c:v>1.1459196066561399</c:v>
                </c:pt>
                <c:pt idx="239">
                  <c:v>1.0323260956898328</c:v>
                </c:pt>
                <c:pt idx="240">
                  <c:v>0.91362900500048039</c:v>
                </c:pt>
                <c:pt idx="241">
                  <c:v>0.80856799529561574</c:v>
                </c:pt>
                <c:pt idx="242">
                  <c:v>0.73372988992554866</c:v>
                </c:pt>
                <c:pt idx="243">
                  <c:v>0.70092998018752117</c:v>
                </c:pt>
                <c:pt idx="244">
                  <c:v>0.71534665062456282</c:v>
                </c:pt>
                <c:pt idx="245">
                  <c:v>0.77470382596849718</c:v>
                </c:pt>
                <c:pt idx="246">
                  <c:v>0.869630313378432</c:v>
                </c:pt>
                <c:pt idx="247">
                  <c:v>0.98513930773648872</c:v>
                </c:pt>
                <c:pt idx="248">
                  <c:v>1.1029944786459687</c:v>
                </c:pt>
                <c:pt idx="249">
                  <c:v>1.2045890860204407</c:v>
                </c:pt>
                <c:pt idx="250">
                  <c:v>1.2738835752182882</c:v>
                </c:pt>
                <c:pt idx="251">
                  <c:v>1.2999378700428008</c:v>
                </c:pt>
                <c:pt idx="252">
                  <c:v>1.2786385702231722</c:v>
                </c:pt>
                <c:pt idx="253">
                  <c:v>1.2133483668717939</c:v>
                </c:pt>
                <c:pt idx="254">
                  <c:v>1.114375147496482</c:v>
                </c:pt>
                <c:pt idx="255">
                  <c:v>0.99734460721287888</c:v>
                </c:pt>
                <c:pt idx="256">
                  <c:v>0.88073329506356912</c:v>
                </c:pt>
                <c:pt idx="257">
                  <c:v>0.78295157318672726</c:v>
                </c:pt>
                <c:pt idx="258">
                  <c:v>0.71943702544163834</c:v>
                </c:pt>
                <c:pt idx="259">
                  <c:v>0.70021720235901164</c:v>
                </c:pt>
                <c:pt idx="260">
                  <c:v>0.72832649139801287</c:v>
                </c:pt>
                <c:pt idx="261">
                  <c:v>0.79932705388659275</c:v>
                </c:pt>
                <c:pt idx="262">
                  <c:v>0.90200946216858335</c:v>
                </c:pt>
                <c:pt idx="263">
                  <c:v>1.0201624217576424</c:v>
                </c:pt>
                <c:pt idx="264">
                  <c:v>1.1351321782826167</c:v>
                </c:pt>
                <c:pt idx="265">
                  <c:v>1.2287675351438807</c:v>
                </c:pt>
                <c:pt idx="266">
                  <c:v>1.2862855283478094</c:v>
                </c:pt>
                <c:pt idx="267">
                  <c:v>1.2986053314734678</c:v>
                </c:pt>
                <c:pt idx="268">
                  <c:v>1.2637819184952168</c:v>
                </c:pt>
                <c:pt idx="269">
                  <c:v>1.1873131406249182</c:v>
                </c:pt>
                <c:pt idx="270">
                  <c:v>1.0812717364923607</c:v>
                </c:pt>
                <c:pt idx="271">
                  <c:v>0.96239931217107122</c:v>
                </c:pt>
                <c:pt idx="272">
                  <c:v>0.84946320969382871</c:v>
                </c:pt>
                <c:pt idx="273">
                  <c:v>0.76029355640211593</c:v>
                </c:pt>
                <c:pt idx="274">
                  <c:v>0.70896827988784439</c:v>
                </c:pt>
                <c:pt idx="275">
                  <c:v>0.70359051277214146</c:v>
                </c:pt>
                <c:pt idx="276">
                  <c:v>0.74500928623620166</c:v>
                </c:pt>
                <c:pt idx="277">
                  <c:v>0.8266854866662805</c:v>
                </c:pt>
                <c:pt idx="278">
                  <c:v>0.93572423791123471</c:v>
                </c:pt>
                <c:pt idx="279">
                  <c:v>1.0549107186941764</c:v>
                </c:pt>
                <c:pt idx="280">
                  <c:v>1.1654280043725072</c:v>
                </c:pt>
                <c:pt idx="281">
                  <c:v>1.2498278455923351</c:v>
                </c:pt>
                <c:pt idx="282">
                  <c:v>1.2947853632092419</c:v>
                </c:pt>
                <c:pt idx="283">
                  <c:v>1.293202753717678</c:v>
                </c:pt>
                <c:pt idx="284">
                  <c:v>1.2453298763579326</c:v>
                </c:pt>
                <c:pt idx="285">
                  <c:v>1.1587248058360071</c:v>
                </c:pt>
                <c:pt idx="286">
                  <c:v>1.0470605785145231</c:v>
                </c:pt>
                <c:pt idx="287">
                  <c:v>0.92796652061386764</c:v>
                </c:pt>
                <c:pt idx="288">
                  <c:v>0.82024496523572044</c:v>
                </c:pt>
                <c:pt idx="289">
                  <c:v>0.74090277739211319</c:v>
                </c:pt>
                <c:pt idx="290">
                  <c:v>0.70246634396706531</c:v>
                </c:pt>
                <c:pt idx="291">
                  <c:v>0.71100393265787176</c:v>
                </c:pt>
                <c:pt idx="292">
                  <c:v>0.76516764593480502</c:v>
                </c:pt>
                <c:pt idx="293">
                  <c:v>0.85640622442347547</c:v>
                </c:pt>
                <c:pt idx="294">
                  <c:v>0.97031510273491106</c:v>
                </c:pt>
                <c:pt idx="295">
                  <c:v>1.0889105736128155</c:v>
                </c:pt>
                <c:pt idx="296">
                  <c:v>1.1934690198834601</c:v>
                </c:pt>
                <c:pt idx="297">
                  <c:v>1.2674829619124321</c:v>
                </c:pt>
                <c:pt idx="298">
                  <c:v>1.2992672256723417</c:v>
                </c:pt>
                <c:pt idx="299">
                  <c:v>1.2838037747880724</c:v>
                </c:pt>
                <c:pt idx="300">
                  <c:v>1.2235339481438046</c:v>
                </c:pt>
                <c:pt idx="301">
                  <c:v>1.127973026153372</c:v>
                </c:pt>
                <c:pt idx="302">
                  <c:v>1.0122079772049595</c:v>
                </c:pt>
                <c:pt idx="303">
                  <c:v>0.89451555708495512</c:v>
                </c:pt>
                <c:pt idx="304">
                  <c:v>0.79347681110869894</c:v>
                </c:pt>
                <c:pt idx="305">
                  <c:v>0.72504353562530988</c:v>
                </c:pt>
                <c:pt idx="306">
                  <c:v>0.70001984012235896</c:v>
                </c:pt>
                <c:pt idx="307">
                  <c:v>0.72235641589860156</c:v>
                </c:pt>
                <c:pt idx="308">
                  <c:v>0.78852680877572556</c:v>
                </c:pt>
                <c:pt idx="309">
                  <c:v>0.88808416867341333</c:v>
                </c:pt>
                <c:pt idx="310">
                  <c:v>1.005310577531624</c:v>
                </c:pt>
                <c:pt idx="311">
                  <c:v>1.1216985629666028</c:v>
                </c:pt>
                <c:pt idx="312">
                  <c:v>1.2188730212178576</c:v>
                </c:pt>
                <c:pt idx="313">
                  <c:v>1.2814922420000656</c:v>
                </c:pt>
                <c:pt idx="314">
                  <c:v>1.2996700272235064</c:v>
                </c:pt>
                <c:pt idx="315">
                  <c:v>1.2705365042946428</c:v>
                </c:pt>
                <c:pt idx="316">
                  <c:v>1.1986912158958729</c:v>
                </c:pt>
                <c:pt idx="317">
                  <c:v>1.0954769533307465</c:v>
                </c:pt>
                <c:pt idx="318">
                  <c:v>0.97718897918249603</c:v>
                </c:pt>
                <c:pt idx="319">
                  <c:v>0.86250236365247213</c:v>
                </c:pt>
                <c:pt idx="320">
                  <c:v>0.7695236016028999</c:v>
                </c:pt>
                <c:pt idx="321">
                  <c:v>0.71293199514385375</c:v>
                </c:pt>
                <c:pt idx="322">
                  <c:v>0.70166211459864536</c:v>
                </c:pt>
                <c:pt idx="323">
                  <c:v>0.73749322630316594</c:v>
                </c:pt>
                <c:pt idx="324">
                  <c:v>0.81476838557396147</c:v>
                </c:pt>
                <c:pt idx="325">
                  <c:v>0.92128754388882139</c:v>
                </c:pt>
                <c:pt idx="326">
                  <c:v>1.0402336682936972</c:v>
                </c:pt>
                <c:pt idx="327">
                  <c:v>1.1528277811331287</c:v>
                </c:pt>
                <c:pt idx="328">
                  <c:v>1.2412937477097743</c:v>
                </c:pt>
                <c:pt idx="329">
                  <c:v>1.2916647370913616</c:v>
                </c:pt>
                <c:pt idx="330">
                  <c:v>1.2959882776121456</c:v>
                </c:pt>
                <c:pt idx="331">
                  <c:v>1.2535817772899269</c:v>
                </c:pt>
                <c:pt idx="332">
                  <c:v>1.1711402900912118</c:v>
                </c:pt>
                <c:pt idx="333">
                  <c:v>1.0616795141207804</c:v>
                </c:pt>
                <c:pt idx="334">
                  <c:v>0.94248089908019028</c:v>
                </c:pt>
                <c:pt idx="335">
                  <c:v>0.83236328534451509</c:v>
                </c:pt>
                <c:pt idx="336">
                  <c:v>0.74871182285589055</c:v>
                </c:pt>
                <c:pt idx="337">
                  <c:v>0.70473323821243339</c:v>
                </c:pt>
                <c:pt idx="338">
                  <c:v>0.70737078292797029</c:v>
                </c:pt>
                <c:pt idx="339">
                  <c:v>0.7562080466862664</c:v>
                </c:pt>
                <c:pt idx="340">
                  <c:v>0.84353469937392644</c:v>
                </c:pt>
                <c:pt idx="341">
                  <c:v>0.95556378267050912</c:v>
                </c:pt>
                <c:pt idx="342">
                  <c:v>1.0746083676196152</c:v>
                </c:pt>
                <c:pt idx="343">
                  <c:v>1.181873931810802</c:v>
                </c:pt>
                <c:pt idx="344">
                  <c:v>1.2604256012141253</c:v>
                </c:pt>
                <c:pt idx="345">
                  <c:v>1.2978617944253612</c:v>
                </c:pt>
                <c:pt idx="346">
                  <c:v>1.2882721596836861</c:v>
                </c:pt>
                <c:pt idx="347">
                  <c:v>1.233170689457868</c:v>
                </c:pt>
                <c:pt idx="348">
                  <c:v>1.1412566943251159</c:v>
                </c:pt>
                <c:pt idx="349">
                  <c:v>1.0270413731114396</c:v>
                </c:pt>
                <c:pt idx="350">
                  <c:v>0.90855681366933494</c:v>
                </c:pt>
                <c:pt idx="351">
                  <c:v>0.80450912269553354</c:v>
                </c:pt>
                <c:pt idx="352">
                  <c:v>0.73132514279356897</c:v>
                </c:pt>
                <c:pt idx="353">
                  <c:v>0.70055901522018882</c:v>
                </c:pt>
                <c:pt idx="354">
                  <c:v>0.71706803503344041</c:v>
                </c:pt>
                <c:pt idx="355">
                  <c:v>0.77824579100523317</c:v>
                </c:pt>
                <c:pt idx="356">
                  <c:v>0.87443366064447425</c:v>
                </c:pt>
                <c:pt idx="357">
                  <c:v>0.99044569431455709</c:v>
                </c:pt>
                <c:pt idx="358">
                  <c:v>1.1079661427722427</c:v>
                </c:pt>
                <c:pt idx="359">
                  <c:v>1.2084411112463618</c:v>
                </c:pt>
                <c:pt idx="360">
                  <c:v>1.2760078114590372</c:v>
                </c:pt>
                <c:pt idx="361">
                  <c:v>1.2999989471036819</c:v>
                </c:pt>
                <c:pt idx="362">
                  <c:v>1.276626845379234</c:v>
                </c:pt>
                <c:pt idx="363">
                  <c:v>1.2095814472420823</c:v>
                </c:pt>
                <c:pt idx="364">
                  <c:v>1.1094477468634727</c:v>
                </c:pt>
                <c:pt idx="365">
                  <c:v>0.99203465379280997</c:v>
                </c:pt>
                <c:pt idx="366">
                  <c:v>0.8758791137461881</c:v>
                </c:pt>
                <c:pt idx="367">
                  <c:v>0.77931953246827623</c:v>
                </c:pt>
                <c:pt idx="368">
                  <c:v>0.71760054469023105</c:v>
                </c:pt>
                <c:pt idx="369">
                  <c:v>0.70046622150474658</c:v>
                </c:pt>
                <c:pt idx="370">
                  <c:v>0.73062169579321257</c:v>
                </c:pt>
                <c:pt idx="371">
                  <c:v>0.80330608122422431</c:v>
                </c:pt>
                <c:pt idx="372">
                  <c:v>0.90704411152290687</c:v>
                </c:pt>
                <c:pt idx="373">
                  <c:v>1.0254578326975137</c:v>
                </c:pt>
                <c:pt idx="374">
                  <c:v>1.1398523218561516</c:v>
                </c:pt>
                <c:pt idx="375">
                  <c:v>1.2321672044673666</c:v>
                </c:pt>
                <c:pt idx="376">
                  <c:v>1.2878279903870151</c:v>
                </c:pt>
                <c:pt idx="377">
                  <c:v>1.2980470653880665</c:v>
                </c:pt>
                <c:pt idx="378">
                  <c:v>1.2612110622249355</c:v>
                </c:pt>
                <c:pt idx="379">
                  <c:v>1.1831355758468329</c:v>
                </c:pt>
                <c:pt idx="380">
                  <c:v>1.0761470088286109</c:v>
                </c:pt>
                <c:pt idx="381">
                  <c:v>0.95713650343722045</c:v>
                </c:pt>
                <c:pt idx="382">
                  <c:v>0.84489320167028692</c:v>
                </c:pt>
                <c:pt idx="383">
                  <c:v>0.757137852870435</c:v>
                </c:pt>
                <c:pt idx="384">
                  <c:v>0.70772509704804998</c:v>
                </c:pt>
                <c:pt idx="385">
                  <c:v>0.70445612185952577</c:v>
                </c:pt>
                <c:pt idx="386">
                  <c:v>0.74784702660888502</c:v>
                </c:pt>
                <c:pt idx="387">
                  <c:v>0.8310473415156685</c:v>
                </c:pt>
                <c:pt idx="388">
                  <c:v>0.94092156626509071</c:v>
                </c:pt>
                <c:pt idx="389">
                  <c:v>1.0601229766843205</c:v>
                </c:pt>
                <c:pt idx="390">
                  <c:v>1.1698322910694541</c:v>
                </c:pt>
                <c:pt idx="391">
                  <c:v>1.2527288209681138</c:v>
                </c:pt>
                <c:pt idx="392">
                  <c:v>1.2957250270386846</c:v>
                </c:pt>
                <c:pt idx="393">
                  <c:v>1.2920327537434466</c:v>
                </c:pt>
                <c:pt idx="394">
                  <c:v>1.242234929849994</c:v>
                </c:pt>
                <c:pt idx="395">
                  <c:v>1.1541935367962606</c:v>
                </c:pt>
                <c:pt idx="396">
                  <c:v>1.0418083746907738</c:v>
                </c:pt>
                <c:pt idx="397">
                  <c:v>0.92282258950440155</c:v>
                </c:pt>
                <c:pt idx="398">
                  <c:v>0.81602142045793324</c:v>
                </c:pt>
                <c:pt idx="399">
                  <c:v>0.73826642379909169</c:v>
                </c:pt>
                <c:pt idx="400">
                  <c:v>0.70183340382298742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8C-459F-83D3-C5CBF1AB7A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700400"/>
        <c:axId val="1600397504"/>
      </c:scatterChart>
      <c:valAx>
        <c:axId val="1603700400"/>
        <c:scaling>
          <c:orientation val="minMax"/>
          <c:max val="2"/>
          <c:min val="-2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600397504"/>
        <c:crosses val="autoZero"/>
        <c:crossBetween val="midCat"/>
      </c:valAx>
      <c:valAx>
        <c:axId val="1600397504"/>
        <c:scaling>
          <c:orientation val="minMax"/>
          <c:min val="0.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out"/>
        <c:minorTickMark val="none"/>
        <c:tickLblPos val="low"/>
        <c:crossAx val="1603700400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080818022747154"/>
          <c:y val="0.73021653543307086"/>
          <c:w val="9.8383420822397205E-2"/>
          <c:h val="0.269783727034120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乗法モデル!$D$1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乗法モデル!$C$2:$C$402</c:f>
              <c:numCache>
                <c:formatCode>General</c:formatCode>
                <c:ptCount val="401"/>
                <c:pt idx="0">
                  <c:v>-2</c:v>
                </c:pt>
                <c:pt idx="1">
                  <c:v>-1.99</c:v>
                </c:pt>
                <c:pt idx="2">
                  <c:v>-1.98</c:v>
                </c:pt>
                <c:pt idx="3">
                  <c:v>-1.97</c:v>
                </c:pt>
                <c:pt idx="4">
                  <c:v>-1.96</c:v>
                </c:pt>
                <c:pt idx="5">
                  <c:v>-1.95</c:v>
                </c:pt>
                <c:pt idx="6">
                  <c:v>-1.94</c:v>
                </c:pt>
                <c:pt idx="7">
                  <c:v>-1.93</c:v>
                </c:pt>
                <c:pt idx="8">
                  <c:v>-1.92</c:v>
                </c:pt>
                <c:pt idx="9">
                  <c:v>-1.91</c:v>
                </c:pt>
                <c:pt idx="10">
                  <c:v>-1.9</c:v>
                </c:pt>
                <c:pt idx="11">
                  <c:v>-1.89</c:v>
                </c:pt>
                <c:pt idx="12">
                  <c:v>-1.88</c:v>
                </c:pt>
                <c:pt idx="13">
                  <c:v>-1.87</c:v>
                </c:pt>
                <c:pt idx="14">
                  <c:v>-1.86</c:v>
                </c:pt>
                <c:pt idx="15">
                  <c:v>-1.85</c:v>
                </c:pt>
                <c:pt idx="16">
                  <c:v>-1.84</c:v>
                </c:pt>
                <c:pt idx="17">
                  <c:v>-1.83</c:v>
                </c:pt>
                <c:pt idx="18">
                  <c:v>-1.82</c:v>
                </c:pt>
                <c:pt idx="19">
                  <c:v>-1.81</c:v>
                </c:pt>
                <c:pt idx="20">
                  <c:v>-1.8</c:v>
                </c:pt>
                <c:pt idx="21">
                  <c:v>-1.79</c:v>
                </c:pt>
                <c:pt idx="22">
                  <c:v>-1.78</c:v>
                </c:pt>
                <c:pt idx="23">
                  <c:v>-1.77</c:v>
                </c:pt>
                <c:pt idx="24">
                  <c:v>-1.76</c:v>
                </c:pt>
                <c:pt idx="25">
                  <c:v>-1.75</c:v>
                </c:pt>
                <c:pt idx="26">
                  <c:v>-1.74</c:v>
                </c:pt>
                <c:pt idx="27">
                  <c:v>-1.73</c:v>
                </c:pt>
                <c:pt idx="28">
                  <c:v>-1.72</c:v>
                </c:pt>
                <c:pt idx="29">
                  <c:v>-1.71</c:v>
                </c:pt>
                <c:pt idx="30">
                  <c:v>-1.7</c:v>
                </c:pt>
                <c:pt idx="31">
                  <c:v>-1.69</c:v>
                </c:pt>
                <c:pt idx="32">
                  <c:v>-1.68</c:v>
                </c:pt>
                <c:pt idx="33">
                  <c:v>-1.67</c:v>
                </c:pt>
                <c:pt idx="34">
                  <c:v>-1.66</c:v>
                </c:pt>
                <c:pt idx="35">
                  <c:v>-1.65</c:v>
                </c:pt>
                <c:pt idx="36">
                  <c:v>-1.64</c:v>
                </c:pt>
                <c:pt idx="37">
                  <c:v>-1.63</c:v>
                </c:pt>
                <c:pt idx="38">
                  <c:v>-1.62</c:v>
                </c:pt>
                <c:pt idx="39">
                  <c:v>-1.61</c:v>
                </c:pt>
                <c:pt idx="40">
                  <c:v>-1.6</c:v>
                </c:pt>
                <c:pt idx="41">
                  <c:v>-1.59</c:v>
                </c:pt>
                <c:pt idx="42">
                  <c:v>-1.58</c:v>
                </c:pt>
                <c:pt idx="43">
                  <c:v>-1.57</c:v>
                </c:pt>
                <c:pt idx="44">
                  <c:v>-1.56</c:v>
                </c:pt>
                <c:pt idx="45">
                  <c:v>-1.55</c:v>
                </c:pt>
                <c:pt idx="46">
                  <c:v>-1.54</c:v>
                </c:pt>
                <c:pt idx="47">
                  <c:v>-1.53</c:v>
                </c:pt>
                <c:pt idx="48">
                  <c:v>-1.52</c:v>
                </c:pt>
                <c:pt idx="49">
                  <c:v>-1.51</c:v>
                </c:pt>
                <c:pt idx="50">
                  <c:v>-1.5</c:v>
                </c:pt>
                <c:pt idx="51">
                  <c:v>-1.49</c:v>
                </c:pt>
                <c:pt idx="52">
                  <c:v>-1.48</c:v>
                </c:pt>
                <c:pt idx="53">
                  <c:v>-1.47</c:v>
                </c:pt>
                <c:pt idx="54">
                  <c:v>-1.46</c:v>
                </c:pt>
                <c:pt idx="55">
                  <c:v>-1.45</c:v>
                </c:pt>
                <c:pt idx="56">
                  <c:v>-1.44</c:v>
                </c:pt>
                <c:pt idx="57">
                  <c:v>-1.43</c:v>
                </c:pt>
                <c:pt idx="58">
                  <c:v>-1.42</c:v>
                </c:pt>
                <c:pt idx="59">
                  <c:v>-1.41</c:v>
                </c:pt>
                <c:pt idx="60">
                  <c:v>-1.4</c:v>
                </c:pt>
                <c:pt idx="61">
                  <c:v>-1.39</c:v>
                </c:pt>
                <c:pt idx="62">
                  <c:v>-1.38</c:v>
                </c:pt>
                <c:pt idx="63">
                  <c:v>-1.37</c:v>
                </c:pt>
                <c:pt idx="64">
                  <c:v>-1.36</c:v>
                </c:pt>
                <c:pt idx="65">
                  <c:v>-1.35</c:v>
                </c:pt>
                <c:pt idx="66">
                  <c:v>-1.34</c:v>
                </c:pt>
                <c:pt idx="67">
                  <c:v>-1.33</c:v>
                </c:pt>
                <c:pt idx="68">
                  <c:v>-1.32</c:v>
                </c:pt>
                <c:pt idx="69">
                  <c:v>-1.31</c:v>
                </c:pt>
                <c:pt idx="70">
                  <c:v>-1.3</c:v>
                </c:pt>
                <c:pt idx="71">
                  <c:v>-1.29</c:v>
                </c:pt>
                <c:pt idx="72">
                  <c:v>-1.28</c:v>
                </c:pt>
                <c:pt idx="73">
                  <c:v>-1.27</c:v>
                </c:pt>
                <c:pt idx="74">
                  <c:v>-1.26</c:v>
                </c:pt>
                <c:pt idx="75">
                  <c:v>-1.25</c:v>
                </c:pt>
                <c:pt idx="76">
                  <c:v>-1.24</c:v>
                </c:pt>
                <c:pt idx="77">
                  <c:v>-1.23</c:v>
                </c:pt>
                <c:pt idx="78">
                  <c:v>-1.22</c:v>
                </c:pt>
                <c:pt idx="79">
                  <c:v>-1.21</c:v>
                </c:pt>
                <c:pt idx="80">
                  <c:v>-1.2</c:v>
                </c:pt>
                <c:pt idx="81">
                  <c:v>-1.19</c:v>
                </c:pt>
                <c:pt idx="82">
                  <c:v>-1.18</c:v>
                </c:pt>
                <c:pt idx="83">
                  <c:v>-1.17</c:v>
                </c:pt>
                <c:pt idx="84">
                  <c:v>-1.1599999999999999</c:v>
                </c:pt>
                <c:pt idx="85">
                  <c:v>-1.1499999999999999</c:v>
                </c:pt>
                <c:pt idx="86">
                  <c:v>-1.1399999999999999</c:v>
                </c:pt>
                <c:pt idx="87">
                  <c:v>-1.1299999999999999</c:v>
                </c:pt>
                <c:pt idx="88">
                  <c:v>-1.1200000000000001</c:v>
                </c:pt>
                <c:pt idx="89">
                  <c:v>-1.1100000000000001</c:v>
                </c:pt>
                <c:pt idx="90">
                  <c:v>-1.1000000000000001</c:v>
                </c:pt>
                <c:pt idx="91">
                  <c:v>-1.0900000000000001</c:v>
                </c:pt>
                <c:pt idx="92">
                  <c:v>-1.08</c:v>
                </c:pt>
                <c:pt idx="93">
                  <c:v>-1.07</c:v>
                </c:pt>
                <c:pt idx="94">
                  <c:v>-1.06</c:v>
                </c:pt>
                <c:pt idx="95">
                  <c:v>-1.05</c:v>
                </c:pt>
                <c:pt idx="96">
                  <c:v>-1.04</c:v>
                </c:pt>
                <c:pt idx="97">
                  <c:v>-1.03</c:v>
                </c:pt>
                <c:pt idx="98">
                  <c:v>-1.02</c:v>
                </c:pt>
                <c:pt idx="99">
                  <c:v>-1.01</c:v>
                </c:pt>
                <c:pt idx="100">
                  <c:v>-1</c:v>
                </c:pt>
                <c:pt idx="101">
                  <c:v>-0.99</c:v>
                </c:pt>
                <c:pt idx="102">
                  <c:v>-0.98</c:v>
                </c:pt>
                <c:pt idx="103">
                  <c:v>-0.97</c:v>
                </c:pt>
                <c:pt idx="104">
                  <c:v>-0.96</c:v>
                </c:pt>
                <c:pt idx="105">
                  <c:v>-0.95</c:v>
                </c:pt>
                <c:pt idx="106">
                  <c:v>-0.94</c:v>
                </c:pt>
                <c:pt idx="107">
                  <c:v>-0.93</c:v>
                </c:pt>
                <c:pt idx="108">
                  <c:v>-0.92</c:v>
                </c:pt>
                <c:pt idx="109">
                  <c:v>-0.91</c:v>
                </c:pt>
                <c:pt idx="110">
                  <c:v>-0.9</c:v>
                </c:pt>
                <c:pt idx="111">
                  <c:v>-0.89</c:v>
                </c:pt>
                <c:pt idx="112">
                  <c:v>-0.88</c:v>
                </c:pt>
                <c:pt idx="113">
                  <c:v>-0.87</c:v>
                </c:pt>
                <c:pt idx="114">
                  <c:v>-0.86</c:v>
                </c:pt>
                <c:pt idx="115">
                  <c:v>-0.85</c:v>
                </c:pt>
                <c:pt idx="116">
                  <c:v>-0.84</c:v>
                </c:pt>
                <c:pt idx="117">
                  <c:v>-0.83</c:v>
                </c:pt>
                <c:pt idx="118">
                  <c:v>-0.82</c:v>
                </c:pt>
                <c:pt idx="119">
                  <c:v>-0.81</c:v>
                </c:pt>
                <c:pt idx="120">
                  <c:v>-0.8</c:v>
                </c:pt>
                <c:pt idx="121">
                  <c:v>-0.79</c:v>
                </c:pt>
                <c:pt idx="122">
                  <c:v>-0.78</c:v>
                </c:pt>
                <c:pt idx="123">
                  <c:v>-0.77</c:v>
                </c:pt>
                <c:pt idx="124">
                  <c:v>-0.76</c:v>
                </c:pt>
                <c:pt idx="125">
                  <c:v>-0.75</c:v>
                </c:pt>
                <c:pt idx="126">
                  <c:v>-0.74</c:v>
                </c:pt>
                <c:pt idx="127">
                  <c:v>-0.73</c:v>
                </c:pt>
                <c:pt idx="128">
                  <c:v>-0.72</c:v>
                </c:pt>
                <c:pt idx="129">
                  <c:v>-0.71</c:v>
                </c:pt>
                <c:pt idx="130">
                  <c:v>-0.7</c:v>
                </c:pt>
                <c:pt idx="131">
                  <c:v>-0.69</c:v>
                </c:pt>
                <c:pt idx="132">
                  <c:v>-0.68</c:v>
                </c:pt>
                <c:pt idx="133">
                  <c:v>-0.67</c:v>
                </c:pt>
                <c:pt idx="134">
                  <c:v>-0.66</c:v>
                </c:pt>
                <c:pt idx="135">
                  <c:v>-0.65</c:v>
                </c:pt>
                <c:pt idx="136">
                  <c:v>-0.64</c:v>
                </c:pt>
                <c:pt idx="137">
                  <c:v>-0.63</c:v>
                </c:pt>
                <c:pt idx="138">
                  <c:v>-0.62</c:v>
                </c:pt>
                <c:pt idx="139">
                  <c:v>-0.61</c:v>
                </c:pt>
                <c:pt idx="140">
                  <c:v>-0.6</c:v>
                </c:pt>
                <c:pt idx="141">
                  <c:v>-0.59</c:v>
                </c:pt>
                <c:pt idx="142">
                  <c:v>-0.57999999999999996</c:v>
                </c:pt>
                <c:pt idx="143">
                  <c:v>-0.56999999999999995</c:v>
                </c:pt>
                <c:pt idx="144">
                  <c:v>-0.56000000000000005</c:v>
                </c:pt>
                <c:pt idx="145">
                  <c:v>-0.55000000000000004</c:v>
                </c:pt>
                <c:pt idx="146">
                  <c:v>-0.54</c:v>
                </c:pt>
                <c:pt idx="147">
                  <c:v>-0.53</c:v>
                </c:pt>
                <c:pt idx="148">
                  <c:v>-0.52</c:v>
                </c:pt>
                <c:pt idx="149">
                  <c:v>-0.51</c:v>
                </c:pt>
                <c:pt idx="150">
                  <c:v>-0.5</c:v>
                </c:pt>
                <c:pt idx="151">
                  <c:v>-0.49</c:v>
                </c:pt>
                <c:pt idx="152">
                  <c:v>-0.48</c:v>
                </c:pt>
                <c:pt idx="153">
                  <c:v>-0.47</c:v>
                </c:pt>
                <c:pt idx="154">
                  <c:v>-0.46</c:v>
                </c:pt>
                <c:pt idx="155">
                  <c:v>-0.45</c:v>
                </c:pt>
                <c:pt idx="156">
                  <c:v>-0.44</c:v>
                </c:pt>
                <c:pt idx="157">
                  <c:v>-0.43</c:v>
                </c:pt>
                <c:pt idx="158">
                  <c:v>-0.42</c:v>
                </c:pt>
                <c:pt idx="159">
                  <c:v>-0.41</c:v>
                </c:pt>
                <c:pt idx="160">
                  <c:v>-0.4</c:v>
                </c:pt>
                <c:pt idx="161">
                  <c:v>-0.39</c:v>
                </c:pt>
                <c:pt idx="162">
                  <c:v>-0.38</c:v>
                </c:pt>
                <c:pt idx="163">
                  <c:v>-0.37</c:v>
                </c:pt>
                <c:pt idx="164">
                  <c:v>-0.36</c:v>
                </c:pt>
                <c:pt idx="165">
                  <c:v>-0.35</c:v>
                </c:pt>
                <c:pt idx="166">
                  <c:v>-0.34</c:v>
                </c:pt>
                <c:pt idx="167">
                  <c:v>-0.33</c:v>
                </c:pt>
                <c:pt idx="168">
                  <c:v>-0.32</c:v>
                </c:pt>
                <c:pt idx="169">
                  <c:v>-0.31</c:v>
                </c:pt>
                <c:pt idx="170">
                  <c:v>-0.3</c:v>
                </c:pt>
                <c:pt idx="171">
                  <c:v>-0.28999999999999998</c:v>
                </c:pt>
                <c:pt idx="172">
                  <c:v>-0.28000000000000003</c:v>
                </c:pt>
                <c:pt idx="173">
                  <c:v>-0.27</c:v>
                </c:pt>
                <c:pt idx="174">
                  <c:v>-0.26</c:v>
                </c:pt>
                <c:pt idx="175">
                  <c:v>-0.25</c:v>
                </c:pt>
                <c:pt idx="176">
                  <c:v>-0.24</c:v>
                </c:pt>
                <c:pt idx="177">
                  <c:v>-0.23</c:v>
                </c:pt>
                <c:pt idx="178">
                  <c:v>-0.22</c:v>
                </c:pt>
                <c:pt idx="179">
                  <c:v>-0.21</c:v>
                </c:pt>
                <c:pt idx="180">
                  <c:v>-0.2</c:v>
                </c:pt>
                <c:pt idx="181">
                  <c:v>-0.19</c:v>
                </c:pt>
                <c:pt idx="182">
                  <c:v>-0.18</c:v>
                </c:pt>
                <c:pt idx="183">
                  <c:v>-0.17</c:v>
                </c:pt>
                <c:pt idx="184">
                  <c:v>-0.16</c:v>
                </c:pt>
                <c:pt idx="185">
                  <c:v>-0.15</c:v>
                </c:pt>
                <c:pt idx="186">
                  <c:v>-0.14000000000000001</c:v>
                </c:pt>
                <c:pt idx="187">
                  <c:v>-0.13</c:v>
                </c:pt>
                <c:pt idx="188">
                  <c:v>-0.12</c:v>
                </c:pt>
                <c:pt idx="189">
                  <c:v>-0.11</c:v>
                </c:pt>
                <c:pt idx="190">
                  <c:v>-0.1</c:v>
                </c:pt>
                <c:pt idx="191">
                  <c:v>-9.0000000000000094E-2</c:v>
                </c:pt>
                <c:pt idx="192">
                  <c:v>-8.0000000000000099E-2</c:v>
                </c:pt>
                <c:pt idx="193">
                  <c:v>-7.0000000000000104E-2</c:v>
                </c:pt>
                <c:pt idx="194">
                  <c:v>-6.0000000000000102E-2</c:v>
                </c:pt>
                <c:pt idx="195">
                  <c:v>-0.05</c:v>
                </c:pt>
                <c:pt idx="196">
                  <c:v>-0.04</c:v>
                </c:pt>
                <c:pt idx="197">
                  <c:v>-0.03</c:v>
                </c:pt>
                <c:pt idx="198">
                  <c:v>-0.02</c:v>
                </c:pt>
                <c:pt idx="199">
                  <c:v>-0.01</c:v>
                </c:pt>
                <c:pt idx="200">
                  <c:v>0</c:v>
                </c:pt>
                <c:pt idx="201">
                  <c:v>9.9999999999997903E-3</c:v>
                </c:pt>
                <c:pt idx="202">
                  <c:v>0.02</c:v>
                </c:pt>
                <c:pt idx="203">
                  <c:v>2.9999999999999801E-2</c:v>
                </c:pt>
                <c:pt idx="204">
                  <c:v>0.04</c:v>
                </c:pt>
                <c:pt idx="205">
                  <c:v>4.9999999999999802E-2</c:v>
                </c:pt>
                <c:pt idx="206">
                  <c:v>6.0000000000000102E-2</c:v>
                </c:pt>
                <c:pt idx="207">
                  <c:v>6.9999999999999798E-2</c:v>
                </c:pt>
                <c:pt idx="208">
                  <c:v>8.0000000000000099E-2</c:v>
                </c:pt>
                <c:pt idx="209">
                  <c:v>8.99999999999999E-2</c:v>
                </c:pt>
                <c:pt idx="210">
                  <c:v>0.1</c:v>
                </c:pt>
                <c:pt idx="211">
                  <c:v>0.11</c:v>
                </c:pt>
                <c:pt idx="212">
                  <c:v>0.12</c:v>
                </c:pt>
                <c:pt idx="213">
                  <c:v>0.13</c:v>
                </c:pt>
                <c:pt idx="214">
                  <c:v>0.14000000000000001</c:v>
                </c:pt>
                <c:pt idx="215">
                  <c:v>0.15</c:v>
                </c:pt>
                <c:pt idx="216">
                  <c:v>0.16</c:v>
                </c:pt>
                <c:pt idx="217">
                  <c:v>0.17</c:v>
                </c:pt>
                <c:pt idx="218">
                  <c:v>0.18</c:v>
                </c:pt>
                <c:pt idx="219">
                  <c:v>0.19</c:v>
                </c:pt>
                <c:pt idx="220">
                  <c:v>0.2</c:v>
                </c:pt>
                <c:pt idx="221">
                  <c:v>0.21</c:v>
                </c:pt>
                <c:pt idx="222">
                  <c:v>0.22</c:v>
                </c:pt>
                <c:pt idx="223">
                  <c:v>0.23</c:v>
                </c:pt>
                <c:pt idx="224">
                  <c:v>0.24</c:v>
                </c:pt>
                <c:pt idx="225">
                  <c:v>0.25</c:v>
                </c:pt>
                <c:pt idx="226">
                  <c:v>0.26</c:v>
                </c:pt>
                <c:pt idx="227">
                  <c:v>0.27</c:v>
                </c:pt>
                <c:pt idx="228">
                  <c:v>0.28000000000000003</c:v>
                </c:pt>
                <c:pt idx="229">
                  <c:v>0.28999999999999998</c:v>
                </c:pt>
                <c:pt idx="230">
                  <c:v>0.3</c:v>
                </c:pt>
                <c:pt idx="231">
                  <c:v>0.31</c:v>
                </c:pt>
                <c:pt idx="232">
                  <c:v>0.32</c:v>
                </c:pt>
                <c:pt idx="233">
                  <c:v>0.33</c:v>
                </c:pt>
                <c:pt idx="234">
                  <c:v>0.34</c:v>
                </c:pt>
                <c:pt idx="235">
                  <c:v>0.35</c:v>
                </c:pt>
                <c:pt idx="236">
                  <c:v>0.36</c:v>
                </c:pt>
                <c:pt idx="237">
                  <c:v>0.37</c:v>
                </c:pt>
                <c:pt idx="238">
                  <c:v>0.38</c:v>
                </c:pt>
                <c:pt idx="239">
                  <c:v>0.39</c:v>
                </c:pt>
                <c:pt idx="240">
                  <c:v>0.4</c:v>
                </c:pt>
                <c:pt idx="241">
                  <c:v>0.41</c:v>
                </c:pt>
                <c:pt idx="242">
                  <c:v>0.42</c:v>
                </c:pt>
                <c:pt idx="243">
                  <c:v>0.43</c:v>
                </c:pt>
                <c:pt idx="244">
                  <c:v>0.44</c:v>
                </c:pt>
                <c:pt idx="245">
                  <c:v>0.45</c:v>
                </c:pt>
                <c:pt idx="246">
                  <c:v>0.46</c:v>
                </c:pt>
                <c:pt idx="247">
                  <c:v>0.47</c:v>
                </c:pt>
                <c:pt idx="248">
                  <c:v>0.48</c:v>
                </c:pt>
                <c:pt idx="249">
                  <c:v>0.49</c:v>
                </c:pt>
                <c:pt idx="250">
                  <c:v>0.5</c:v>
                </c:pt>
                <c:pt idx="251">
                  <c:v>0.51</c:v>
                </c:pt>
                <c:pt idx="252">
                  <c:v>0.52</c:v>
                </c:pt>
                <c:pt idx="253">
                  <c:v>0.53</c:v>
                </c:pt>
                <c:pt idx="254">
                  <c:v>0.54</c:v>
                </c:pt>
                <c:pt idx="255">
                  <c:v>0.55000000000000004</c:v>
                </c:pt>
                <c:pt idx="256">
                  <c:v>0.56000000000000005</c:v>
                </c:pt>
                <c:pt idx="257">
                  <c:v>0.56999999999999995</c:v>
                </c:pt>
                <c:pt idx="258">
                  <c:v>0.57999999999999996</c:v>
                </c:pt>
                <c:pt idx="259">
                  <c:v>0.59</c:v>
                </c:pt>
                <c:pt idx="260">
                  <c:v>0.6</c:v>
                </c:pt>
                <c:pt idx="261">
                  <c:v>0.61</c:v>
                </c:pt>
                <c:pt idx="262">
                  <c:v>0.62</c:v>
                </c:pt>
                <c:pt idx="263">
                  <c:v>0.63</c:v>
                </c:pt>
                <c:pt idx="264">
                  <c:v>0.64</c:v>
                </c:pt>
                <c:pt idx="265">
                  <c:v>0.65</c:v>
                </c:pt>
                <c:pt idx="266">
                  <c:v>0.66</c:v>
                </c:pt>
                <c:pt idx="267">
                  <c:v>0.67</c:v>
                </c:pt>
                <c:pt idx="268">
                  <c:v>0.68</c:v>
                </c:pt>
                <c:pt idx="269">
                  <c:v>0.69</c:v>
                </c:pt>
                <c:pt idx="270">
                  <c:v>0.7</c:v>
                </c:pt>
                <c:pt idx="271">
                  <c:v>0.71</c:v>
                </c:pt>
                <c:pt idx="272">
                  <c:v>0.72</c:v>
                </c:pt>
                <c:pt idx="273">
                  <c:v>0.73</c:v>
                </c:pt>
                <c:pt idx="274">
                  <c:v>0.74</c:v>
                </c:pt>
                <c:pt idx="275">
                  <c:v>0.75</c:v>
                </c:pt>
                <c:pt idx="276">
                  <c:v>0.76</c:v>
                </c:pt>
                <c:pt idx="277">
                  <c:v>0.77</c:v>
                </c:pt>
                <c:pt idx="278">
                  <c:v>0.78</c:v>
                </c:pt>
                <c:pt idx="279">
                  <c:v>0.79</c:v>
                </c:pt>
                <c:pt idx="280">
                  <c:v>0.8</c:v>
                </c:pt>
                <c:pt idx="281">
                  <c:v>0.81</c:v>
                </c:pt>
                <c:pt idx="282">
                  <c:v>0.82</c:v>
                </c:pt>
                <c:pt idx="283">
                  <c:v>0.83</c:v>
                </c:pt>
                <c:pt idx="284">
                  <c:v>0.84</c:v>
                </c:pt>
                <c:pt idx="285">
                  <c:v>0.85</c:v>
                </c:pt>
                <c:pt idx="286">
                  <c:v>0.86</c:v>
                </c:pt>
                <c:pt idx="287">
                  <c:v>0.87</c:v>
                </c:pt>
                <c:pt idx="288">
                  <c:v>0.88</c:v>
                </c:pt>
                <c:pt idx="289">
                  <c:v>0.89</c:v>
                </c:pt>
                <c:pt idx="290">
                  <c:v>0.9</c:v>
                </c:pt>
                <c:pt idx="291">
                  <c:v>0.91</c:v>
                </c:pt>
                <c:pt idx="292">
                  <c:v>0.92</c:v>
                </c:pt>
                <c:pt idx="293">
                  <c:v>0.93</c:v>
                </c:pt>
                <c:pt idx="294">
                  <c:v>0.94</c:v>
                </c:pt>
                <c:pt idx="295">
                  <c:v>0.95</c:v>
                </c:pt>
                <c:pt idx="296">
                  <c:v>0.96</c:v>
                </c:pt>
                <c:pt idx="297">
                  <c:v>0.97</c:v>
                </c:pt>
                <c:pt idx="298">
                  <c:v>0.98</c:v>
                </c:pt>
                <c:pt idx="299">
                  <c:v>0.99</c:v>
                </c:pt>
                <c:pt idx="300">
                  <c:v>1</c:v>
                </c:pt>
                <c:pt idx="301">
                  <c:v>1.01</c:v>
                </c:pt>
                <c:pt idx="302">
                  <c:v>1.02</c:v>
                </c:pt>
                <c:pt idx="303">
                  <c:v>1.03</c:v>
                </c:pt>
                <c:pt idx="304">
                  <c:v>1.04</c:v>
                </c:pt>
                <c:pt idx="305">
                  <c:v>1.05</c:v>
                </c:pt>
                <c:pt idx="306">
                  <c:v>1.06</c:v>
                </c:pt>
                <c:pt idx="307">
                  <c:v>1.07</c:v>
                </c:pt>
                <c:pt idx="308">
                  <c:v>1.08</c:v>
                </c:pt>
                <c:pt idx="309">
                  <c:v>1.0900000000000001</c:v>
                </c:pt>
                <c:pt idx="310">
                  <c:v>1.1000000000000001</c:v>
                </c:pt>
                <c:pt idx="311">
                  <c:v>1.1100000000000001</c:v>
                </c:pt>
                <c:pt idx="312">
                  <c:v>1.1200000000000001</c:v>
                </c:pt>
                <c:pt idx="313">
                  <c:v>1.1299999999999999</c:v>
                </c:pt>
                <c:pt idx="314">
                  <c:v>1.1399999999999999</c:v>
                </c:pt>
                <c:pt idx="315">
                  <c:v>1.1499999999999999</c:v>
                </c:pt>
                <c:pt idx="316">
                  <c:v>1.1599999999999999</c:v>
                </c:pt>
                <c:pt idx="317">
                  <c:v>1.17</c:v>
                </c:pt>
                <c:pt idx="318">
                  <c:v>1.18</c:v>
                </c:pt>
                <c:pt idx="319">
                  <c:v>1.19</c:v>
                </c:pt>
                <c:pt idx="320">
                  <c:v>1.2</c:v>
                </c:pt>
                <c:pt idx="321">
                  <c:v>1.21</c:v>
                </c:pt>
                <c:pt idx="322">
                  <c:v>1.22</c:v>
                </c:pt>
                <c:pt idx="323">
                  <c:v>1.23</c:v>
                </c:pt>
                <c:pt idx="324">
                  <c:v>1.24</c:v>
                </c:pt>
                <c:pt idx="325">
                  <c:v>1.25</c:v>
                </c:pt>
                <c:pt idx="326">
                  <c:v>1.26</c:v>
                </c:pt>
                <c:pt idx="327">
                  <c:v>1.27</c:v>
                </c:pt>
                <c:pt idx="328">
                  <c:v>1.28</c:v>
                </c:pt>
                <c:pt idx="329">
                  <c:v>1.29</c:v>
                </c:pt>
                <c:pt idx="330">
                  <c:v>1.3</c:v>
                </c:pt>
                <c:pt idx="331">
                  <c:v>1.31</c:v>
                </c:pt>
                <c:pt idx="332">
                  <c:v>1.32</c:v>
                </c:pt>
                <c:pt idx="333">
                  <c:v>1.33</c:v>
                </c:pt>
                <c:pt idx="334">
                  <c:v>1.34</c:v>
                </c:pt>
                <c:pt idx="335">
                  <c:v>1.35</c:v>
                </c:pt>
                <c:pt idx="336">
                  <c:v>1.36</c:v>
                </c:pt>
                <c:pt idx="337">
                  <c:v>1.37</c:v>
                </c:pt>
                <c:pt idx="338">
                  <c:v>1.38</c:v>
                </c:pt>
                <c:pt idx="339">
                  <c:v>1.39</c:v>
                </c:pt>
                <c:pt idx="340">
                  <c:v>1.4</c:v>
                </c:pt>
                <c:pt idx="341">
                  <c:v>1.41</c:v>
                </c:pt>
                <c:pt idx="342">
                  <c:v>1.42</c:v>
                </c:pt>
                <c:pt idx="343">
                  <c:v>1.43</c:v>
                </c:pt>
                <c:pt idx="344">
                  <c:v>1.44</c:v>
                </c:pt>
                <c:pt idx="345">
                  <c:v>1.45</c:v>
                </c:pt>
                <c:pt idx="346">
                  <c:v>1.46</c:v>
                </c:pt>
                <c:pt idx="347">
                  <c:v>1.47</c:v>
                </c:pt>
                <c:pt idx="348">
                  <c:v>1.48</c:v>
                </c:pt>
                <c:pt idx="349">
                  <c:v>1.49</c:v>
                </c:pt>
                <c:pt idx="350">
                  <c:v>1.5</c:v>
                </c:pt>
                <c:pt idx="351">
                  <c:v>1.51</c:v>
                </c:pt>
                <c:pt idx="352">
                  <c:v>1.52</c:v>
                </c:pt>
                <c:pt idx="353">
                  <c:v>1.53</c:v>
                </c:pt>
                <c:pt idx="354">
                  <c:v>1.54</c:v>
                </c:pt>
                <c:pt idx="355">
                  <c:v>1.55</c:v>
                </c:pt>
                <c:pt idx="356">
                  <c:v>1.56</c:v>
                </c:pt>
                <c:pt idx="357">
                  <c:v>1.57</c:v>
                </c:pt>
                <c:pt idx="358">
                  <c:v>1.58</c:v>
                </c:pt>
                <c:pt idx="359">
                  <c:v>1.59</c:v>
                </c:pt>
                <c:pt idx="360">
                  <c:v>1.6</c:v>
                </c:pt>
                <c:pt idx="361">
                  <c:v>1.61</c:v>
                </c:pt>
                <c:pt idx="362">
                  <c:v>1.62</c:v>
                </c:pt>
                <c:pt idx="363">
                  <c:v>1.63</c:v>
                </c:pt>
                <c:pt idx="364">
                  <c:v>1.64</c:v>
                </c:pt>
                <c:pt idx="365">
                  <c:v>1.65</c:v>
                </c:pt>
                <c:pt idx="366">
                  <c:v>1.66</c:v>
                </c:pt>
                <c:pt idx="367">
                  <c:v>1.67</c:v>
                </c:pt>
                <c:pt idx="368">
                  <c:v>1.68</c:v>
                </c:pt>
                <c:pt idx="369">
                  <c:v>1.69</c:v>
                </c:pt>
                <c:pt idx="370">
                  <c:v>1.7</c:v>
                </c:pt>
                <c:pt idx="371">
                  <c:v>1.71</c:v>
                </c:pt>
                <c:pt idx="372">
                  <c:v>1.72</c:v>
                </c:pt>
                <c:pt idx="373">
                  <c:v>1.73</c:v>
                </c:pt>
                <c:pt idx="374">
                  <c:v>1.74</c:v>
                </c:pt>
                <c:pt idx="375">
                  <c:v>1.75</c:v>
                </c:pt>
                <c:pt idx="376">
                  <c:v>1.76</c:v>
                </c:pt>
                <c:pt idx="377">
                  <c:v>1.77</c:v>
                </c:pt>
                <c:pt idx="378">
                  <c:v>1.78</c:v>
                </c:pt>
                <c:pt idx="379">
                  <c:v>1.79</c:v>
                </c:pt>
                <c:pt idx="380">
                  <c:v>1.8</c:v>
                </c:pt>
                <c:pt idx="381">
                  <c:v>1.81</c:v>
                </c:pt>
                <c:pt idx="382">
                  <c:v>1.82</c:v>
                </c:pt>
                <c:pt idx="383">
                  <c:v>1.83</c:v>
                </c:pt>
                <c:pt idx="384">
                  <c:v>1.84</c:v>
                </c:pt>
                <c:pt idx="385">
                  <c:v>1.85</c:v>
                </c:pt>
                <c:pt idx="386">
                  <c:v>1.86</c:v>
                </c:pt>
                <c:pt idx="387">
                  <c:v>1.87</c:v>
                </c:pt>
                <c:pt idx="388">
                  <c:v>1.88</c:v>
                </c:pt>
                <c:pt idx="389">
                  <c:v>1.89</c:v>
                </c:pt>
                <c:pt idx="390">
                  <c:v>1.9</c:v>
                </c:pt>
                <c:pt idx="391">
                  <c:v>1.91</c:v>
                </c:pt>
                <c:pt idx="392">
                  <c:v>1.92</c:v>
                </c:pt>
                <c:pt idx="393">
                  <c:v>1.93</c:v>
                </c:pt>
                <c:pt idx="394">
                  <c:v>1.94</c:v>
                </c:pt>
                <c:pt idx="395">
                  <c:v>1.95</c:v>
                </c:pt>
                <c:pt idx="396">
                  <c:v>1.96</c:v>
                </c:pt>
                <c:pt idx="397">
                  <c:v>1.97</c:v>
                </c:pt>
                <c:pt idx="398">
                  <c:v>1.98</c:v>
                </c:pt>
                <c:pt idx="399">
                  <c:v>1.99</c:v>
                </c:pt>
                <c:pt idx="400">
                  <c:v>2</c:v>
                </c:pt>
              </c:numCache>
            </c:numRef>
          </c:xVal>
          <c:yVal>
            <c:numRef>
              <c:f>乗法モデル!$D$2:$D$402</c:f>
              <c:numCache>
                <c:formatCode>General</c:formatCode>
                <c:ptCount val="401"/>
                <c:pt idx="0">
                  <c:v>0.3465969639416065</c:v>
                </c:pt>
                <c:pt idx="1">
                  <c:v>0.34832919843664528</c:v>
                </c:pt>
                <c:pt idx="2">
                  <c:v>0.35007360111209418</c:v>
                </c:pt>
                <c:pt idx="3">
                  <c:v>0.35183025744403307</c:v>
                </c:pt>
                <c:pt idx="4">
                  <c:v>0.35359925350897392</c:v>
                </c:pt>
                <c:pt idx="5">
                  <c:v>0.35538067598807765</c:v>
                </c:pt>
                <c:pt idx="6">
                  <c:v>0.35717461217140245</c:v>
                </c:pt>
                <c:pt idx="7">
                  <c:v>0.35898114996218</c:v>
                </c:pt>
                <c:pt idx="8">
                  <c:v>0.36080037788112373</c:v>
                </c:pt>
                <c:pt idx="9">
                  <c:v>0.36263238507076534</c:v>
                </c:pt>
                <c:pt idx="10">
                  <c:v>0.36447726129982405</c:v>
                </c:pt>
                <c:pt idx="11">
                  <c:v>0.36633509696760391</c:v>
                </c:pt>
                <c:pt idx="12">
                  <c:v>0.36820598310842445</c:v>
                </c:pt>
                <c:pt idx="13">
                  <c:v>0.370090011396081</c:v>
                </c:pt>
                <c:pt idx="14">
                  <c:v>0.37198727414833654</c:v>
                </c:pt>
                <c:pt idx="15">
                  <c:v>0.37389786433144556</c:v>
                </c:pt>
                <c:pt idx="16">
                  <c:v>0.37582187556470936</c:v>
                </c:pt>
                <c:pt idx="17">
                  <c:v>0.3777594021250632</c:v>
                </c:pt>
                <c:pt idx="18">
                  <c:v>0.37971053895169637</c:v>
                </c:pt>
                <c:pt idx="19">
                  <c:v>0.38167538165070358</c:v>
                </c:pt>
                <c:pt idx="20">
                  <c:v>0.38365402649977043</c:v>
                </c:pt>
                <c:pt idx="21">
                  <c:v>0.38564657045289019</c:v>
                </c:pt>
                <c:pt idx="22">
                  <c:v>0.38765311114511536</c:v>
                </c:pt>
                <c:pt idx="23">
                  <c:v>0.38967374689734147</c:v>
                </c:pt>
                <c:pt idx="24">
                  <c:v>0.39170857672112436</c:v>
                </c:pt>
                <c:pt idx="25">
                  <c:v>0.39375770032353286</c:v>
                </c:pt>
                <c:pt idx="26">
                  <c:v>0.39582121811203319</c:v>
                </c:pt>
                <c:pt idx="27">
                  <c:v>0.39789923119941017</c:v>
                </c:pt>
                <c:pt idx="28">
                  <c:v>0.39999184140872046</c:v>
                </c:pt>
                <c:pt idx="29">
                  <c:v>0.40209915127828344</c:v>
                </c:pt>
                <c:pt idx="30">
                  <c:v>0.40422126406670411</c:v>
                </c:pt>
                <c:pt idx="31">
                  <c:v>0.4063582837579337</c:v>
                </c:pt>
                <c:pt idx="32">
                  <c:v>0.4085103150663647</c:v>
                </c:pt>
                <c:pt idx="33">
                  <c:v>0.41067746344196199</c:v>
                </c:pt>
                <c:pt idx="34">
                  <c:v>0.41285983507542923</c:v>
                </c:pt>
                <c:pt idx="35">
                  <c:v>0.4150575369034134</c:v>
                </c:pt>
                <c:pt idx="36">
                  <c:v>0.41727067661374362</c:v>
                </c:pt>
                <c:pt idx="37">
                  <c:v>0.41949936265070875</c:v>
                </c:pt>
                <c:pt idx="38">
                  <c:v>0.42174370422037022</c:v>
                </c:pt>
                <c:pt idx="39">
                  <c:v>0.42400381129591413</c:v>
                </c:pt>
                <c:pt idx="40">
                  <c:v>0.42627979462303955</c:v>
                </c:pt>
                <c:pt idx="41">
                  <c:v>0.42857176572538458</c:v>
                </c:pt>
                <c:pt idx="42">
                  <c:v>0.43087983690999221</c:v>
                </c:pt>
                <c:pt idx="43">
                  <c:v>0.43320412127281183</c:v>
                </c:pt>
                <c:pt idx="44">
                  <c:v>0.43554473270424277</c:v>
                </c:pt>
                <c:pt idx="45">
                  <c:v>0.43790178589471307</c:v>
                </c:pt>
                <c:pt idx="46">
                  <c:v>0.44027539634030088</c:v>
                </c:pt>
                <c:pt idx="47">
                  <c:v>0.44266568034839293</c:v>
                </c:pt>
                <c:pt idx="48">
                  <c:v>0.44507275504338384</c:v>
                </c:pt>
                <c:pt idx="49">
                  <c:v>0.44749673837241521</c:v>
                </c:pt>
                <c:pt idx="50">
                  <c:v>0.44993774911115547</c:v>
                </c:pt>
                <c:pt idx="51">
                  <c:v>0.45239590686961872</c:v>
                </c:pt>
                <c:pt idx="52">
                  <c:v>0.45487133209802744</c:v>
                </c:pt>
                <c:pt idx="53">
                  <c:v>0.45736414609271292</c:v>
                </c:pt>
                <c:pt idx="54">
                  <c:v>0.45987447100205958</c:v>
                </c:pt>
                <c:pt idx="55">
                  <c:v>0.46240242983249036</c:v>
                </c:pt>
                <c:pt idx="56">
                  <c:v>0.46494814645449378</c:v>
                </c:pt>
                <c:pt idx="57">
                  <c:v>0.46751174560869357</c:v>
                </c:pt>
                <c:pt idx="58">
                  <c:v>0.4700933529119613</c:v>
                </c:pt>
                <c:pt idx="59">
                  <c:v>0.47269309486357136</c:v>
                </c:pt>
                <c:pt idx="60">
                  <c:v>0.47531109885139955</c:v>
                </c:pt>
                <c:pt idx="61">
                  <c:v>0.47794749315816509</c:v>
                </c:pt>
                <c:pt idx="62">
                  <c:v>0.4806024069677165</c:v>
                </c:pt>
                <c:pt idx="63">
                  <c:v>0.48327597037136161</c:v>
                </c:pt>
                <c:pt idx="64">
                  <c:v>0.48596831437424215</c:v>
                </c:pt>
                <c:pt idx="65">
                  <c:v>0.48867957090175307</c:v>
                </c:pt>
                <c:pt idx="66">
                  <c:v>0.49140987280600656</c:v>
                </c:pt>
                <c:pt idx="67">
                  <c:v>0.49415935387234222</c:v>
                </c:pt>
                <c:pt idx="68">
                  <c:v>0.49692814882588254</c:v>
                </c:pt>
                <c:pt idx="69">
                  <c:v>0.49971639333813411</c:v>
                </c:pt>
                <c:pt idx="70">
                  <c:v>0.50252422403363606</c:v>
                </c:pt>
                <c:pt idx="71">
                  <c:v>0.50535177849665402</c:v>
                </c:pt>
                <c:pt idx="72">
                  <c:v>0.50819919527792268</c:v>
                </c:pt>
                <c:pt idx="73">
                  <c:v>0.51106661390143404</c:v>
                </c:pt>
                <c:pt idx="74">
                  <c:v>0.51395417487127415</c:v>
                </c:pt>
                <c:pt idx="75">
                  <c:v>0.51686201967850842</c:v>
                </c:pt>
                <c:pt idx="76">
                  <c:v>0.51979029080811423</c:v>
                </c:pt>
                <c:pt idx="77">
                  <c:v>0.52273913174596287</c:v>
                </c:pt>
                <c:pt idx="78">
                  <c:v>0.52570868698585016</c:v>
                </c:pt>
                <c:pt idx="79">
                  <c:v>0.52869910203657722</c:v>
                </c:pt>
                <c:pt idx="80">
                  <c:v>0.53171052342907976</c:v>
                </c:pt>
                <c:pt idx="81">
                  <c:v>0.53474309872360848</c:v>
                </c:pt>
                <c:pt idx="82">
                  <c:v>0.53779697651695968</c:v>
                </c:pt>
                <c:pt idx="83">
                  <c:v>0.54087230644975615</c:v>
                </c:pt>
                <c:pt idx="84">
                  <c:v>0.54396923921378004</c:v>
                </c:pt>
                <c:pt idx="85">
                  <c:v>0.54708792655935645</c:v>
                </c:pt>
                <c:pt idx="86">
                  <c:v>0.55022852130278921</c:v>
                </c:pt>
                <c:pt idx="87">
                  <c:v>0.55339117733384924</c:v>
                </c:pt>
                <c:pt idx="88">
                  <c:v>0.55657604962331475</c:v>
                </c:pt>
                <c:pt idx="89">
                  <c:v>0.55978329423056516</c:v>
                </c:pt>
                <c:pt idx="90">
                  <c:v>0.5630130683112281</c:v>
                </c:pt>
                <c:pt idx="91">
                  <c:v>0.56626553012487957</c:v>
                </c:pt>
                <c:pt idx="92">
                  <c:v>0.56954083904279929</c:v>
                </c:pt>
                <c:pt idx="93">
                  <c:v>0.57283915555577958</c:v>
                </c:pt>
                <c:pt idx="94">
                  <c:v>0.57616064128198941</c:v>
                </c:pt>
                <c:pt idx="95">
                  <c:v>0.57950545897489414</c:v>
                </c:pt>
                <c:pt idx="96">
                  <c:v>0.58287377253122974</c:v>
                </c:pt>
                <c:pt idx="97">
                  <c:v>0.58626574699903455</c:v>
                </c:pt>
                <c:pt idx="98">
                  <c:v>0.58968154858573618</c:v>
                </c:pt>
                <c:pt idx="99">
                  <c:v>0.59312134466629574</c:v>
                </c:pt>
                <c:pt idx="100">
                  <c:v>0.5965853037914095</c:v>
                </c:pt>
                <c:pt idx="101">
                  <c:v>0.60007359569576768</c:v>
                </c:pt>
                <c:pt idx="102">
                  <c:v>0.60358639130637148</c:v>
                </c:pt>
                <c:pt idx="103">
                  <c:v>0.60712386275090868</c:v>
                </c:pt>
                <c:pt idx="104">
                  <c:v>0.61068618336618785</c:v>
                </c:pt>
                <c:pt idx="105">
                  <c:v>0.61427352770663202</c:v>
                </c:pt>
                <c:pt idx="106">
                  <c:v>0.61788607155283148</c:v>
                </c:pt>
                <c:pt idx="107">
                  <c:v>0.6215239919201575</c:v>
                </c:pt>
                <c:pt idx="108">
                  <c:v>0.62518746706743611</c:v>
                </c:pt>
                <c:pt idx="109">
                  <c:v>0.62887667650568246</c:v>
                </c:pt>
                <c:pt idx="110">
                  <c:v>0.63259180100689716</c:v>
                </c:pt>
                <c:pt idx="111">
                  <c:v>0.63633302261292413</c:v>
                </c:pt>
                <c:pt idx="112">
                  <c:v>0.64010052464437062</c:v>
                </c:pt>
                <c:pt idx="113">
                  <c:v>0.6438944917095899</c:v>
                </c:pt>
                <c:pt idx="114">
                  <c:v>0.64771510971372748</c:v>
                </c:pt>
                <c:pt idx="115">
                  <c:v>0.65156256586782979</c:v>
                </c:pt>
                <c:pt idx="116">
                  <c:v>0.65543704869801822</c:v>
                </c:pt>
                <c:pt idx="117">
                  <c:v>0.65933874805472681</c:v>
                </c:pt>
                <c:pt idx="118">
                  <c:v>0.6632678551220047</c:v>
                </c:pt>
                <c:pt idx="119">
                  <c:v>0.6672245624268841</c:v>
                </c:pt>
                <c:pt idx="120">
                  <c:v>0.67120906384881485</c:v>
                </c:pt>
                <c:pt idx="121">
                  <c:v>0.67522155462916389</c:v>
                </c:pt>
                <c:pt idx="122">
                  <c:v>0.67926223138078212</c:v>
                </c:pt>
                <c:pt idx="123">
                  <c:v>0.68333129209763888</c:v>
                </c:pt>
                <c:pt idx="124">
                  <c:v>0.6874289361645235</c:v>
                </c:pt>
                <c:pt idx="125">
                  <c:v>0.69155536436681508</c:v>
                </c:pt>
                <c:pt idx="126">
                  <c:v>0.69571077890032118</c:v>
                </c:pt>
                <c:pt idx="127">
                  <c:v>0.69989538338118551</c:v>
                </c:pt>
                <c:pt idx="128">
                  <c:v>0.70410938285586466</c:v>
                </c:pt>
                <c:pt idx="129">
                  <c:v>0.70835298381117628</c:v>
                </c:pt>
                <c:pt idx="130">
                  <c:v>0.71262639418441609</c:v>
                </c:pt>
                <c:pt idx="131">
                  <c:v>0.71692982337354749</c:v>
                </c:pt>
                <c:pt idx="132">
                  <c:v>0.72126348224746173</c:v>
                </c:pt>
                <c:pt idx="133">
                  <c:v>0.72562758315631071</c:v>
                </c:pt>
                <c:pt idx="134">
                  <c:v>0.73002233994191223</c:v>
                </c:pt>
                <c:pt idx="135">
                  <c:v>0.7344479679482282</c:v>
                </c:pt>
                <c:pt idx="136">
                  <c:v>0.73890468403191623</c:v>
                </c:pt>
                <c:pt idx="137">
                  <c:v>0.7433927065729562</c:v>
                </c:pt>
                <c:pt idx="138">
                  <c:v>0.74791225548535056</c:v>
                </c:pt>
                <c:pt idx="139">
                  <c:v>0.7524635522279004</c:v>
                </c:pt>
                <c:pt idx="140">
                  <c:v>0.75704681981505673</c:v>
                </c:pt>
                <c:pt idx="141">
                  <c:v>0.76166228282784831</c:v>
                </c:pt>
                <c:pt idx="142">
                  <c:v>0.76631016742488633</c:v>
                </c:pt>
                <c:pt idx="143">
                  <c:v>0.77099070135344594</c:v>
                </c:pt>
                <c:pt idx="144">
                  <c:v>0.775704113960626</c:v>
                </c:pt>
                <c:pt idx="145">
                  <c:v>0.78045063620458766</c:v>
                </c:pt>
                <c:pt idx="146">
                  <c:v>0.7852305006658703</c:v>
                </c:pt>
                <c:pt idx="147">
                  <c:v>0.79004394155878899</c:v>
                </c:pt>
                <c:pt idx="148">
                  <c:v>0.79489119474291059</c:v>
                </c:pt>
                <c:pt idx="149">
                  <c:v>0.79977249773461101</c:v>
                </c:pt>
                <c:pt idx="150">
                  <c:v>0.80468808971871342</c:v>
                </c:pt>
                <c:pt idx="151">
                  <c:v>0.80963821156020865</c:v>
                </c:pt>
                <c:pt idx="152">
                  <c:v>0.81462310581605735</c:v>
                </c:pt>
                <c:pt idx="153">
                  <c:v>0.8196430167470754</c:v>
                </c:pt>
                <c:pt idx="154">
                  <c:v>0.82469819032990288</c:v>
                </c:pt>
                <c:pt idx="155">
                  <c:v>0.82978887426905679</c:v>
                </c:pt>
                <c:pt idx="156">
                  <c:v>0.83491531800906871</c:v>
                </c:pt>
                <c:pt idx="157">
                  <c:v>0.84007777274670759</c:v>
                </c:pt>
                <c:pt idx="158">
                  <c:v>0.84527649144328865</c:v>
                </c:pt>
                <c:pt idx="159">
                  <c:v>0.85051172883706794</c:v>
                </c:pt>
                <c:pt idx="160">
                  <c:v>0.85578374145572544</c:v>
                </c:pt>
                <c:pt idx="161">
                  <c:v>0.86109278762893426</c:v>
                </c:pt>
                <c:pt idx="162">
                  <c:v>0.86643912750101915</c:v>
                </c:pt>
                <c:pt idx="163">
                  <c:v>0.8718230230437034</c:v>
                </c:pt>
                <c:pt idx="164">
                  <c:v>0.87724473806894609</c:v>
                </c:pt>
                <c:pt idx="165">
                  <c:v>0.88270453824186812</c:v>
                </c:pt>
                <c:pt idx="166">
                  <c:v>0.88820269109377037</c:v>
                </c:pt>
                <c:pt idx="167">
                  <c:v>0.89373946603524279</c:v>
                </c:pt>
                <c:pt idx="168">
                  <c:v>0.89931513436936517</c:v>
                </c:pt>
                <c:pt idx="169">
                  <c:v>0.90492996930500147</c:v>
                </c:pt>
                <c:pt idx="170">
                  <c:v>0.91058424597018706</c:v>
                </c:pt>
                <c:pt idx="171">
                  <c:v>0.91627824142560987</c:v>
                </c:pt>
                <c:pt idx="172">
                  <c:v>0.92201223467818649</c:v>
                </c:pt>
                <c:pt idx="173">
                  <c:v>0.92778650669473361</c:v>
                </c:pt>
                <c:pt idx="174">
                  <c:v>0.93360134041573528</c:v>
                </c:pt>
                <c:pt idx="175">
                  <c:v>0.93945702076920734</c:v>
                </c:pt>
                <c:pt idx="176">
                  <c:v>0.94535383468465872</c:v>
                </c:pt>
                <c:pt idx="177">
                  <c:v>0.95129207110715108</c:v>
                </c:pt>
                <c:pt idx="178">
                  <c:v>0.95727202101145747</c:v>
                </c:pt>
                <c:pt idx="179">
                  <c:v>0.96329397741631939</c:v>
                </c:pt>
                <c:pt idx="180">
                  <c:v>0.96935823539880583</c:v>
                </c:pt>
                <c:pt idx="181">
                  <c:v>0.97546509210877108</c:v>
                </c:pt>
                <c:pt idx="182">
                  <c:v>0.98161484678341604</c:v>
                </c:pt>
                <c:pt idx="183">
                  <c:v>0.98780780076195007</c:v>
                </c:pt>
                <c:pt idx="184">
                  <c:v>0.9940442575003573</c:v>
                </c:pt>
                <c:pt idx="185">
                  <c:v>1.0003245225862656</c:v>
                </c:pt>
                <c:pt idx="186">
                  <c:v>1.006648903753921</c:v>
                </c:pt>
                <c:pt idx="187">
                  <c:v>1.0130177108992657</c:v>
                </c:pt>
                <c:pt idx="188">
                  <c:v>1.0194312560951246</c:v>
                </c:pt>
                <c:pt idx="189">
                  <c:v>1.0258898536064953</c:v>
                </c:pt>
                <c:pt idx="190">
                  <c:v>1.0323938199059484</c:v>
                </c:pt>
                <c:pt idx="191">
                  <c:v>1.0389434736891332</c:v>
                </c:pt>
                <c:pt idx="192">
                  <c:v>1.0455391358903963</c:v>
                </c:pt>
                <c:pt idx="193">
                  <c:v>1.0521811296985049</c:v>
                </c:pt>
                <c:pt idx="194">
                  <c:v>1.0588697805724845</c:v>
                </c:pt>
                <c:pt idx="195">
                  <c:v>1.0656054162575666</c:v>
                </c:pt>
                <c:pt idx="196">
                  <c:v>1.0723883668012468</c:v>
                </c:pt>
                <c:pt idx="197">
                  <c:v>1.0792189645694596</c:v>
                </c:pt>
                <c:pt idx="198">
                  <c:v>1.086097544262862</c:v>
                </c:pt>
                <c:pt idx="199">
                  <c:v>1.0930244429332352</c:v>
                </c:pt>
                <c:pt idx="200">
                  <c:v>1.1000000000000001</c:v>
                </c:pt>
                <c:pt idx="201">
                  <c:v>1.1070245572668485</c:v>
                </c:pt>
                <c:pt idx="202">
                  <c:v>1.1140984589384924</c:v>
                </c:pt>
                <c:pt idx="203">
                  <c:v>1.1212220516375286</c:v>
                </c:pt>
                <c:pt idx="204">
                  <c:v>1.1283956844214251</c:v>
                </c:pt>
                <c:pt idx="205">
                  <c:v>1.1356197087996232</c:v>
                </c:pt>
                <c:pt idx="206">
                  <c:v>1.1428944787507633</c:v>
                </c:pt>
                <c:pt idx="207">
                  <c:v>1.1502203507400282</c:v>
                </c:pt>
                <c:pt idx="208">
                  <c:v>1.1575976837366113</c:v>
                </c:pt>
                <c:pt idx="209">
                  <c:v>1.1650268392313055</c:v>
                </c:pt>
                <c:pt idx="210">
                  <c:v>1.1725081812542166</c:v>
                </c:pt>
                <c:pt idx="211">
                  <c:v>1.1800420763926005</c:v>
                </c:pt>
                <c:pt idx="212">
                  <c:v>1.1876288938088262</c:v>
                </c:pt>
                <c:pt idx="213">
                  <c:v>1.1952690052584656</c:v>
                </c:pt>
                <c:pt idx="214">
                  <c:v>1.2029627851085078</c:v>
                </c:pt>
                <c:pt idx="215">
                  <c:v>1.2107106103557053</c:v>
                </c:pt>
                <c:pt idx="216">
                  <c:v>1.2185128606450453</c:v>
                </c:pt>
                <c:pt idx="217">
                  <c:v>1.226369918288353</c:v>
                </c:pt>
                <c:pt idx="218">
                  <c:v>1.2342821682830252</c:v>
                </c:pt>
                <c:pt idx="219">
                  <c:v>1.2422499983308943</c:v>
                </c:pt>
                <c:pt idx="220">
                  <c:v>1.2502737988572274</c:v>
                </c:pt>
                <c:pt idx="221">
                  <c:v>1.2583539630298555</c:v>
                </c:pt>
                <c:pt idx="222">
                  <c:v>1.2664908867784397</c:v>
                </c:pt>
                <c:pt idx="223">
                  <c:v>1.2746849688138717</c:v>
                </c:pt>
                <c:pt idx="224">
                  <c:v>1.2829366106478108</c:v>
                </c:pt>
                <c:pt idx="225">
                  <c:v>1.2912462166123582</c:v>
                </c:pt>
                <c:pt idx="226">
                  <c:v>1.2996141938798684</c:v>
                </c:pt>
                <c:pt idx="227">
                  <c:v>1.308040952482902</c:v>
                </c:pt>
                <c:pt idx="228">
                  <c:v>1.3165269053343163</c:v>
                </c:pt>
                <c:pt idx="229">
                  <c:v>1.3250724682474992</c:v>
                </c:pt>
                <c:pt idx="230">
                  <c:v>1.3336780599567433</c:v>
                </c:pt>
                <c:pt idx="231">
                  <c:v>1.342344102137764</c:v>
                </c:pt>
                <c:pt idx="232">
                  <c:v>1.3510710194283624</c:v>
                </c:pt>
                <c:pt idx="233">
                  <c:v>1.3598592394492315</c:v>
                </c:pt>
                <c:pt idx="234">
                  <c:v>1.3687091928249109</c:v>
                </c:pt>
                <c:pt idx="235">
                  <c:v>1.3776213132048867</c:v>
                </c:pt>
                <c:pt idx="236">
                  <c:v>1.3865960372848407</c:v>
                </c:pt>
                <c:pt idx="237">
                  <c:v>1.3956338048280486</c:v>
                </c:pt>
                <c:pt idx="238">
                  <c:v>1.4047350586869278</c:v>
                </c:pt>
                <c:pt idx="239">
                  <c:v>1.4139002448247393</c:v>
                </c:pt>
                <c:pt idx="240">
                  <c:v>1.423129812337437</c:v>
                </c:pt>
                <c:pt idx="241">
                  <c:v>1.4324242134756759</c:v>
                </c:pt>
                <c:pt idx="242">
                  <c:v>1.4417839036669715</c:v>
                </c:pt>
                <c:pt idx="243">
                  <c:v>1.4512093415380156</c:v>
                </c:pt>
                <c:pt idx="244">
                  <c:v>1.4607009889371503</c:v>
                </c:pt>
                <c:pt idx="245">
                  <c:v>1.4702593109569968</c:v>
                </c:pt>
                <c:pt idx="246">
                  <c:v>1.4798847759572467</c:v>
                </c:pt>
                <c:pt idx="247">
                  <c:v>1.4895778555876107</c:v>
                </c:pt>
                <c:pt idx="248">
                  <c:v>1.4993390248109304</c:v>
                </c:pt>
                <c:pt idx="249">
                  <c:v>1.5091687619264509</c:v>
                </c:pt>
                <c:pt idx="250">
                  <c:v>1.5190675485932572</c:v>
                </c:pt>
                <c:pt idx="251">
                  <c:v>1.5290358698538771</c:v>
                </c:pt>
                <c:pt idx="252">
                  <c:v>1.5390742141580465</c:v>
                </c:pt>
                <c:pt idx="253">
                  <c:v>1.5491830733866447</c:v>
                </c:pt>
                <c:pt idx="254">
                  <c:v>1.5593629428757967</c:v>
                </c:pt>
                <c:pt idx="255">
                  <c:v>1.5696143214411444</c:v>
                </c:pt>
                <c:pt idx="256">
                  <c:v>1.5799377114022886</c:v>
                </c:pt>
                <c:pt idx="257">
                  <c:v>1.5903336186074026</c:v>
                </c:pt>
                <c:pt idx="258">
                  <c:v>1.6008025524580201</c:v>
                </c:pt>
                <c:pt idx="259">
                  <c:v>1.6113450259339939</c:v>
                </c:pt>
                <c:pt idx="260">
                  <c:v>1.6219615556186338</c:v>
                </c:pt>
                <c:pt idx="261">
                  <c:v>1.6326526617240189</c:v>
                </c:pt>
                <c:pt idx="262">
                  <c:v>1.6434188681164872</c:v>
                </c:pt>
                <c:pt idx="263">
                  <c:v>1.6542607023423059</c:v>
                </c:pt>
                <c:pt idx="264">
                  <c:v>1.6651786956535217</c:v>
                </c:pt>
                <c:pt idx="265">
                  <c:v>1.6761733830339911</c:v>
                </c:pt>
                <c:pt idx="266">
                  <c:v>1.6872453032255958</c:v>
                </c:pt>
                <c:pt idx="267">
                  <c:v>1.6983949987546405</c:v>
                </c:pt>
                <c:pt idx="268">
                  <c:v>1.7096230159584367</c:v>
                </c:pt>
                <c:pt idx="269">
                  <c:v>1.7209299050120743</c:v>
                </c:pt>
                <c:pt idx="270">
                  <c:v>1.732316219955379</c:v>
                </c:pt>
                <c:pt idx="271">
                  <c:v>1.7437825187200613</c:v>
                </c:pt>
                <c:pt idx="272">
                  <c:v>1.755329363157055</c:v>
                </c:pt>
                <c:pt idx="273">
                  <c:v>1.7669573190640477</c:v>
                </c:pt>
                <c:pt idx="274">
                  <c:v>1.7786669562132054</c:v>
                </c:pt>
                <c:pt idx="275">
                  <c:v>1.7904588483790913</c:v>
                </c:pt>
                <c:pt idx="276">
                  <c:v>1.8023335733667811</c:v>
                </c:pt>
                <c:pt idx="277">
                  <c:v>1.814291713040175</c:v>
                </c:pt>
                <c:pt idx="278">
                  <c:v>1.8263338533505096</c:v>
                </c:pt>
                <c:pt idx="279">
                  <c:v>1.8384605843650696</c:v>
                </c:pt>
                <c:pt idx="280">
                  <c:v>1.8506725002961011</c:v>
                </c:pt>
                <c:pt idx="281">
                  <c:v>1.8629701995299279</c:v>
                </c:pt>
                <c:pt idx="282">
                  <c:v>1.8753542846562734</c:v>
                </c:pt>
                <c:pt idx="283">
                  <c:v>1.8878253624977863</c:v>
                </c:pt>
                <c:pt idx="284">
                  <c:v>1.9003840441397764</c:v>
                </c:pt>
                <c:pt idx="285">
                  <c:v>1.9130309449601566</c:v>
                </c:pt>
                <c:pt idx="286">
                  <c:v>1.9257666846595978</c:v>
                </c:pt>
                <c:pt idx="287">
                  <c:v>1.9385918872918935</c:v>
                </c:pt>
                <c:pt idx="288">
                  <c:v>1.9515071812945384</c:v>
                </c:pt>
                <c:pt idx="289">
                  <c:v>1.9645131995195233</c:v>
                </c:pt>
                <c:pt idx="290">
                  <c:v>1.9776105792643432</c:v>
                </c:pt>
                <c:pt idx="291">
                  <c:v>1.9907999623032262</c:v>
                </c:pt>
                <c:pt idx="292">
                  <c:v>2.0040819949185802</c:v>
                </c:pt>
                <c:pt idx="293">
                  <c:v>2.0174573279326613</c:v>
                </c:pt>
                <c:pt idx="294">
                  <c:v>2.0309266167394622</c:v>
                </c:pt>
                <c:pt idx="295">
                  <c:v>2.0444905213368307</c:v>
                </c:pt>
                <c:pt idx="296">
                  <c:v>2.0581497063588055</c:v>
                </c:pt>
                <c:pt idx="297">
                  <c:v>2.0719048411081857</c:v>
                </c:pt>
                <c:pt idx="298">
                  <c:v>2.0857565995893261</c:v>
                </c:pt>
                <c:pt idx="299">
                  <c:v>2.0997056605411637</c:v>
                </c:pt>
                <c:pt idx="300">
                  <c:v>2.1137527074704767</c:v>
                </c:pt>
                <c:pt idx="301">
                  <c:v>2.1278984286853744</c:v>
                </c:pt>
                <c:pt idx="302">
                  <c:v>2.1421435173290266</c:v>
                </c:pt>
                <c:pt idx="303">
                  <c:v>2.1564886714136282</c:v>
                </c:pt>
                <c:pt idx="304">
                  <c:v>2.1709345938545983</c:v>
                </c:pt>
                <c:pt idx="305">
                  <c:v>2.1854819925050277</c:v>
                </c:pt>
                <c:pt idx="306">
                  <c:v>2.2001315801903609</c:v>
                </c:pt>
                <c:pt idx="307">
                  <c:v>2.2148840747433254</c:v>
                </c:pt>
                <c:pt idx="308">
                  <c:v>2.2297401990391057</c:v>
                </c:pt>
                <c:pt idx="309">
                  <c:v>2.2447006810307655</c:v>
                </c:pt>
                <c:pt idx="310">
                  <c:v>2.2597662537849152</c:v>
                </c:pt>
                <c:pt idx="311">
                  <c:v>2.2749376555176344</c:v>
                </c:pt>
                <c:pt idx="312">
                  <c:v>2.2902156296306431</c:v>
                </c:pt>
                <c:pt idx="313">
                  <c:v>2.30560092474773</c:v>
                </c:pt>
                <c:pt idx="314">
                  <c:v>2.3210942947514348</c:v>
                </c:pt>
                <c:pt idx="315">
                  <c:v>2.336696498819987</c:v>
                </c:pt>
                <c:pt idx="316">
                  <c:v>2.3524083014645076</c:v>
                </c:pt>
                <c:pt idx="317">
                  <c:v>2.36823047256647</c:v>
                </c:pt>
                <c:pt idx="318">
                  <c:v>2.384163787415424</c:v>
                </c:pt>
                <c:pt idx="319">
                  <c:v>2.4002090267469858</c:v>
                </c:pt>
                <c:pt idx="320">
                  <c:v>2.4163669767810916</c:v>
                </c:pt>
                <c:pt idx="321">
                  <c:v>2.4326384292605274</c:v>
                </c:pt>
                <c:pt idx="322">
                  <c:v>2.4490241814897198</c:v>
                </c:pt>
                <c:pt idx="323">
                  <c:v>2.4655250363738062</c:v>
                </c:pt>
                <c:pt idx="324">
                  <c:v>2.4821418024579782</c:v>
                </c:pt>
                <c:pt idx="325">
                  <c:v>2.4988752939670982</c:v>
                </c:pt>
                <c:pt idx="326">
                  <c:v>2.5157263308455979</c:v>
                </c:pt>
                <c:pt idx="327">
                  <c:v>2.5326957387976567</c:v>
                </c:pt>
                <c:pt idx="328">
                  <c:v>2.5497843493276591</c:v>
                </c:pt>
                <c:pt idx="329">
                  <c:v>2.5669929997809406</c:v>
                </c:pt>
                <c:pt idx="330">
                  <c:v>2.5843225333848165</c:v>
                </c:pt>
                <c:pt idx="331">
                  <c:v>2.6017737992899006</c:v>
                </c:pt>
                <c:pt idx="332">
                  <c:v>2.6193476526117134</c:v>
                </c:pt>
                <c:pt idx="333">
                  <c:v>2.6370449544725849</c:v>
                </c:pt>
                <c:pt idx="334">
                  <c:v>2.6548665720438471</c:v>
                </c:pt>
                <c:pt idx="335">
                  <c:v>2.6728133785883261</c:v>
                </c:pt>
                <c:pt idx="336">
                  <c:v>2.6908862535031339</c:v>
                </c:pt>
                <c:pt idx="337">
                  <c:v>2.7090860823627572</c:v>
                </c:pt>
                <c:pt idx="338">
                  <c:v>2.7274137569624517</c:v>
                </c:pt>
                <c:pt idx="339">
                  <c:v>2.7458701753619401</c:v>
                </c:pt>
                <c:pt idx="340">
                  <c:v>2.764456241929417</c:v>
                </c:pt>
                <c:pt idx="341">
                  <c:v>2.7831728673858622</c:v>
                </c:pt>
                <c:pt idx="342">
                  <c:v>2.8020209688496682</c:v>
                </c:pt>
                <c:pt idx="343">
                  <c:v>2.8210014698815784</c:v>
                </c:pt>
                <c:pt idx="344">
                  <c:v>2.8401153005299413</c:v>
                </c:pt>
                <c:pt idx="345">
                  <c:v>2.8593633973762813</c:v>
                </c:pt>
                <c:pt idx="346">
                  <c:v>2.8787467035811973</c:v>
                </c:pt>
                <c:pt idx="347">
                  <c:v>2.8982661689305695</c:v>
                </c:pt>
                <c:pt idx="348">
                  <c:v>2.9179227498821074</c:v>
                </c:pt>
                <c:pt idx="349">
                  <c:v>2.9377174096122096</c:v>
                </c:pt>
                <c:pt idx="350">
                  <c:v>2.9576511180631635</c:v>
                </c:pt>
                <c:pt idx="351">
                  <c:v>2.9777248519906721</c:v>
                </c:pt>
                <c:pt idx="352">
                  <c:v>2.9979395950117138</c:v>
                </c:pt>
                <c:pt idx="353">
                  <c:v>3.0182963376527416</c:v>
                </c:pt>
                <c:pt idx="354">
                  <c:v>3.0387960773982177</c:v>
                </c:pt>
                <c:pt idx="355">
                  <c:v>3.0594398187394916</c:v>
                </c:pt>
                <c:pt idx="356">
                  <c:v>3.0802285732240184</c:v>
                </c:pt>
                <c:pt idx="357">
                  <c:v>3.1011633595049295</c:v>
                </c:pt>
                <c:pt idx="358">
                  <c:v>3.1222452033909391</c:v>
                </c:pt>
                <c:pt idx="359">
                  <c:v>3.1434751378966177</c:v>
                </c:pt>
                <c:pt idx="360">
                  <c:v>3.1648542032930016</c:v>
                </c:pt>
                <c:pt idx="361">
                  <c:v>3.1863834471585752</c:v>
                </c:pt>
                <c:pt idx="362">
                  <c:v>3.208063924430594</c:v>
                </c:pt>
                <c:pt idx="363">
                  <c:v>3.2298966974567822</c:v>
                </c:pt>
                <c:pt idx="364">
                  <c:v>3.2518828360473879</c:v>
                </c:pt>
                <c:pt idx="365">
                  <c:v>3.2740234175275997</c:v>
                </c:pt>
                <c:pt idx="366">
                  <c:v>3.2963195267903411</c:v>
                </c:pt>
                <c:pt idx="367">
                  <c:v>3.3187722563494257</c:v>
                </c:pt>
                <c:pt idx="368">
                  <c:v>3.3413827063930959</c:v>
                </c:pt>
                <c:pt idx="369">
                  <c:v>3.3641519848379264</c:v>
                </c:pt>
                <c:pt idx="370">
                  <c:v>3.387081207383118</c:v>
                </c:pt>
                <c:pt idx="371">
                  <c:v>3.4101714975651625</c:v>
                </c:pt>
                <c:pt idx="372">
                  <c:v>3.4334239868128988</c:v>
                </c:pt>
                <c:pt idx="373">
                  <c:v>3.4568398145029526</c:v>
                </c:pt>
                <c:pt idx="374">
                  <c:v>3.4804201280155662</c:v>
                </c:pt>
                <c:pt idx="375">
                  <c:v>3.5041660827908188</c:v>
                </c:pt>
                <c:pt idx="376">
                  <c:v>3.5280788423852467</c:v>
                </c:pt>
                <c:pt idx="377">
                  <c:v>3.5521595785288533</c:v>
                </c:pt>
                <c:pt idx="378">
                  <c:v>3.5764094711825294</c:v>
                </c:pt>
                <c:pt idx="379">
                  <c:v>3.6008297085958656</c:v>
                </c:pt>
                <c:pt idx="380">
                  <c:v>3.6254214873653825</c:v>
                </c:pt>
                <c:pt idx="381">
                  <c:v>3.6501860124931587</c:v>
                </c:pt>
                <c:pt idx="382">
                  <c:v>3.6751244974458817</c:v>
                </c:pt>
                <c:pt idx="383">
                  <c:v>3.7002381642143032</c:v>
                </c:pt>
                <c:pt idx="384">
                  <c:v>3.7255282433731205</c:v>
                </c:pt>
                <c:pt idx="385">
                  <c:v>3.7509959741412717</c:v>
                </c:pt>
                <c:pt idx="386">
                  <c:v>3.7766426044426611</c:v>
                </c:pt>
                <c:pt idx="387">
                  <c:v>3.8024693909673033</c:v>
                </c:pt>
                <c:pt idx="388">
                  <c:v>3.8284775992329068</c:v>
                </c:pt>
                <c:pt idx="389">
                  <c:v>3.8546685036468804</c:v>
                </c:pt>
                <c:pt idx="390">
                  <c:v>3.8810433875687802</c:v>
                </c:pt>
                <c:pt idx="391">
                  <c:v>3.9076035433731966</c:v>
                </c:pt>
                <c:pt idx="392">
                  <c:v>3.9343502725130768</c:v>
                </c:pt>
                <c:pt idx="393">
                  <c:v>3.9612848855835017</c:v>
                </c:pt>
                <c:pt idx="394">
                  <c:v>3.9884087023858994</c:v>
                </c:pt>
                <c:pt idx="395">
                  <c:v>4.0157230519927216</c:v>
                </c:pt>
                <c:pt idx="396">
                  <c:v>4.0432292728125629</c:v>
                </c:pt>
                <c:pt idx="397">
                  <c:v>4.070928712655749</c:v>
                </c:pt>
                <c:pt idx="398">
                  <c:v>4.0988227288003722</c:v>
                </c:pt>
                <c:pt idx="399">
                  <c:v>4.1269126880588063</c:v>
                </c:pt>
                <c:pt idx="400">
                  <c:v>4.1551999668446742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77-4D17-88F2-8CE21E2F117D}"/>
            </c:ext>
          </c:extLst>
        </c:ser>
        <c:ser>
          <c:idx val="2"/>
          <c:order val="2"/>
          <c:tx>
            <c:strRef>
              <c:f>乗法モデル!$F$1</c:f>
              <c:strCache>
                <c:ptCount val="1"/>
                <c:pt idx="0">
                  <c:v>T×S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乗法モデル!$C$2:$C$402</c:f>
              <c:numCache>
                <c:formatCode>General</c:formatCode>
                <c:ptCount val="401"/>
                <c:pt idx="0">
                  <c:v>-2</c:v>
                </c:pt>
                <c:pt idx="1">
                  <c:v>-1.99</c:v>
                </c:pt>
                <c:pt idx="2">
                  <c:v>-1.98</c:v>
                </c:pt>
                <c:pt idx="3">
                  <c:v>-1.97</c:v>
                </c:pt>
                <c:pt idx="4">
                  <c:v>-1.96</c:v>
                </c:pt>
                <c:pt idx="5">
                  <c:v>-1.95</c:v>
                </c:pt>
                <c:pt idx="6">
                  <c:v>-1.94</c:v>
                </c:pt>
                <c:pt idx="7">
                  <c:v>-1.93</c:v>
                </c:pt>
                <c:pt idx="8">
                  <c:v>-1.92</c:v>
                </c:pt>
                <c:pt idx="9">
                  <c:v>-1.91</c:v>
                </c:pt>
                <c:pt idx="10">
                  <c:v>-1.9</c:v>
                </c:pt>
                <c:pt idx="11">
                  <c:v>-1.89</c:v>
                </c:pt>
                <c:pt idx="12">
                  <c:v>-1.88</c:v>
                </c:pt>
                <c:pt idx="13">
                  <c:v>-1.87</c:v>
                </c:pt>
                <c:pt idx="14">
                  <c:v>-1.86</c:v>
                </c:pt>
                <c:pt idx="15">
                  <c:v>-1.85</c:v>
                </c:pt>
                <c:pt idx="16">
                  <c:v>-1.84</c:v>
                </c:pt>
                <c:pt idx="17">
                  <c:v>-1.83</c:v>
                </c:pt>
                <c:pt idx="18">
                  <c:v>-1.82</c:v>
                </c:pt>
                <c:pt idx="19">
                  <c:v>-1.81</c:v>
                </c:pt>
                <c:pt idx="20">
                  <c:v>-1.8</c:v>
                </c:pt>
                <c:pt idx="21">
                  <c:v>-1.79</c:v>
                </c:pt>
                <c:pt idx="22">
                  <c:v>-1.78</c:v>
                </c:pt>
                <c:pt idx="23">
                  <c:v>-1.77</c:v>
                </c:pt>
                <c:pt idx="24">
                  <c:v>-1.76</c:v>
                </c:pt>
                <c:pt idx="25">
                  <c:v>-1.75</c:v>
                </c:pt>
                <c:pt idx="26">
                  <c:v>-1.74</c:v>
                </c:pt>
                <c:pt idx="27">
                  <c:v>-1.73</c:v>
                </c:pt>
                <c:pt idx="28">
                  <c:v>-1.72</c:v>
                </c:pt>
                <c:pt idx="29">
                  <c:v>-1.71</c:v>
                </c:pt>
                <c:pt idx="30">
                  <c:v>-1.7</c:v>
                </c:pt>
                <c:pt idx="31">
                  <c:v>-1.69</c:v>
                </c:pt>
                <c:pt idx="32">
                  <c:v>-1.68</c:v>
                </c:pt>
                <c:pt idx="33">
                  <c:v>-1.67</c:v>
                </c:pt>
                <c:pt idx="34">
                  <c:v>-1.66</c:v>
                </c:pt>
                <c:pt idx="35">
                  <c:v>-1.65</c:v>
                </c:pt>
                <c:pt idx="36">
                  <c:v>-1.64</c:v>
                </c:pt>
                <c:pt idx="37">
                  <c:v>-1.63</c:v>
                </c:pt>
                <c:pt idx="38">
                  <c:v>-1.62</c:v>
                </c:pt>
                <c:pt idx="39">
                  <c:v>-1.61</c:v>
                </c:pt>
                <c:pt idx="40">
                  <c:v>-1.6</c:v>
                </c:pt>
                <c:pt idx="41">
                  <c:v>-1.59</c:v>
                </c:pt>
                <c:pt idx="42">
                  <c:v>-1.58</c:v>
                </c:pt>
                <c:pt idx="43">
                  <c:v>-1.57</c:v>
                </c:pt>
                <c:pt idx="44">
                  <c:v>-1.56</c:v>
                </c:pt>
                <c:pt idx="45">
                  <c:v>-1.55</c:v>
                </c:pt>
                <c:pt idx="46">
                  <c:v>-1.54</c:v>
                </c:pt>
                <c:pt idx="47">
                  <c:v>-1.53</c:v>
                </c:pt>
                <c:pt idx="48">
                  <c:v>-1.52</c:v>
                </c:pt>
                <c:pt idx="49">
                  <c:v>-1.51</c:v>
                </c:pt>
                <c:pt idx="50">
                  <c:v>-1.5</c:v>
                </c:pt>
                <c:pt idx="51">
                  <c:v>-1.49</c:v>
                </c:pt>
                <c:pt idx="52">
                  <c:v>-1.48</c:v>
                </c:pt>
                <c:pt idx="53">
                  <c:v>-1.47</c:v>
                </c:pt>
                <c:pt idx="54">
                  <c:v>-1.46</c:v>
                </c:pt>
                <c:pt idx="55">
                  <c:v>-1.45</c:v>
                </c:pt>
                <c:pt idx="56">
                  <c:v>-1.44</c:v>
                </c:pt>
                <c:pt idx="57">
                  <c:v>-1.43</c:v>
                </c:pt>
                <c:pt idx="58">
                  <c:v>-1.42</c:v>
                </c:pt>
                <c:pt idx="59">
                  <c:v>-1.41</c:v>
                </c:pt>
                <c:pt idx="60">
                  <c:v>-1.4</c:v>
                </c:pt>
                <c:pt idx="61">
                  <c:v>-1.39</c:v>
                </c:pt>
                <c:pt idx="62">
                  <c:v>-1.38</c:v>
                </c:pt>
                <c:pt idx="63">
                  <c:v>-1.37</c:v>
                </c:pt>
                <c:pt idx="64">
                  <c:v>-1.36</c:v>
                </c:pt>
                <c:pt idx="65">
                  <c:v>-1.35</c:v>
                </c:pt>
                <c:pt idx="66">
                  <c:v>-1.34</c:v>
                </c:pt>
                <c:pt idx="67">
                  <c:v>-1.33</c:v>
                </c:pt>
                <c:pt idx="68">
                  <c:v>-1.32</c:v>
                </c:pt>
                <c:pt idx="69">
                  <c:v>-1.31</c:v>
                </c:pt>
                <c:pt idx="70">
                  <c:v>-1.3</c:v>
                </c:pt>
                <c:pt idx="71">
                  <c:v>-1.29</c:v>
                </c:pt>
                <c:pt idx="72">
                  <c:v>-1.28</c:v>
                </c:pt>
                <c:pt idx="73">
                  <c:v>-1.27</c:v>
                </c:pt>
                <c:pt idx="74">
                  <c:v>-1.26</c:v>
                </c:pt>
                <c:pt idx="75">
                  <c:v>-1.25</c:v>
                </c:pt>
                <c:pt idx="76">
                  <c:v>-1.24</c:v>
                </c:pt>
                <c:pt idx="77">
                  <c:v>-1.23</c:v>
                </c:pt>
                <c:pt idx="78">
                  <c:v>-1.22</c:v>
                </c:pt>
                <c:pt idx="79">
                  <c:v>-1.21</c:v>
                </c:pt>
                <c:pt idx="80">
                  <c:v>-1.2</c:v>
                </c:pt>
                <c:pt idx="81">
                  <c:v>-1.19</c:v>
                </c:pt>
                <c:pt idx="82">
                  <c:v>-1.18</c:v>
                </c:pt>
                <c:pt idx="83">
                  <c:v>-1.17</c:v>
                </c:pt>
                <c:pt idx="84">
                  <c:v>-1.1599999999999999</c:v>
                </c:pt>
                <c:pt idx="85">
                  <c:v>-1.1499999999999999</c:v>
                </c:pt>
                <c:pt idx="86">
                  <c:v>-1.1399999999999999</c:v>
                </c:pt>
                <c:pt idx="87">
                  <c:v>-1.1299999999999999</c:v>
                </c:pt>
                <c:pt idx="88">
                  <c:v>-1.1200000000000001</c:v>
                </c:pt>
                <c:pt idx="89">
                  <c:v>-1.1100000000000001</c:v>
                </c:pt>
                <c:pt idx="90">
                  <c:v>-1.1000000000000001</c:v>
                </c:pt>
                <c:pt idx="91">
                  <c:v>-1.0900000000000001</c:v>
                </c:pt>
                <c:pt idx="92">
                  <c:v>-1.08</c:v>
                </c:pt>
                <c:pt idx="93">
                  <c:v>-1.07</c:v>
                </c:pt>
                <c:pt idx="94">
                  <c:v>-1.06</c:v>
                </c:pt>
                <c:pt idx="95">
                  <c:v>-1.05</c:v>
                </c:pt>
                <c:pt idx="96">
                  <c:v>-1.04</c:v>
                </c:pt>
                <c:pt idx="97">
                  <c:v>-1.03</c:v>
                </c:pt>
                <c:pt idx="98">
                  <c:v>-1.02</c:v>
                </c:pt>
                <c:pt idx="99">
                  <c:v>-1.01</c:v>
                </c:pt>
                <c:pt idx="100">
                  <c:v>-1</c:v>
                </c:pt>
                <c:pt idx="101">
                  <c:v>-0.99</c:v>
                </c:pt>
                <c:pt idx="102">
                  <c:v>-0.98</c:v>
                </c:pt>
                <c:pt idx="103">
                  <c:v>-0.97</c:v>
                </c:pt>
                <c:pt idx="104">
                  <c:v>-0.96</c:v>
                </c:pt>
                <c:pt idx="105">
                  <c:v>-0.95</c:v>
                </c:pt>
                <c:pt idx="106">
                  <c:v>-0.94</c:v>
                </c:pt>
                <c:pt idx="107">
                  <c:v>-0.93</c:v>
                </c:pt>
                <c:pt idx="108">
                  <c:v>-0.92</c:v>
                </c:pt>
                <c:pt idx="109">
                  <c:v>-0.91</c:v>
                </c:pt>
                <c:pt idx="110">
                  <c:v>-0.9</c:v>
                </c:pt>
                <c:pt idx="111">
                  <c:v>-0.89</c:v>
                </c:pt>
                <c:pt idx="112">
                  <c:v>-0.88</c:v>
                </c:pt>
                <c:pt idx="113">
                  <c:v>-0.87</c:v>
                </c:pt>
                <c:pt idx="114">
                  <c:v>-0.86</c:v>
                </c:pt>
                <c:pt idx="115">
                  <c:v>-0.85</c:v>
                </c:pt>
                <c:pt idx="116">
                  <c:v>-0.84</c:v>
                </c:pt>
                <c:pt idx="117">
                  <c:v>-0.83</c:v>
                </c:pt>
                <c:pt idx="118">
                  <c:v>-0.82</c:v>
                </c:pt>
                <c:pt idx="119">
                  <c:v>-0.81</c:v>
                </c:pt>
                <c:pt idx="120">
                  <c:v>-0.8</c:v>
                </c:pt>
                <c:pt idx="121">
                  <c:v>-0.79</c:v>
                </c:pt>
                <c:pt idx="122">
                  <c:v>-0.78</c:v>
                </c:pt>
                <c:pt idx="123">
                  <c:v>-0.77</c:v>
                </c:pt>
                <c:pt idx="124">
                  <c:v>-0.76</c:v>
                </c:pt>
                <c:pt idx="125">
                  <c:v>-0.75</c:v>
                </c:pt>
                <c:pt idx="126">
                  <c:v>-0.74</c:v>
                </c:pt>
                <c:pt idx="127">
                  <c:v>-0.73</c:v>
                </c:pt>
                <c:pt idx="128">
                  <c:v>-0.72</c:v>
                </c:pt>
                <c:pt idx="129">
                  <c:v>-0.71</c:v>
                </c:pt>
                <c:pt idx="130">
                  <c:v>-0.7</c:v>
                </c:pt>
                <c:pt idx="131">
                  <c:v>-0.69</c:v>
                </c:pt>
                <c:pt idx="132">
                  <c:v>-0.68</c:v>
                </c:pt>
                <c:pt idx="133">
                  <c:v>-0.67</c:v>
                </c:pt>
                <c:pt idx="134">
                  <c:v>-0.66</c:v>
                </c:pt>
                <c:pt idx="135">
                  <c:v>-0.65</c:v>
                </c:pt>
                <c:pt idx="136">
                  <c:v>-0.64</c:v>
                </c:pt>
                <c:pt idx="137">
                  <c:v>-0.63</c:v>
                </c:pt>
                <c:pt idx="138">
                  <c:v>-0.62</c:v>
                </c:pt>
                <c:pt idx="139">
                  <c:v>-0.61</c:v>
                </c:pt>
                <c:pt idx="140">
                  <c:v>-0.6</c:v>
                </c:pt>
                <c:pt idx="141">
                  <c:v>-0.59</c:v>
                </c:pt>
                <c:pt idx="142">
                  <c:v>-0.57999999999999996</c:v>
                </c:pt>
                <c:pt idx="143">
                  <c:v>-0.56999999999999995</c:v>
                </c:pt>
                <c:pt idx="144">
                  <c:v>-0.56000000000000005</c:v>
                </c:pt>
                <c:pt idx="145">
                  <c:v>-0.55000000000000004</c:v>
                </c:pt>
                <c:pt idx="146">
                  <c:v>-0.54</c:v>
                </c:pt>
                <c:pt idx="147">
                  <c:v>-0.53</c:v>
                </c:pt>
                <c:pt idx="148">
                  <c:v>-0.52</c:v>
                </c:pt>
                <c:pt idx="149">
                  <c:v>-0.51</c:v>
                </c:pt>
                <c:pt idx="150">
                  <c:v>-0.5</c:v>
                </c:pt>
                <c:pt idx="151">
                  <c:v>-0.49</c:v>
                </c:pt>
                <c:pt idx="152">
                  <c:v>-0.48</c:v>
                </c:pt>
                <c:pt idx="153">
                  <c:v>-0.47</c:v>
                </c:pt>
                <c:pt idx="154">
                  <c:v>-0.46</c:v>
                </c:pt>
                <c:pt idx="155">
                  <c:v>-0.45</c:v>
                </c:pt>
                <c:pt idx="156">
                  <c:v>-0.44</c:v>
                </c:pt>
                <c:pt idx="157">
                  <c:v>-0.43</c:v>
                </c:pt>
                <c:pt idx="158">
                  <c:v>-0.42</c:v>
                </c:pt>
                <c:pt idx="159">
                  <c:v>-0.41</c:v>
                </c:pt>
                <c:pt idx="160">
                  <c:v>-0.4</c:v>
                </c:pt>
                <c:pt idx="161">
                  <c:v>-0.39</c:v>
                </c:pt>
                <c:pt idx="162">
                  <c:v>-0.38</c:v>
                </c:pt>
                <c:pt idx="163">
                  <c:v>-0.37</c:v>
                </c:pt>
                <c:pt idx="164">
                  <c:v>-0.36</c:v>
                </c:pt>
                <c:pt idx="165">
                  <c:v>-0.35</c:v>
                </c:pt>
                <c:pt idx="166">
                  <c:v>-0.34</c:v>
                </c:pt>
                <c:pt idx="167">
                  <c:v>-0.33</c:v>
                </c:pt>
                <c:pt idx="168">
                  <c:v>-0.32</c:v>
                </c:pt>
                <c:pt idx="169">
                  <c:v>-0.31</c:v>
                </c:pt>
                <c:pt idx="170">
                  <c:v>-0.3</c:v>
                </c:pt>
                <c:pt idx="171">
                  <c:v>-0.28999999999999998</c:v>
                </c:pt>
                <c:pt idx="172">
                  <c:v>-0.28000000000000003</c:v>
                </c:pt>
                <c:pt idx="173">
                  <c:v>-0.27</c:v>
                </c:pt>
                <c:pt idx="174">
                  <c:v>-0.26</c:v>
                </c:pt>
                <c:pt idx="175">
                  <c:v>-0.25</c:v>
                </c:pt>
                <c:pt idx="176">
                  <c:v>-0.24</c:v>
                </c:pt>
                <c:pt idx="177">
                  <c:v>-0.23</c:v>
                </c:pt>
                <c:pt idx="178">
                  <c:v>-0.22</c:v>
                </c:pt>
                <c:pt idx="179">
                  <c:v>-0.21</c:v>
                </c:pt>
                <c:pt idx="180">
                  <c:v>-0.2</c:v>
                </c:pt>
                <c:pt idx="181">
                  <c:v>-0.19</c:v>
                </c:pt>
                <c:pt idx="182">
                  <c:v>-0.18</c:v>
                </c:pt>
                <c:pt idx="183">
                  <c:v>-0.17</c:v>
                </c:pt>
                <c:pt idx="184">
                  <c:v>-0.16</c:v>
                </c:pt>
                <c:pt idx="185">
                  <c:v>-0.15</c:v>
                </c:pt>
                <c:pt idx="186">
                  <c:v>-0.14000000000000001</c:v>
                </c:pt>
                <c:pt idx="187">
                  <c:v>-0.13</c:v>
                </c:pt>
                <c:pt idx="188">
                  <c:v>-0.12</c:v>
                </c:pt>
                <c:pt idx="189">
                  <c:v>-0.11</c:v>
                </c:pt>
                <c:pt idx="190">
                  <c:v>-0.1</c:v>
                </c:pt>
                <c:pt idx="191">
                  <c:v>-9.0000000000000094E-2</c:v>
                </c:pt>
                <c:pt idx="192">
                  <c:v>-8.0000000000000099E-2</c:v>
                </c:pt>
                <c:pt idx="193">
                  <c:v>-7.0000000000000104E-2</c:v>
                </c:pt>
                <c:pt idx="194">
                  <c:v>-6.0000000000000102E-2</c:v>
                </c:pt>
                <c:pt idx="195">
                  <c:v>-0.05</c:v>
                </c:pt>
                <c:pt idx="196">
                  <c:v>-0.04</c:v>
                </c:pt>
                <c:pt idx="197">
                  <c:v>-0.03</c:v>
                </c:pt>
                <c:pt idx="198">
                  <c:v>-0.02</c:v>
                </c:pt>
                <c:pt idx="199">
                  <c:v>-0.01</c:v>
                </c:pt>
                <c:pt idx="200">
                  <c:v>0</c:v>
                </c:pt>
                <c:pt idx="201">
                  <c:v>9.9999999999997903E-3</c:v>
                </c:pt>
                <c:pt idx="202">
                  <c:v>0.02</c:v>
                </c:pt>
                <c:pt idx="203">
                  <c:v>2.9999999999999801E-2</c:v>
                </c:pt>
                <c:pt idx="204">
                  <c:v>0.04</c:v>
                </c:pt>
                <c:pt idx="205">
                  <c:v>4.9999999999999802E-2</c:v>
                </c:pt>
                <c:pt idx="206">
                  <c:v>6.0000000000000102E-2</c:v>
                </c:pt>
                <c:pt idx="207">
                  <c:v>6.9999999999999798E-2</c:v>
                </c:pt>
                <c:pt idx="208">
                  <c:v>8.0000000000000099E-2</c:v>
                </c:pt>
                <c:pt idx="209">
                  <c:v>8.99999999999999E-2</c:v>
                </c:pt>
                <c:pt idx="210">
                  <c:v>0.1</c:v>
                </c:pt>
                <c:pt idx="211">
                  <c:v>0.11</c:v>
                </c:pt>
                <c:pt idx="212">
                  <c:v>0.12</c:v>
                </c:pt>
                <c:pt idx="213">
                  <c:v>0.13</c:v>
                </c:pt>
                <c:pt idx="214">
                  <c:v>0.14000000000000001</c:v>
                </c:pt>
                <c:pt idx="215">
                  <c:v>0.15</c:v>
                </c:pt>
                <c:pt idx="216">
                  <c:v>0.16</c:v>
                </c:pt>
                <c:pt idx="217">
                  <c:v>0.17</c:v>
                </c:pt>
                <c:pt idx="218">
                  <c:v>0.18</c:v>
                </c:pt>
                <c:pt idx="219">
                  <c:v>0.19</c:v>
                </c:pt>
                <c:pt idx="220">
                  <c:v>0.2</c:v>
                </c:pt>
                <c:pt idx="221">
                  <c:v>0.21</c:v>
                </c:pt>
                <c:pt idx="222">
                  <c:v>0.22</c:v>
                </c:pt>
                <c:pt idx="223">
                  <c:v>0.23</c:v>
                </c:pt>
                <c:pt idx="224">
                  <c:v>0.24</c:v>
                </c:pt>
                <c:pt idx="225">
                  <c:v>0.25</c:v>
                </c:pt>
                <c:pt idx="226">
                  <c:v>0.26</c:v>
                </c:pt>
                <c:pt idx="227">
                  <c:v>0.27</c:v>
                </c:pt>
                <c:pt idx="228">
                  <c:v>0.28000000000000003</c:v>
                </c:pt>
                <c:pt idx="229">
                  <c:v>0.28999999999999998</c:v>
                </c:pt>
                <c:pt idx="230">
                  <c:v>0.3</c:v>
                </c:pt>
                <c:pt idx="231">
                  <c:v>0.31</c:v>
                </c:pt>
                <c:pt idx="232">
                  <c:v>0.32</c:v>
                </c:pt>
                <c:pt idx="233">
                  <c:v>0.33</c:v>
                </c:pt>
                <c:pt idx="234">
                  <c:v>0.34</c:v>
                </c:pt>
                <c:pt idx="235">
                  <c:v>0.35</c:v>
                </c:pt>
                <c:pt idx="236">
                  <c:v>0.36</c:v>
                </c:pt>
                <c:pt idx="237">
                  <c:v>0.37</c:v>
                </c:pt>
                <c:pt idx="238">
                  <c:v>0.38</c:v>
                </c:pt>
                <c:pt idx="239">
                  <c:v>0.39</c:v>
                </c:pt>
                <c:pt idx="240">
                  <c:v>0.4</c:v>
                </c:pt>
                <c:pt idx="241">
                  <c:v>0.41</c:v>
                </c:pt>
                <c:pt idx="242">
                  <c:v>0.42</c:v>
                </c:pt>
                <c:pt idx="243">
                  <c:v>0.43</c:v>
                </c:pt>
                <c:pt idx="244">
                  <c:v>0.44</c:v>
                </c:pt>
                <c:pt idx="245">
                  <c:v>0.45</c:v>
                </c:pt>
                <c:pt idx="246">
                  <c:v>0.46</c:v>
                </c:pt>
                <c:pt idx="247">
                  <c:v>0.47</c:v>
                </c:pt>
                <c:pt idx="248">
                  <c:v>0.48</c:v>
                </c:pt>
                <c:pt idx="249">
                  <c:v>0.49</c:v>
                </c:pt>
                <c:pt idx="250">
                  <c:v>0.5</c:v>
                </c:pt>
                <c:pt idx="251">
                  <c:v>0.51</c:v>
                </c:pt>
                <c:pt idx="252">
                  <c:v>0.52</c:v>
                </c:pt>
                <c:pt idx="253">
                  <c:v>0.53</c:v>
                </c:pt>
                <c:pt idx="254">
                  <c:v>0.54</c:v>
                </c:pt>
                <c:pt idx="255">
                  <c:v>0.55000000000000004</c:v>
                </c:pt>
                <c:pt idx="256">
                  <c:v>0.56000000000000005</c:v>
                </c:pt>
                <c:pt idx="257">
                  <c:v>0.56999999999999995</c:v>
                </c:pt>
                <c:pt idx="258">
                  <c:v>0.57999999999999996</c:v>
                </c:pt>
                <c:pt idx="259">
                  <c:v>0.59</c:v>
                </c:pt>
                <c:pt idx="260">
                  <c:v>0.6</c:v>
                </c:pt>
                <c:pt idx="261">
                  <c:v>0.61</c:v>
                </c:pt>
                <c:pt idx="262">
                  <c:v>0.62</c:v>
                </c:pt>
                <c:pt idx="263">
                  <c:v>0.63</c:v>
                </c:pt>
                <c:pt idx="264">
                  <c:v>0.64</c:v>
                </c:pt>
                <c:pt idx="265">
                  <c:v>0.65</c:v>
                </c:pt>
                <c:pt idx="266">
                  <c:v>0.66</c:v>
                </c:pt>
                <c:pt idx="267">
                  <c:v>0.67</c:v>
                </c:pt>
                <c:pt idx="268">
                  <c:v>0.68</c:v>
                </c:pt>
                <c:pt idx="269">
                  <c:v>0.69</c:v>
                </c:pt>
                <c:pt idx="270">
                  <c:v>0.7</c:v>
                </c:pt>
                <c:pt idx="271">
                  <c:v>0.71</c:v>
                </c:pt>
                <c:pt idx="272">
                  <c:v>0.72</c:v>
                </c:pt>
                <c:pt idx="273">
                  <c:v>0.73</c:v>
                </c:pt>
                <c:pt idx="274">
                  <c:v>0.74</c:v>
                </c:pt>
                <c:pt idx="275">
                  <c:v>0.75</c:v>
                </c:pt>
                <c:pt idx="276">
                  <c:v>0.76</c:v>
                </c:pt>
                <c:pt idx="277">
                  <c:v>0.77</c:v>
                </c:pt>
                <c:pt idx="278">
                  <c:v>0.78</c:v>
                </c:pt>
                <c:pt idx="279">
                  <c:v>0.79</c:v>
                </c:pt>
                <c:pt idx="280">
                  <c:v>0.8</c:v>
                </c:pt>
                <c:pt idx="281">
                  <c:v>0.81</c:v>
                </c:pt>
                <c:pt idx="282">
                  <c:v>0.82</c:v>
                </c:pt>
                <c:pt idx="283">
                  <c:v>0.83</c:v>
                </c:pt>
                <c:pt idx="284">
                  <c:v>0.84</c:v>
                </c:pt>
                <c:pt idx="285">
                  <c:v>0.85</c:v>
                </c:pt>
                <c:pt idx="286">
                  <c:v>0.86</c:v>
                </c:pt>
                <c:pt idx="287">
                  <c:v>0.87</c:v>
                </c:pt>
                <c:pt idx="288">
                  <c:v>0.88</c:v>
                </c:pt>
                <c:pt idx="289">
                  <c:v>0.89</c:v>
                </c:pt>
                <c:pt idx="290">
                  <c:v>0.9</c:v>
                </c:pt>
                <c:pt idx="291">
                  <c:v>0.91</c:v>
                </c:pt>
                <c:pt idx="292">
                  <c:v>0.92</c:v>
                </c:pt>
                <c:pt idx="293">
                  <c:v>0.93</c:v>
                </c:pt>
                <c:pt idx="294">
                  <c:v>0.94</c:v>
                </c:pt>
                <c:pt idx="295">
                  <c:v>0.95</c:v>
                </c:pt>
                <c:pt idx="296">
                  <c:v>0.96</c:v>
                </c:pt>
                <c:pt idx="297">
                  <c:v>0.97</c:v>
                </c:pt>
                <c:pt idx="298">
                  <c:v>0.98</c:v>
                </c:pt>
                <c:pt idx="299">
                  <c:v>0.99</c:v>
                </c:pt>
                <c:pt idx="300">
                  <c:v>1</c:v>
                </c:pt>
                <c:pt idx="301">
                  <c:v>1.01</c:v>
                </c:pt>
                <c:pt idx="302">
                  <c:v>1.02</c:v>
                </c:pt>
                <c:pt idx="303">
                  <c:v>1.03</c:v>
                </c:pt>
                <c:pt idx="304">
                  <c:v>1.04</c:v>
                </c:pt>
                <c:pt idx="305">
                  <c:v>1.05</c:v>
                </c:pt>
                <c:pt idx="306">
                  <c:v>1.06</c:v>
                </c:pt>
                <c:pt idx="307">
                  <c:v>1.07</c:v>
                </c:pt>
                <c:pt idx="308">
                  <c:v>1.08</c:v>
                </c:pt>
                <c:pt idx="309">
                  <c:v>1.0900000000000001</c:v>
                </c:pt>
                <c:pt idx="310">
                  <c:v>1.1000000000000001</c:v>
                </c:pt>
                <c:pt idx="311">
                  <c:v>1.1100000000000001</c:v>
                </c:pt>
                <c:pt idx="312">
                  <c:v>1.1200000000000001</c:v>
                </c:pt>
                <c:pt idx="313">
                  <c:v>1.1299999999999999</c:v>
                </c:pt>
                <c:pt idx="314">
                  <c:v>1.1399999999999999</c:v>
                </c:pt>
                <c:pt idx="315">
                  <c:v>1.1499999999999999</c:v>
                </c:pt>
                <c:pt idx="316">
                  <c:v>1.1599999999999999</c:v>
                </c:pt>
                <c:pt idx="317">
                  <c:v>1.17</c:v>
                </c:pt>
                <c:pt idx="318">
                  <c:v>1.18</c:v>
                </c:pt>
                <c:pt idx="319">
                  <c:v>1.19</c:v>
                </c:pt>
                <c:pt idx="320">
                  <c:v>1.2</c:v>
                </c:pt>
                <c:pt idx="321">
                  <c:v>1.21</c:v>
                </c:pt>
                <c:pt idx="322">
                  <c:v>1.22</c:v>
                </c:pt>
                <c:pt idx="323">
                  <c:v>1.23</c:v>
                </c:pt>
                <c:pt idx="324">
                  <c:v>1.24</c:v>
                </c:pt>
                <c:pt idx="325">
                  <c:v>1.25</c:v>
                </c:pt>
                <c:pt idx="326">
                  <c:v>1.26</c:v>
                </c:pt>
                <c:pt idx="327">
                  <c:v>1.27</c:v>
                </c:pt>
                <c:pt idx="328">
                  <c:v>1.28</c:v>
                </c:pt>
                <c:pt idx="329">
                  <c:v>1.29</c:v>
                </c:pt>
                <c:pt idx="330">
                  <c:v>1.3</c:v>
                </c:pt>
                <c:pt idx="331">
                  <c:v>1.31</c:v>
                </c:pt>
                <c:pt idx="332">
                  <c:v>1.32</c:v>
                </c:pt>
                <c:pt idx="333">
                  <c:v>1.33</c:v>
                </c:pt>
                <c:pt idx="334">
                  <c:v>1.34</c:v>
                </c:pt>
                <c:pt idx="335">
                  <c:v>1.35</c:v>
                </c:pt>
                <c:pt idx="336">
                  <c:v>1.36</c:v>
                </c:pt>
                <c:pt idx="337">
                  <c:v>1.37</c:v>
                </c:pt>
                <c:pt idx="338">
                  <c:v>1.38</c:v>
                </c:pt>
                <c:pt idx="339">
                  <c:v>1.39</c:v>
                </c:pt>
                <c:pt idx="340">
                  <c:v>1.4</c:v>
                </c:pt>
                <c:pt idx="341">
                  <c:v>1.41</c:v>
                </c:pt>
                <c:pt idx="342">
                  <c:v>1.42</c:v>
                </c:pt>
                <c:pt idx="343">
                  <c:v>1.43</c:v>
                </c:pt>
                <c:pt idx="344">
                  <c:v>1.44</c:v>
                </c:pt>
                <c:pt idx="345">
                  <c:v>1.45</c:v>
                </c:pt>
                <c:pt idx="346">
                  <c:v>1.46</c:v>
                </c:pt>
                <c:pt idx="347">
                  <c:v>1.47</c:v>
                </c:pt>
                <c:pt idx="348">
                  <c:v>1.48</c:v>
                </c:pt>
                <c:pt idx="349">
                  <c:v>1.49</c:v>
                </c:pt>
                <c:pt idx="350">
                  <c:v>1.5</c:v>
                </c:pt>
                <c:pt idx="351">
                  <c:v>1.51</c:v>
                </c:pt>
                <c:pt idx="352">
                  <c:v>1.52</c:v>
                </c:pt>
                <c:pt idx="353">
                  <c:v>1.53</c:v>
                </c:pt>
                <c:pt idx="354">
                  <c:v>1.54</c:v>
                </c:pt>
                <c:pt idx="355">
                  <c:v>1.55</c:v>
                </c:pt>
                <c:pt idx="356">
                  <c:v>1.56</c:v>
                </c:pt>
                <c:pt idx="357">
                  <c:v>1.57</c:v>
                </c:pt>
                <c:pt idx="358">
                  <c:v>1.58</c:v>
                </c:pt>
                <c:pt idx="359">
                  <c:v>1.59</c:v>
                </c:pt>
                <c:pt idx="360">
                  <c:v>1.6</c:v>
                </c:pt>
                <c:pt idx="361">
                  <c:v>1.61</c:v>
                </c:pt>
                <c:pt idx="362">
                  <c:v>1.62</c:v>
                </c:pt>
                <c:pt idx="363">
                  <c:v>1.63</c:v>
                </c:pt>
                <c:pt idx="364">
                  <c:v>1.64</c:v>
                </c:pt>
                <c:pt idx="365">
                  <c:v>1.65</c:v>
                </c:pt>
                <c:pt idx="366">
                  <c:v>1.66</c:v>
                </c:pt>
                <c:pt idx="367">
                  <c:v>1.67</c:v>
                </c:pt>
                <c:pt idx="368">
                  <c:v>1.68</c:v>
                </c:pt>
                <c:pt idx="369">
                  <c:v>1.69</c:v>
                </c:pt>
                <c:pt idx="370">
                  <c:v>1.7</c:v>
                </c:pt>
                <c:pt idx="371">
                  <c:v>1.71</c:v>
                </c:pt>
                <c:pt idx="372">
                  <c:v>1.72</c:v>
                </c:pt>
                <c:pt idx="373">
                  <c:v>1.73</c:v>
                </c:pt>
                <c:pt idx="374">
                  <c:v>1.74</c:v>
                </c:pt>
                <c:pt idx="375">
                  <c:v>1.75</c:v>
                </c:pt>
                <c:pt idx="376">
                  <c:v>1.76</c:v>
                </c:pt>
                <c:pt idx="377">
                  <c:v>1.77</c:v>
                </c:pt>
                <c:pt idx="378">
                  <c:v>1.78</c:v>
                </c:pt>
                <c:pt idx="379">
                  <c:v>1.79</c:v>
                </c:pt>
                <c:pt idx="380">
                  <c:v>1.8</c:v>
                </c:pt>
                <c:pt idx="381">
                  <c:v>1.81</c:v>
                </c:pt>
                <c:pt idx="382">
                  <c:v>1.82</c:v>
                </c:pt>
                <c:pt idx="383">
                  <c:v>1.83</c:v>
                </c:pt>
                <c:pt idx="384">
                  <c:v>1.84</c:v>
                </c:pt>
                <c:pt idx="385">
                  <c:v>1.85</c:v>
                </c:pt>
                <c:pt idx="386">
                  <c:v>1.86</c:v>
                </c:pt>
                <c:pt idx="387">
                  <c:v>1.87</c:v>
                </c:pt>
                <c:pt idx="388">
                  <c:v>1.88</c:v>
                </c:pt>
                <c:pt idx="389">
                  <c:v>1.89</c:v>
                </c:pt>
                <c:pt idx="390">
                  <c:v>1.9</c:v>
                </c:pt>
                <c:pt idx="391">
                  <c:v>1.91</c:v>
                </c:pt>
                <c:pt idx="392">
                  <c:v>1.92</c:v>
                </c:pt>
                <c:pt idx="393">
                  <c:v>1.93</c:v>
                </c:pt>
                <c:pt idx="394">
                  <c:v>1.94</c:v>
                </c:pt>
                <c:pt idx="395">
                  <c:v>1.95</c:v>
                </c:pt>
                <c:pt idx="396">
                  <c:v>1.96</c:v>
                </c:pt>
                <c:pt idx="397">
                  <c:v>1.97</c:v>
                </c:pt>
                <c:pt idx="398">
                  <c:v>1.98</c:v>
                </c:pt>
                <c:pt idx="399">
                  <c:v>1.99</c:v>
                </c:pt>
                <c:pt idx="400">
                  <c:v>2</c:v>
                </c:pt>
              </c:numCache>
            </c:numRef>
          </c:xVal>
          <c:yVal>
            <c:numRef>
              <c:f>乗法モデル!$F$2:$F$402</c:f>
              <c:numCache>
                <c:formatCode>General</c:formatCode>
                <c:ptCount val="401"/>
                <c:pt idx="0">
                  <c:v>0.44994060092536209</c:v>
                </c:pt>
                <c:pt idx="1">
                  <c:v>0.43949864523866428</c:v>
                </c:pt>
                <c:pt idx="2">
                  <c:v>0.41447964497987333</c:v>
                </c:pt>
                <c:pt idx="3">
                  <c:v>0.37898360564756328</c:v>
                </c:pt>
                <c:pt idx="4">
                  <c:v>0.33881584342789284</c:v>
                </c:pt>
                <c:pt idx="5">
                  <c:v>0.30058327264843004</c:v>
                </c:pt>
                <c:pt idx="6">
                  <c:v>0.27065444504786396</c:v>
                </c:pt>
                <c:pt idx="7">
                  <c:v>0.25414689619673542</c:v>
                </c:pt>
                <c:pt idx="8">
                  <c:v>0.25410267637666084</c:v>
                </c:pt>
                <c:pt idx="9">
                  <c:v>0.27098472994697581</c:v>
                </c:pt>
                <c:pt idx="10">
                  <c:v>0.30257725297055488</c:v>
                </c:pt>
                <c:pt idx="11">
                  <c:v>0.34430994047397234</c:v>
                </c:pt>
                <c:pt idx="12">
                  <c:v>0.38995901588229265</c:v>
                </c:pt>
                <c:pt idx="13">
                  <c:v>0.43261770269994543</c:v>
                </c:pt>
                <c:pt idx="14">
                  <c:v>0.46578497138849545</c:v>
                </c:pt>
                <c:pt idx="15">
                  <c:v>0.48440108918440189</c:v>
                </c:pt>
                <c:pt idx="16">
                  <c:v>0.48566517777260465</c:v>
                </c:pt>
                <c:pt idx="17">
                  <c:v>0.46950286162353683</c:v>
                </c:pt>
                <c:pt idx="18">
                  <c:v>0.43860622494054374</c:v>
                </c:pt>
                <c:pt idx="19">
                  <c:v>0.39803532306018613</c:v>
                </c:pt>
                <c:pt idx="20">
                  <c:v>0.35443991995676027</c:v>
                </c:pt>
                <c:pt idx="21">
                  <c:v>0.31502096369964394</c:v>
                </c:pt>
                <c:pt idx="22">
                  <c:v>0.28639383020809878</c:v>
                </c:pt>
                <c:pt idx="23">
                  <c:v>0.27353263017581669</c:v>
                </c:pt>
                <c:pt idx="24">
                  <c:v>0.27896388426612523</c:v>
                </c:pt>
                <c:pt idx="25">
                  <c:v>0.30234007580191907</c:v>
                </c:pt>
                <c:pt idx="26">
                  <c:v>0.34046470171913512</c:v>
                </c:pt>
                <c:pt idx="27">
                  <c:v>0.38776957914106625</c:v>
                </c:pt>
                <c:pt idx="28">
                  <c:v>0.43717343841045658</c:v>
                </c:pt>
                <c:pt idx="29">
                  <c:v>0.48118960907962244</c:v>
                </c:pt>
                <c:pt idx="30">
                  <c:v>0.51310970270531686</c:v>
                </c:pt>
                <c:pt idx="31">
                  <c:v>0.52807631591479398</c:v>
                </c:pt>
                <c:pt idx="32">
                  <c:v>0.5238734055295281</c:v>
                </c:pt>
                <c:pt idx="33">
                  <c:v>0.50130595807907652</c:v>
                </c:pt>
                <c:pt idx="34">
                  <c:v>0.46410436370359409</c:v>
                </c:pt>
                <c:pt idx="35">
                  <c:v>0.41836361388075266</c:v>
                </c:pt>
                <c:pt idx="36">
                  <c:v>0.37160134122617261</c:v>
                </c:pt>
                <c:pt idx="37">
                  <c:v>0.33158007910924209</c:v>
                </c:pt>
                <c:pt idx="38">
                  <c:v>0.30507807376333645</c:v>
                </c:pt>
                <c:pt idx="39">
                  <c:v>0.29680311433919165</c:v>
                </c:pt>
                <c:pt idx="40">
                  <c:v>0.30862324143992653</c:v>
                </c:pt>
                <c:pt idx="41">
                  <c:v>0.33923979062877002</c:v>
                </c:pt>
                <c:pt idx="42">
                  <c:v>0.38435940292048731</c:v>
                </c:pt>
                <c:pt idx="43">
                  <c:v>0.43734308587164589</c:v>
                </c:pt>
                <c:pt idx="44">
                  <c:v>0.49023449041549544</c:v>
                </c:pt>
                <c:pt idx="45">
                  <c:v>0.53500835004319092</c:v>
                </c:pt>
                <c:pt idx="46">
                  <c:v>0.56484337935329298</c:v>
                </c:pt>
                <c:pt idx="47">
                  <c:v>0.57521792760014079</c:v>
                </c:pt>
                <c:pt idx="48">
                  <c:v>0.56465261395113786</c:v>
                </c:pt>
                <c:pt idx="49">
                  <c:v>0.53497826834772588</c:v>
                </c:pt>
                <c:pt idx="50">
                  <c:v>0.4910814905403269</c:v>
                </c:pt>
                <c:pt idx="51">
                  <c:v>0.4401625003578693</c:v>
                </c:pt>
                <c:pt idx="52">
                  <c:v>0.39061771138259804</c:v>
                </c:pt>
                <c:pt idx="53">
                  <c:v>0.350720232814966</c:v>
                </c:pt>
                <c:pt idx="54">
                  <c:v>0.32730546406290317</c:v>
                </c:pt>
                <c:pt idx="55">
                  <c:v>0.32467041233593763</c:v>
                </c:pt>
                <c:pt idx="56">
                  <c:v>0.34386374588068902</c:v>
                </c:pt>
                <c:pt idx="57">
                  <c:v>0.38248354626710901</c:v>
                </c:pt>
                <c:pt idx="58">
                  <c:v>0.43502045522236815</c:v>
                </c:pt>
                <c:pt idx="59">
                  <c:v>0.49369778795707869</c:v>
                </c:pt>
                <c:pt idx="60">
                  <c:v>0.54968079282409321</c:v>
                </c:pt>
                <c:pt idx="61">
                  <c:v>0.59446724609659651</c:v>
                </c:pt>
                <c:pt idx="62">
                  <c:v>0.62124071304161232</c:v>
                </c:pt>
                <c:pt idx="63">
                  <c:v>0.62597130119265754</c:v>
                </c:pt>
                <c:pt idx="64">
                  <c:v>0.60808640624314092</c:v>
                </c:pt>
                <c:pt idx="65">
                  <c:v>0.57060020868697503</c:v>
                </c:pt>
                <c:pt idx="66">
                  <c:v>0.51967532687292617</c:v>
                </c:pt>
                <c:pt idx="67">
                  <c:v>0.4636798450272574</c:v>
                </c:pt>
                <c:pt idx="68">
                  <c:v>0.41188372128133222</c:v>
                </c:pt>
                <c:pt idx="69">
                  <c:v>0.37299742217453785</c:v>
                </c:pt>
                <c:pt idx="70">
                  <c:v>0.35378294450354014</c:v>
                </c:pt>
                <c:pt idx="71">
                  <c:v>0.35795848488277543</c:v>
                </c:pt>
                <c:pt idx="72">
                  <c:v>0.38557390686622134</c:v>
                </c:pt>
                <c:pt idx="73">
                  <c:v>0.43296143728765646</c:v>
                </c:pt>
                <c:pt idx="74">
                  <c:v>0.4932759130813425</c:v>
                </c:pt>
                <c:pt idx="75">
                  <c:v>0.5575454987179882</c:v>
                </c:pt>
                <c:pt idx="76">
                  <c:v>0.61607188553748127</c:v>
                </c:pt>
                <c:pt idx="77">
                  <c:v>0.65996169470567989</c:v>
                </c:pt>
                <c:pt idx="78">
                  <c:v>0.68254750499833128</c:v>
                </c:pt>
                <c:pt idx="79">
                  <c:v>0.68047169842745348</c:v>
                </c:pt>
                <c:pt idx="80">
                  <c:v>0.65425724985885103</c:v>
                </c:pt>
                <c:pt idx="81">
                  <c:v>0.60826901085125729</c:v>
                </c:pt>
                <c:pt idx="82">
                  <c:v>0.55006467454387864</c:v>
                </c:pt>
                <c:pt idx="83">
                  <c:v>0.4892314664889596</c:v>
                </c:pt>
                <c:pt idx="84">
                  <c:v>0.43588732966444116</c:v>
                </c:pt>
                <c:pt idx="85">
                  <c:v>0.39908067136618386</c:v>
                </c:pt>
                <c:pt idx="86">
                  <c:v>0.38534152534483268</c:v>
                </c:pt>
                <c:pt idx="87">
                  <c:v>0.39761585412308814</c:v>
                </c:pt>
                <c:pt idx="88">
                  <c:v>0.43475656810475971</c:v>
                </c:pt>
                <c:pt idx="89">
                  <c:v>0.49165847174999444</c:v>
                </c:pt>
                <c:pt idx="90">
                  <c:v>0.56002314376064377</c:v>
                </c:pt>
                <c:pt idx="91">
                  <c:v>0.62963960768039573</c:v>
                </c:pt>
                <c:pt idx="92">
                  <c:v>0.68998345780773085</c:v>
                </c:pt>
                <c:pt idx="93">
                  <c:v>0.73188427181790472</c:v>
                </c:pt>
                <c:pt idx="94">
                  <c:v>0.74899740256896474</c:v>
                </c:pt>
                <c:pt idx="95">
                  <c:v>0.73884423106046315</c:v>
                </c:pt>
                <c:pt idx="96">
                  <c:v>0.70325072275548217</c:v>
                </c:pt>
                <c:pt idx="97">
                  <c:v>0.6481076627214003</c:v>
                </c:pt>
                <c:pt idx="98">
                  <c:v>0.58248272968241632</c:v>
                </c:pt>
                <c:pt idx="99">
                  <c:v>0.51721781131319278</c:v>
                </c:pt>
                <c:pt idx="100">
                  <c:v>0.46322823543034464</c:v>
                </c:pt>
                <c:pt idx="101">
                  <c:v>0.42977044408665721</c:v>
                </c:pt>
                <c:pt idx="102">
                  <c:v>0.42295276652653335</c:v>
                </c:pt>
                <c:pt idx="103">
                  <c:v>0.44472857369457869</c:v>
                </c:pt>
                <c:pt idx="104">
                  <c:v>0.49253732601396044</c:v>
                </c:pt>
                <c:pt idx="105">
                  <c:v>0.55965811600306758</c:v>
                </c:pt>
                <c:pt idx="106">
                  <c:v>0.63622795610840666</c:v>
                </c:pt>
                <c:pt idx="107">
                  <c:v>0.71077096853136612</c:v>
                </c:pt>
                <c:pt idx="108">
                  <c:v>0.77200171169093867</c:v>
                </c:pt>
                <c:pt idx="109">
                  <c:v>0.81061956285901249</c:v>
                </c:pt>
                <c:pt idx="110">
                  <c:v>0.82080915233693796</c:v>
                </c:pt>
                <c:pt idx="111">
                  <c:v>0.8012051414256145</c:v>
                </c:pt>
                <c:pt idx="112">
                  <c:v>0.75516181670445304</c:v>
                </c:pt>
                <c:pt idx="113">
                  <c:v>0.69027645230499679</c:v>
                </c:pt>
                <c:pt idx="114">
                  <c:v>0.61723326193800165</c:v>
                </c:pt>
                <c:pt idx="115">
                  <c:v>0.54814342411044792</c:v>
                </c:pt>
                <c:pt idx="116">
                  <c:v>0.4946387585805252</c:v>
                </c:pt>
                <c:pt idx="117">
                  <c:v>0.46601881149231461</c:v>
                </c:pt>
                <c:pt idx="118">
                  <c:v>0.46774619954484975</c:v>
                </c:pt>
                <c:pt idx="119">
                  <c:v>0.50053328746948722</c:v>
                </c:pt>
                <c:pt idx="120">
                  <c:v>0.56017228789956663</c:v>
                </c:pt>
                <c:pt idx="121">
                  <c:v>0.6381446537866774</c:v>
                </c:pt>
                <c:pt idx="122">
                  <c:v>0.72292232896089714</c:v>
                </c:pt>
                <c:pt idx="123">
                  <c:v>0.80176252243324286</c:v>
                </c:pt>
                <c:pt idx="124">
                  <c:v>0.86271693125900395</c:v>
                </c:pt>
                <c:pt idx="125">
                  <c:v>0.89653893530845774</c:v>
                </c:pt>
                <c:pt idx="126">
                  <c:v>0.89818468358424919</c:v>
                </c:pt>
                <c:pt idx="127">
                  <c:v>0.86766481662206718</c:v>
                </c:pt>
                <c:pt idx="128">
                  <c:v>0.81010374937544571</c:v>
                </c:pt>
                <c:pt idx="129">
                  <c:v>0.73498754322815052</c:v>
                </c:pt>
                <c:pt idx="130">
                  <c:v>0.65471000965875903</c:v>
                </c:pt>
                <c:pt idx="131">
                  <c:v>0.58263944654978039</c:v>
                </c:pt>
                <c:pt idx="132">
                  <c:v>0.53100721715968546</c:v>
                </c:pt>
                <c:pt idx="133">
                  <c:v>0.5089513181616292</c:v>
                </c:pt>
                <c:pt idx="134">
                  <c:v>0.52102750864593772</c:v>
                </c:pt>
                <c:pt idx="135">
                  <c:v>0.56643011662928</c:v>
                </c:pt>
                <c:pt idx="136">
                  <c:v>0.63905488453545467</c:v>
                </c:pt>
                <c:pt idx="137">
                  <c:v>0.72840410929147692</c:v>
                </c:pt>
                <c:pt idx="138">
                  <c:v>0.82120057965106807</c:v>
                </c:pt>
                <c:pt idx="139">
                  <c:v>0.90346263009643291</c:v>
                </c:pt>
                <c:pt idx="140">
                  <c:v>0.96271638553018946</c:v>
                </c:pt>
                <c:pt idx="141">
                  <c:v>0.98999553283160246</c:v>
                </c:pt>
                <c:pt idx="142">
                  <c:v>0.9813084274319287</c:v>
                </c:pt>
                <c:pt idx="143">
                  <c:v>0.9383330201698733</c:v>
                </c:pt>
                <c:pt idx="144">
                  <c:v>0.86821978763834351</c:v>
                </c:pt>
                <c:pt idx="145">
                  <c:v>0.78252303919466937</c:v>
                </c:pt>
                <c:pt idx="146">
                  <c:v>0.69541964633347497</c:v>
                </c:pt>
                <c:pt idx="147">
                  <c:v>0.62148935687026641</c:v>
                </c:pt>
                <c:pt idx="148">
                  <c:v>0.57340384875675687</c:v>
                </c:pt>
                <c:pt idx="149">
                  <c:v>0.55989043824528106</c:v>
                </c:pt>
                <c:pt idx="150">
                  <c:v>0.5842972387709775</c:v>
                </c:pt>
                <c:pt idx="151">
                  <c:v>0.64399506984988142</c:v>
                </c:pt>
                <c:pt idx="152">
                  <c:v>0.73072142373957272</c:v>
                </c:pt>
                <c:pt idx="153">
                  <c:v>0.83182347938488976</c:v>
                </c:pt>
                <c:pt idx="154">
                  <c:v>0.93221383496058652</c:v>
                </c:pt>
                <c:pt idx="155">
                  <c:v>1.0167371328957828</c:v>
                </c:pt>
                <c:pt idx="156">
                  <c:v>1.0725767597252083</c:v>
                </c:pt>
                <c:pt idx="157">
                  <c:v>1.0913198488860885</c:v>
                </c:pt>
                <c:pt idx="158">
                  <c:v>1.0703483558632392</c:v>
                </c:pt>
                <c:pt idx="159">
                  <c:v>1.0133268941129394</c:v>
                </c:pt>
                <c:pt idx="160">
                  <c:v>0.92969863470966796</c:v>
                </c:pt>
                <c:pt idx="161">
                  <c:v>0.83325701977821653</c:v>
                </c:pt>
                <c:pt idx="162">
                  <c:v>0.74000867082458144</c:v>
                </c:pt>
                <c:pt idx="163">
                  <c:v>0.66565813295382426</c:v>
                </c:pt>
                <c:pt idx="164">
                  <c:v>0.62310927709298247</c:v>
                </c:pt>
                <c:pt idx="165">
                  <c:v>0.62038045569557654</c:v>
                </c:pt>
                <c:pt idx="166">
                  <c:v>0.65926974028160601</c:v>
                </c:pt>
                <c:pt idx="167">
                  <c:v>0.7349916259688295</c:v>
                </c:pt>
                <c:pt idx="168">
                  <c:v>0.83685504752865947</c:v>
                </c:pt>
                <c:pt idx="169">
                  <c:v>0.949888023726567</c:v>
                </c:pt>
                <c:pt idx="170">
                  <c:v>1.0571626997538219</c:v>
                </c:pt>
                <c:pt idx="171">
                  <c:v>1.1424602228234002</c:v>
                </c:pt>
                <c:pt idx="172">
                  <c:v>1.1928563885387617</c:v>
                </c:pt>
                <c:pt idx="173">
                  <c:v>1.200816326149841</c:v>
                </c:pt>
                <c:pt idx="174">
                  <c:v>1.1654593107667328</c:v>
                </c:pt>
                <c:pt idx="175">
                  <c:v>1.092782356390712</c:v>
                </c:pt>
                <c:pt idx="176">
                  <c:v>0.99479398201987201</c:v>
                </c:pt>
                <c:pt idx="177">
                  <c:v>0.8876820487031557</c:v>
                </c:pt>
                <c:pt idx="178">
                  <c:v>0.78929456200230386</c:v>
                </c:pt>
                <c:pt idx="179">
                  <c:v>0.71632498303591841</c:v>
                </c:pt>
                <c:pt idx="180">
                  <c:v>0.6816454661615764</c:v>
                </c:pt>
                <c:pt idx="181">
                  <c:v>0.69221353649914552</c:v>
                </c:pt>
                <c:pt idx="182">
                  <c:v>0.74789199921265392</c:v>
                </c:pt>
                <c:pt idx="183">
                  <c:v>0.84138109394734606</c:v>
                </c:pt>
                <c:pt idx="184">
                  <c:v>0.95928773716099758</c:v>
                </c:pt>
                <c:pt idx="185">
                  <c:v>1.0841763750379787</c:v>
                </c:pt>
                <c:pt idx="186">
                  <c:v>1.1972880644510995</c:v>
                </c:pt>
                <c:pt idx="187">
                  <c:v>1.2815042748055443</c:v>
                </c:pt>
                <c:pt idx="188">
                  <c:v>1.3240876576340335</c:v>
                </c:pt>
                <c:pt idx="189">
                  <c:v>1.318761527288741</c:v>
                </c:pt>
                <c:pt idx="190">
                  <c:v>1.26678928561954</c:v>
                </c:pt>
                <c:pt idx="191">
                  <c:v>1.176869591649697</c:v>
                </c:pt>
                <c:pt idx="192">
                  <c:v>1.0638488713336816</c:v>
                </c:pt>
                <c:pt idx="193">
                  <c:v>0.94644066661851045</c:v>
                </c:pt>
                <c:pt idx="194">
                  <c:v>0.84430151563998856</c:v>
                </c:pt>
                <c:pt idx="195">
                  <c:v>0.77491973735321218</c:v>
                </c:pt>
                <c:pt idx="196">
                  <c:v>0.75080903570225155</c:v>
                </c:pt>
                <c:pt idx="197">
                  <c:v>0.77745668738071505</c:v>
                </c:pt>
                <c:pt idx="198">
                  <c:v>0.8523619376564685</c:v>
                </c:pt>
                <c:pt idx="199">
                  <c:v>0.96533131293226615</c:v>
                </c:pt>
                <c:pt idx="200">
                  <c:v>1.1000000000000001</c:v>
                </c:pt>
                <c:pt idx="201">
                  <c:v>1.2363532576625931</c:v>
                </c:pt>
                <c:pt idx="202">
                  <c:v>1.3538600535528822</c:v>
                </c:pt>
                <c:pt idx="203">
                  <c:v>1.43472888448989</c:v>
                </c:pt>
                <c:pt idx="204">
                  <c:v>1.4667700464015079</c:v>
                </c:pt>
                <c:pt idx="205">
                  <c:v>1.4454045325188325</c:v>
                </c:pt>
                <c:pt idx="206">
                  <c:v>1.3744894206461644</c:v>
                </c:pt>
                <c:pt idx="207">
                  <c:v>1.2658134070098543</c:v>
                </c:pt>
                <c:pt idx="208">
                  <c:v>1.1373255517700476</c:v>
                </c:pt>
                <c:pt idx="209">
                  <c:v>1.0103623812271953</c:v>
                </c:pt>
                <c:pt idx="210">
                  <c:v>0.90630104605157114</c:v>
                </c:pt>
                <c:pt idx="211">
                  <c:v>0.84316293024097377</c:v>
                </c:pt>
                <c:pt idx="212">
                  <c:v>0.83270673207586288</c:v>
                </c:pt>
                <c:pt idx="213">
                  <c:v>0.87847921499838932</c:v>
                </c:pt>
                <c:pt idx="214">
                  <c:v>0.97514570325621652</c:v>
                </c:pt>
                <c:pt idx="215">
                  <c:v>1.1092232178455259</c:v>
                </c:pt>
                <c:pt idx="216">
                  <c:v>1.2611178721475294</c:v>
                </c:pt>
                <c:pt idx="217">
                  <c:v>1.408159643306665</c:v>
                </c:pt>
                <c:pt idx="218">
                  <c:v>1.5281651958495117</c:v>
                </c:pt>
                <c:pt idx="219">
                  <c:v>1.6029694616205603</c:v>
                </c:pt>
                <c:pt idx="220">
                  <c:v>1.6213644068881898</c:v>
                </c:pt>
                <c:pt idx="221">
                  <c:v>1.5809703398680179</c:v>
                </c:pt>
                <c:pt idx="222">
                  <c:v>1.4887285750736725</c:v>
                </c:pt>
                <c:pt idx="223">
                  <c:v>1.3599192957750112</c:v>
                </c:pt>
                <c:pt idx="224">
                  <c:v>1.2158415476936053</c:v>
                </c:pt>
                <c:pt idx="225">
                  <c:v>1.080506656254413</c:v>
                </c:pt>
                <c:pt idx="226">
                  <c:v>0.9768576850919175</c:v>
                </c:pt>
                <c:pt idx="227">
                  <c:v>0.92310952427255377</c:v>
                </c:pt>
                <c:pt idx="228">
                  <c:v>0.92979275767475622</c:v>
                </c:pt>
                <c:pt idx="229">
                  <c:v>0.99798021306355655</c:v>
                </c:pt>
                <c:pt idx="230">
                  <c:v>1.1189934014654987</c:v>
                </c:pt>
                <c:pt idx="231">
                  <c:v>1.2756547656770363</c:v>
                </c:pt>
                <c:pt idx="232">
                  <c:v>1.4449068840506478</c:v>
                </c:pt>
                <c:pt idx="233">
                  <c:v>1.6014002312715714</c:v>
                </c:pt>
                <c:pt idx="234">
                  <c:v>1.7214919950603771</c:v>
                </c:pt>
                <c:pt idx="235">
                  <c:v>1.7870258550717228</c:v>
                </c:pt>
                <c:pt idx="236">
                  <c:v>1.7882892111857964</c:v>
                </c:pt>
                <c:pt idx="237">
                  <c:v>1.725667174414425</c:v>
                </c:pt>
                <c:pt idx="238">
                  <c:v>1.609713445906614</c:v>
                </c:pt>
                <c:pt idx="239">
                  <c:v>1.4596061194348218</c:v>
                </c:pt>
                <c:pt idx="240">
                  <c:v>1.300212674432373</c:v>
                </c:pt>
                <c:pt idx="241">
                  <c:v>1.1582123747029265</c:v>
                </c:pt>
                <c:pt idx="242">
                  <c:v>1.0578799449339948</c:v>
                </c:pt>
                <c:pt idx="243">
                  <c:v>1.017196135012187</c:v>
                </c:pt>
                <c:pt idx="244">
                  <c:v>1.0449075600001771</c:v>
                </c:pt>
                <c:pt idx="245">
                  <c:v>1.1390155133641919</c:v>
                </c:pt>
                <c:pt idx="246">
                  <c:v>1.2869526614796711</c:v>
                </c:pt>
                <c:pt idx="247">
                  <c:v>1.4674416974731821</c:v>
                </c:pt>
                <c:pt idx="248">
                  <c:v>1.6537626659848872</c:v>
                </c:pt>
                <c:pt idx="249">
                  <c:v>1.8179282195795836</c:v>
                </c:pt>
                <c:pt idx="250">
                  <c:v>1.9351151998000593</c:v>
                </c:pt>
                <c:pt idx="251">
                  <c:v>1.9876516318768902</c:v>
                </c:pt>
                <c:pt idx="252">
                  <c:v>1.9679196526583969</c:v>
                </c:pt>
                <c:pt idx="253">
                  <c:v>1.879698752079112</c:v>
                </c:pt>
                <c:pt idx="254">
                  <c:v>1.7377153094677642</c:v>
                </c:pt>
                <c:pt idx="255">
                  <c:v>1.5654463788934276</c:v>
                </c:pt>
                <c:pt idx="256">
                  <c:v>1.3915037465585318</c:v>
                </c:pt>
                <c:pt idx="257">
                  <c:v>1.2451542085804066</c:v>
                </c:pt>
                <c:pt idx="258">
                  <c:v>1.1516766266597802</c:v>
                </c:pt>
                <c:pt idx="259">
                  <c:v>1.1282915060946102</c:v>
                </c:pt>
                <c:pt idx="260">
                  <c:v>1.1813175689861823</c:v>
                </c:pt>
                <c:pt idx="261">
                  <c:v>1.3050234421159639</c:v>
                </c:pt>
                <c:pt idx="262">
                  <c:v>1.4823793693474547</c:v>
                </c:pt>
                <c:pt idx="263">
                  <c:v>1.6876146043200253</c:v>
                </c:pt>
                <c:pt idx="264">
                  <c:v>1.8901979200269885</c:v>
                </c:pt>
                <c:pt idx="265">
                  <c:v>2.0596274363444569</c:v>
                </c:pt>
                <c:pt idx="266">
                  <c:v>2.1702792163118954</c:v>
                </c:pt>
                <c:pt idx="267">
                  <c:v>2.2055448003306499</c:v>
                </c:pt>
                <c:pt idx="268">
                  <c:v>2.1605906550115317</c:v>
                </c:pt>
                <c:pt idx="269">
                  <c:v>2.0432826903152281</c:v>
                </c:pt>
                <c:pt idx="270">
                  <c:v>1.8731045673050351</c:v>
                </c:pt>
                <c:pt idx="271">
                  <c:v>1.6782150965921252</c:v>
                </c:pt>
                <c:pt idx="272">
                  <c:v>1.4910877148972161</c:v>
                </c:pt>
                <c:pt idx="273">
                  <c:v>1.3434062641219531</c:v>
                </c:pt>
                <c:pt idx="274">
                  <c:v>1.261018452439824</c:v>
                </c:pt>
                <c:pt idx="275">
                  <c:v>1.2597498592284628</c:v>
                </c:pt>
                <c:pt idx="276">
                  <c:v>1.3427552490535284</c:v>
                </c:pt>
                <c:pt idx="277">
                  <c:v>1.4998486277492169</c:v>
                </c:pt>
                <c:pt idx="278">
                  <c:v>1.7089448530978943</c:v>
                </c:pt>
                <c:pt idx="279">
                  <c:v>1.9394117763434711</c:v>
                </c:pt>
                <c:pt idx="280">
                  <c:v>2.1568255587671632</c:v>
                </c:pt>
                <c:pt idx="281">
                  <c:v>2.3283920308812123</c:v>
                </c:pt>
                <c:pt idx="282">
                  <c:v>2.428181278604681</c:v>
                </c:pt>
                <c:pt idx="283">
                  <c:v>2.4413409573202109</c:v>
                </c:pt>
                <c:pt idx="284">
                  <c:v>2.3666050267211758</c:v>
                </c:pt>
                <c:pt idx="285">
                  <c:v>2.2166764102572305</c:v>
                </c:pt>
                <c:pt idx="286">
                  <c:v>2.0163943789236733</c:v>
                </c:pt>
                <c:pt idx="287">
                  <c:v>1.7989483685405294</c:v>
                </c:pt>
                <c:pt idx="288">
                  <c:v>1.6007139400781973</c:v>
                </c:pt>
                <c:pt idx="289">
                  <c:v>1.4555132857474815</c:v>
                </c:pt>
                <c:pt idx="290">
                  <c:v>1.3892048734064135</c:v>
                </c:pt>
                <c:pt idx="291">
                  <c:v>1.4154666023327367</c:v>
                </c:pt>
                <c:pt idx="292">
                  <c:v>1.533458702312178</c:v>
                </c:pt>
                <c:pt idx="293">
                  <c:v>1.7277630131502839</c:v>
                </c:pt>
                <c:pt idx="294">
                  <c:v>1.9706387687686167</c:v>
                </c:pt>
                <c:pt idx="295">
                  <c:v>2.2262673463348528</c:v>
                </c:pt>
                <c:pt idx="296">
                  <c:v>2.4563379128214748</c:v>
                </c:pt>
                <c:pt idx="297">
                  <c:v>2.6261040848085102</c:v>
                </c:pt>
                <c:pt idx="298">
                  <c:v>2.7099551905762009</c:v>
                </c:pt>
                <c:pt idx="299">
                  <c:v>2.6956100529466287</c:v>
                </c:pt>
                <c:pt idx="300">
                  <c:v>2.5862481955710086</c:v>
                </c:pt>
                <c:pt idx="301">
                  <c:v>2.4002120299512471</c:v>
                </c:pt>
                <c:pt idx="302">
                  <c:v>2.168294756558331</c:v>
                </c:pt>
                <c:pt idx="303">
                  <c:v>1.9290126652569564</c:v>
                </c:pt>
                <c:pt idx="304">
                  <c:v>1.7225862586573051</c:v>
                </c:pt>
                <c:pt idx="305">
                  <c:v>1.5845695908912922</c:v>
                </c:pt>
                <c:pt idx="306">
                  <c:v>1.5401357570130094</c:v>
                </c:pt>
                <c:pt idx="307">
                  <c:v>1.5999357218624788</c:v>
                </c:pt>
                <c:pt idx="308">
                  <c:v>1.7582099235472572</c:v>
                </c:pt>
                <c:pt idx="309">
                  <c:v>1.993483138233852</c:v>
                </c:pt>
                <c:pt idx="310">
                  <c:v>2.2717669176789874</c:v>
                </c:pt>
                <c:pt idx="311">
                  <c:v>2.5517942990327427</c:v>
                </c:pt>
                <c:pt idx="312">
                  <c:v>2.7914820437282599</c:v>
                </c:pt>
                <c:pt idx="313">
                  <c:v>2.9546096982123933</c:v>
                </c:pt>
                <c:pt idx="314">
                  <c:v>3.0166566852479226</c:v>
                </c:pt>
                <c:pt idx="315">
                  <c:v>2.9688582012082771</c:v>
                </c:pt>
                <c:pt idx="316">
                  <c:v>2.8198111671660357</c:v>
                </c:pt>
                <c:pt idx="317">
                  <c:v>2.5943419028721504</c:v>
                </c:pt>
                <c:pt idx="318">
                  <c:v>2.3297785776283515</c:v>
                </c:pt>
                <c:pt idx="319">
                  <c:v>2.070185958829275</c:v>
                </c:pt>
                <c:pt idx="320">
                  <c:v>1.8594514187668965</c:v>
                </c:pt>
                <c:pt idx="321">
                  <c:v>1.7343057688363184</c:v>
                </c:pt>
                <c:pt idx="322">
                  <c:v>1.7183874858872934</c:v>
                </c:pt>
                <c:pt idx="323">
                  <c:v>1.8183080136065488</c:v>
                </c:pt>
                <c:pt idx="324">
                  <c:v>2.0223706691543297</c:v>
                </c:pt>
                <c:pt idx="325">
                  <c:v>2.3021826820634046</c:v>
                </c:pt>
                <c:pt idx="326">
                  <c:v>2.6169432295585597</c:v>
                </c:pt>
                <c:pt idx="327">
                  <c:v>2.9197620088434326</c:v>
                </c:pt>
                <c:pt idx="328">
                  <c:v>3.1650313708286584</c:v>
                </c:pt>
                <c:pt idx="329">
                  <c:v>3.3156943381774147</c:v>
                </c:pt>
                <c:pt idx="330">
                  <c:v>3.349251708835645</c:v>
                </c:pt>
                <c:pt idx="331">
                  <c:v>3.2615362234201992</c:v>
                </c:pt>
                <c:pt idx="332">
                  <c:v>3.0676235697294167</c:v>
                </c:pt>
                <c:pt idx="333">
                  <c:v>2.7996966059791095</c:v>
                </c:pt>
                <c:pt idx="334">
                  <c:v>2.5021610337578277</c:v>
                </c:pt>
                <c:pt idx="335">
                  <c:v>2.2247517249145523</c:v>
                </c:pt>
                <c:pt idx="336">
                  <c:v>2.0146983519581894</c:v>
                </c:pt>
                <c:pt idx="337">
                  <c:v>1.9091830074197409</c:v>
                </c:pt>
                <c:pt idx="338">
                  <c:v>1.9292928046310462</c:v>
                </c:pt>
                <c:pt idx="339">
                  <c:v>2.0764491217645284</c:v>
                </c:pt>
                <c:pt idx="340">
                  <c:v>2.3319147649683054</c:v>
                </c:pt>
                <c:pt idx="341">
                  <c:v>2.6594991929851619</c:v>
                </c:pt>
                <c:pt idx="342">
                  <c:v>3.0110751793714745</c:v>
                </c:pt>
                <c:pt idx="343">
                  <c:v>3.3340680988529927</c:v>
                </c:pt>
                <c:pt idx="344">
                  <c:v>3.5797540351878876</c:v>
                </c:pt>
                <c:pt idx="345">
                  <c:v>3.7110585098329776</c:v>
                </c:pt>
                <c:pt idx="346">
                  <c:v>3.7086092330048412</c:v>
                </c:pt>
                <c:pt idx="347">
                  <c:v>3.5740568897725242</c:v>
                </c:pt>
                <c:pt idx="348">
                  <c:v>3.3300988718265057</c:v>
                </c:pt>
                <c:pt idx="349">
                  <c:v>3.0171573221815051</c:v>
                </c:pt>
                <c:pt idx="350">
                  <c:v>2.6871940757730139</c:v>
                </c:pt>
                <c:pt idx="351">
                  <c:v>2.395606808303703</c:v>
                </c:pt>
                <c:pt idx="352">
                  <c:v>2.1924686024084359</c:v>
                </c:pt>
                <c:pt idx="353">
                  <c:v>2.114494709948707</c:v>
                </c:pt>
                <c:pt idx="354">
                  <c:v>2.1790235320872666</c:v>
                </c:pt>
                <c:pt idx="355">
                  <c:v>2.3809961617678228</c:v>
                </c:pt>
                <c:pt idx="356">
                  <c:v>2.6934555469059847</c:v>
                </c:pt>
                <c:pt idx="357">
                  <c:v>3.0715338967877241</c:v>
                </c:pt>
                <c:pt idx="358">
                  <c:v>3.459341974790195</c:v>
                </c:pt>
                <c:pt idx="359">
                  <c:v>3.7987045888150992</c:v>
                </c:pt>
                <c:pt idx="360">
                  <c:v>4.0383786855308381</c:v>
                </c:pt>
                <c:pt idx="361">
                  <c:v>4.1422951263747487</c:v>
                </c:pt>
                <c:pt idx="362">
                  <c:v>4.0955005276207546</c:v>
                </c:pt>
                <c:pt idx="363">
                  <c:v>3.9068231217521965</c:v>
                </c:pt>
                <c:pt idx="364">
                  <c:v>3.6077940855167743</c:v>
                </c:pt>
                <c:pt idx="365">
                  <c:v>3.247944687516545</c:v>
                </c:pt>
                <c:pt idx="366">
                  <c:v>2.8871774257493783</c:v>
                </c:pt>
                <c:pt idx="367">
                  <c:v>2.5863840431869205</c:v>
                </c:pt>
                <c:pt idx="368">
                  <c:v>2.3977780501262038</c:v>
                </c:pt>
                <c:pt idx="369">
                  <c:v>2.3564748293871158</c:v>
                </c:pt>
                <c:pt idx="370">
                  <c:v>2.4746750155275756</c:v>
                </c:pt>
                <c:pt idx="371">
                  <c:v>2.739411502011615</c:v>
                </c:pt>
                <c:pt idx="372">
                  <c:v>3.1142670096001424</c:v>
                </c:pt>
                <c:pt idx="373">
                  <c:v>3.5448434641626729</c:v>
                </c:pt>
                <c:pt idx="374">
                  <c:v>3.9671649639534277</c:v>
                </c:pt>
                <c:pt idx="375">
                  <c:v>4.3177185262217259</c:v>
                </c:pt>
                <c:pt idx="376">
                  <c:v>4.5435586855159391</c:v>
                </c:pt>
                <c:pt idx="377">
                  <c:v>4.6108703166994891</c:v>
                </c:pt>
                <c:pt idx="378">
                  <c:v>4.5106071881014378</c:v>
                </c:pt>
                <c:pt idx="379">
                  <c:v>4.2602697308059527</c:v>
                </c:pt>
                <c:pt idx="380">
                  <c:v>3.90148648937123</c:v>
                </c:pt>
                <c:pt idx="381">
                  <c:v>3.4937262768931521</c:v>
                </c:pt>
                <c:pt idx="382">
                  <c:v>3.1050877031839552</c:v>
                </c:pt>
                <c:pt idx="383">
                  <c:v>2.8015903787624574</c:v>
                </c:pt>
                <c:pt idx="384">
                  <c:v>2.6366498375964929</c:v>
                </c:pt>
                <c:pt idx="385">
                  <c:v>2.6424120770542543</c:v>
                </c:pt>
                <c:pt idx="386">
                  <c:v>2.8243509422968796</c:v>
                </c:pt>
                <c:pt idx="387">
                  <c:v>3.1600320785580807</c:v>
                </c:pt>
                <c:pt idx="388">
                  <c:v>3.602297139081041</c:v>
                </c:pt>
                <c:pt idx="389">
                  <c:v>4.0864226482174262</c:v>
                </c:pt>
                <c:pt idx="390">
                  <c:v>4.5401698778195412</c:v>
                </c:pt>
                <c:pt idx="391">
                  <c:v>4.8951675797007281</c:v>
                </c:pt>
                <c:pt idx="392">
                  <c:v>5.0978361132316623</c:v>
                </c:pt>
                <c:pt idx="393">
                  <c:v>5.1181098190827452</c:v>
                </c:pt>
                <c:pt idx="394">
                  <c:v>4.9545406046214531</c:v>
                </c:pt>
                <c:pt idx="395">
                  <c:v>4.634921592173753</c:v>
                </c:pt>
                <c:pt idx="396">
                  <c:v>4.2122701172110153</c:v>
                </c:pt>
                <c:pt idx="397">
                  <c:v>3.7567449763007978</c:v>
                </c:pt>
                <c:pt idx="398">
                  <c:v>3.3447271453609417</c:v>
                </c:pt>
                <c:pt idx="399">
                  <c:v>3.0467610715442714</c:v>
                </c:pt>
                <c:pt idx="400">
                  <c:v>2.9162581362957622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677-4D17-88F2-8CE21E2F1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570095"/>
        <c:axId val="49695905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乗法モデル!$E$1</c15:sqref>
                        </c15:formulaRef>
                      </c:ext>
                    </c:extLst>
                    <c:strCache>
                      <c:ptCount val="1"/>
                      <c:pt idx="0">
                        <c:v>S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乗法モデル!$C$2:$C$402</c15:sqref>
                        </c15:formulaRef>
                      </c:ext>
                    </c:extLst>
                    <c:numCache>
                      <c:formatCode>General</c:formatCode>
                      <c:ptCount val="401"/>
                      <c:pt idx="0">
                        <c:v>-2</c:v>
                      </c:pt>
                      <c:pt idx="1">
                        <c:v>-1.99</c:v>
                      </c:pt>
                      <c:pt idx="2">
                        <c:v>-1.98</c:v>
                      </c:pt>
                      <c:pt idx="3">
                        <c:v>-1.97</c:v>
                      </c:pt>
                      <c:pt idx="4">
                        <c:v>-1.96</c:v>
                      </c:pt>
                      <c:pt idx="5">
                        <c:v>-1.95</c:v>
                      </c:pt>
                      <c:pt idx="6">
                        <c:v>-1.94</c:v>
                      </c:pt>
                      <c:pt idx="7">
                        <c:v>-1.93</c:v>
                      </c:pt>
                      <c:pt idx="8">
                        <c:v>-1.92</c:v>
                      </c:pt>
                      <c:pt idx="9">
                        <c:v>-1.91</c:v>
                      </c:pt>
                      <c:pt idx="10">
                        <c:v>-1.9</c:v>
                      </c:pt>
                      <c:pt idx="11">
                        <c:v>-1.89</c:v>
                      </c:pt>
                      <c:pt idx="12">
                        <c:v>-1.88</c:v>
                      </c:pt>
                      <c:pt idx="13">
                        <c:v>-1.87</c:v>
                      </c:pt>
                      <c:pt idx="14">
                        <c:v>-1.86</c:v>
                      </c:pt>
                      <c:pt idx="15">
                        <c:v>-1.85</c:v>
                      </c:pt>
                      <c:pt idx="16">
                        <c:v>-1.84</c:v>
                      </c:pt>
                      <c:pt idx="17">
                        <c:v>-1.83</c:v>
                      </c:pt>
                      <c:pt idx="18">
                        <c:v>-1.82</c:v>
                      </c:pt>
                      <c:pt idx="19">
                        <c:v>-1.81</c:v>
                      </c:pt>
                      <c:pt idx="20">
                        <c:v>-1.8</c:v>
                      </c:pt>
                      <c:pt idx="21">
                        <c:v>-1.79</c:v>
                      </c:pt>
                      <c:pt idx="22">
                        <c:v>-1.78</c:v>
                      </c:pt>
                      <c:pt idx="23">
                        <c:v>-1.77</c:v>
                      </c:pt>
                      <c:pt idx="24">
                        <c:v>-1.76</c:v>
                      </c:pt>
                      <c:pt idx="25">
                        <c:v>-1.75</c:v>
                      </c:pt>
                      <c:pt idx="26">
                        <c:v>-1.74</c:v>
                      </c:pt>
                      <c:pt idx="27">
                        <c:v>-1.73</c:v>
                      </c:pt>
                      <c:pt idx="28">
                        <c:v>-1.72</c:v>
                      </c:pt>
                      <c:pt idx="29">
                        <c:v>-1.71</c:v>
                      </c:pt>
                      <c:pt idx="30">
                        <c:v>-1.7</c:v>
                      </c:pt>
                      <c:pt idx="31">
                        <c:v>-1.69</c:v>
                      </c:pt>
                      <c:pt idx="32">
                        <c:v>-1.68</c:v>
                      </c:pt>
                      <c:pt idx="33">
                        <c:v>-1.67</c:v>
                      </c:pt>
                      <c:pt idx="34">
                        <c:v>-1.66</c:v>
                      </c:pt>
                      <c:pt idx="35">
                        <c:v>-1.65</c:v>
                      </c:pt>
                      <c:pt idx="36">
                        <c:v>-1.64</c:v>
                      </c:pt>
                      <c:pt idx="37">
                        <c:v>-1.63</c:v>
                      </c:pt>
                      <c:pt idx="38">
                        <c:v>-1.62</c:v>
                      </c:pt>
                      <c:pt idx="39">
                        <c:v>-1.61</c:v>
                      </c:pt>
                      <c:pt idx="40">
                        <c:v>-1.6</c:v>
                      </c:pt>
                      <c:pt idx="41">
                        <c:v>-1.59</c:v>
                      </c:pt>
                      <c:pt idx="42">
                        <c:v>-1.58</c:v>
                      </c:pt>
                      <c:pt idx="43">
                        <c:v>-1.57</c:v>
                      </c:pt>
                      <c:pt idx="44">
                        <c:v>-1.56</c:v>
                      </c:pt>
                      <c:pt idx="45">
                        <c:v>-1.55</c:v>
                      </c:pt>
                      <c:pt idx="46">
                        <c:v>-1.54</c:v>
                      </c:pt>
                      <c:pt idx="47">
                        <c:v>-1.53</c:v>
                      </c:pt>
                      <c:pt idx="48">
                        <c:v>-1.52</c:v>
                      </c:pt>
                      <c:pt idx="49">
                        <c:v>-1.51</c:v>
                      </c:pt>
                      <c:pt idx="50">
                        <c:v>-1.5</c:v>
                      </c:pt>
                      <c:pt idx="51">
                        <c:v>-1.49</c:v>
                      </c:pt>
                      <c:pt idx="52">
                        <c:v>-1.48</c:v>
                      </c:pt>
                      <c:pt idx="53">
                        <c:v>-1.47</c:v>
                      </c:pt>
                      <c:pt idx="54">
                        <c:v>-1.46</c:v>
                      </c:pt>
                      <c:pt idx="55">
                        <c:v>-1.45</c:v>
                      </c:pt>
                      <c:pt idx="56">
                        <c:v>-1.44</c:v>
                      </c:pt>
                      <c:pt idx="57">
                        <c:v>-1.43</c:v>
                      </c:pt>
                      <c:pt idx="58">
                        <c:v>-1.42</c:v>
                      </c:pt>
                      <c:pt idx="59">
                        <c:v>-1.41</c:v>
                      </c:pt>
                      <c:pt idx="60">
                        <c:v>-1.4</c:v>
                      </c:pt>
                      <c:pt idx="61">
                        <c:v>-1.39</c:v>
                      </c:pt>
                      <c:pt idx="62">
                        <c:v>-1.38</c:v>
                      </c:pt>
                      <c:pt idx="63">
                        <c:v>-1.37</c:v>
                      </c:pt>
                      <c:pt idx="64">
                        <c:v>-1.36</c:v>
                      </c:pt>
                      <c:pt idx="65">
                        <c:v>-1.35</c:v>
                      </c:pt>
                      <c:pt idx="66">
                        <c:v>-1.34</c:v>
                      </c:pt>
                      <c:pt idx="67">
                        <c:v>-1.33</c:v>
                      </c:pt>
                      <c:pt idx="68">
                        <c:v>-1.32</c:v>
                      </c:pt>
                      <c:pt idx="69">
                        <c:v>-1.31</c:v>
                      </c:pt>
                      <c:pt idx="70">
                        <c:v>-1.3</c:v>
                      </c:pt>
                      <c:pt idx="71">
                        <c:v>-1.29</c:v>
                      </c:pt>
                      <c:pt idx="72">
                        <c:v>-1.28</c:v>
                      </c:pt>
                      <c:pt idx="73">
                        <c:v>-1.27</c:v>
                      </c:pt>
                      <c:pt idx="74">
                        <c:v>-1.26</c:v>
                      </c:pt>
                      <c:pt idx="75">
                        <c:v>-1.25</c:v>
                      </c:pt>
                      <c:pt idx="76">
                        <c:v>-1.24</c:v>
                      </c:pt>
                      <c:pt idx="77">
                        <c:v>-1.23</c:v>
                      </c:pt>
                      <c:pt idx="78">
                        <c:v>-1.22</c:v>
                      </c:pt>
                      <c:pt idx="79">
                        <c:v>-1.21</c:v>
                      </c:pt>
                      <c:pt idx="80">
                        <c:v>-1.2</c:v>
                      </c:pt>
                      <c:pt idx="81">
                        <c:v>-1.19</c:v>
                      </c:pt>
                      <c:pt idx="82">
                        <c:v>-1.18</c:v>
                      </c:pt>
                      <c:pt idx="83">
                        <c:v>-1.17</c:v>
                      </c:pt>
                      <c:pt idx="84">
                        <c:v>-1.1599999999999999</c:v>
                      </c:pt>
                      <c:pt idx="85">
                        <c:v>-1.1499999999999999</c:v>
                      </c:pt>
                      <c:pt idx="86">
                        <c:v>-1.1399999999999999</c:v>
                      </c:pt>
                      <c:pt idx="87">
                        <c:v>-1.1299999999999999</c:v>
                      </c:pt>
                      <c:pt idx="88">
                        <c:v>-1.1200000000000001</c:v>
                      </c:pt>
                      <c:pt idx="89">
                        <c:v>-1.1100000000000001</c:v>
                      </c:pt>
                      <c:pt idx="90">
                        <c:v>-1.1000000000000001</c:v>
                      </c:pt>
                      <c:pt idx="91">
                        <c:v>-1.0900000000000001</c:v>
                      </c:pt>
                      <c:pt idx="92">
                        <c:v>-1.08</c:v>
                      </c:pt>
                      <c:pt idx="93">
                        <c:v>-1.07</c:v>
                      </c:pt>
                      <c:pt idx="94">
                        <c:v>-1.06</c:v>
                      </c:pt>
                      <c:pt idx="95">
                        <c:v>-1.05</c:v>
                      </c:pt>
                      <c:pt idx="96">
                        <c:v>-1.04</c:v>
                      </c:pt>
                      <c:pt idx="97">
                        <c:v>-1.03</c:v>
                      </c:pt>
                      <c:pt idx="98">
                        <c:v>-1.02</c:v>
                      </c:pt>
                      <c:pt idx="99">
                        <c:v>-1.01</c:v>
                      </c:pt>
                      <c:pt idx="100">
                        <c:v>-1</c:v>
                      </c:pt>
                      <c:pt idx="101">
                        <c:v>-0.99</c:v>
                      </c:pt>
                      <c:pt idx="102">
                        <c:v>-0.98</c:v>
                      </c:pt>
                      <c:pt idx="103">
                        <c:v>-0.97</c:v>
                      </c:pt>
                      <c:pt idx="104">
                        <c:v>-0.96</c:v>
                      </c:pt>
                      <c:pt idx="105">
                        <c:v>-0.95</c:v>
                      </c:pt>
                      <c:pt idx="106">
                        <c:v>-0.94</c:v>
                      </c:pt>
                      <c:pt idx="107">
                        <c:v>-0.93</c:v>
                      </c:pt>
                      <c:pt idx="108">
                        <c:v>-0.92</c:v>
                      </c:pt>
                      <c:pt idx="109">
                        <c:v>-0.91</c:v>
                      </c:pt>
                      <c:pt idx="110">
                        <c:v>-0.9</c:v>
                      </c:pt>
                      <c:pt idx="111">
                        <c:v>-0.89</c:v>
                      </c:pt>
                      <c:pt idx="112">
                        <c:v>-0.88</c:v>
                      </c:pt>
                      <c:pt idx="113">
                        <c:v>-0.87</c:v>
                      </c:pt>
                      <c:pt idx="114">
                        <c:v>-0.86</c:v>
                      </c:pt>
                      <c:pt idx="115">
                        <c:v>-0.85</c:v>
                      </c:pt>
                      <c:pt idx="116">
                        <c:v>-0.84</c:v>
                      </c:pt>
                      <c:pt idx="117">
                        <c:v>-0.83</c:v>
                      </c:pt>
                      <c:pt idx="118">
                        <c:v>-0.82</c:v>
                      </c:pt>
                      <c:pt idx="119">
                        <c:v>-0.81</c:v>
                      </c:pt>
                      <c:pt idx="120">
                        <c:v>-0.8</c:v>
                      </c:pt>
                      <c:pt idx="121">
                        <c:v>-0.79</c:v>
                      </c:pt>
                      <c:pt idx="122">
                        <c:v>-0.78</c:v>
                      </c:pt>
                      <c:pt idx="123">
                        <c:v>-0.77</c:v>
                      </c:pt>
                      <c:pt idx="124">
                        <c:v>-0.76</c:v>
                      </c:pt>
                      <c:pt idx="125">
                        <c:v>-0.75</c:v>
                      </c:pt>
                      <c:pt idx="126">
                        <c:v>-0.74</c:v>
                      </c:pt>
                      <c:pt idx="127">
                        <c:v>-0.73</c:v>
                      </c:pt>
                      <c:pt idx="128">
                        <c:v>-0.72</c:v>
                      </c:pt>
                      <c:pt idx="129">
                        <c:v>-0.71</c:v>
                      </c:pt>
                      <c:pt idx="130">
                        <c:v>-0.7</c:v>
                      </c:pt>
                      <c:pt idx="131">
                        <c:v>-0.69</c:v>
                      </c:pt>
                      <c:pt idx="132">
                        <c:v>-0.68</c:v>
                      </c:pt>
                      <c:pt idx="133">
                        <c:v>-0.67</c:v>
                      </c:pt>
                      <c:pt idx="134">
                        <c:v>-0.66</c:v>
                      </c:pt>
                      <c:pt idx="135">
                        <c:v>-0.65</c:v>
                      </c:pt>
                      <c:pt idx="136">
                        <c:v>-0.64</c:v>
                      </c:pt>
                      <c:pt idx="137">
                        <c:v>-0.63</c:v>
                      </c:pt>
                      <c:pt idx="138">
                        <c:v>-0.62</c:v>
                      </c:pt>
                      <c:pt idx="139">
                        <c:v>-0.61</c:v>
                      </c:pt>
                      <c:pt idx="140">
                        <c:v>-0.6</c:v>
                      </c:pt>
                      <c:pt idx="141">
                        <c:v>-0.59</c:v>
                      </c:pt>
                      <c:pt idx="142">
                        <c:v>-0.57999999999999996</c:v>
                      </c:pt>
                      <c:pt idx="143">
                        <c:v>-0.56999999999999995</c:v>
                      </c:pt>
                      <c:pt idx="144">
                        <c:v>-0.56000000000000005</c:v>
                      </c:pt>
                      <c:pt idx="145">
                        <c:v>-0.55000000000000004</c:v>
                      </c:pt>
                      <c:pt idx="146">
                        <c:v>-0.54</c:v>
                      </c:pt>
                      <c:pt idx="147">
                        <c:v>-0.53</c:v>
                      </c:pt>
                      <c:pt idx="148">
                        <c:v>-0.52</c:v>
                      </c:pt>
                      <c:pt idx="149">
                        <c:v>-0.51</c:v>
                      </c:pt>
                      <c:pt idx="150">
                        <c:v>-0.5</c:v>
                      </c:pt>
                      <c:pt idx="151">
                        <c:v>-0.49</c:v>
                      </c:pt>
                      <c:pt idx="152">
                        <c:v>-0.48</c:v>
                      </c:pt>
                      <c:pt idx="153">
                        <c:v>-0.47</c:v>
                      </c:pt>
                      <c:pt idx="154">
                        <c:v>-0.46</c:v>
                      </c:pt>
                      <c:pt idx="155">
                        <c:v>-0.45</c:v>
                      </c:pt>
                      <c:pt idx="156">
                        <c:v>-0.44</c:v>
                      </c:pt>
                      <c:pt idx="157">
                        <c:v>-0.43</c:v>
                      </c:pt>
                      <c:pt idx="158">
                        <c:v>-0.42</c:v>
                      </c:pt>
                      <c:pt idx="159">
                        <c:v>-0.41</c:v>
                      </c:pt>
                      <c:pt idx="160">
                        <c:v>-0.4</c:v>
                      </c:pt>
                      <c:pt idx="161">
                        <c:v>-0.39</c:v>
                      </c:pt>
                      <c:pt idx="162">
                        <c:v>-0.38</c:v>
                      </c:pt>
                      <c:pt idx="163">
                        <c:v>-0.37</c:v>
                      </c:pt>
                      <c:pt idx="164">
                        <c:v>-0.36</c:v>
                      </c:pt>
                      <c:pt idx="165">
                        <c:v>-0.35</c:v>
                      </c:pt>
                      <c:pt idx="166">
                        <c:v>-0.34</c:v>
                      </c:pt>
                      <c:pt idx="167">
                        <c:v>-0.33</c:v>
                      </c:pt>
                      <c:pt idx="168">
                        <c:v>-0.32</c:v>
                      </c:pt>
                      <c:pt idx="169">
                        <c:v>-0.31</c:v>
                      </c:pt>
                      <c:pt idx="170">
                        <c:v>-0.3</c:v>
                      </c:pt>
                      <c:pt idx="171">
                        <c:v>-0.28999999999999998</c:v>
                      </c:pt>
                      <c:pt idx="172">
                        <c:v>-0.28000000000000003</c:v>
                      </c:pt>
                      <c:pt idx="173">
                        <c:v>-0.27</c:v>
                      </c:pt>
                      <c:pt idx="174">
                        <c:v>-0.26</c:v>
                      </c:pt>
                      <c:pt idx="175">
                        <c:v>-0.25</c:v>
                      </c:pt>
                      <c:pt idx="176">
                        <c:v>-0.24</c:v>
                      </c:pt>
                      <c:pt idx="177">
                        <c:v>-0.23</c:v>
                      </c:pt>
                      <c:pt idx="178">
                        <c:v>-0.22</c:v>
                      </c:pt>
                      <c:pt idx="179">
                        <c:v>-0.21</c:v>
                      </c:pt>
                      <c:pt idx="180">
                        <c:v>-0.2</c:v>
                      </c:pt>
                      <c:pt idx="181">
                        <c:v>-0.19</c:v>
                      </c:pt>
                      <c:pt idx="182">
                        <c:v>-0.18</c:v>
                      </c:pt>
                      <c:pt idx="183">
                        <c:v>-0.17</c:v>
                      </c:pt>
                      <c:pt idx="184">
                        <c:v>-0.16</c:v>
                      </c:pt>
                      <c:pt idx="185">
                        <c:v>-0.15</c:v>
                      </c:pt>
                      <c:pt idx="186">
                        <c:v>-0.14000000000000001</c:v>
                      </c:pt>
                      <c:pt idx="187">
                        <c:v>-0.13</c:v>
                      </c:pt>
                      <c:pt idx="188">
                        <c:v>-0.12</c:v>
                      </c:pt>
                      <c:pt idx="189">
                        <c:v>-0.11</c:v>
                      </c:pt>
                      <c:pt idx="190">
                        <c:v>-0.1</c:v>
                      </c:pt>
                      <c:pt idx="191">
                        <c:v>-9.0000000000000094E-2</c:v>
                      </c:pt>
                      <c:pt idx="192">
                        <c:v>-8.0000000000000099E-2</c:v>
                      </c:pt>
                      <c:pt idx="193">
                        <c:v>-7.0000000000000104E-2</c:v>
                      </c:pt>
                      <c:pt idx="194">
                        <c:v>-6.0000000000000102E-2</c:v>
                      </c:pt>
                      <c:pt idx="195">
                        <c:v>-0.05</c:v>
                      </c:pt>
                      <c:pt idx="196">
                        <c:v>-0.04</c:v>
                      </c:pt>
                      <c:pt idx="197">
                        <c:v>-0.03</c:v>
                      </c:pt>
                      <c:pt idx="198">
                        <c:v>-0.02</c:v>
                      </c:pt>
                      <c:pt idx="199">
                        <c:v>-0.01</c:v>
                      </c:pt>
                      <c:pt idx="200">
                        <c:v>0</c:v>
                      </c:pt>
                      <c:pt idx="201">
                        <c:v>9.9999999999997903E-3</c:v>
                      </c:pt>
                      <c:pt idx="202">
                        <c:v>0.02</c:v>
                      </c:pt>
                      <c:pt idx="203">
                        <c:v>2.9999999999999801E-2</c:v>
                      </c:pt>
                      <c:pt idx="204">
                        <c:v>0.04</c:v>
                      </c:pt>
                      <c:pt idx="205">
                        <c:v>4.9999999999999802E-2</c:v>
                      </c:pt>
                      <c:pt idx="206">
                        <c:v>6.0000000000000102E-2</c:v>
                      </c:pt>
                      <c:pt idx="207">
                        <c:v>6.9999999999999798E-2</c:v>
                      </c:pt>
                      <c:pt idx="208">
                        <c:v>8.0000000000000099E-2</c:v>
                      </c:pt>
                      <c:pt idx="209">
                        <c:v>8.99999999999999E-2</c:v>
                      </c:pt>
                      <c:pt idx="210">
                        <c:v>0.1</c:v>
                      </c:pt>
                      <c:pt idx="211">
                        <c:v>0.11</c:v>
                      </c:pt>
                      <c:pt idx="212">
                        <c:v>0.12</c:v>
                      </c:pt>
                      <c:pt idx="213">
                        <c:v>0.13</c:v>
                      </c:pt>
                      <c:pt idx="214">
                        <c:v>0.14000000000000001</c:v>
                      </c:pt>
                      <c:pt idx="215">
                        <c:v>0.15</c:v>
                      </c:pt>
                      <c:pt idx="216">
                        <c:v>0.16</c:v>
                      </c:pt>
                      <c:pt idx="217">
                        <c:v>0.17</c:v>
                      </c:pt>
                      <c:pt idx="218">
                        <c:v>0.18</c:v>
                      </c:pt>
                      <c:pt idx="219">
                        <c:v>0.19</c:v>
                      </c:pt>
                      <c:pt idx="220">
                        <c:v>0.2</c:v>
                      </c:pt>
                      <c:pt idx="221">
                        <c:v>0.21</c:v>
                      </c:pt>
                      <c:pt idx="222">
                        <c:v>0.22</c:v>
                      </c:pt>
                      <c:pt idx="223">
                        <c:v>0.23</c:v>
                      </c:pt>
                      <c:pt idx="224">
                        <c:v>0.24</c:v>
                      </c:pt>
                      <c:pt idx="225">
                        <c:v>0.25</c:v>
                      </c:pt>
                      <c:pt idx="226">
                        <c:v>0.26</c:v>
                      </c:pt>
                      <c:pt idx="227">
                        <c:v>0.27</c:v>
                      </c:pt>
                      <c:pt idx="228">
                        <c:v>0.28000000000000003</c:v>
                      </c:pt>
                      <c:pt idx="229">
                        <c:v>0.28999999999999998</c:v>
                      </c:pt>
                      <c:pt idx="230">
                        <c:v>0.3</c:v>
                      </c:pt>
                      <c:pt idx="231">
                        <c:v>0.31</c:v>
                      </c:pt>
                      <c:pt idx="232">
                        <c:v>0.32</c:v>
                      </c:pt>
                      <c:pt idx="233">
                        <c:v>0.33</c:v>
                      </c:pt>
                      <c:pt idx="234">
                        <c:v>0.34</c:v>
                      </c:pt>
                      <c:pt idx="235">
                        <c:v>0.35</c:v>
                      </c:pt>
                      <c:pt idx="236">
                        <c:v>0.36</c:v>
                      </c:pt>
                      <c:pt idx="237">
                        <c:v>0.37</c:v>
                      </c:pt>
                      <c:pt idx="238">
                        <c:v>0.38</c:v>
                      </c:pt>
                      <c:pt idx="239">
                        <c:v>0.39</c:v>
                      </c:pt>
                      <c:pt idx="240">
                        <c:v>0.4</c:v>
                      </c:pt>
                      <c:pt idx="241">
                        <c:v>0.41</c:v>
                      </c:pt>
                      <c:pt idx="242">
                        <c:v>0.42</c:v>
                      </c:pt>
                      <c:pt idx="243">
                        <c:v>0.43</c:v>
                      </c:pt>
                      <c:pt idx="244">
                        <c:v>0.44</c:v>
                      </c:pt>
                      <c:pt idx="245">
                        <c:v>0.45</c:v>
                      </c:pt>
                      <c:pt idx="246">
                        <c:v>0.46</c:v>
                      </c:pt>
                      <c:pt idx="247">
                        <c:v>0.47</c:v>
                      </c:pt>
                      <c:pt idx="248">
                        <c:v>0.48</c:v>
                      </c:pt>
                      <c:pt idx="249">
                        <c:v>0.49</c:v>
                      </c:pt>
                      <c:pt idx="250">
                        <c:v>0.5</c:v>
                      </c:pt>
                      <c:pt idx="251">
                        <c:v>0.51</c:v>
                      </c:pt>
                      <c:pt idx="252">
                        <c:v>0.52</c:v>
                      </c:pt>
                      <c:pt idx="253">
                        <c:v>0.53</c:v>
                      </c:pt>
                      <c:pt idx="254">
                        <c:v>0.54</c:v>
                      </c:pt>
                      <c:pt idx="255">
                        <c:v>0.55000000000000004</c:v>
                      </c:pt>
                      <c:pt idx="256">
                        <c:v>0.56000000000000005</c:v>
                      </c:pt>
                      <c:pt idx="257">
                        <c:v>0.56999999999999995</c:v>
                      </c:pt>
                      <c:pt idx="258">
                        <c:v>0.57999999999999996</c:v>
                      </c:pt>
                      <c:pt idx="259">
                        <c:v>0.59</c:v>
                      </c:pt>
                      <c:pt idx="260">
                        <c:v>0.6</c:v>
                      </c:pt>
                      <c:pt idx="261">
                        <c:v>0.61</c:v>
                      </c:pt>
                      <c:pt idx="262">
                        <c:v>0.62</c:v>
                      </c:pt>
                      <c:pt idx="263">
                        <c:v>0.63</c:v>
                      </c:pt>
                      <c:pt idx="264">
                        <c:v>0.64</c:v>
                      </c:pt>
                      <c:pt idx="265">
                        <c:v>0.65</c:v>
                      </c:pt>
                      <c:pt idx="266">
                        <c:v>0.66</c:v>
                      </c:pt>
                      <c:pt idx="267">
                        <c:v>0.67</c:v>
                      </c:pt>
                      <c:pt idx="268">
                        <c:v>0.68</c:v>
                      </c:pt>
                      <c:pt idx="269">
                        <c:v>0.69</c:v>
                      </c:pt>
                      <c:pt idx="270">
                        <c:v>0.7</c:v>
                      </c:pt>
                      <c:pt idx="271">
                        <c:v>0.71</c:v>
                      </c:pt>
                      <c:pt idx="272">
                        <c:v>0.72</c:v>
                      </c:pt>
                      <c:pt idx="273">
                        <c:v>0.73</c:v>
                      </c:pt>
                      <c:pt idx="274">
                        <c:v>0.74</c:v>
                      </c:pt>
                      <c:pt idx="275">
                        <c:v>0.75</c:v>
                      </c:pt>
                      <c:pt idx="276">
                        <c:v>0.76</c:v>
                      </c:pt>
                      <c:pt idx="277">
                        <c:v>0.77</c:v>
                      </c:pt>
                      <c:pt idx="278">
                        <c:v>0.78</c:v>
                      </c:pt>
                      <c:pt idx="279">
                        <c:v>0.79</c:v>
                      </c:pt>
                      <c:pt idx="280">
                        <c:v>0.8</c:v>
                      </c:pt>
                      <c:pt idx="281">
                        <c:v>0.81</c:v>
                      </c:pt>
                      <c:pt idx="282">
                        <c:v>0.82</c:v>
                      </c:pt>
                      <c:pt idx="283">
                        <c:v>0.83</c:v>
                      </c:pt>
                      <c:pt idx="284">
                        <c:v>0.84</c:v>
                      </c:pt>
                      <c:pt idx="285">
                        <c:v>0.85</c:v>
                      </c:pt>
                      <c:pt idx="286">
                        <c:v>0.86</c:v>
                      </c:pt>
                      <c:pt idx="287">
                        <c:v>0.87</c:v>
                      </c:pt>
                      <c:pt idx="288">
                        <c:v>0.88</c:v>
                      </c:pt>
                      <c:pt idx="289">
                        <c:v>0.89</c:v>
                      </c:pt>
                      <c:pt idx="290">
                        <c:v>0.9</c:v>
                      </c:pt>
                      <c:pt idx="291">
                        <c:v>0.91</c:v>
                      </c:pt>
                      <c:pt idx="292">
                        <c:v>0.92</c:v>
                      </c:pt>
                      <c:pt idx="293">
                        <c:v>0.93</c:v>
                      </c:pt>
                      <c:pt idx="294">
                        <c:v>0.94</c:v>
                      </c:pt>
                      <c:pt idx="295">
                        <c:v>0.95</c:v>
                      </c:pt>
                      <c:pt idx="296">
                        <c:v>0.96</c:v>
                      </c:pt>
                      <c:pt idx="297">
                        <c:v>0.97</c:v>
                      </c:pt>
                      <c:pt idx="298">
                        <c:v>0.98</c:v>
                      </c:pt>
                      <c:pt idx="299">
                        <c:v>0.99</c:v>
                      </c:pt>
                      <c:pt idx="300">
                        <c:v>1</c:v>
                      </c:pt>
                      <c:pt idx="301">
                        <c:v>1.01</c:v>
                      </c:pt>
                      <c:pt idx="302">
                        <c:v>1.02</c:v>
                      </c:pt>
                      <c:pt idx="303">
                        <c:v>1.03</c:v>
                      </c:pt>
                      <c:pt idx="304">
                        <c:v>1.04</c:v>
                      </c:pt>
                      <c:pt idx="305">
                        <c:v>1.05</c:v>
                      </c:pt>
                      <c:pt idx="306">
                        <c:v>1.06</c:v>
                      </c:pt>
                      <c:pt idx="307">
                        <c:v>1.07</c:v>
                      </c:pt>
                      <c:pt idx="308">
                        <c:v>1.08</c:v>
                      </c:pt>
                      <c:pt idx="309">
                        <c:v>1.0900000000000001</c:v>
                      </c:pt>
                      <c:pt idx="310">
                        <c:v>1.1000000000000001</c:v>
                      </c:pt>
                      <c:pt idx="311">
                        <c:v>1.1100000000000001</c:v>
                      </c:pt>
                      <c:pt idx="312">
                        <c:v>1.1200000000000001</c:v>
                      </c:pt>
                      <c:pt idx="313">
                        <c:v>1.1299999999999999</c:v>
                      </c:pt>
                      <c:pt idx="314">
                        <c:v>1.1399999999999999</c:v>
                      </c:pt>
                      <c:pt idx="315">
                        <c:v>1.1499999999999999</c:v>
                      </c:pt>
                      <c:pt idx="316">
                        <c:v>1.1599999999999999</c:v>
                      </c:pt>
                      <c:pt idx="317">
                        <c:v>1.17</c:v>
                      </c:pt>
                      <c:pt idx="318">
                        <c:v>1.18</c:v>
                      </c:pt>
                      <c:pt idx="319">
                        <c:v>1.19</c:v>
                      </c:pt>
                      <c:pt idx="320">
                        <c:v>1.2</c:v>
                      </c:pt>
                      <c:pt idx="321">
                        <c:v>1.21</c:v>
                      </c:pt>
                      <c:pt idx="322">
                        <c:v>1.22</c:v>
                      </c:pt>
                      <c:pt idx="323">
                        <c:v>1.23</c:v>
                      </c:pt>
                      <c:pt idx="324">
                        <c:v>1.24</c:v>
                      </c:pt>
                      <c:pt idx="325">
                        <c:v>1.25</c:v>
                      </c:pt>
                      <c:pt idx="326">
                        <c:v>1.26</c:v>
                      </c:pt>
                      <c:pt idx="327">
                        <c:v>1.27</c:v>
                      </c:pt>
                      <c:pt idx="328">
                        <c:v>1.28</c:v>
                      </c:pt>
                      <c:pt idx="329">
                        <c:v>1.29</c:v>
                      </c:pt>
                      <c:pt idx="330">
                        <c:v>1.3</c:v>
                      </c:pt>
                      <c:pt idx="331">
                        <c:v>1.31</c:v>
                      </c:pt>
                      <c:pt idx="332">
                        <c:v>1.32</c:v>
                      </c:pt>
                      <c:pt idx="333">
                        <c:v>1.33</c:v>
                      </c:pt>
                      <c:pt idx="334">
                        <c:v>1.34</c:v>
                      </c:pt>
                      <c:pt idx="335">
                        <c:v>1.35</c:v>
                      </c:pt>
                      <c:pt idx="336">
                        <c:v>1.36</c:v>
                      </c:pt>
                      <c:pt idx="337">
                        <c:v>1.37</c:v>
                      </c:pt>
                      <c:pt idx="338">
                        <c:v>1.38</c:v>
                      </c:pt>
                      <c:pt idx="339">
                        <c:v>1.39</c:v>
                      </c:pt>
                      <c:pt idx="340">
                        <c:v>1.4</c:v>
                      </c:pt>
                      <c:pt idx="341">
                        <c:v>1.41</c:v>
                      </c:pt>
                      <c:pt idx="342">
                        <c:v>1.42</c:v>
                      </c:pt>
                      <c:pt idx="343">
                        <c:v>1.43</c:v>
                      </c:pt>
                      <c:pt idx="344">
                        <c:v>1.44</c:v>
                      </c:pt>
                      <c:pt idx="345">
                        <c:v>1.45</c:v>
                      </c:pt>
                      <c:pt idx="346">
                        <c:v>1.46</c:v>
                      </c:pt>
                      <c:pt idx="347">
                        <c:v>1.47</c:v>
                      </c:pt>
                      <c:pt idx="348">
                        <c:v>1.48</c:v>
                      </c:pt>
                      <c:pt idx="349">
                        <c:v>1.49</c:v>
                      </c:pt>
                      <c:pt idx="350">
                        <c:v>1.5</c:v>
                      </c:pt>
                      <c:pt idx="351">
                        <c:v>1.51</c:v>
                      </c:pt>
                      <c:pt idx="352">
                        <c:v>1.52</c:v>
                      </c:pt>
                      <c:pt idx="353">
                        <c:v>1.53</c:v>
                      </c:pt>
                      <c:pt idx="354">
                        <c:v>1.54</c:v>
                      </c:pt>
                      <c:pt idx="355">
                        <c:v>1.55</c:v>
                      </c:pt>
                      <c:pt idx="356">
                        <c:v>1.56</c:v>
                      </c:pt>
                      <c:pt idx="357">
                        <c:v>1.57</c:v>
                      </c:pt>
                      <c:pt idx="358">
                        <c:v>1.58</c:v>
                      </c:pt>
                      <c:pt idx="359">
                        <c:v>1.59</c:v>
                      </c:pt>
                      <c:pt idx="360">
                        <c:v>1.6</c:v>
                      </c:pt>
                      <c:pt idx="361">
                        <c:v>1.61</c:v>
                      </c:pt>
                      <c:pt idx="362">
                        <c:v>1.62</c:v>
                      </c:pt>
                      <c:pt idx="363">
                        <c:v>1.63</c:v>
                      </c:pt>
                      <c:pt idx="364">
                        <c:v>1.64</c:v>
                      </c:pt>
                      <c:pt idx="365">
                        <c:v>1.65</c:v>
                      </c:pt>
                      <c:pt idx="366">
                        <c:v>1.66</c:v>
                      </c:pt>
                      <c:pt idx="367">
                        <c:v>1.67</c:v>
                      </c:pt>
                      <c:pt idx="368">
                        <c:v>1.68</c:v>
                      </c:pt>
                      <c:pt idx="369">
                        <c:v>1.69</c:v>
                      </c:pt>
                      <c:pt idx="370">
                        <c:v>1.7</c:v>
                      </c:pt>
                      <c:pt idx="371">
                        <c:v>1.71</c:v>
                      </c:pt>
                      <c:pt idx="372">
                        <c:v>1.72</c:v>
                      </c:pt>
                      <c:pt idx="373">
                        <c:v>1.73</c:v>
                      </c:pt>
                      <c:pt idx="374">
                        <c:v>1.74</c:v>
                      </c:pt>
                      <c:pt idx="375">
                        <c:v>1.75</c:v>
                      </c:pt>
                      <c:pt idx="376">
                        <c:v>1.76</c:v>
                      </c:pt>
                      <c:pt idx="377">
                        <c:v>1.77</c:v>
                      </c:pt>
                      <c:pt idx="378">
                        <c:v>1.78</c:v>
                      </c:pt>
                      <c:pt idx="379">
                        <c:v>1.79</c:v>
                      </c:pt>
                      <c:pt idx="380">
                        <c:v>1.8</c:v>
                      </c:pt>
                      <c:pt idx="381">
                        <c:v>1.81</c:v>
                      </c:pt>
                      <c:pt idx="382">
                        <c:v>1.82</c:v>
                      </c:pt>
                      <c:pt idx="383">
                        <c:v>1.83</c:v>
                      </c:pt>
                      <c:pt idx="384">
                        <c:v>1.84</c:v>
                      </c:pt>
                      <c:pt idx="385">
                        <c:v>1.85</c:v>
                      </c:pt>
                      <c:pt idx="386">
                        <c:v>1.86</c:v>
                      </c:pt>
                      <c:pt idx="387">
                        <c:v>1.87</c:v>
                      </c:pt>
                      <c:pt idx="388">
                        <c:v>1.88</c:v>
                      </c:pt>
                      <c:pt idx="389">
                        <c:v>1.89</c:v>
                      </c:pt>
                      <c:pt idx="390">
                        <c:v>1.9</c:v>
                      </c:pt>
                      <c:pt idx="391">
                        <c:v>1.91</c:v>
                      </c:pt>
                      <c:pt idx="392">
                        <c:v>1.92</c:v>
                      </c:pt>
                      <c:pt idx="393">
                        <c:v>1.93</c:v>
                      </c:pt>
                      <c:pt idx="394">
                        <c:v>1.94</c:v>
                      </c:pt>
                      <c:pt idx="395">
                        <c:v>1.95</c:v>
                      </c:pt>
                      <c:pt idx="396">
                        <c:v>1.96</c:v>
                      </c:pt>
                      <c:pt idx="397">
                        <c:v>1.97</c:v>
                      </c:pt>
                      <c:pt idx="398">
                        <c:v>1.98</c:v>
                      </c:pt>
                      <c:pt idx="399">
                        <c:v>1.99</c:v>
                      </c:pt>
                      <c:pt idx="400">
                        <c:v>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乗法モデル!$E$2:$E$402</c15:sqref>
                        </c15:formulaRef>
                      </c:ext>
                    </c:extLst>
                    <c:numCache>
                      <c:formatCode>General</c:formatCode>
                      <c:ptCount val="401"/>
                      <c:pt idx="0">
                        <c:v>1.2981665961770126</c:v>
                      </c:pt>
                      <c:pt idx="1">
                        <c:v>1.2617335762009083</c:v>
                      </c:pt>
                      <c:pt idx="2">
                        <c:v>1.1839785795420668</c:v>
                      </c:pt>
                      <c:pt idx="3">
                        <c:v>1.0771774104955985</c:v>
                      </c:pt>
                      <c:pt idx="4">
                        <c:v>0.9581916253092263</c:v>
                      </c:pt>
                      <c:pt idx="5">
                        <c:v>0.84580646320373942</c:v>
                      </c:pt>
                      <c:pt idx="6">
                        <c:v>0.75776507015000605</c:v>
                      </c:pt>
                      <c:pt idx="7">
                        <c:v>0.70796724625655338</c:v>
                      </c:pt>
                      <c:pt idx="8">
                        <c:v>0.70427497296131547</c:v>
                      </c:pt>
                      <c:pt idx="9">
                        <c:v>0.74727117903188622</c:v>
                      </c:pt>
                      <c:pt idx="10">
                        <c:v>0.83016770893054592</c:v>
                      </c:pt>
                      <c:pt idx="11">
                        <c:v>0.93987702331567946</c:v>
                      </c:pt>
                      <c:pt idx="12">
                        <c:v>1.0590784337349093</c:v>
                      </c:pt>
                      <c:pt idx="13">
                        <c:v>1.1689526584843315</c:v>
                      </c:pt>
                      <c:pt idx="14">
                        <c:v>1.252152973391115</c:v>
                      </c:pt>
                      <c:pt idx="15">
                        <c:v>1.2955438781404742</c:v>
                      </c:pt>
                      <c:pt idx="16">
                        <c:v>1.29227490295195</c:v>
                      </c:pt>
                      <c:pt idx="17">
                        <c:v>1.2428621471295651</c:v>
                      </c:pt>
                      <c:pt idx="18">
                        <c:v>1.155106798329713</c:v>
                      </c:pt>
                      <c:pt idx="19">
                        <c:v>1.0428634965627797</c:v>
                      </c:pt>
                      <c:pt idx="20">
                        <c:v>0.92385299117138908</c:v>
                      </c:pt>
                      <c:pt idx="21">
                        <c:v>0.81686442415316718</c:v>
                      </c:pt>
                      <c:pt idx="22">
                        <c:v>0.73878893777506449</c:v>
                      </c:pt>
                      <c:pt idx="23">
                        <c:v>0.70195293461193364</c:v>
                      </c:pt>
                      <c:pt idx="24">
                        <c:v>0.71217200961298488</c:v>
                      </c:pt>
                      <c:pt idx="25">
                        <c:v>0.76783279553263328</c:v>
                      </c:pt>
                      <c:pt idx="26">
                        <c:v>0.8601476781438484</c:v>
                      </c:pt>
                      <c:pt idx="27">
                        <c:v>0.97454216730248622</c:v>
                      </c:pt>
                      <c:pt idx="28">
                        <c:v>1.0929558884770931</c:v>
                      </c:pt>
                      <c:pt idx="29">
                        <c:v>1.1966939187757757</c:v>
                      </c:pt>
                      <c:pt idx="30">
                        <c:v>1.2693783042067874</c:v>
                      </c:pt>
                      <c:pt idx="31">
                        <c:v>1.2995337784952534</c:v>
                      </c:pt>
                      <c:pt idx="32">
                        <c:v>1.2823994553097688</c:v>
                      </c:pt>
                      <c:pt idx="33">
                        <c:v>1.2206804675317238</c:v>
                      </c:pt>
                      <c:pt idx="34">
                        <c:v>1.1241208862538119</c:v>
                      </c:pt>
                      <c:pt idx="35">
                        <c:v>1.00796534620719</c:v>
                      </c:pt>
                      <c:pt idx="36">
                        <c:v>0.89055225313652731</c:v>
                      </c:pt>
                      <c:pt idx="37">
                        <c:v>0.79041855275791773</c:v>
                      </c:pt>
                      <c:pt idx="38">
                        <c:v>0.72337315462076601</c:v>
                      </c:pt>
                      <c:pt idx="39">
                        <c:v>0.70000105289631809</c:v>
                      </c:pt>
                      <c:pt idx="40">
                        <c:v>0.72399218854096281</c:v>
                      </c:pt>
                      <c:pt idx="41">
                        <c:v>0.79155888875363822</c:v>
                      </c:pt>
                      <c:pt idx="42">
                        <c:v>0.89203385722775719</c:v>
                      </c:pt>
                      <c:pt idx="43">
                        <c:v>1.0095543056854428</c:v>
                      </c:pt>
                      <c:pt idx="44">
                        <c:v>1.1255663393555257</c:v>
                      </c:pt>
                      <c:pt idx="45">
                        <c:v>1.2217542089947668</c:v>
                      </c:pt>
                      <c:pt idx="46">
                        <c:v>1.2829319649665596</c:v>
                      </c:pt>
                      <c:pt idx="47">
                        <c:v>1.2994409847798112</c:v>
                      </c:pt>
                      <c:pt idx="48">
                        <c:v>1.268674857206431</c:v>
                      </c:pt>
                      <c:pt idx="49">
                        <c:v>1.1954908773044663</c:v>
                      </c:pt>
                      <c:pt idx="50">
                        <c:v>1.0914431863306651</c:v>
                      </c:pt>
                      <c:pt idx="51">
                        <c:v>0.97295862688856039</c:v>
                      </c:pt>
                      <c:pt idx="52">
                        <c:v>0.85874330567488399</c:v>
                      </c:pt>
                      <c:pt idx="53">
                        <c:v>0.76682931054213199</c:v>
                      </c:pt>
                      <c:pt idx="54">
                        <c:v>0.71172784031631386</c:v>
                      </c:pt>
                      <c:pt idx="55">
                        <c:v>0.7021382055746388</c:v>
                      </c:pt>
                      <c:pt idx="56">
                        <c:v>0.73957439878587461</c:v>
                      </c:pt>
                      <c:pt idx="57">
                        <c:v>0.81812606818919797</c:v>
                      </c:pt>
                      <c:pt idx="58">
                        <c:v>0.92539163238038469</c:v>
                      </c:pt>
                      <c:pt idx="59">
                        <c:v>1.044436217329491</c:v>
                      </c:pt>
                      <c:pt idx="60">
                        <c:v>1.1564653006260737</c:v>
                      </c:pt>
                      <c:pt idx="61">
                        <c:v>1.2437919533137336</c:v>
                      </c:pt>
                      <c:pt idx="62">
                        <c:v>1.2926292170720297</c:v>
                      </c:pt>
                      <c:pt idx="63">
                        <c:v>1.2952667617875666</c:v>
                      </c:pt>
                      <c:pt idx="64">
                        <c:v>1.2512881771441093</c:v>
                      </c:pt>
                      <c:pt idx="65">
                        <c:v>1.1676367146554849</c:v>
                      </c:pt>
                      <c:pt idx="66">
                        <c:v>1.0575191009198097</c:v>
                      </c:pt>
                      <c:pt idx="67">
                        <c:v>0.93832048587921968</c:v>
                      </c:pt>
                      <c:pt idx="68">
                        <c:v>0.82885970990878832</c:v>
                      </c:pt>
                      <c:pt idx="69">
                        <c:v>0.74641822271007308</c:v>
                      </c:pt>
                      <c:pt idx="70">
                        <c:v>0.70401172238785437</c:v>
                      </c:pt>
                      <c:pt idx="71">
                        <c:v>0.70833526290863835</c:v>
                      </c:pt>
                      <c:pt idx="72">
                        <c:v>0.75870625229022581</c:v>
                      </c:pt>
                      <c:pt idx="73">
                        <c:v>0.84717221886687122</c:v>
                      </c:pt>
                      <c:pt idx="74">
                        <c:v>0.95976633170630288</c:v>
                      </c:pt>
                      <c:pt idx="75">
                        <c:v>1.0787124561111787</c:v>
                      </c:pt>
                      <c:pt idx="76">
                        <c:v>1.1852316144260384</c:v>
                      </c:pt>
                      <c:pt idx="77">
                        <c:v>1.2625067736968341</c:v>
                      </c:pt>
                      <c:pt idx="78">
                        <c:v>1.2983378854013545</c:v>
                      </c:pt>
                      <c:pt idx="79">
                        <c:v>1.2870680048561463</c:v>
                      </c:pt>
                      <c:pt idx="80">
                        <c:v>1.2304763983971001</c:v>
                      </c:pt>
                      <c:pt idx="81">
                        <c:v>1.1374976363475278</c:v>
                      </c:pt>
                      <c:pt idx="82">
                        <c:v>1.0228110208175039</c:v>
                      </c:pt>
                      <c:pt idx="83">
                        <c:v>0.90452304666925354</c:v>
                      </c:pt>
                      <c:pt idx="84">
                        <c:v>0.80130878410412709</c:v>
                      </c:pt>
                      <c:pt idx="85">
                        <c:v>0.72946349570535718</c:v>
                      </c:pt>
                      <c:pt idx="86">
                        <c:v>0.70032997277649356</c:v>
                      </c:pt>
                      <c:pt idx="87">
                        <c:v>0.71850775799993438</c:v>
                      </c:pt>
                      <c:pt idx="88">
                        <c:v>0.78112697878214254</c:v>
                      </c:pt>
                      <c:pt idx="89">
                        <c:v>0.87830143703339725</c:v>
                      </c:pt>
                      <c:pt idx="90">
                        <c:v>0.99468942246837588</c:v>
                      </c:pt>
                      <c:pt idx="91">
                        <c:v>1.1119158313265867</c:v>
                      </c:pt>
                      <c:pt idx="92">
                        <c:v>1.2114731912242744</c:v>
                      </c:pt>
                      <c:pt idx="93">
                        <c:v>1.2776435841013984</c:v>
                      </c:pt>
                      <c:pt idx="94">
                        <c:v>1.299980159877641</c:v>
                      </c:pt>
                      <c:pt idx="95">
                        <c:v>1.2749564643746902</c:v>
                      </c:pt>
                      <c:pt idx="96">
                        <c:v>1.2065231888913011</c:v>
                      </c:pt>
                      <c:pt idx="97">
                        <c:v>1.1054844429150448</c:v>
                      </c:pt>
                      <c:pt idx="98">
                        <c:v>0.98779202279504053</c:v>
                      </c:pt>
                      <c:pt idx="99">
                        <c:v>0.87202697384662808</c:v>
                      </c:pt>
                      <c:pt idx="100">
                        <c:v>0.77646605185619533</c:v>
                      </c:pt>
                      <c:pt idx="101">
                        <c:v>0.71619622521192761</c:v>
                      </c:pt>
                      <c:pt idx="102">
                        <c:v>0.70073277432765846</c:v>
                      </c:pt>
                      <c:pt idx="103">
                        <c:v>0.73251703808756785</c:v>
                      </c:pt>
                      <c:pt idx="104">
                        <c:v>0.80653098011653979</c:v>
                      </c:pt>
                      <c:pt idx="105">
                        <c:v>0.91108942638718438</c:v>
                      </c:pt>
                      <c:pt idx="106">
                        <c:v>1.0296848972650889</c:v>
                      </c:pt>
                      <c:pt idx="107">
                        <c:v>1.1435937755765244</c:v>
                      </c:pt>
                      <c:pt idx="108">
                        <c:v>1.2348323540651949</c:v>
                      </c:pt>
                      <c:pt idx="109">
                        <c:v>1.2889960673421283</c:v>
                      </c:pt>
                      <c:pt idx="110">
                        <c:v>1.2975336560329347</c:v>
                      </c:pt>
                      <c:pt idx="111">
                        <c:v>1.2590972226078869</c:v>
                      </c:pt>
                      <c:pt idx="112">
                        <c:v>1.1797550347642796</c:v>
                      </c:pt>
                      <c:pt idx="113">
                        <c:v>1.0720334793861324</c:v>
                      </c:pt>
                      <c:pt idx="114">
                        <c:v>0.95293942148547695</c:v>
                      </c:pt>
                      <c:pt idx="115">
                        <c:v>0.84127519416399288</c:v>
                      </c:pt>
                      <c:pt idx="116">
                        <c:v>0.75467012364206743</c:v>
                      </c:pt>
                      <c:pt idx="117">
                        <c:v>0.70679724628232199</c:v>
                      </c:pt>
                      <c:pt idx="118">
                        <c:v>0.70521463679075813</c:v>
                      </c:pt>
                      <c:pt idx="119">
                        <c:v>0.75017215440766494</c:v>
                      </c:pt>
                      <c:pt idx="120">
                        <c:v>0.83457199562749285</c:v>
                      </c:pt>
                      <c:pt idx="121">
                        <c:v>0.94508928130582359</c:v>
                      </c:pt>
                      <c:pt idx="122">
                        <c:v>1.0642757620887653</c:v>
                      </c:pt>
                      <c:pt idx="123">
                        <c:v>1.1733145133337195</c:v>
                      </c:pt>
                      <c:pt idx="124">
                        <c:v>1.2549907137637983</c:v>
                      </c:pt>
                      <c:pt idx="125">
                        <c:v>1.2964094872278586</c:v>
                      </c:pt>
                      <c:pt idx="126">
                        <c:v>1.2910317201121555</c:v>
                      </c:pt>
                      <c:pt idx="127">
                        <c:v>1.2397064435978842</c:v>
                      </c:pt>
                      <c:pt idx="128">
                        <c:v>1.1505367903061714</c:v>
                      </c:pt>
                      <c:pt idx="129">
                        <c:v>1.0376006878289288</c:v>
                      </c:pt>
                      <c:pt idx="130">
                        <c:v>0.91872826350763925</c:v>
                      </c:pt>
                      <c:pt idx="131">
                        <c:v>0.81268685937508178</c:v>
                      </c:pt>
                      <c:pt idx="132">
                        <c:v>0.73621808150478318</c:v>
                      </c:pt>
                      <c:pt idx="133">
                        <c:v>0.70139466852653221</c:v>
                      </c:pt>
                      <c:pt idx="134">
                        <c:v>0.7137144716521906</c:v>
                      </c:pt>
                      <c:pt idx="135">
                        <c:v>0.77123246485611918</c:v>
                      </c:pt>
                      <c:pt idx="136">
                        <c:v>0.86486782171738319</c:v>
                      </c:pt>
                      <c:pt idx="137">
                        <c:v>0.97983757824235751</c:v>
                      </c:pt>
                      <c:pt idx="138">
                        <c:v>1.0979905378314168</c:v>
                      </c:pt>
                      <c:pt idx="139">
                        <c:v>1.2006729461134074</c:v>
                      </c:pt>
                      <c:pt idx="140">
                        <c:v>1.271673508601987</c:v>
                      </c:pt>
                      <c:pt idx="141">
                        <c:v>1.2997827976409884</c:v>
                      </c:pt>
                      <c:pt idx="142">
                        <c:v>1.2805629745583618</c:v>
                      </c:pt>
                      <c:pt idx="143">
                        <c:v>1.2170484268132729</c:v>
                      </c:pt>
                      <c:pt idx="144">
                        <c:v>1.1192667049364309</c:v>
                      </c:pt>
                      <c:pt idx="145">
                        <c:v>1.0026553927871211</c:v>
                      </c:pt>
                      <c:pt idx="146">
                        <c:v>0.88562485250351797</c:v>
                      </c:pt>
                      <c:pt idx="147">
                        <c:v>0.78665163312820607</c:v>
                      </c:pt>
                      <c:pt idx="148">
                        <c:v>0.72136142977682782</c:v>
                      </c:pt>
                      <c:pt idx="149">
                        <c:v>0.70006212995719919</c:v>
                      </c:pt>
                      <c:pt idx="150">
                        <c:v>0.72611642478171179</c:v>
                      </c:pt>
                      <c:pt idx="151">
                        <c:v>0.79541091397955932</c:v>
                      </c:pt>
                      <c:pt idx="152">
                        <c:v>0.89700552135403133</c:v>
                      </c:pt>
                      <c:pt idx="153">
                        <c:v>1.0148606922635113</c:v>
                      </c:pt>
                      <c:pt idx="154">
                        <c:v>1.130369686621568</c:v>
                      </c:pt>
                      <c:pt idx="155">
                        <c:v>1.2252961740315027</c:v>
                      </c:pt>
                      <c:pt idx="156">
                        <c:v>1.2846533493754371</c:v>
                      </c:pt>
                      <c:pt idx="157">
                        <c:v>1.2990700198124787</c:v>
                      </c:pt>
                      <c:pt idx="158">
                        <c:v>1.2662701100744513</c:v>
                      </c:pt>
                      <c:pt idx="159">
                        <c:v>1.1914320047043843</c:v>
                      </c:pt>
                      <c:pt idx="160">
                        <c:v>1.0863709949995195</c:v>
                      </c:pt>
                      <c:pt idx="161">
                        <c:v>0.96767390431016731</c:v>
                      </c:pt>
                      <c:pt idx="162">
                        <c:v>0.8540803933438601</c:v>
                      </c:pt>
                      <c:pt idx="163">
                        <c:v>0.76352437978740517</c:v>
                      </c:pt>
                      <c:pt idx="164">
                        <c:v>0.71030266703521661</c:v>
                      </c:pt>
                      <c:pt idx="165">
                        <c:v>0.70281779329153893</c:v>
                      </c:pt>
                      <c:pt idx="166">
                        <c:v>0.74225145554305105</c:v>
                      </c:pt>
                      <c:pt idx="167">
                        <c:v>0.82237794558783262</c:v>
                      </c:pt>
                      <c:pt idx="168">
                        <c:v>0.93054705246953828</c:v>
                      </c:pt>
                      <c:pt idx="169">
                        <c:v>1.0496812526344927</c:v>
                      </c:pt>
                      <c:pt idx="170">
                        <c:v>1.1609718754001306</c:v>
                      </c:pt>
                      <c:pt idx="171">
                        <c:v>1.2468485784906127</c:v>
                      </c:pt>
                      <c:pt idx="172">
                        <c:v>1.2937533187453951</c:v>
                      </c:pt>
                      <c:pt idx="173">
                        <c:v>1.2942808690199474</c:v>
                      </c:pt>
                      <c:pt idx="174">
                        <c:v>1.2483479407256961</c:v>
                      </c:pt>
                      <c:pt idx="175">
                        <c:v>1.163206333266811</c:v>
                      </c:pt>
                      <c:pt idx="176">
                        <c:v>1.052298034366894</c:v>
                      </c:pt>
                      <c:pt idx="177">
                        <c:v>0.93313302576992618</c:v>
                      </c:pt>
                      <c:pt idx="178">
                        <c:v>0.82452484213247146</c:v>
                      </c:pt>
                      <c:pt idx="179">
                        <c:v>0.74362032757351582</c:v>
                      </c:pt>
                      <c:pt idx="180">
                        <c:v>0.70319252601298543</c:v>
                      </c:pt>
                      <c:pt idx="181">
                        <c:v>0.70962409839055418</c:v>
                      </c:pt>
                      <c:pt idx="182">
                        <c:v>0.76189964084525419</c:v>
                      </c:pt>
                      <c:pt idx="183">
                        <c:v>0.85176599465841729</c:v>
                      </c:pt>
                      <c:pt idx="184">
                        <c:v>0.96503523854485196</c:v>
                      </c:pt>
                      <c:pt idx="185">
                        <c:v>1.0838246494596777</c:v>
                      </c:pt>
                      <c:pt idx="186">
                        <c:v>1.1893799913616963</c:v>
                      </c:pt>
                      <c:pt idx="187">
                        <c:v>1.2650363967160461</c:v>
                      </c:pt>
                      <c:pt idx="188">
                        <c:v>1.2988493826507521</c:v>
                      </c:pt>
                      <c:pt idx="189">
                        <c:v>1.2854806221668547</c:v>
                      </c:pt>
                      <c:pt idx="190">
                        <c:v>1.2270407485923784</c:v>
                      </c:pt>
                      <c:pt idx="191">
                        <c:v>1.1327561329884568</c:v>
                      </c:pt>
                      <c:pt idx="192">
                        <c:v>1.017512243028275</c:v>
                      </c:pt>
                      <c:pt idx="193">
                        <c:v>0.89950355495322976</c:v>
                      </c:pt>
                      <c:pt idx="194">
                        <c:v>0.79736104583465561</c:v>
                      </c:pt>
                      <c:pt idx="195">
                        <c:v>0.72721077195229555</c:v>
                      </c:pt>
                      <c:pt idx="196">
                        <c:v>0.70012791908754846</c:v>
                      </c:pt>
                      <c:pt idx="197">
                        <c:v>0.7203882742098322</c:v>
                      </c:pt>
                      <c:pt idx="198">
                        <c:v>0.78479317273014315</c:v>
                      </c:pt>
                      <c:pt idx="199">
                        <c:v>0.88317449730740483</c:v>
                      </c:pt>
                      <c:pt idx="200">
                        <c:v>1</c:v>
                      </c:pt>
                      <c:pt idx="201">
                        <c:v>1.1168255026925928</c:v>
                      </c:pt>
                      <c:pt idx="202">
                        <c:v>1.2152068272698568</c:v>
                      </c:pt>
                      <c:pt idx="203">
                        <c:v>1.2796117257901671</c:v>
                      </c:pt>
                      <c:pt idx="204">
                        <c:v>1.2998720809124515</c:v>
                      </c:pt>
                      <c:pt idx="205">
                        <c:v>1.2727892280477056</c:v>
                      </c:pt>
                      <c:pt idx="206">
                        <c:v>1.2026389541653444</c:v>
                      </c:pt>
                      <c:pt idx="207">
                        <c:v>1.1004964450467738</c:v>
                      </c:pt>
                      <c:pt idx="208">
                        <c:v>0.98248775697172497</c:v>
                      </c:pt>
                      <c:pt idx="209">
                        <c:v>0.86724386701154532</c:v>
                      </c:pt>
                      <c:pt idx="210">
                        <c:v>0.77295925140762156</c:v>
                      </c:pt>
                      <c:pt idx="211">
                        <c:v>0.71451937783314523</c:v>
                      </c:pt>
                      <c:pt idx="212">
                        <c:v>0.70115061734924788</c:v>
                      </c:pt>
                      <c:pt idx="213">
                        <c:v>0.73496360328395405</c:v>
                      </c:pt>
                      <c:pt idx="214">
                        <c:v>0.81062000863830375</c:v>
                      </c:pt>
                      <c:pt idx="215">
                        <c:v>0.91617535054032229</c:v>
                      </c:pt>
                      <c:pt idx="216">
                        <c:v>1.034964761455148</c:v>
                      </c:pt>
                      <c:pt idx="217">
                        <c:v>1.1482340053415827</c:v>
                      </c:pt>
                      <c:pt idx="218">
                        <c:v>1.2381003591547457</c:v>
                      </c:pt>
                      <c:pt idx="219">
                        <c:v>1.2903759016094458</c:v>
                      </c:pt>
                      <c:pt idx="220">
                        <c:v>1.2968074739870146</c:v>
                      </c:pt>
                      <c:pt idx="221">
                        <c:v>1.2563796724264842</c:v>
                      </c:pt>
                      <c:pt idx="222">
                        <c:v>1.1754751578675284</c:v>
                      </c:pt>
                      <c:pt idx="223">
                        <c:v>1.0668669742300738</c:v>
                      </c:pt>
                      <c:pt idx="224">
                        <c:v>0.94770196563310616</c:v>
                      </c:pt>
                      <c:pt idx="225">
                        <c:v>0.83679366673318911</c:v>
                      </c:pt>
                      <c:pt idx="226">
                        <c:v>0.7516520592743039</c:v>
                      </c:pt>
                      <c:pt idx="227">
                        <c:v>0.70571913098005257</c:v>
                      </c:pt>
                      <c:pt idx="228">
                        <c:v>0.70624668125460488</c:v>
                      </c:pt>
                      <c:pt idx="229">
                        <c:v>0.7531514215093873</c:v>
                      </c:pt>
                      <c:pt idx="230">
                        <c:v>0.83902812459986953</c:v>
                      </c:pt>
                      <c:pt idx="231">
                        <c:v>0.95031874736550714</c:v>
                      </c:pt>
                      <c:pt idx="232">
                        <c:v>1.0694529475304617</c:v>
                      </c:pt>
                      <c:pt idx="233">
                        <c:v>1.1776220544121674</c:v>
                      </c:pt>
                      <c:pt idx="234">
                        <c:v>1.2577485444569489</c:v>
                      </c:pt>
                      <c:pt idx="235">
                        <c:v>1.2971822067084611</c:v>
                      </c:pt>
                      <c:pt idx="236">
                        <c:v>1.2896973329647834</c:v>
                      </c:pt>
                      <c:pt idx="237">
                        <c:v>1.2364756202125948</c:v>
                      </c:pt>
                      <c:pt idx="238">
                        <c:v>1.1459196066561399</c:v>
                      </c:pt>
                      <c:pt idx="239">
                        <c:v>1.0323260956898328</c:v>
                      </c:pt>
                      <c:pt idx="240">
                        <c:v>0.91362900500048039</c:v>
                      </c:pt>
                      <c:pt idx="241">
                        <c:v>0.80856799529561574</c:v>
                      </c:pt>
                      <c:pt idx="242">
                        <c:v>0.73372988992554866</c:v>
                      </c:pt>
                      <c:pt idx="243">
                        <c:v>0.70092998018752117</c:v>
                      </c:pt>
                      <c:pt idx="244">
                        <c:v>0.71534665062456282</c:v>
                      </c:pt>
                      <c:pt idx="245">
                        <c:v>0.77470382596849718</c:v>
                      </c:pt>
                      <c:pt idx="246">
                        <c:v>0.869630313378432</c:v>
                      </c:pt>
                      <c:pt idx="247">
                        <c:v>0.98513930773648872</c:v>
                      </c:pt>
                      <c:pt idx="248">
                        <c:v>1.1029944786459687</c:v>
                      </c:pt>
                      <c:pt idx="249">
                        <c:v>1.2045890860204407</c:v>
                      </c:pt>
                      <c:pt idx="250">
                        <c:v>1.2738835752182882</c:v>
                      </c:pt>
                      <c:pt idx="251">
                        <c:v>1.2999378700428008</c:v>
                      </c:pt>
                      <c:pt idx="252">
                        <c:v>1.2786385702231722</c:v>
                      </c:pt>
                      <c:pt idx="253">
                        <c:v>1.2133483668717939</c:v>
                      </c:pt>
                      <c:pt idx="254">
                        <c:v>1.114375147496482</c:v>
                      </c:pt>
                      <c:pt idx="255">
                        <c:v>0.99734460721287888</c:v>
                      </c:pt>
                      <c:pt idx="256">
                        <c:v>0.88073329506356912</c:v>
                      </c:pt>
                      <c:pt idx="257">
                        <c:v>0.78295157318672726</c:v>
                      </c:pt>
                      <c:pt idx="258">
                        <c:v>0.71943702544163834</c:v>
                      </c:pt>
                      <c:pt idx="259">
                        <c:v>0.70021720235901164</c:v>
                      </c:pt>
                      <c:pt idx="260">
                        <c:v>0.72832649139801287</c:v>
                      </c:pt>
                      <c:pt idx="261">
                        <c:v>0.79932705388659275</c:v>
                      </c:pt>
                      <c:pt idx="262">
                        <c:v>0.90200946216858335</c:v>
                      </c:pt>
                      <c:pt idx="263">
                        <c:v>1.0201624217576424</c:v>
                      </c:pt>
                      <c:pt idx="264">
                        <c:v>1.1351321782826167</c:v>
                      </c:pt>
                      <c:pt idx="265">
                        <c:v>1.2287675351438807</c:v>
                      </c:pt>
                      <c:pt idx="266">
                        <c:v>1.2862855283478094</c:v>
                      </c:pt>
                      <c:pt idx="267">
                        <c:v>1.2986053314734678</c:v>
                      </c:pt>
                      <c:pt idx="268">
                        <c:v>1.2637819184952168</c:v>
                      </c:pt>
                      <c:pt idx="269">
                        <c:v>1.1873131406249182</c:v>
                      </c:pt>
                      <c:pt idx="270">
                        <c:v>1.0812717364923607</c:v>
                      </c:pt>
                      <c:pt idx="271">
                        <c:v>0.96239931217107122</c:v>
                      </c:pt>
                      <c:pt idx="272">
                        <c:v>0.84946320969382871</c:v>
                      </c:pt>
                      <c:pt idx="273">
                        <c:v>0.76029355640211593</c:v>
                      </c:pt>
                      <c:pt idx="274">
                        <c:v>0.70896827988784439</c:v>
                      </c:pt>
                      <c:pt idx="275">
                        <c:v>0.70359051277214146</c:v>
                      </c:pt>
                      <c:pt idx="276">
                        <c:v>0.74500928623620166</c:v>
                      </c:pt>
                      <c:pt idx="277">
                        <c:v>0.8266854866662805</c:v>
                      </c:pt>
                      <c:pt idx="278">
                        <c:v>0.93572423791123471</c:v>
                      </c:pt>
                      <c:pt idx="279">
                        <c:v>1.0549107186941764</c:v>
                      </c:pt>
                      <c:pt idx="280">
                        <c:v>1.1654280043725072</c:v>
                      </c:pt>
                      <c:pt idx="281">
                        <c:v>1.2498278455923351</c:v>
                      </c:pt>
                      <c:pt idx="282">
                        <c:v>1.2947853632092419</c:v>
                      </c:pt>
                      <c:pt idx="283">
                        <c:v>1.293202753717678</c:v>
                      </c:pt>
                      <c:pt idx="284">
                        <c:v>1.2453298763579326</c:v>
                      </c:pt>
                      <c:pt idx="285">
                        <c:v>1.1587248058360071</c:v>
                      </c:pt>
                      <c:pt idx="286">
                        <c:v>1.0470605785145231</c:v>
                      </c:pt>
                      <c:pt idx="287">
                        <c:v>0.92796652061386764</c:v>
                      </c:pt>
                      <c:pt idx="288">
                        <c:v>0.82024496523572044</c:v>
                      </c:pt>
                      <c:pt idx="289">
                        <c:v>0.74090277739211319</c:v>
                      </c:pt>
                      <c:pt idx="290">
                        <c:v>0.70246634396706531</c:v>
                      </c:pt>
                      <c:pt idx="291">
                        <c:v>0.71100393265787176</c:v>
                      </c:pt>
                      <c:pt idx="292">
                        <c:v>0.76516764593480502</c:v>
                      </c:pt>
                      <c:pt idx="293">
                        <c:v>0.85640622442347547</c:v>
                      </c:pt>
                      <c:pt idx="294">
                        <c:v>0.97031510273491106</c:v>
                      </c:pt>
                      <c:pt idx="295">
                        <c:v>1.0889105736128155</c:v>
                      </c:pt>
                      <c:pt idx="296">
                        <c:v>1.1934690198834601</c:v>
                      </c:pt>
                      <c:pt idx="297">
                        <c:v>1.2674829619124321</c:v>
                      </c:pt>
                      <c:pt idx="298">
                        <c:v>1.2992672256723417</c:v>
                      </c:pt>
                      <c:pt idx="299">
                        <c:v>1.2838037747880724</c:v>
                      </c:pt>
                      <c:pt idx="300">
                        <c:v>1.2235339481438046</c:v>
                      </c:pt>
                      <c:pt idx="301">
                        <c:v>1.127973026153372</c:v>
                      </c:pt>
                      <c:pt idx="302">
                        <c:v>1.0122079772049595</c:v>
                      </c:pt>
                      <c:pt idx="303">
                        <c:v>0.89451555708495512</c:v>
                      </c:pt>
                      <c:pt idx="304">
                        <c:v>0.79347681110869894</c:v>
                      </c:pt>
                      <c:pt idx="305">
                        <c:v>0.72504353562530988</c:v>
                      </c:pt>
                      <c:pt idx="306">
                        <c:v>0.70001984012235896</c:v>
                      </c:pt>
                      <c:pt idx="307">
                        <c:v>0.72235641589860156</c:v>
                      </c:pt>
                      <c:pt idx="308">
                        <c:v>0.78852680877572556</c:v>
                      </c:pt>
                      <c:pt idx="309">
                        <c:v>0.88808416867341333</c:v>
                      </c:pt>
                      <c:pt idx="310">
                        <c:v>1.005310577531624</c:v>
                      </c:pt>
                      <c:pt idx="311">
                        <c:v>1.1216985629666028</c:v>
                      </c:pt>
                      <c:pt idx="312">
                        <c:v>1.2188730212178576</c:v>
                      </c:pt>
                      <c:pt idx="313">
                        <c:v>1.2814922420000656</c:v>
                      </c:pt>
                      <c:pt idx="314">
                        <c:v>1.2996700272235064</c:v>
                      </c:pt>
                      <c:pt idx="315">
                        <c:v>1.2705365042946428</c:v>
                      </c:pt>
                      <c:pt idx="316">
                        <c:v>1.1986912158958729</c:v>
                      </c:pt>
                      <c:pt idx="317">
                        <c:v>1.0954769533307465</c:v>
                      </c:pt>
                      <c:pt idx="318">
                        <c:v>0.97718897918249603</c:v>
                      </c:pt>
                      <c:pt idx="319">
                        <c:v>0.86250236365247213</c:v>
                      </c:pt>
                      <c:pt idx="320">
                        <c:v>0.7695236016028999</c:v>
                      </c:pt>
                      <c:pt idx="321">
                        <c:v>0.71293199514385375</c:v>
                      </c:pt>
                      <c:pt idx="322">
                        <c:v>0.70166211459864536</c:v>
                      </c:pt>
                      <c:pt idx="323">
                        <c:v>0.73749322630316594</c:v>
                      </c:pt>
                      <c:pt idx="324">
                        <c:v>0.81476838557396147</c:v>
                      </c:pt>
                      <c:pt idx="325">
                        <c:v>0.92128754388882139</c:v>
                      </c:pt>
                      <c:pt idx="326">
                        <c:v>1.0402336682936972</c:v>
                      </c:pt>
                      <c:pt idx="327">
                        <c:v>1.1528277811331287</c:v>
                      </c:pt>
                      <c:pt idx="328">
                        <c:v>1.2412937477097743</c:v>
                      </c:pt>
                      <c:pt idx="329">
                        <c:v>1.2916647370913616</c:v>
                      </c:pt>
                      <c:pt idx="330">
                        <c:v>1.2959882776121456</c:v>
                      </c:pt>
                      <c:pt idx="331">
                        <c:v>1.2535817772899269</c:v>
                      </c:pt>
                      <c:pt idx="332">
                        <c:v>1.1711402900912118</c:v>
                      </c:pt>
                      <c:pt idx="333">
                        <c:v>1.0616795141207804</c:v>
                      </c:pt>
                      <c:pt idx="334">
                        <c:v>0.94248089908019028</c:v>
                      </c:pt>
                      <c:pt idx="335">
                        <c:v>0.83236328534451509</c:v>
                      </c:pt>
                      <c:pt idx="336">
                        <c:v>0.74871182285589055</c:v>
                      </c:pt>
                      <c:pt idx="337">
                        <c:v>0.70473323821243339</c:v>
                      </c:pt>
                      <c:pt idx="338">
                        <c:v>0.70737078292797029</c:v>
                      </c:pt>
                      <c:pt idx="339">
                        <c:v>0.7562080466862664</c:v>
                      </c:pt>
                      <c:pt idx="340">
                        <c:v>0.84353469937392644</c:v>
                      </c:pt>
                      <c:pt idx="341">
                        <c:v>0.95556378267050912</c:v>
                      </c:pt>
                      <c:pt idx="342">
                        <c:v>1.0746083676196152</c:v>
                      </c:pt>
                      <c:pt idx="343">
                        <c:v>1.181873931810802</c:v>
                      </c:pt>
                      <c:pt idx="344">
                        <c:v>1.2604256012141253</c:v>
                      </c:pt>
                      <c:pt idx="345">
                        <c:v>1.2978617944253612</c:v>
                      </c:pt>
                      <c:pt idx="346">
                        <c:v>1.2882721596836861</c:v>
                      </c:pt>
                      <c:pt idx="347">
                        <c:v>1.233170689457868</c:v>
                      </c:pt>
                      <c:pt idx="348">
                        <c:v>1.1412566943251159</c:v>
                      </c:pt>
                      <c:pt idx="349">
                        <c:v>1.0270413731114396</c:v>
                      </c:pt>
                      <c:pt idx="350">
                        <c:v>0.90855681366933494</c:v>
                      </c:pt>
                      <c:pt idx="351">
                        <c:v>0.80450912269553354</c:v>
                      </c:pt>
                      <c:pt idx="352">
                        <c:v>0.73132514279356897</c:v>
                      </c:pt>
                      <c:pt idx="353">
                        <c:v>0.70055901522018882</c:v>
                      </c:pt>
                      <c:pt idx="354">
                        <c:v>0.71706803503344041</c:v>
                      </c:pt>
                      <c:pt idx="355">
                        <c:v>0.77824579100523317</c:v>
                      </c:pt>
                      <c:pt idx="356">
                        <c:v>0.87443366064447425</c:v>
                      </c:pt>
                      <c:pt idx="357">
                        <c:v>0.99044569431455709</c:v>
                      </c:pt>
                      <c:pt idx="358">
                        <c:v>1.1079661427722427</c:v>
                      </c:pt>
                      <c:pt idx="359">
                        <c:v>1.2084411112463618</c:v>
                      </c:pt>
                      <c:pt idx="360">
                        <c:v>1.2760078114590372</c:v>
                      </c:pt>
                      <c:pt idx="361">
                        <c:v>1.2999989471036819</c:v>
                      </c:pt>
                      <c:pt idx="362">
                        <c:v>1.276626845379234</c:v>
                      </c:pt>
                      <c:pt idx="363">
                        <c:v>1.2095814472420823</c:v>
                      </c:pt>
                      <c:pt idx="364">
                        <c:v>1.1094477468634727</c:v>
                      </c:pt>
                      <c:pt idx="365">
                        <c:v>0.99203465379280997</c:v>
                      </c:pt>
                      <c:pt idx="366">
                        <c:v>0.8758791137461881</c:v>
                      </c:pt>
                      <c:pt idx="367">
                        <c:v>0.77931953246827623</c:v>
                      </c:pt>
                      <c:pt idx="368">
                        <c:v>0.71760054469023105</c:v>
                      </c:pt>
                      <c:pt idx="369">
                        <c:v>0.70046622150474658</c:v>
                      </c:pt>
                      <c:pt idx="370">
                        <c:v>0.73062169579321257</c:v>
                      </c:pt>
                      <c:pt idx="371">
                        <c:v>0.80330608122422431</c:v>
                      </c:pt>
                      <c:pt idx="372">
                        <c:v>0.90704411152290687</c:v>
                      </c:pt>
                      <c:pt idx="373">
                        <c:v>1.0254578326975137</c:v>
                      </c:pt>
                      <c:pt idx="374">
                        <c:v>1.1398523218561516</c:v>
                      </c:pt>
                      <c:pt idx="375">
                        <c:v>1.2321672044673666</c:v>
                      </c:pt>
                      <c:pt idx="376">
                        <c:v>1.2878279903870151</c:v>
                      </c:pt>
                      <c:pt idx="377">
                        <c:v>1.2980470653880665</c:v>
                      </c:pt>
                      <c:pt idx="378">
                        <c:v>1.2612110622249355</c:v>
                      </c:pt>
                      <c:pt idx="379">
                        <c:v>1.1831355758468329</c:v>
                      </c:pt>
                      <c:pt idx="380">
                        <c:v>1.0761470088286109</c:v>
                      </c:pt>
                      <c:pt idx="381">
                        <c:v>0.95713650343722045</c:v>
                      </c:pt>
                      <c:pt idx="382">
                        <c:v>0.84489320167028692</c:v>
                      </c:pt>
                      <c:pt idx="383">
                        <c:v>0.757137852870435</c:v>
                      </c:pt>
                      <c:pt idx="384">
                        <c:v>0.70772509704804998</c:v>
                      </c:pt>
                      <c:pt idx="385">
                        <c:v>0.70445612185952577</c:v>
                      </c:pt>
                      <c:pt idx="386">
                        <c:v>0.74784702660888502</c:v>
                      </c:pt>
                      <c:pt idx="387">
                        <c:v>0.8310473415156685</c:v>
                      </c:pt>
                      <c:pt idx="388">
                        <c:v>0.94092156626509071</c:v>
                      </c:pt>
                      <c:pt idx="389">
                        <c:v>1.0601229766843205</c:v>
                      </c:pt>
                      <c:pt idx="390">
                        <c:v>1.1698322910694541</c:v>
                      </c:pt>
                      <c:pt idx="391">
                        <c:v>1.2527288209681138</c:v>
                      </c:pt>
                      <c:pt idx="392">
                        <c:v>1.2957250270386846</c:v>
                      </c:pt>
                      <c:pt idx="393">
                        <c:v>1.2920327537434466</c:v>
                      </c:pt>
                      <c:pt idx="394">
                        <c:v>1.242234929849994</c:v>
                      </c:pt>
                      <c:pt idx="395">
                        <c:v>1.1541935367962606</c:v>
                      </c:pt>
                      <c:pt idx="396">
                        <c:v>1.0418083746907738</c:v>
                      </c:pt>
                      <c:pt idx="397">
                        <c:v>0.92282258950440155</c:v>
                      </c:pt>
                      <c:pt idx="398">
                        <c:v>0.81602142045793324</c:v>
                      </c:pt>
                      <c:pt idx="399">
                        <c:v>0.73826642379909169</c:v>
                      </c:pt>
                      <c:pt idx="400">
                        <c:v>0.70183340382298742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2677-4D17-88F2-8CE21E2F117D}"/>
                  </c:ext>
                </c:extLst>
              </c15:ser>
            </c15:filteredScatterSeries>
          </c:ext>
        </c:extLst>
      </c:scatterChart>
      <c:valAx>
        <c:axId val="676570095"/>
        <c:scaling>
          <c:orientation val="minMax"/>
          <c:max val="2"/>
          <c:min val="-2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low"/>
        <c:crossAx val="496959055"/>
        <c:crosses val="autoZero"/>
        <c:crossBetween val="midCat"/>
      </c:valAx>
      <c:valAx>
        <c:axId val="496959055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out"/>
        <c:minorTickMark val="none"/>
        <c:tickLblPos val="low"/>
        <c:crossAx val="676570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加法モデル!$D$1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加法モデル!$C$2:$C$402</c:f>
              <c:numCache>
                <c:formatCode>General</c:formatCode>
                <c:ptCount val="401"/>
                <c:pt idx="0">
                  <c:v>-2</c:v>
                </c:pt>
                <c:pt idx="1">
                  <c:v>-1.99</c:v>
                </c:pt>
                <c:pt idx="2">
                  <c:v>-1.98</c:v>
                </c:pt>
                <c:pt idx="3">
                  <c:v>-1.97</c:v>
                </c:pt>
                <c:pt idx="4">
                  <c:v>-1.96</c:v>
                </c:pt>
                <c:pt idx="5">
                  <c:v>-1.95</c:v>
                </c:pt>
                <c:pt idx="6">
                  <c:v>-1.94</c:v>
                </c:pt>
                <c:pt idx="7">
                  <c:v>-1.93</c:v>
                </c:pt>
                <c:pt idx="8">
                  <c:v>-1.92</c:v>
                </c:pt>
                <c:pt idx="9">
                  <c:v>-1.91</c:v>
                </c:pt>
                <c:pt idx="10">
                  <c:v>-1.9</c:v>
                </c:pt>
                <c:pt idx="11">
                  <c:v>-1.89</c:v>
                </c:pt>
                <c:pt idx="12">
                  <c:v>-1.88</c:v>
                </c:pt>
                <c:pt idx="13">
                  <c:v>-1.87</c:v>
                </c:pt>
                <c:pt idx="14">
                  <c:v>-1.86</c:v>
                </c:pt>
                <c:pt idx="15">
                  <c:v>-1.85</c:v>
                </c:pt>
                <c:pt idx="16">
                  <c:v>-1.84</c:v>
                </c:pt>
                <c:pt idx="17">
                  <c:v>-1.83</c:v>
                </c:pt>
                <c:pt idx="18">
                  <c:v>-1.82</c:v>
                </c:pt>
                <c:pt idx="19">
                  <c:v>-1.81</c:v>
                </c:pt>
                <c:pt idx="20">
                  <c:v>-1.8</c:v>
                </c:pt>
                <c:pt idx="21">
                  <c:v>-1.79</c:v>
                </c:pt>
                <c:pt idx="22">
                  <c:v>-1.78</c:v>
                </c:pt>
                <c:pt idx="23">
                  <c:v>-1.77</c:v>
                </c:pt>
                <c:pt idx="24">
                  <c:v>-1.76</c:v>
                </c:pt>
                <c:pt idx="25">
                  <c:v>-1.75</c:v>
                </c:pt>
                <c:pt idx="26">
                  <c:v>-1.74</c:v>
                </c:pt>
                <c:pt idx="27">
                  <c:v>-1.73</c:v>
                </c:pt>
                <c:pt idx="28">
                  <c:v>-1.72</c:v>
                </c:pt>
                <c:pt idx="29">
                  <c:v>-1.71</c:v>
                </c:pt>
                <c:pt idx="30">
                  <c:v>-1.7</c:v>
                </c:pt>
                <c:pt idx="31">
                  <c:v>-1.69</c:v>
                </c:pt>
                <c:pt idx="32">
                  <c:v>-1.68</c:v>
                </c:pt>
                <c:pt idx="33">
                  <c:v>-1.67</c:v>
                </c:pt>
                <c:pt idx="34">
                  <c:v>-1.66</c:v>
                </c:pt>
                <c:pt idx="35">
                  <c:v>-1.65</c:v>
                </c:pt>
                <c:pt idx="36">
                  <c:v>-1.64</c:v>
                </c:pt>
                <c:pt idx="37">
                  <c:v>-1.63</c:v>
                </c:pt>
                <c:pt idx="38">
                  <c:v>-1.62</c:v>
                </c:pt>
                <c:pt idx="39">
                  <c:v>-1.61</c:v>
                </c:pt>
                <c:pt idx="40">
                  <c:v>-1.6</c:v>
                </c:pt>
                <c:pt idx="41">
                  <c:v>-1.59</c:v>
                </c:pt>
                <c:pt idx="42">
                  <c:v>-1.58</c:v>
                </c:pt>
                <c:pt idx="43">
                  <c:v>-1.57</c:v>
                </c:pt>
                <c:pt idx="44">
                  <c:v>-1.56</c:v>
                </c:pt>
                <c:pt idx="45">
                  <c:v>-1.55</c:v>
                </c:pt>
                <c:pt idx="46">
                  <c:v>-1.54</c:v>
                </c:pt>
                <c:pt idx="47">
                  <c:v>-1.53</c:v>
                </c:pt>
                <c:pt idx="48">
                  <c:v>-1.52</c:v>
                </c:pt>
                <c:pt idx="49">
                  <c:v>-1.51</c:v>
                </c:pt>
                <c:pt idx="50">
                  <c:v>-1.5</c:v>
                </c:pt>
                <c:pt idx="51">
                  <c:v>-1.49</c:v>
                </c:pt>
                <c:pt idx="52">
                  <c:v>-1.48</c:v>
                </c:pt>
                <c:pt idx="53">
                  <c:v>-1.47</c:v>
                </c:pt>
                <c:pt idx="54">
                  <c:v>-1.46</c:v>
                </c:pt>
                <c:pt idx="55">
                  <c:v>-1.45</c:v>
                </c:pt>
                <c:pt idx="56">
                  <c:v>-1.44</c:v>
                </c:pt>
                <c:pt idx="57">
                  <c:v>-1.43</c:v>
                </c:pt>
                <c:pt idx="58">
                  <c:v>-1.42</c:v>
                </c:pt>
                <c:pt idx="59">
                  <c:v>-1.41</c:v>
                </c:pt>
                <c:pt idx="60">
                  <c:v>-1.4</c:v>
                </c:pt>
                <c:pt idx="61">
                  <c:v>-1.39</c:v>
                </c:pt>
                <c:pt idx="62">
                  <c:v>-1.38</c:v>
                </c:pt>
                <c:pt idx="63">
                  <c:v>-1.37</c:v>
                </c:pt>
                <c:pt idx="64">
                  <c:v>-1.36</c:v>
                </c:pt>
                <c:pt idx="65">
                  <c:v>-1.35</c:v>
                </c:pt>
                <c:pt idx="66">
                  <c:v>-1.34</c:v>
                </c:pt>
                <c:pt idx="67">
                  <c:v>-1.33</c:v>
                </c:pt>
                <c:pt idx="68">
                  <c:v>-1.32</c:v>
                </c:pt>
                <c:pt idx="69">
                  <c:v>-1.31</c:v>
                </c:pt>
                <c:pt idx="70">
                  <c:v>-1.3</c:v>
                </c:pt>
                <c:pt idx="71">
                  <c:v>-1.29</c:v>
                </c:pt>
                <c:pt idx="72">
                  <c:v>-1.28</c:v>
                </c:pt>
                <c:pt idx="73">
                  <c:v>-1.27</c:v>
                </c:pt>
                <c:pt idx="74">
                  <c:v>-1.26</c:v>
                </c:pt>
                <c:pt idx="75">
                  <c:v>-1.25</c:v>
                </c:pt>
                <c:pt idx="76">
                  <c:v>-1.24</c:v>
                </c:pt>
                <c:pt idx="77">
                  <c:v>-1.23</c:v>
                </c:pt>
                <c:pt idx="78">
                  <c:v>-1.22</c:v>
                </c:pt>
                <c:pt idx="79">
                  <c:v>-1.21</c:v>
                </c:pt>
                <c:pt idx="80">
                  <c:v>-1.2</c:v>
                </c:pt>
                <c:pt idx="81">
                  <c:v>-1.19</c:v>
                </c:pt>
                <c:pt idx="82">
                  <c:v>-1.18</c:v>
                </c:pt>
                <c:pt idx="83">
                  <c:v>-1.17</c:v>
                </c:pt>
                <c:pt idx="84">
                  <c:v>-1.1599999999999999</c:v>
                </c:pt>
                <c:pt idx="85">
                  <c:v>-1.1499999999999999</c:v>
                </c:pt>
                <c:pt idx="86">
                  <c:v>-1.1399999999999999</c:v>
                </c:pt>
                <c:pt idx="87">
                  <c:v>-1.1299999999999999</c:v>
                </c:pt>
                <c:pt idx="88">
                  <c:v>-1.1200000000000001</c:v>
                </c:pt>
                <c:pt idx="89">
                  <c:v>-1.1100000000000001</c:v>
                </c:pt>
                <c:pt idx="90">
                  <c:v>-1.1000000000000001</c:v>
                </c:pt>
                <c:pt idx="91">
                  <c:v>-1.0900000000000001</c:v>
                </c:pt>
                <c:pt idx="92">
                  <c:v>-1.08</c:v>
                </c:pt>
                <c:pt idx="93">
                  <c:v>-1.07</c:v>
                </c:pt>
                <c:pt idx="94">
                  <c:v>-1.06</c:v>
                </c:pt>
                <c:pt idx="95">
                  <c:v>-1.05</c:v>
                </c:pt>
                <c:pt idx="96">
                  <c:v>-1.04</c:v>
                </c:pt>
                <c:pt idx="97">
                  <c:v>-1.03</c:v>
                </c:pt>
                <c:pt idx="98">
                  <c:v>-1.02</c:v>
                </c:pt>
                <c:pt idx="99">
                  <c:v>-1.01</c:v>
                </c:pt>
                <c:pt idx="100">
                  <c:v>-1</c:v>
                </c:pt>
                <c:pt idx="101">
                  <c:v>-0.99</c:v>
                </c:pt>
                <c:pt idx="102">
                  <c:v>-0.98</c:v>
                </c:pt>
                <c:pt idx="103">
                  <c:v>-0.97</c:v>
                </c:pt>
                <c:pt idx="104">
                  <c:v>-0.96</c:v>
                </c:pt>
                <c:pt idx="105">
                  <c:v>-0.95</c:v>
                </c:pt>
                <c:pt idx="106">
                  <c:v>-0.94</c:v>
                </c:pt>
                <c:pt idx="107">
                  <c:v>-0.93</c:v>
                </c:pt>
                <c:pt idx="108">
                  <c:v>-0.92</c:v>
                </c:pt>
                <c:pt idx="109">
                  <c:v>-0.91</c:v>
                </c:pt>
                <c:pt idx="110">
                  <c:v>-0.9</c:v>
                </c:pt>
                <c:pt idx="111">
                  <c:v>-0.89</c:v>
                </c:pt>
                <c:pt idx="112">
                  <c:v>-0.88</c:v>
                </c:pt>
                <c:pt idx="113">
                  <c:v>-0.87</c:v>
                </c:pt>
                <c:pt idx="114">
                  <c:v>-0.86</c:v>
                </c:pt>
                <c:pt idx="115">
                  <c:v>-0.85</c:v>
                </c:pt>
                <c:pt idx="116">
                  <c:v>-0.84</c:v>
                </c:pt>
                <c:pt idx="117">
                  <c:v>-0.83</c:v>
                </c:pt>
                <c:pt idx="118">
                  <c:v>-0.82</c:v>
                </c:pt>
                <c:pt idx="119">
                  <c:v>-0.81</c:v>
                </c:pt>
                <c:pt idx="120">
                  <c:v>-0.8</c:v>
                </c:pt>
                <c:pt idx="121">
                  <c:v>-0.79</c:v>
                </c:pt>
                <c:pt idx="122">
                  <c:v>-0.78</c:v>
                </c:pt>
                <c:pt idx="123">
                  <c:v>-0.77</c:v>
                </c:pt>
                <c:pt idx="124">
                  <c:v>-0.76</c:v>
                </c:pt>
                <c:pt idx="125">
                  <c:v>-0.75</c:v>
                </c:pt>
                <c:pt idx="126">
                  <c:v>-0.74</c:v>
                </c:pt>
                <c:pt idx="127">
                  <c:v>-0.73</c:v>
                </c:pt>
                <c:pt idx="128">
                  <c:v>-0.72</c:v>
                </c:pt>
                <c:pt idx="129">
                  <c:v>-0.71</c:v>
                </c:pt>
                <c:pt idx="130">
                  <c:v>-0.7</c:v>
                </c:pt>
                <c:pt idx="131">
                  <c:v>-0.69</c:v>
                </c:pt>
                <c:pt idx="132">
                  <c:v>-0.68</c:v>
                </c:pt>
                <c:pt idx="133">
                  <c:v>-0.67</c:v>
                </c:pt>
                <c:pt idx="134">
                  <c:v>-0.66</c:v>
                </c:pt>
                <c:pt idx="135">
                  <c:v>-0.65</c:v>
                </c:pt>
                <c:pt idx="136">
                  <c:v>-0.64</c:v>
                </c:pt>
                <c:pt idx="137">
                  <c:v>-0.63</c:v>
                </c:pt>
                <c:pt idx="138">
                  <c:v>-0.62</c:v>
                </c:pt>
                <c:pt idx="139">
                  <c:v>-0.61</c:v>
                </c:pt>
                <c:pt idx="140">
                  <c:v>-0.6</c:v>
                </c:pt>
                <c:pt idx="141">
                  <c:v>-0.59</c:v>
                </c:pt>
                <c:pt idx="142">
                  <c:v>-0.57999999999999996</c:v>
                </c:pt>
                <c:pt idx="143">
                  <c:v>-0.56999999999999995</c:v>
                </c:pt>
                <c:pt idx="144">
                  <c:v>-0.56000000000000005</c:v>
                </c:pt>
                <c:pt idx="145">
                  <c:v>-0.55000000000000004</c:v>
                </c:pt>
                <c:pt idx="146">
                  <c:v>-0.54</c:v>
                </c:pt>
                <c:pt idx="147">
                  <c:v>-0.53</c:v>
                </c:pt>
                <c:pt idx="148">
                  <c:v>-0.52</c:v>
                </c:pt>
                <c:pt idx="149">
                  <c:v>-0.51</c:v>
                </c:pt>
                <c:pt idx="150">
                  <c:v>-0.5</c:v>
                </c:pt>
                <c:pt idx="151">
                  <c:v>-0.49</c:v>
                </c:pt>
                <c:pt idx="152">
                  <c:v>-0.48</c:v>
                </c:pt>
                <c:pt idx="153">
                  <c:v>-0.47</c:v>
                </c:pt>
                <c:pt idx="154">
                  <c:v>-0.46</c:v>
                </c:pt>
                <c:pt idx="155">
                  <c:v>-0.45</c:v>
                </c:pt>
                <c:pt idx="156">
                  <c:v>-0.44</c:v>
                </c:pt>
                <c:pt idx="157">
                  <c:v>-0.43</c:v>
                </c:pt>
                <c:pt idx="158">
                  <c:v>-0.42</c:v>
                </c:pt>
                <c:pt idx="159">
                  <c:v>-0.41</c:v>
                </c:pt>
                <c:pt idx="160">
                  <c:v>-0.4</c:v>
                </c:pt>
                <c:pt idx="161">
                  <c:v>-0.39</c:v>
                </c:pt>
                <c:pt idx="162">
                  <c:v>-0.38</c:v>
                </c:pt>
                <c:pt idx="163">
                  <c:v>-0.37</c:v>
                </c:pt>
                <c:pt idx="164">
                  <c:v>-0.36</c:v>
                </c:pt>
                <c:pt idx="165">
                  <c:v>-0.35</c:v>
                </c:pt>
                <c:pt idx="166">
                  <c:v>-0.34</c:v>
                </c:pt>
                <c:pt idx="167">
                  <c:v>-0.33</c:v>
                </c:pt>
                <c:pt idx="168">
                  <c:v>-0.32</c:v>
                </c:pt>
                <c:pt idx="169">
                  <c:v>-0.31</c:v>
                </c:pt>
                <c:pt idx="170">
                  <c:v>-0.3</c:v>
                </c:pt>
                <c:pt idx="171">
                  <c:v>-0.28999999999999998</c:v>
                </c:pt>
                <c:pt idx="172">
                  <c:v>-0.28000000000000003</c:v>
                </c:pt>
                <c:pt idx="173">
                  <c:v>-0.27</c:v>
                </c:pt>
                <c:pt idx="174">
                  <c:v>-0.26</c:v>
                </c:pt>
                <c:pt idx="175">
                  <c:v>-0.25</c:v>
                </c:pt>
                <c:pt idx="176">
                  <c:v>-0.24</c:v>
                </c:pt>
                <c:pt idx="177">
                  <c:v>-0.23</c:v>
                </c:pt>
                <c:pt idx="178">
                  <c:v>-0.22</c:v>
                </c:pt>
                <c:pt idx="179">
                  <c:v>-0.21</c:v>
                </c:pt>
                <c:pt idx="180">
                  <c:v>-0.2</c:v>
                </c:pt>
                <c:pt idx="181">
                  <c:v>-0.19</c:v>
                </c:pt>
                <c:pt idx="182">
                  <c:v>-0.18</c:v>
                </c:pt>
                <c:pt idx="183">
                  <c:v>-0.17</c:v>
                </c:pt>
                <c:pt idx="184">
                  <c:v>-0.16</c:v>
                </c:pt>
                <c:pt idx="185">
                  <c:v>-0.15</c:v>
                </c:pt>
                <c:pt idx="186">
                  <c:v>-0.14000000000000001</c:v>
                </c:pt>
                <c:pt idx="187">
                  <c:v>-0.13</c:v>
                </c:pt>
                <c:pt idx="188">
                  <c:v>-0.12</c:v>
                </c:pt>
                <c:pt idx="189">
                  <c:v>-0.11</c:v>
                </c:pt>
                <c:pt idx="190">
                  <c:v>-0.1</c:v>
                </c:pt>
                <c:pt idx="191">
                  <c:v>-9.0000000000000094E-2</c:v>
                </c:pt>
                <c:pt idx="192">
                  <c:v>-8.0000000000000099E-2</c:v>
                </c:pt>
                <c:pt idx="193">
                  <c:v>-7.0000000000000104E-2</c:v>
                </c:pt>
                <c:pt idx="194">
                  <c:v>-6.0000000000000102E-2</c:v>
                </c:pt>
                <c:pt idx="195">
                  <c:v>-0.05</c:v>
                </c:pt>
                <c:pt idx="196">
                  <c:v>-0.04</c:v>
                </c:pt>
                <c:pt idx="197">
                  <c:v>-0.03</c:v>
                </c:pt>
                <c:pt idx="198">
                  <c:v>-0.02</c:v>
                </c:pt>
                <c:pt idx="199">
                  <c:v>-0.01</c:v>
                </c:pt>
                <c:pt idx="200">
                  <c:v>0</c:v>
                </c:pt>
                <c:pt idx="201">
                  <c:v>9.9999999999997903E-3</c:v>
                </c:pt>
                <c:pt idx="202">
                  <c:v>0.02</c:v>
                </c:pt>
                <c:pt idx="203">
                  <c:v>2.9999999999999801E-2</c:v>
                </c:pt>
                <c:pt idx="204">
                  <c:v>0.04</c:v>
                </c:pt>
                <c:pt idx="205">
                  <c:v>4.9999999999999802E-2</c:v>
                </c:pt>
                <c:pt idx="206">
                  <c:v>6.0000000000000102E-2</c:v>
                </c:pt>
                <c:pt idx="207">
                  <c:v>6.9999999999999798E-2</c:v>
                </c:pt>
                <c:pt idx="208">
                  <c:v>8.0000000000000099E-2</c:v>
                </c:pt>
                <c:pt idx="209">
                  <c:v>8.99999999999999E-2</c:v>
                </c:pt>
                <c:pt idx="210">
                  <c:v>0.1</c:v>
                </c:pt>
                <c:pt idx="211">
                  <c:v>0.11</c:v>
                </c:pt>
                <c:pt idx="212">
                  <c:v>0.12</c:v>
                </c:pt>
                <c:pt idx="213">
                  <c:v>0.13</c:v>
                </c:pt>
                <c:pt idx="214">
                  <c:v>0.14000000000000001</c:v>
                </c:pt>
                <c:pt idx="215">
                  <c:v>0.15</c:v>
                </c:pt>
                <c:pt idx="216">
                  <c:v>0.16</c:v>
                </c:pt>
                <c:pt idx="217">
                  <c:v>0.17</c:v>
                </c:pt>
                <c:pt idx="218">
                  <c:v>0.18</c:v>
                </c:pt>
                <c:pt idx="219">
                  <c:v>0.19</c:v>
                </c:pt>
                <c:pt idx="220">
                  <c:v>0.2</c:v>
                </c:pt>
                <c:pt idx="221">
                  <c:v>0.21</c:v>
                </c:pt>
                <c:pt idx="222">
                  <c:v>0.22</c:v>
                </c:pt>
                <c:pt idx="223">
                  <c:v>0.23</c:v>
                </c:pt>
                <c:pt idx="224">
                  <c:v>0.24</c:v>
                </c:pt>
                <c:pt idx="225">
                  <c:v>0.25</c:v>
                </c:pt>
                <c:pt idx="226">
                  <c:v>0.26</c:v>
                </c:pt>
                <c:pt idx="227">
                  <c:v>0.27</c:v>
                </c:pt>
                <c:pt idx="228">
                  <c:v>0.28000000000000003</c:v>
                </c:pt>
                <c:pt idx="229">
                  <c:v>0.28999999999999998</c:v>
                </c:pt>
                <c:pt idx="230">
                  <c:v>0.3</c:v>
                </c:pt>
                <c:pt idx="231">
                  <c:v>0.31</c:v>
                </c:pt>
                <c:pt idx="232">
                  <c:v>0.32</c:v>
                </c:pt>
                <c:pt idx="233">
                  <c:v>0.33</c:v>
                </c:pt>
                <c:pt idx="234">
                  <c:v>0.34</c:v>
                </c:pt>
                <c:pt idx="235">
                  <c:v>0.35</c:v>
                </c:pt>
                <c:pt idx="236">
                  <c:v>0.36</c:v>
                </c:pt>
                <c:pt idx="237">
                  <c:v>0.37</c:v>
                </c:pt>
                <c:pt idx="238">
                  <c:v>0.38</c:v>
                </c:pt>
                <c:pt idx="239">
                  <c:v>0.39</c:v>
                </c:pt>
                <c:pt idx="240">
                  <c:v>0.4</c:v>
                </c:pt>
                <c:pt idx="241">
                  <c:v>0.41</c:v>
                </c:pt>
                <c:pt idx="242">
                  <c:v>0.42</c:v>
                </c:pt>
                <c:pt idx="243">
                  <c:v>0.43</c:v>
                </c:pt>
                <c:pt idx="244">
                  <c:v>0.44</c:v>
                </c:pt>
                <c:pt idx="245">
                  <c:v>0.45</c:v>
                </c:pt>
                <c:pt idx="246">
                  <c:v>0.46</c:v>
                </c:pt>
                <c:pt idx="247">
                  <c:v>0.47</c:v>
                </c:pt>
                <c:pt idx="248">
                  <c:v>0.48</c:v>
                </c:pt>
                <c:pt idx="249">
                  <c:v>0.49</c:v>
                </c:pt>
                <c:pt idx="250">
                  <c:v>0.5</c:v>
                </c:pt>
                <c:pt idx="251">
                  <c:v>0.51</c:v>
                </c:pt>
                <c:pt idx="252">
                  <c:v>0.52</c:v>
                </c:pt>
                <c:pt idx="253">
                  <c:v>0.53</c:v>
                </c:pt>
                <c:pt idx="254">
                  <c:v>0.54</c:v>
                </c:pt>
                <c:pt idx="255">
                  <c:v>0.55000000000000004</c:v>
                </c:pt>
                <c:pt idx="256">
                  <c:v>0.56000000000000005</c:v>
                </c:pt>
                <c:pt idx="257">
                  <c:v>0.56999999999999995</c:v>
                </c:pt>
                <c:pt idx="258">
                  <c:v>0.57999999999999996</c:v>
                </c:pt>
                <c:pt idx="259">
                  <c:v>0.59</c:v>
                </c:pt>
                <c:pt idx="260">
                  <c:v>0.6</c:v>
                </c:pt>
                <c:pt idx="261">
                  <c:v>0.61</c:v>
                </c:pt>
                <c:pt idx="262">
                  <c:v>0.62</c:v>
                </c:pt>
                <c:pt idx="263">
                  <c:v>0.63</c:v>
                </c:pt>
                <c:pt idx="264">
                  <c:v>0.64</c:v>
                </c:pt>
                <c:pt idx="265">
                  <c:v>0.65</c:v>
                </c:pt>
                <c:pt idx="266">
                  <c:v>0.66</c:v>
                </c:pt>
                <c:pt idx="267">
                  <c:v>0.67</c:v>
                </c:pt>
                <c:pt idx="268">
                  <c:v>0.68</c:v>
                </c:pt>
                <c:pt idx="269">
                  <c:v>0.69</c:v>
                </c:pt>
                <c:pt idx="270">
                  <c:v>0.7</c:v>
                </c:pt>
                <c:pt idx="271">
                  <c:v>0.71</c:v>
                </c:pt>
                <c:pt idx="272">
                  <c:v>0.72</c:v>
                </c:pt>
                <c:pt idx="273">
                  <c:v>0.73</c:v>
                </c:pt>
                <c:pt idx="274">
                  <c:v>0.74</c:v>
                </c:pt>
                <c:pt idx="275">
                  <c:v>0.75</c:v>
                </c:pt>
                <c:pt idx="276">
                  <c:v>0.76</c:v>
                </c:pt>
                <c:pt idx="277">
                  <c:v>0.77</c:v>
                </c:pt>
                <c:pt idx="278">
                  <c:v>0.78</c:v>
                </c:pt>
                <c:pt idx="279">
                  <c:v>0.79</c:v>
                </c:pt>
                <c:pt idx="280">
                  <c:v>0.8</c:v>
                </c:pt>
                <c:pt idx="281">
                  <c:v>0.81</c:v>
                </c:pt>
                <c:pt idx="282">
                  <c:v>0.82</c:v>
                </c:pt>
                <c:pt idx="283">
                  <c:v>0.83</c:v>
                </c:pt>
                <c:pt idx="284">
                  <c:v>0.84</c:v>
                </c:pt>
                <c:pt idx="285">
                  <c:v>0.85</c:v>
                </c:pt>
                <c:pt idx="286">
                  <c:v>0.86</c:v>
                </c:pt>
                <c:pt idx="287">
                  <c:v>0.87</c:v>
                </c:pt>
                <c:pt idx="288">
                  <c:v>0.88</c:v>
                </c:pt>
                <c:pt idx="289">
                  <c:v>0.89</c:v>
                </c:pt>
                <c:pt idx="290">
                  <c:v>0.9</c:v>
                </c:pt>
                <c:pt idx="291">
                  <c:v>0.91</c:v>
                </c:pt>
                <c:pt idx="292">
                  <c:v>0.92</c:v>
                </c:pt>
                <c:pt idx="293">
                  <c:v>0.93</c:v>
                </c:pt>
                <c:pt idx="294">
                  <c:v>0.94</c:v>
                </c:pt>
                <c:pt idx="295">
                  <c:v>0.95</c:v>
                </c:pt>
                <c:pt idx="296">
                  <c:v>0.96</c:v>
                </c:pt>
                <c:pt idx="297">
                  <c:v>0.97</c:v>
                </c:pt>
                <c:pt idx="298">
                  <c:v>0.98</c:v>
                </c:pt>
                <c:pt idx="299">
                  <c:v>0.99</c:v>
                </c:pt>
                <c:pt idx="300">
                  <c:v>1</c:v>
                </c:pt>
                <c:pt idx="301">
                  <c:v>1.01</c:v>
                </c:pt>
                <c:pt idx="302">
                  <c:v>1.02</c:v>
                </c:pt>
                <c:pt idx="303">
                  <c:v>1.03</c:v>
                </c:pt>
                <c:pt idx="304">
                  <c:v>1.04</c:v>
                </c:pt>
                <c:pt idx="305">
                  <c:v>1.05</c:v>
                </c:pt>
                <c:pt idx="306">
                  <c:v>1.06</c:v>
                </c:pt>
                <c:pt idx="307">
                  <c:v>1.07</c:v>
                </c:pt>
                <c:pt idx="308">
                  <c:v>1.08</c:v>
                </c:pt>
                <c:pt idx="309">
                  <c:v>1.0900000000000001</c:v>
                </c:pt>
                <c:pt idx="310">
                  <c:v>1.1000000000000001</c:v>
                </c:pt>
                <c:pt idx="311">
                  <c:v>1.1100000000000001</c:v>
                </c:pt>
                <c:pt idx="312">
                  <c:v>1.1200000000000001</c:v>
                </c:pt>
                <c:pt idx="313">
                  <c:v>1.1299999999999999</c:v>
                </c:pt>
                <c:pt idx="314">
                  <c:v>1.1399999999999999</c:v>
                </c:pt>
                <c:pt idx="315">
                  <c:v>1.1499999999999999</c:v>
                </c:pt>
                <c:pt idx="316">
                  <c:v>1.1599999999999999</c:v>
                </c:pt>
                <c:pt idx="317">
                  <c:v>1.17</c:v>
                </c:pt>
                <c:pt idx="318">
                  <c:v>1.18</c:v>
                </c:pt>
                <c:pt idx="319">
                  <c:v>1.19</c:v>
                </c:pt>
                <c:pt idx="320">
                  <c:v>1.2</c:v>
                </c:pt>
                <c:pt idx="321">
                  <c:v>1.21</c:v>
                </c:pt>
                <c:pt idx="322">
                  <c:v>1.22</c:v>
                </c:pt>
                <c:pt idx="323">
                  <c:v>1.23</c:v>
                </c:pt>
                <c:pt idx="324">
                  <c:v>1.24</c:v>
                </c:pt>
                <c:pt idx="325">
                  <c:v>1.25</c:v>
                </c:pt>
                <c:pt idx="326">
                  <c:v>1.26</c:v>
                </c:pt>
                <c:pt idx="327">
                  <c:v>1.27</c:v>
                </c:pt>
                <c:pt idx="328">
                  <c:v>1.28</c:v>
                </c:pt>
                <c:pt idx="329">
                  <c:v>1.29</c:v>
                </c:pt>
                <c:pt idx="330">
                  <c:v>1.3</c:v>
                </c:pt>
                <c:pt idx="331">
                  <c:v>1.31</c:v>
                </c:pt>
                <c:pt idx="332">
                  <c:v>1.32</c:v>
                </c:pt>
                <c:pt idx="333">
                  <c:v>1.33</c:v>
                </c:pt>
                <c:pt idx="334">
                  <c:v>1.34</c:v>
                </c:pt>
                <c:pt idx="335">
                  <c:v>1.35</c:v>
                </c:pt>
                <c:pt idx="336">
                  <c:v>1.36</c:v>
                </c:pt>
                <c:pt idx="337">
                  <c:v>1.37</c:v>
                </c:pt>
                <c:pt idx="338">
                  <c:v>1.38</c:v>
                </c:pt>
                <c:pt idx="339">
                  <c:v>1.39</c:v>
                </c:pt>
                <c:pt idx="340">
                  <c:v>1.4</c:v>
                </c:pt>
                <c:pt idx="341">
                  <c:v>1.41</c:v>
                </c:pt>
                <c:pt idx="342">
                  <c:v>1.42</c:v>
                </c:pt>
                <c:pt idx="343">
                  <c:v>1.43</c:v>
                </c:pt>
                <c:pt idx="344">
                  <c:v>1.44</c:v>
                </c:pt>
                <c:pt idx="345">
                  <c:v>1.45</c:v>
                </c:pt>
                <c:pt idx="346">
                  <c:v>1.46</c:v>
                </c:pt>
                <c:pt idx="347">
                  <c:v>1.47</c:v>
                </c:pt>
                <c:pt idx="348">
                  <c:v>1.48</c:v>
                </c:pt>
                <c:pt idx="349">
                  <c:v>1.49</c:v>
                </c:pt>
                <c:pt idx="350">
                  <c:v>1.5</c:v>
                </c:pt>
                <c:pt idx="351">
                  <c:v>1.51</c:v>
                </c:pt>
                <c:pt idx="352">
                  <c:v>1.52</c:v>
                </c:pt>
                <c:pt idx="353">
                  <c:v>1.53</c:v>
                </c:pt>
                <c:pt idx="354">
                  <c:v>1.54</c:v>
                </c:pt>
                <c:pt idx="355">
                  <c:v>1.55</c:v>
                </c:pt>
                <c:pt idx="356">
                  <c:v>1.56</c:v>
                </c:pt>
                <c:pt idx="357">
                  <c:v>1.57</c:v>
                </c:pt>
                <c:pt idx="358">
                  <c:v>1.58</c:v>
                </c:pt>
                <c:pt idx="359">
                  <c:v>1.59</c:v>
                </c:pt>
                <c:pt idx="360">
                  <c:v>1.6</c:v>
                </c:pt>
                <c:pt idx="361">
                  <c:v>1.61</c:v>
                </c:pt>
                <c:pt idx="362">
                  <c:v>1.62</c:v>
                </c:pt>
                <c:pt idx="363">
                  <c:v>1.63</c:v>
                </c:pt>
                <c:pt idx="364">
                  <c:v>1.64</c:v>
                </c:pt>
                <c:pt idx="365">
                  <c:v>1.65</c:v>
                </c:pt>
                <c:pt idx="366">
                  <c:v>1.66</c:v>
                </c:pt>
                <c:pt idx="367">
                  <c:v>1.67</c:v>
                </c:pt>
                <c:pt idx="368">
                  <c:v>1.68</c:v>
                </c:pt>
                <c:pt idx="369">
                  <c:v>1.69</c:v>
                </c:pt>
                <c:pt idx="370">
                  <c:v>1.7</c:v>
                </c:pt>
                <c:pt idx="371">
                  <c:v>1.71</c:v>
                </c:pt>
                <c:pt idx="372">
                  <c:v>1.72</c:v>
                </c:pt>
                <c:pt idx="373">
                  <c:v>1.73</c:v>
                </c:pt>
                <c:pt idx="374">
                  <c:v>1.74</c:v>
                </c:pt>
                <c:pt idx="375">
                  <c:v>1.75</c:v>
                </c:pt>
                <c:pt idx="376">
                  <c:v>1.76</c:v>
                </c:pt>
                <c:pt idx="377">
                  <c:v>1.77</c:v>
                </c:pt>
                <c:pt idx="378">
                  <c:v>1.78</c:v>
                </c:pt>
                <c:pt idx="379">
                  <c:v>1.79</c:v>
                </c:pt>
                <c:pt idx="380">
                  <c:v>1.8</c:v>
                </c:pt>
                <c:pt idx="381">
                  <c:v>1.81</c:v>
                </c:pt>
                <c:pt idx="382">
                  <c:v>1.82</c:v>
                </c:pt>
                <c:pt idx="383">
                  <c:v>1.83</c:v>
                </c:pt>
                <c:pt idx="384">
                  <c:v>1.84</c:v>
                </c:pt>
                <c:pt idx="385">
                  <c:v>1.85</c:v>
                </c:pt>
                <c:pt idx="386">
                  <c:v>1.86</c:v>
                </c:pt>
                <c:pt idx="387">
                  <c:v>1.87</c:v>
                </c:pt>
                <c:pt idx="388">
                  <c:v>1.88</c:v>
                </c:pt>
                <c:pt idx="389">
                  <c:v>1.89</c:v>
                </c:pt>
                <c:pt idx="390">
                  <c:v>1.9</c:v>
                </c:pt>
                <c:pt idx="391">
                  <c:v>1.91</c:v>
                </c:pt>
                <c:pt idx="392">
                  <c:v>1.92</c:v>
                </c:pt>
                <c:pt idx="393">
                  <c:v>1.93</c:v>
                </c:pt>
                <c:pt idx="394">
                  <c:v>1.94</c:v>
                </c:pt>
                <c:pt idx="395">
                  <c:v>1.95</c:v>
                </c:pt>
                <c:pt idx="396">
                  <c:v>1.96</c:v>
                </c:pt>
                <c:pt idx="397">
                  <c:v>1.97</c:v>
                </c:pt>
                <c:pt idx="398">
                  <c:v>1.98</c:v>
                </c:pt>
                <c:pt idx="399">
                  <c:v>1.99</c:v>
                </c:pt>
                <c:pt idx="400">
                  <c:v>2</c:v>
                </c:pt>
              </c:numCache>
            </c:numRef>
          </c:xVal>
          <c:yVal>
            <c:numRef>
              <c:f>加法モデル!$D$2:$D$402</c:f>
              <c:numCache>
                <c:formatCode>General</c:formatCode>
                <c:ptCount val="401"/>
                <c:pt idx="0">
                  <c:v>0.3465969639416065</c:v>
                </c:pt>
                <c:pt idx="1">
                  <c:v>0.34832919843664528</c:v>
                </c:pt>
                <c:pt idx="2">
                  <c:v>0.35007360111209418</c:v>
                </c:pt>
                <c:pt idx="3">
                  <c:v>0.35183025744403307</c:v>
                </c:pt>
                <c:pt idx="4">
                  <c:v>0.35359925350897392</c:v>
                </c:pt>
                <c:pt idx="5">
                  <c:v>0.35538067598807765</c:v>
                </c:pt>
                <c:pt idx="6">
                  <c:v>0.35717461217140245</c:v>
                </c:pt>
                <c:pt idx="7">
                  <c:v>0.35898114996218</c:v>
                </c:pt>
                <c:pt idx="8">
                  <c:v>0.36080037788112373</c:v>
                </c:pt>
                <c:pt idx="9">
                  <c:v>0.36263238507076534</c:v>
                </c:pt>
                <c:pt idx="10">
                  <c:v>0.36447726129982405</c:v>
                </c:pt>
                <c:pt idx="11">
                  <c:v>0.36633509696760391</c:v>
                </c:pt>
                <c:pt idx="12">
                  <c:v>0.36820598310842445</c:v>
                </c:pt>
                <c:pt idx="13">
                  <c:v>0.370090011396081</c:v>
                </c:pt>
                <c:pt idx="14">
                  <c:v>0.37198727414833654</c:v>
                </c:pt>
                <c:pt idx="15">
                  <c:v>0.37389786433144556</c:v>
                </c:pt>
                <c:pt idx="16">
                  <c:v>0.37582187556470936</c:v>
                </c:pt>
                <c:pt idx="17">
                  <c:v>0.3777594021250632</c:v>
                </c:pt>
                <c:pt idx="18">
                  <c:v>0.37971053895169637</c:v>
                </c:pt>
                <c:pt idx="19">
                  <c:v>0.38167538165070358</c:v>
                </c:pt>
                <c:pt idx="20">
                  <c:v>0.38365402649977043</c:v>
                </c:pt>
                <c:pt idx="21">
                  <c:v>0.38564657045289019</c:v>
                </c:pt>
                <c:pt idx="22">
                  <c:v>0.38765311114511536</c:v>
                </c:pt>
                <c:pt idx="23">
                  <c:v>0.38967374689734147</c:v>
                </c:pt>
                <c:pt idx="24">
                  <c:v>0.39170857672112436</c:v>
                </c:pt>
                <c:pt idx="25">
                  <c:v>0.39375770032353286</c:v>
                </c:pt>
                <c:pt idx="26">
                  <c:v>0.39582121811203319</c:v>
                </c:pt>
                <c:pt idx="27">
                  <c:v>0.39789923119941017</c:v>
                </c:pt>
                <c:pt idx="28">
                  <c:v>0.39999184140872046</c:v>
                </c:pt>
                <c:pt idx="29">
                  <c:v>0.40209915127828344</c:v>
                </c:pt>
                <c:pt idx="30">
                  <c:v>0.40422126406670411</c:v>
                </c:pt>
                <c:pt idx="31">
                  <c:v>0.4063582837579337</c:v>
                </c:pt>
                <c:pt idx="32">
                  <c:v>0.4085103150663647</c:v>
                </c:pt>
                <c:pt idx="33">
                  <c:v>0.41067746344196199</c:v>
                </c:pt>
                <c:pt idx="34">
                  <c:v>0.41285983507542923</c:v>
                </c:pt>
                <c:pt idx="35">
                  <c:v>0.4150575369034134</c:v>
                </c:pt>
                <c:pt idx="36">
                  <c:v>0.41727067661374362</c:v>
                </c:pt>
                <c:pt idx="37">
                  <c:v>0.41949936265070875</c:v>
                </c:pt>
                <c:pt idx="38">
                  <c:v>0.42174370422037022</c:v>
                </c:pt>
                <c:pt idx="39">
                  <c:v>0.42400381129591413</c:v>
                </c:pt>
                <c:pt idx="40">
                  <c:v>0.42627979462303955</c:v>
                </c:pt>
                <c:pt idx="41">
                  <c:v>0.42857176572538458</c:v>
                </c:pt>
                <c:pt idx="42">
                  <c:v>0.43087983690999221</c:v>
                </c:pt>
                <c:pt idx="43">
                  <c:v>0.43320412127281183</c:v>
                </c:pt>
                <c:pt idx="44">
                  <c:v>0.43554473270424277</c:v>
                </c:pt>
                <c:pt idx="45">
                  <c:v>0.43790178589471307</c:v>
                </c:pt>
                <c:pt idx="46">
                  <c:v>0.44027539634030088</c:v>
                </c:pt>
                <c:pt idx="47">
                  <c:v>0.44266568034839293</c:v>
                </c:pt>
                <c:pt idx="48">
                  <c:v>0.44507275504338384</c:v>
                </c:pt>
                <c:pt idx="49">
                  <c:v>0.44749673837241521</c:v>
                </c:pt>
                <c:pt idx="50">
                  <c:v>0.44993774911115547</c:v>
                </c:pt>
                <c:pt idx="51">
                  <c:v>0.45239590686961872</c:v>
                </c:pt>
                <c:pt idx="52">
                  <c:v>0.45487133209802744</c:v>
                </c:pt>
                <c:pt idx="53">
                  <c:v>0.45736414609271292</c:v>
                </c:pt>
                <c:pt idx="54">
                  <c:v>0.45987447100205958</c:v>
                </c:pt>
                <c:pt idx="55">
                  <c:v>0.46240242983249036</c:v>
                </c:pt>
                <c:pt idx="56">
                  <c:v>0.46494814645449378</c:v>
                </c:pt>
                <c:pt idx="57">
                  <c:v>0.46751174560869357</c:v>
                </c:pt>
                <c:pt idx="58">
                  <c:v>0.4700933529119613</c:v>
                </c:pt>
                <c:pt idx="59">
                  <c:v>0.47269309486357136</c:v>
                </c:pt>
                <c:pt idx="60">
                  <c:v>0.47531109885139955</c:v>
                </c:pt>
                <c:pt idx="61">
                  <c:v>0.47794749315816509</c:v>
                </c:pt>
                <c:pt idx="62">
                  <c:v>0.4806024069677165</c:v>
                </c:pt>
                <c:pt idx="63">
                  <c:v>0.48327597037136161</c:v>
                </c:pt>
                <c:pt idx="64">
                  <c:v>0.48596831437424215</c:v>
                </c:pt>
                <c:pt idx="65">
                  <c:v>0.48867957090175307</c:v>
                </c:pt>
                <c:pt idx="66">
                  <c:v>0.49140987280600656</c:v>
                </c:pt>
                <c:pt idx="67">
                  <c:v>0.49415935387234222</c:v>
                </c:pt>
                <c:pt idx="68">
                  <c:v>0.49692814882588254</c:v>
                </c:pt>
                <c:pt idx="69">
                  <c:v>0.49971639333813411</c:v>
                </c:pt>
                <c:pt idx="70">
                  <c:v>0.50252422403363606</c:v>
                </c:pt>
                <c:pt idx="71">
                  <c:v>0.50535177849665402</c:v>
                </c:pt>
                <c:pt idx="72">
                  <c:v>0.50819919527792268</c:v>
                </c:pt>
                <c:pt idx="73">
                  <c:v>0.51106661390143404</c:v>
                </c:pt>
                <c:pt idx="74">
                  <c:v>0.51395417487127415</c:v>
                </c:pt>
                <c:pt idx="75">
                  <c:v>0.51686201967850842</c:v>
                </c:pt>
                <c:pt idx="76">
                  <c:v>0.51979029080811423</c:v>
                </c:pt>
                <c:pt idx="77">
                  <c:v>0.52273913174596287</c:v>
                </c:pt>
                <c:pt idx="78">
                  <c:v>0.52570868698585016</c:v>
                </c:pt>
                <c:pt idx="79">
                  <c:v>0.52869910203657722</c:v>
                </c:pt>
                <c:pt idx="80">
                  <c:v>0.53171052342907976</c:v>
                </c:pt>
                <c:pt idx="81">
                  <c:v>0.53474309872360848</c:v>
                </c:pt>
                <c:pt idx="82">
                  <c:v>0.53779697651695968</c:v>
                </c:pt>
                <c:pt idx="83">
                  <c:v>0.54087230644975615</c:v>
                </c:pt>
                <c:pt idx="84">
                  <c:v>0.54396923921378004</c:v>
                </c:pt>
                <c:pt idx="85">
                  <c:v>0.54708792655935645</c:v>
                </c:pt>
                <c:pt idx="86">
                  <c:v>0.55022852130278921</c:v>
                </c:pt>
                <c:pt idx="87">
                  <c:v>0.55339117733384924</c:v>
                </c:pt>
                <c:pt idx="88">
                  <c:v>0.55657604962331475</c:v>
                </c:pt>
                <c:pt idx="89">
                  <c:v>0.55978329423056516</c:v>
                </c:pt>
                <c:pt idx="90">
                  <c:v>0.5630130683112281</c:v>
                </c:pt>
                <c:pt idx="91">
                  <c:v>0.56626553012487957</c:v>
                </c:pt>
                <c:pt idx="92">
                  <c:v>0.56954083904279929</c:v>
                </c:pt>
                <c:pt idx="93">
                  <c:v>0.57283915555577958</c:v>
                </c:pt>
                <c:pt idx="94">
                  <c:v>0.57616064128198941</c:v>
                </c:pt>
                <c:pt idx="95">
                  <c:v>0.57950545897489414</c:v>
                </c:pt>
                <c:pt idx="96">
                  <c:v>0.58287377253122974</c:v>
                </c:pt>
                <c:pt idx="97">
                  <c:v>0.58626574699903455</c:v>
                </c:pt>
                <c:pt idx="98">
                  <c:v>0.58968154858573618</c:v>
                </c:pt>
                <c:pt idx="99">
                  <c:v>0.59312134466629574</c:v>
                </c:pt>
                <c:pt idx="100">
                  <c:v>0.5965853037914095</c:v>
                </c:pt>
                <c:pt idx="101">
                  <c:v>0.60007359569576768</c:v>
                </c:pt>
                <c:pt idx="102">
                  <c:v>0.60358639130637148</c:v>
                </c:pt>
                <c:pt idx="103">
                  <c:v>0.60712386275090868</c:v>
                </c:pt>
                <c:pt idx="104">
                  <c:v>0.61068618336618785</c:v>
                </c:pt>
                <c:pt idx="105">
                  <c:v>0.61427352770663202</c:v>
                </c:pt>
                <c:pt idx="106">
                  <c:v>0.61788607155283148</c:v>
                </c:pt>
                <c:pt idx="107">
                  <c:v>0.6215239919201575</c:v>
                </c:pt>
                <c:pt idx="108">
                  <c:v>0.62518746706743611</c:v>
                </c:pt>
                <c:pt idx="109">
                  <c:v>0.62887667650568246</c:v>
                </c:pt>
                <c:pt idx="110">
                  <c:v>0.63259180100689716</c:v>
                </c:pt>
                <c:pt idx="111">
                  <c:v>0.63633302261292413</c:v>
                </c:pt>
                <c:pt idx="112">
                  <c:v>0.64010052464437062</c:v>
                </c:pt>
                <c:pt idx="113">
                  <c:v>0.6438944917095899</c:v>
                </c:pt>
                <c:pt idx="114">
                  <c:v>0.64771510971372748</c:v>
                </c:pt>
                <c:pt idx="115">
                  <c:v>0.65156256586782979</c:v>
                </c:pt>
                <c:pt idx="116">
                  <c:v>0.65543704869801822</c:v>
                </c:pt>
                <c:pt idx="117">
                  <c:v>0.65933874805472681</c:v>
                </c:pt>
                <c:pt idx="118">
                  <c:v>0.6632678551220047</c:v>
                </c:pt>
                <c:pt idx="119">
                  <c:v>0.6672245624268841</c:v>
                </c:pt>
                <c:pt idx="120">
                  <c:v>0.67120906384881485</c:v>
                </c:pt>
                <c:pt idx="121">
                  <c:v>0.67522155462916389</c:v>
                </c:pt>
                <c:pt idx="122">
                  <c:v>0.67926223138078212</c:v>
                </c:pt>
                <c:pt idx="123">
                  <c:v>0.68333129209763888</c:v>
                </c:pt>
                <c:pt idx="124">
                  <c:v>0.6874289361645235</c:v>
                </c:pt>
                <c:pt idx="125">
                  <c:v>0.69155536436681508</c:v>
                </c:pt>
                <c:pt idx="126">
                  <c:v>0.69571077890032118</c:v>
                </c:pt>
                <c:pt idx="127">
                  <c:v>0.69989538338118551</c:v>
                </c:pt>
                <c:pt idx="128">
                  <c:v>0.70410938285586466</c:v>
                </c:pt>
                <c:pt idx="129">
                  <c:v>0.70835298381117628</c:v>
                </c:pt>
                <c:pt idx="130">
                  <c:v>0.71262639418441609</c:v>
                </c:pt>
                <c:pt idx="131">
                  <c:v>0.71692982337354749</c:v>
                </c:pt>
                <c:pt idx="132">
                  <c:v>0.72126348224746173</c:v>
                </c:pt>
                <c:pt idx="133">
                  <c:v>0.72562758315631071</c:v>
                </c:pt>
                <c:pt idx="134">
                  <c:v>0.73002233994191223</c:v>
                </c:pt>
                <c:pt idx="135">
                  <c:v>0.7344479679482282</c:v>
                </c:pt>
                <c:pt idx="136">
                  <c:v>0.73890468403191623</c:v>
                </c:pt>
                <c:pt idx="137">
                  <c:v>0.7433927065729562</c:v>
                </c:pt>
                <c:pt idx="138">
                  <c:v>0.74791225548535056</c:v>
                </c:pt>
                <c:pt idx="139">
                  <c:v>0.7524635522279004</c:v>
                </c:pt>
                <c:pt idx="140">
                  <c:v>0.75704681981505673</c:v>
                </c:pt>
                <c:pt idx="141">
                  <c:v>0.76166228282784831</c:v>
                </c:pt>
                <c:pt idx="142">
                  <c:v>0.76631016742488633</c:v>
                </c:pt>
                <c:pt idx="143">
                  <c:v>0.77099070135344594</c:v>
                </c:pt>
                <c:pt idx="144">
                  <c:v>0.775704113960626</c:v>
                </c:pt>
                <c:pt idx="145">
                  <c:v>0.78045063620458766</c:v>
                </c:pt>
                <c:pt idx="146">
                  <c:v>0.7852305006658703</c:v>
                </c:pt>
                <c:pt idx="147">
                  <c:v>0.79004394155878899</c:v>
                </c:pt>
                <c:pt idx="148">
                  <c:v>0.79489119474291059</c:v>
                </c:pt>
                <c:pt idx="149">
                  <c:v>0.79977249773461101</c:v>
                </c:pt>
                <c:pt idx="150">
                  <c:v>0.80468808971871342</c:v>
                </c:pt>
                <c:pt idx="151">
                  <c:v>0.80963821156020865</c:v>
                </c:pt>
                <c:pt idx="152">
                  <c:v>0.81462310581605735</c:v>
                </c:pt>
                <c:pt idx="153">
                  <c:v>0.8196430167470754</c:v>
                </c:pt>
                <c:pt idx="154">
                  <c:v>0.82469819032990288</c:v>
                </c:pt>
                <c:pt idx="155">
                  <c:v>0.82978887426905679</c:v>
                </c:pt>
                <c:pt idx="156">
                  <c:v>0.83491531800906871</c:v>
                </c:pt>
                <c:pt idx="157">
                  <c:v>0.84007777274670759</c:v>
                </c:pt>
                <c:pt idx="158">
                  <c:v>0.84527649144328865</c:v>
                </c:pt>
                <c:pt idx="159">
                  <c:v>0.85051172883706794</c:v>
                </c:pt>
                <c:pt idx="160">
                  <c:v>0.85578374145572544</c:v>
                </c:pt>
                <c:pt idx="161">
                  <c:v>0.86109278762893426</c:v>
                </c:pt>
                <c:pt idx="162">
                  <c:v>0.86643912750101915</c:v>
                </c:pt>
                <c:pt idx="163">
                  <c:v>0.8718230230437034</c:v>
                </c:pt>
                <c:pt idx="164">
                  <c:v>0.87724473806894609</c:v>
                </c:pt>
                <c:pt idx="165">
                  <c:v>0.88270453824186812</c:v>
                </c:pt>
                <c:pt idx="166">
                  <c:v>0.88820269109377037</c:v>
                </c:pt>
                <c:pt idx="167">
                  <c:v>0.89373946603524279</c:v>
                </c:pt>
                <c:pt idx="168">
                  <c:v>0.89931513436936517</c:v>
                </c:pt>
                <c:pt idx="169">
                  <c:v>0.90492996930500147</c:v>
                </c:pt>
                <c:pt idx="170">
                  <c:v>0.91058424597018706</c:v>
                </c:pt>
                <c:pt idx="171">
                  <c:v>0.91627824142560987</c:v>
                </c:pt>
                <c:pt idx="172">
                  <c:v>0.92201223467818649</c:v>
                </c:pt>
                <c:pt idx="173">
                  <c:v>0.92778650669473361</c:v>
                </c:pt>
                <c:pt idx="174">
                  <c:v>0.93360134041573528</c:v>
                </c:pt>
                <c:pt idx="175">
                  <c:v>0.93945702076920734</c:v>
                </c:pt>
                <c:pt idx="176">
                  <c:v>0.94535383468465872</c:v>
                </c:pt>
                <c:pt idx="177">
                  <c:v>0.95129207110715108</c:v>
                </c:pt>
                <c:pt idx="178">
                  <c:v>0.95727202101145747</c:v>
                </c:pt>
                <c:pt idx="179">
                  <c:v>0.96329397741631939</c:v>
                </c:pt>
                <c:pt idx="180">
                  <c:v>0.96935823539880583</c:v>
                </c:pt>
                <c:pt idx="181">
                  <c:v>0.97546509210877108</c:v>
                </c:pt>
                <c:pt idx="182">
                  <c:v>0.98161484678341604</c:v>
                </c:pt>
                <c:pt idx="183">
                  <c:v>0.98780780076195007</c:v>
                </c:pt>
                <c:pt idx="184">
                  <c:v>0.9940442575003573</c:v>
                </c:pt>
                <c:pt idx="185">
                  <c:v>1.0003245225862656</c:v>
                </c:pt>
                <c:pt idx="186">
                  <c:v>1.006648903753921</c:v>
                </c:pt>
                <c:pt idx="187">
                  <c:v>1.0130177108992657</c:v>
                </c:pt>
                <c:pt idx="188">
                  <c:v>1.0194312560951246</c:v>
                </c:pt>
                <c:pt idx="189">
                  <c:v>1.0258898536064953</c:v>
                </c:pt>
                <c:pt idx="190">
                  <c:v>1.0323938199059484</c:v>
                </c:pt>
                <c:pt idx="191">
                  <c:v>1.0389434736891332</c:v>
                </c:pt>
                <c:pt idx="192">
                  <c:v>1.0455391358903963</c:v>
                </c:pt>
                <c:pt idx="193">
                  <c:v>1.0521811296985049</c:v>
                </c:pt>
                <c:pt idx="194">
                  <c:v>1.0588697805724845</c:v>
                </c:pt>
                <c:pt idx="195">
                  <c:v>1.0656054162575666</c:v>
                </c:pt>
                <c:pt idx="196">
                  <c:v>1.0723883668012468</c:v>
                </c:pt>
                <c:pt idx="197">
                  <c:v>1.0792189645694596</c:v>
                </c:pt>
                <c:pt idx="198">
                  <c:v>1.086097544262862</c:v>
                </c:pt>
                <c:pt idx="199">
                  <c:v>1.0930244429332352</c:v>
                </c:pt>
                <c:pt idx="200">
                  <c:v>1.1000000000000001</c:v>
                </c:pt>
                <c:pt idx="201">
                  <c:v>1.1070245572668485</c:v>
                </c:pt>
                <c:pt idx="202">
                  <c:v>1.1140984589384924</c:v>
                </c:pt>
                <c:pt idx="203">
                  <c:v>1.1212220516375286</c:v>
                </c:pt>
                <c:pt idx="204">
                  <c:v>1.1283956844214251</c:v>
                </c:pt>
                <c:pt idx="205">
                  <c:v>1.1356197087996232</c:v>
                </c:pt>
                <c:pt idx="206">
                  <c:v>1.1428944787507633</c:v>
                </c:pt>
                <c:pt idx="207">
                  <c:v>1.1502203507400282</c:v>
                </c:pt>
                <c:pt idx="208">
                  <c:v>1.1575976837366113</c:v>
                </c:pt>
                <c:pt idx="209">
                  <c:v>1.1650268392313055</c:v>
                </c:pt>
                <c:pt idx="210">
                  <c:v>1.1725081812542166</c:v>
                </c:pt>
                <c:pt idx="211">
                  <c:v>1.1800420763926005</c:v>
                </c:pt>
                <c:pt idx="212">
                  <c:v>1.1876288938088262</c:v>
                </c:pt>
                <c:pt idx="213">
                  <c:v>1.1952690052584656</c:v>
                </c:pt>
                <c:pt idx="214">
                  <c:v>1.2029627851085078</c:v>
                </c:pt>
                <c:pt idx="215">
                  <c:v>1.2107106103557053</c:v>
                </c:pt>
                <c:pt idx="216">
                  <c:v>1.2185128606450453</c:v>
                </c:pt>
                <c:pt idx="217">
                  <c:v>1.226369918288353</c:v>
                </c:pt>
                <c:pt idx="218">
                  <c:v>1.2342821682830252</c:v>
                </c:pt>
                <c:pt idx="219">
                  <c:v>1.2422499983308943</c:v>
                </c:pt>
                <c:pt idx="220">
                  <c:v>1.2502737988572274</c:v>
                </c:pt>
                <c:pt idx="221">
                  <c:v>1.2583539630298555</c:v>
                </c:pt>
                <c:pt idx="222">
                  <c:v>1.2664908867784397</c:v>
                </c:pt>
                <c:pt idx="223">
                  <c:v>1.2746849688138717</c:v>
                </c:pt>
                <c:pt idx="224">
                  <c:v>1.2829366106478108</c:v>
                </c:pt>
                <c:pt idx="225">
                  <c:v>1.2912462166123582</c:v>
                </c:pt>
                <c:pt idx="226">
                  <c:v>1.2996141938798684</c:v>
                </c:pt>
                <c:pt idx="227">
                  <c:v>1.308040952482902</c:v>
                </c:pt>
                <c:pt idx="228">
                  <c:v>1.3165269053343163</c:v>
                </c:pt>
                <c:pt idx="229">
                  <c:v>1.3250724682474992</c:v>
                </c:pt>
                <c:pt idx="230">
                  <c:v>1.3336780599567433</c:v>
                </c:pt>
                <c:pt idx="231">
                  <c:v>1.342344102137764</c:v>
                </c:pt>
                <c:pt idx="232">
                  <c:v>1.3510710194283624</c:v>
                </c:pt>
                <c:pt idx="233">
                  <c:v>1.3598592394492315</c:v>
                </c:pt>
                <c:pt idx="234">
                  <c:v>1.3687091928249109</c:v>
                </c:pt>
                <c:pt idx="235">
                  <c:v>1.3776213132048867</c:v>
                </c:pt>
                <c:pt idx="236">
                  <c:v>1.3865960372848407</c:v>
                </c:pt>
                <c:pt idx="237">
                  <c:v>1.3956338048280486</c:v>
                </c:pt>
                <c:pt idx="238">
                  <c:v>1.4047350586869278</c:v>
                </c:pt>
                <c:pt idx="239">
                  <c:v>1.4139002448247393</c:v>
                </c:pt>
                <c:pt idx="240">
                  <c:v>1.423129812337437</c:v>
                </c:pt>
                <c:pt idx="241">
                  <c:v>1.4324242134756759</c:v>
                </c:pt>
                <c:pt idx="242">
                  <c:v>1.4417839036669715</c:v>
                </c:pt>
                <c:pt idx="243">
                  <c:v>1.4512093415380156</c:v>
                </c:pt>
                <c:pt idx="244">
                  <c:v>1.4607009889371503</c:v>
                </c:pt>
                <c:pt idx="245">
                  <c:v>1.4702593109569968</c:v>
                </c:pt>
                <c:pt idx="246">
                  <c:v>1.4798847759572467</c:v>
                </c:pt>
                <c:pt idx="247">
                  <c:v>1.4895778555876107</c:v>
                </c:pt>
                <c:pt idx="248">
                  <c:v>1.4993390248109304</c:v>
                </c:pt>
                <c:pt idx="249">
                  <c:v>1.5091687619264509</c:v>
                </c:pt>
                <c:pt idx="250">
                  <c:v>1.5190675485932572</c:v>
                </c:pt>
                <c:pt idx="251">
                  <c:v>1.5290358698538771</c:v>
                </c:pt>
                <c:pt idx="252">
                  <c:v>1.5390742141580465</c:v>
                </c:pt>
                <c:pt idx="253">
                  <c:v>1.5491830733866447</c:v>
                </c:pt>
                <c:pt idx="254">
                  <c:v>1.5593629428757967</c:v>
                </c:pt>
                <c:pt idx="255">
                  <c:v>1.5696143214411444</c:v>
                </c:pt>
                <c:pt idx="256">
                  <c:v>1.5799377114022886</c:v>
                </c:pt>
                <c:pt idx="257">
                  <c:v>1.5903336186074026</c:v>
                </c:pt>
                <c:pt idx="258">
                  <c:v>1.6008025524580201</c:v>
                </c:pt>
                <c:pt idx="259">
                  <c:v>1.6113450259339939</c:v>
                </c:pt>
                <c:pt idx="260">
                  <c:v>1.6219615556186338</c:v>
                </c:pt>
                <c:pt idx="261">
                  <c:v>1.6326526617240189</c:v>
                </c:pt>
                <c:pt idx="262">
                  <c:v>1.6434188681164872</c:v>
                </c:pt>
                <c:pt idx="263">
                  <c:v>1.6542607023423059</c:v>
                </c:pt>
                <c:pt idx="264">
                  <c:v>1.6651786956535217</c:v>
                </c:pt>
                <c:pt idx="265">
                  <c:v>1.6761733830339911</c:v>
                </c:pt>
                <c:pt idx="266">
                  <c:v>1.6872453032255958</c:v>
                </c:pt>
                <c:pt idx="267">
                  <c:v>1.6983949987546405</c:v>
                </c:pt>
                <c:pt idx="268">
                  <c:v>1.7096230159584367</c:v>
                </c:pt>
                <c:pt idx="269">
                  <c:v>1.7209299050120743</c:v>
                </c:pt>
                <c:pt idx="270">
                  <c:v>1.732316219955379</c:v>
                </c:pt>
                <c:pt idx="271">
                  <c:v>1.7437825187200613</c:v>
                </c:pt>
                <c:pt idx="272">
                  <c:v>1.755329363157055</c:v>
                </c:pt>
                <c:pt idx="273">
                  <c:v>1.7669573190640477</c:v>
                </c:pt>
                <c:pt idx="274">
                  <c:v>1.7786669562132054</c:v>
                </c:pt>
                <c:pt idx="275">
                  <c:v>1.7904588483790913</c:v>
                </c:pt>
                <c:pt idx="276">
                  <c:v>1.8023335733667811</c:v>
                </c:pt>
                <c:pt idx="277">
                  <c:v>1.814291713040175</c:v>
                </c:pt>
                <c:pt idx="278">
                  <c:v>1.8263338533505096</c:v>
                </c:pt>
                <c:pt idx="279">
                  <c:v>1.8384605843650696</c:v>
                </c:pt>
                <c:pt idx="280">
                  <c:v>1.8506725002961011</c:v>
                </c:pt>
                <c:pt idx="281">
                  <c:v>1.8629701995299279</c:v>
                </c:pt>
                <c:pt idx="282">
                  <c:v>1.8753542846562734</c:v>
                </c:pt>
                <c:pt idx="283">
                  <c:v>1.8878253624977863</c:v>
                </c:pt>
                <c:pt idx="284">
                  <c:v>1.9003840441397764</c:v>
                </c:pt>
                <c:pt idx="285">
                  <c:v>1.9130309449601566</c:v>
                </c:pt>
                <c:pt idx="286">
                  <c:v>1.9257666846595978</c:v>
                </c:pt>
                <c:pt idx="287">
                  <c:v>1.9385918872918935</c:v>
                </c:pt>
                <c:pt idx="288">
                  <c:v>1.9515071812945384</c:v>
                </c:pt>
                <c:pt idx="289">
                  <c:v>1.9645131995195233</c:v>
                </c:pt>
                <c:pt idx="290">
                  <c:v>1.9776105792643432</c:v>
                </c:pt>
                <c:pt idx="291">
                  <c:v>1.9907999623032262</c:v>
                </c:pt>
                <c:pt idx="292">
                  <c:v>2.0040819949185802</c:v>
                </c:pt>
                <c:pt idx="293">
                  <c:v>2.0174573279326613</c:v>
                </c:pt>
                <c:pt idx="294">
                  <c:v>2.0309266167394622</c:v>
                </c:pt>
                <c:pt idx="295">
                  <c:v>2.0444905213368307</c:v>
                </c:pt>
                <c:pt idx="296">
                  <c:v>2.0581497063588055</c:v>
                </c:pt>
                <c:pt idx="297">
                  <c:v>2.0719048411081857</c:v>
                </c:pt>
                <c:pt idx="298">
                  <c:v>2.0857565995893261</c:v>
                </c:pt>
                <c:pt idx="299">
                  <c:v>2.0997056605411637</c:v>
                </c:pt>
                <c:pt idx="300">
                  <c:v>2.1137527074704767</c:v>
                </c:pt>
                <c:pt idx="301">
                  <c:v>2.1278984286853744</c:v>
                </c:pt>
                <c:pt idx="302">
                  <c:v>2.1421435173290266</c:v>
                </c:pt>
                <c:pt idx="303">
                  <c:v>2.1564886714136282</c:v>
                </c:pt>
                <c:pt idx="304">
                  <c:v>2.1709345938545983</c:v>
                </c:pt>
                <c:pt idx="305">
                  <c:v>2.1854819925050277</c:v>
                </c:pt>
                <c:pt idx="306">
                  <c:v>2.2001315801903609</c:v>
                </c:pt>
                <c:pt idx="307">
                  <c:v>2.2148840747433254</c:v>
                </c:pt>
                <c:pt idx="308">
                  <c:v>2.2297401990391057</c:v>
                </c:pt>
                <c:pt idx="309">
                  <c:v>2.2447006810307655</c:v>
                </c:pt>
                <c:pt idx="310">
                  <c:v>2.2597662537849152</c:v>
                </c:pt>
                <c:pt idx="311">
                  <c:v>2.2749376555176344</c:v>
                </c:pt>
                <c:pt idx="312">
                  <c:v>2.2902156296306431</c:v>
                </c:pt>
                <c:pt idx="313">
                  <c:v>2.30560092474773</c:v>
                </c:pt>
                <c:pt idx="314">
                  <c:v>2.3210942947514348</c:v>
                </c:pt>
                <c:pt idx="315">
                  <c:v>2.336696498819987</c:v>
                </c:pt>
                <c:pt idx="316">
                  <c:v>2.3524083014645076</c:v>
                </c:pt>
                <c:pt idx="317">
                  <c:v>2.36823047256647</c:v>
                </c:pt>
                <c:pt idx="318">
                  <c:v>2.384163787415424</c:v>
                </c:pt>
                <c:pt idx="319">
                  <c:v>2.4002090267469858</c:v>
                </c:pt>
                <c:pt idx="320">
                  <c:v>2.4163669767810916</c:v>
                </c:pt>
                <c:pt idx="321">
                  <c:v>2.4326384292605274</c:v>
                </c:pt>
                <c:pt idx="322">
                  <c:v>2.4490241814897198</c:v>
                </c:pt>
                <c:pt idx="323">
                  <c:v>2.4655250363738062</c:v>
                </c:pt>
                <c:pt idx="324">
                  <c:v>2.4821418024579782</c:v>
                </c:pt>
                <c:pt idx="325">
                  <c:v>2.4988752939670982</c:v>
                </c:pt>
                <c:pt idx="326">
                  <c:v>2.5157263308455979</c:v>
                </c:pt>
                <c:pt idx="327">
                  <c:v>2.5326957387976567</c:v>
                </c:pt>
                <c:pt idx="328">
                  <c:v>2.5497843493276591</c:v>
                </c:pt>
                <c:pt idx="329">
                  <c:v>2.5669929997809406</c:v>
                </c:pt>
                <c:pt idx="330">
                  <c:v>2.5843225333848165</c:v>
                </c:pt>
                <c:pt idx="331">
                  <c:v>2.6017737992899006</c:v>
                </c:pt>
                <c:pt idx="332">
                  <c:v>2.6193476526117134</c:v>
                </c:pt>
                <c:pt idx="333">
                  <c:v>2.6370449544725849</c:v>
                </c:pt>
                <c:pt idx="334">
                  <c:v>2.6548665720438471</c:v>
                </c:pt>
                <c:pt idx="335">
                  <c:v>2.6728133785883261</c:v>
                </c:pt>
                <c:pt idx="336">
                  <c:v>2.6908862535031339</c:v>
                </c:pt>
                <c:pt idx="337">
                  <c:v>2.7090860823627572</c:v>
                </c:pt>
                <c:pt idx="338">
                  <c:v>2.7274137569624517</c:v>
                </c:pt>
                <c:pt idx="339">
                  <c:v>2.7458701753619401</c:v>
                </c:pt>
                <c:pt idx="340">
                  <c:v>2.764456241929417</c:v>
                </c:pt>
                <c:pt idx="341">
                  <c:v>2.7831728673858622</c:v>
                </c:pt>
                <c:pt idx="342">
                  <c:v>2.8020209688496682</c:v>
                </c:pt>
                <c:pt idx="343">
                  <c:v>2.8210014698815784</c:v>
                </c:pt>
                <c:pt idx="344">
                  <c:v>2.8401153005299413</c:v>
                </c:pt>
                <c:pt idx="345">
                  <c:v>2.8593633973762813</c:v>
                </c:pt>
                <c:pt idx="346">
                  <c:v>2.8787467035811973</c:v>
                </c:pt>
                <c:pt idx="347">
                  <c:v>2.8982661689305695</c:v>
                </c:pt>
                <c:pt idx="348">
                  <c:v>2.9179227498821074</c:v>
                </c:pt>
                <c:pt idx="349">
                  <c:v>2.9377174096122096</c:v>
                </c:pt>
                <c:pt idx="350">
                  <c:v>2.9576511180631635</c:v>
                </c:pt>
                <c:pt idx="351">
                  <c:v>2.9777248519906721</c:v>
                </c:pt>
                <c:pt idx="352">
                  <c:v>2.9979395950117138</c:v>
                </c:pt>
                <c:pt idx="353">
                  <c:v>3.0182963376527416</c:v>
                </c:pt>
                <c:pt idx="354">
                  <c:v>3.0387960773982177</c:v>
                </c:pt>
                <c:pt idx="355">
                  <c:v>3.0594398187394916</c:v>
                </c:pt>
                <c:pt idx="356">
                  <c:v>3.0802285732240184</c:v>
                </c:pt>
                <c:pt idx="357">
                  <c:v>3.1011633595049295</c:v>
                </c:pt>
                <c:pt idx="358">
                  <c:v>3.1222452033909391</c:v>
                </c:pt>
                <c:pt idx="359">
                  <c:v>3.1434751378966177</c:v>
                </c:pt>
                <c:pt idx="360">
                  <c:v>3.1648542032930016</c:v>
                </c:pt>
                <c:pt idx="361">
                  <c:v>3.1863834471585752</c:v>
                </c:pt>
                <c:pt idx="362">
                  <c:v>3.208063924430594</c:v>
                </c:pt>
                <c:pt idx="363">
                  <c:v>3.2298966974567822</c:v>
                </c:pt>
                <c:pt idx="364">
                  <c:v>3.2518828360473879</c:v>
                </c:pt>
                <c:pt idx="365">
                  <c:v>3.2740234175275997</c:v>
                </c:pt>
                <c:pt idx="366">
                  <c:v>3.2963195267903411</c:v>
                </c:pt>
                <c:pt idx="367">
                  <c:v>3.3187722563494257</c:v>
                </c:pt>
                <c:pt idx="368">
                  <c:v>3.3413827063930959</c:v>
                </c:pt>
                <c:pt idx="369">
                  <c:v>3.3641519848379264</c:v>
                </c:pt>
                <c:pt idx="370">
                  <c:v>3.387081207383118</c:v>
                </c:pt>
                <c:pt idx="371">
                  <c:v>3.4101714975651625</c:v>
                </c:pt>
                <c:pt idx="372">
                  <c:v>3.4334239868128988</c:v>
                </c:pt>
                <c:pt idx="373">
                  <c:v>3.4568398145029526</c:v>
                </c:pt>
                <c:pt idx="374">
                  <c:v>3.4804201280155662</c:v>
                </c:pt>
                <c:pt idx="375">
                  <c:v>3.5041660827908188</c:v>
                </c:pt>
                <c:pt idx="376">
                  <c:v>3.5280788423852467</c:v>
                </c:pt>
                <c:pt idx="377">
                  <c:v>3.5521595785288533</c:v>
                </c:pt>
                <c:pt idx="378">
                  <c:v>3.5764094711825294</c:v>
                </c:pt>
                <c:pt idx="379">
                  <c:v>3.6008297085958656</c:v>
                </c:pt>
                <c:pt idx="380">
                  <c:v>3.6254214873653825</c:v>
                </c:pt>
                <c:pt idx="381">
                  <c:v>3.6501860124931587</c:v>
                </c:pt>
                <c:pt idx="382">
                  <c:v>3.6751244974458817</c:v>
                </c:pt>
                <c:pt idx="383">
                  <c:v>3.7002381642143032</c:v>
                </c:pt>
                <c:pt idx="384">
                  <c:v>3.7255282433731205</c:v>
                </c:pt>
                <c:pt idx="385">
                  <c:v>3.7509959741412717</c:v>
                </c:pt>
                <c:pt idx="386">
                  <c:v>3.7766426044426611</c:v>
                </c:pt>
                <c:pt idx="387">
                  <c:v>3.8024693909673033</c:v>
                </c:pt>
                <c:pt idx="388">
                  <c:v>3.8284775992329068</c:v>
                </c:pt>
                <c:pt idx="389">
                  <c:v>3.8546685036468804</c:v>
                </c:pt>
                <c:pt idx="390">
                  <c:v>3.8810433875687802</c:v>
                </c:pt>
                <c:pt idx="391">
                  <c:v>3.9076035433731966</c:v>
                </c:pt>
                <c:pt idx="392">
                  <c:v>3.9343502725130768</c:v>
                </c:pt>
                <c:pt idx="393">
                  <c:v>3.9612848855835017</c:v>
                </c:pt>
                <c:pt idx="394">
                  <c:v>3.9884087023858994</c:v>
                </c:pt>
                <c:pt idx="395">
                  <c:v>4.0157230519927216</c:v>
                </c:pt>
                <c:pt idx="396">
                  <c:v>4.0432292728125629</c:v>
                </c:pt>
                <c:pt idx="397">
                  <c:v>4.070928712655749</c:v>
                </c:pt>
                <c:pt idx="398">
                  <c:v>4.0988227288003722</c:v>
                </c:pt>
                <c:pt idx="399">
                  <c:v>4.1269126880588063</c:v>
                </c:pt>
                <c:pt idx="400">
                  <c:v>4.1551999668446742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0E-44BC-B70D-CEFBDD317A36}"/>
            </c:ext>
          </c:extLst>
        </c:ser>
        <c:ser>
          <c:idx val="2"/>
          <c:order val="2"/>
          <c:tx>
            <c:strRef>
              <c:f>加法モデル!$F$1</c:f>
              <c:strCache>
                <c:ptCount val="1"/>
                <c:pt idx="0">
                  <c:v>T+S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加法モデル!$C$2:$C$402</c:f>
              <c:numCache>
                <c:formatCode>General</c:formatCode>
                <c:ptCount val="401"/>
                <c:pt idx="0">
                  <c:v>-2</c:v>
                </c:pt>
                <c:pt idx="1">
                  <c:v>-1.99</c:v>
                </c:pt>
                <c:pt idx="2">
                  <c:v>-1.98</c:v>
                </c:pt>
                <c:pt idx="3">
                  <c:v>-1.97</c:v>
                </c:pt>
                <c:pt idx="4">
                  <c:v>-1.96</c:v>
                </c:pt>
                <c:pt idx="5">
                  <c:v>-1.95</c:v>
                </c:pt>
                <c:pt idx="6">
                  <c:v>-1.94</c:v>
                </c:pt>
                <c:pt idx="7">
                  <c:v>-1.93</c:v>
                </c:pt>
                <c:pt idx="8">
                  <c:v>-1.92</c:v>
                </c:pt>
                <c:pt idx="9">
                  <c:v>-1.91</c:v>
                </c:pt>
                <c:pt idx="10">
                  <c:v>-1.9</c:v>
                </c:pt>
                <c:pt idx="11">
                  <c:v>-1.89</c:v>
                </c:pt>
                <c:pt idx="12">
                  <c:v>-1.88</c:v>
                </c:pt>
                <c:pt idx="13">
                  <c:v>-1.87</c:v>
                </c:pt>
                <c:pt idx="14">
                  <c:v>-1.86</c:v>
                </c:pt>
                <c:pt idx="15">
                  <c:v>-1.85</c:v>
                </c:pt>
                <c:pt idx="16">
                  <c:v>-1.84</c:v>
                </c:pt>
                <c:pt idx="17">
                  <c:v>-1.83</c:v>
                </c:pt>
                <c:pt idx="18">
                  <c:v>-1.82</c:v>
                </c:pt>
                <c:pt idx="19">
                  <c:v>-1.81</c:v>
                </c:pt>
                <c:pt idx="20">
                  <c:v>-1.8</c:v>
                </c:pt>
                <c:pt idx="21">
                  <c:v>-1.79</c:v>
                </c:pt>
                <c:pt idx="22">
                  <c:v>-1.78</c:v>
                </c:pt>
                <c:pt idx="23">
                  <c:v>-1.77</c:v>
                </c:pt>
                <c:pt idx="24">
                  <c:v>-1.76</c:v>
                </c:pt>
                <c:pt idx="25">
                  <c:v>-1.75</c:v>
                </c:pt>
                <c:pt idx="26">
                  <c:v>-1.74</c:v>
                </c:pt>
                <c:pt idx="27">
                  <c:v>-1.73</c:v>
                </c:pt>
                <c:pt idx="28">
                  <c:v>-1.72</c:v>
                </c:pt>
                <c:pt idx="29">
                  <c:v>-1.71</c:v>
                </c:pt>
                <c:pt idx="30">
                  <c:v>-1.7</c:v>
                </c:pt>
                <c:pt idx="31">
                  <c:v>-1.69</c:v>
                </c:pt>
                <c:pt idx="32">
                  <c:v>-1.68</c:v>
                </c:pt>
                <c:pt idx="33">
                  <c:v>-1.67</c:v>
                </c:pt>
                <c:pt idx="34">
                  <c:v>-1.66</c:v>
                </c:pt>
                <c:pt idx="35">
                  <c:v>-1.65</c:v>
                </c:pt>
                <c:pt idx="36">
                  <c:v>-1.64</c:v>
                </c:pt>
                <c:pt idx="37">
                  <c:v>-1.63</c:v>
                </c:pt>
                <c:pt idx="38">
                  <c:v>-1.62</c:v>
                </c:pt>
                <c:pt idx="39">
                  <c:v>-1.61</c:v>
                </c:pt>
                <c:pt idx="40">
                  <c:v>-1.6</c:v>
                </c:pt>
                <c:pt idx="41">
                  <c:v>-1.59</c:v>
                </c:pt>
                <c:pt idx="42">
                  <c:v>-1.58</c:v>
                </c:pt>
                <c:pt idx="43">
                  <c:v>-1.57</c:v>
                </c:pt>
                <c:pt idx="44">
                  <c:v>-1.56</c:v>
                </c:pt>
                <c:pt idx="45">
                  <c:v>-1.55</c:v>
                </c:pt>
                <c:pt idx="46">
                  <c:v>-1.54</c:v>
                </c:pt>
                <c:pt idx="47">
                  <c:v>-1.53</c:v>
                </c:pt>
                <c:pt idx="48">
                  <c:v>-1.52</c:v>
                </c:pt>
                <c:pt idx="49">
                  <c:v>-1.51</c:v>
                </c:pt>
                <c:pt idx="50">
                  <c:v>-1.5</c:v>
                </c:pt>
                <c:pt idx="51">
                  <c:v>-1.49</c:v>
                </c:pt>
                <c:pt idx="52">
                  <c:v>-1.48</c:v>
                </c:pt>
                <c:pt idx="53">
                  <c:v>-1.47</c:v>
                </c:pt>
                <c:pt idx="54">
                  <c:v>-1.46</c:v>
                </c:pt>
                <c:pt idx="55">
                  <c:v>-1.45</c:v>
                </c:pt>
                <c:pt idx="56">
                  <c:v>-1.44</c:v>
                </c:pt>
                <c:pt idx="57">
                  <c:v>-1.43</c:v>
                </c:pt>
                <c:pt idx="58">
                  <c:v>-1.42</c:v>
                </c:pt>
                <c:pt idx="59">
                  <c:v>-1.41</c:v>
                </c:pt>
                <c:pt idx="60">
                  <c:v>-1.4</c:v>
                </c:pt>
                <c:pt idx="61">
                  <c:v>-1.39</c:v>
                </c:pt>
                <c:pt idx="62">
                  <c:v>-1.38</c:v>
                </c:pt>
                <c:pt idx="63">
                  <c:v>-1.37</c:v>
                </c:pt>
                <c:pt idx="64">
                  <c:v>-1.36</c:v>
                </c:pt>
                <c:pt idx="65">
                  <c:v>-1.35</c:v>
                </c:pt>
                <c:pt idx="66">
                  <c:v>-1.34</c:v>
                </c:pt>
                <c:pt idx="67">
                  <c:v>-1.33</c:v>
                </c:pt>
                <c:pt idx="68">
                  <c:v>-1.32</c:v>
                </c:pt>
                <c:pt idx="69">
                  <c:v>-1.31</c:v>
                </c:pt>
                <c:pt idx="70">
                  <c:v>-1.3</c:v>
                </c:pt>
                <c:pt idx="71">
                  <c:v>-1.29</c:v>
                </c:pt>
                <c:pt idx="72">
                  <c:v>-1.28</c:v>
                </c:pt>
                <c:pt idx="73">
                  <c:v>-1.27</c:v>
                </c:pt>
                <c:pt idx="74">
                  <c:v>-1.26</c:v>
                </c:pt>
                <c:pt idx="75">
                  <c:v>-1.25</c:v>
                </c:pt>
                <c:pt idx="76">
                  <c:v>-1.24</c:v>
                </c:pt>
                <c:pt idx="77">
                  <c:v>-1.23</c:v>
                </c:pt>
                <c:pt idx="78">
                  <c:v>-1.22</c:v>
                </c:pt>
                <c:pt idx="79">
                  <c:v>-1.21</c:v>
                </c:pt>
                <c:pt idx="80">
                  <c:v>-1.2</c:v>
                </c:pt>
                <c:pt idx="81">
                  <c:v>-1.19</c:v>
                </c:pt>
                <c:pt idx="82">
                  <c:v>-1.18</c:v>
                </c:pt>
                <c:pt idx="83">
                  <c:v>-1.17</c:v>
                </c:pt>
                <c:pt idx="84">
                  <c:v>-1.1599999999999999</c:v>
                </c:pt>
                <c:pt idx="85">
                  <c:v>-1.1499999999999999</c:v>
                </c:pt>
                <c:pt idx="86">
                  <c:v>-1.1399999999999999</c:v>
                </c:pt>
                <c:pt idx="87">
                  <c:v>-1.1299999999999999</c:v>
                </c:pt>
                <c:pt idx="88">
                  <c:v>-1.1200000000000001</c:v>
                </c:pt>
                <c:pt idx="89">
                  <c:v>-1.1100000000000001</c:v>
                </c:pt>
                <c:pt idx="90">
                  <c:v>-1.1000000000000001</c:v>
                </c:pt>
                <c:pt idx="91">
                  <c:v>-1.0900000000000001</c:v>
                </c:pt>
                <c:pt idx="92">
                  <c:v>-1.08</c:v>
                </c:pt>
                <c:pt idx="93">
                  <c:v>-1.07</c:v>
                </c:pt>
                <c:pt idx="94">
                  <c:v>-1.06</c:v>
                </c:pt>
                <c:pt idx="95">
                  <c:v>-1.05</c:v>
                </c:pt>
                <c:pt idx="96">
                  <c:v>-1.04</c:v>
                </c:pt>
                <c:pt idx="97">
                  <c:v>-1.03</c:v>
                </c:pt>
                <c:pt idx="98">
                  <c:v>-1.02</c:v>
                </c:pt>
                <c:pt idx="99">
                  <c:v>-1.01</c:v>
                </c:pt>
                <c:pt idx="100">
                  <c:v>-1</c:v>
                </c:pt>
                <c:pt idx="101">
                  <c:v>-0.99</c:v>
                </c:pt>
                <c:pt idx="102">
                  <c:v>-0.98</c:v>
                </c:pt>
                <c:pt idx="103">
                  <c:v>-0.97</c:v>
                </c:pt>
                <c:pt idx="104">
                  <c:v>-0.96</c:v>
                </c:pt>
                <c:pt idx="105">
                  <c:v>-0.95</c:v>
                </c:pt>
                <c:pt idx="106">
                  <c:v>-0.94</c:v>
                </c:pt>
                <c:pt idx="107">
                  <c:v>-0.93</c:v>
                </c:pt>
                <c:pt idx="108">
                  <c:v>-0.92</c:v>
                </c:pt>
                <c:pt idx="109">
                  <c:v>-0.91</c:v>
                </c:pt>
                <c:pt idx="110">
                  <c:v>-0.9</c:v>
                </c:pt>
                <c:pt idx="111">
                  <c:v>-0.89</c:v>
                </c:pt>
                <c:pt idx="112">
                  <c:v>-0.88</c:v>
                </c:pt>
                <c:pt idx="113">
                  <c:v>-0.87</c:v>
                </c:pt>
                <c:pt idx="114">
                  <c:v>-0.86</c:v>
                </c:pt>
                <c:pt idx="115">
                  <c:v>-0.85</c:v>
                </c:pt>
                <c:pt idx="116">
                  <c:v>-0.84</c:v>
                </c:pt>
                <c:pt idx="117">
                  <c:v>-0.83</c:v>
                </c:pt>
                <c:pt idx="118">
                  <c:v>-0.82</c:v>
                </c:pt>
                <c:pt idx="119">
                  <c:v>-0.81</c:v>
                </c:pt>
                <c:pt idx="120">
                  <c:v>-0.8</c:v>
                </c:pt>
                <c:pt idx="121">
                  <c:v>-0.79</c:v>
                </c:pt>
                <c:pt idx="122">
                  <c:v>-0.78</c:v>
                </c:pt>
                <c:pt idx="123">
                  <c:v>-0.77</c:v>
                </c:pt>
                <c:pt idx="124">
                  <c:v>-0.76</c:v>
                </c:pt>
                <c:pt idx="125">
                  <c:v>-0.75</c:v>
                </c:pt>
                <c:pt idx="126">
                  <c:v>-0.74</c:v>
                </c:pt>
                <c:pt idx="127">
                  <c:v>-0.73</c:v>
                </c:pt>
                <c:pt idx="128">
                  <c:v>-0.72</c:v>
                </c:pt>
                <c:pt idx="129">
                  <c:v>-0.71</c:v>
                </c:pt>
                <c:pt idx="130">
                  <c:v>-0.7</c:v>
                </c:pt>
                <c:pt idx="131">
                  <c:v>-0.69</c:v>
                </c:pt>
                <c:pt idx="132">
                  <c:v>-0.68</c:v>
                </c:pt>
                <c:pt idx="133">
                  <c:v>-0.67</c:v>
                </c:pt>
                <c:pt idx="134">
                  <c:v>-0.66</c:v>
                </c:pt>
                <c:pt idx="135">
                  <c:v>-0.65</c:v>
                </c:pt>
                <c:pt idx="136">
                  <c:v>-0.64</c:v>
                </c:pt>
                <c:pt idx="137">
                  <c:v>-0.63</c:v>
                </c:pt>
                <c:pt idx="138">
                  <c:v>-0.62</c:v>
                </c:pt>
                <c:pt idx="139">
                  <c:v>-0.61</c:v>
                </c:pt>
                <c:pt idx="140">
                  <c:v>-0.6</c:v>
                </c:pt>
                <c:pt idx="141">
                  <c:v>-0.59</c:v>
                </c:pt>
                <c:pt idx="142">
                  <c:v>-0.57999999999999996</c:v>
                </c:pt>
                <c:pt idx="143">
                  <c:v>-0.56999999999999995</c:v>
                </c:pt>
                <c:pt idx="144">
                  <c:v>-0.56000000000000005</c:v>
                </c:pt>
                <c:pt idx="145">
                  <c:v>-0.55000000000000004</c:v>
                </c:pt>
                <c:pt idx="146">
                  <c:v>-0.54</c:v>
                </c:pt>
                <c:pt idx="147">
                  <c:v>-0.53</c:v>
                </c:pt>
                <c:pt idx="148">
                  <c:v>-0.52</c:v>
                </c:pt>
                <c:pt idx="149">
                  <c:v>-0.51</c:v>
                </c:pt>
                <c:pt idx="150">
                  <c:v>-0.5</c:v>
                </c:pt>
                <c:pt idx="151">
                  <c:v>-0.49</c:v>
                </c:pt>
                <c:pt idx="152">
                  <c:v>-0.48</c:v>
                </c:pt>
                <c:pt idx="153">
                  <c:v>-0.47</c:v>
                </c:pt>
                <c:pt idx="154">
                  <c:v>-0.46</c:v>
                </c:pt>
                <c:pt idx="155">
                  <c:v>-0.45</c:v>
                </c:pt>
                <c:pt idx="156">
                  <c:v>-0.44</c:v>
                </c:pt>
                <c:pt idx="157">
                  <c:v>-0.43</c:v>
                </c:pt>
                <c:pt idx="158">
                  <c:v>-0.42</c:v>
                </c:pt>
                <c:pt idx="159">
                  <c:v>-0.41</c:v>
                </c:pt>
                <c:pt idx="160">
                  <c:v>-0.4</c:v>
                </c:pt>
                <c:pt idx="161">
                  <c:v>-0.39</c:v>
                </c:pt>
                <c:pt idx="162">
                  <c:v>-0.38</c:v>
                </c:pt>
                <c:pt idx="163">
                  <c:v>-0.37</c:v>
                </c:pt>
                <c:pt idx="164">
                  <c:v>-0.36</c:v>
                </c:pt>
                <c:pt idx="165">
                  <c:v>-0.35</c:v>
                </c:pt>
                <c:pt idx="166">
                  <c:v>-0.34</c:v>
                </c:pt>
                <c:pt idx="167">
                  <c:v>-0.33</c:v>
                </c:pt>
                <c:pt idx="168">
                  <c:v>-0.32</c:v>
                </c:pt>
                <c:pt idx="169">
                  <c:v>-0.31</c:v>
                </c:pt>
                <c:pt idx="170">
                  <c:v>-0.3</c:v>
                </c:pt>
                <c:pt idx="171">
                  <c:v>-0.28999999999999998</c:v>
                </c:pt>
                <c:pt idx="172">
                  <c:v>-0.28000000000000003</c:v>
                </c:pt>
                <c:pt idx="173">
                  <c:v>-0.27</c:v>
                </c:pt>
                <c:pt idx="174">
                  <c:v>-0.26</c:v>
                </c:pt>
                <c:pt idx="175">
                  <c:v>-0.25</c:v>
                </c:pt>
                <c:pt idx="176">
                  <c:v>-0.24</c:v>
                </c:pt>
                <c:pt idx="177">
                  <c:v>-0.23</c:v>
                </c:pt>
                <c:pt idx="178">
                  <c:v>-0.22</c:v>
                </c:pt>
                <c:pt idx="179">
                  <c:v>-0.21</c:v>
                </c:pt>
                <c:pt idx="180">
                  <c:v>-0.2</c:v>
                </c:pt>
                <c:pt idx="181">
                  <c:v>-0.19</c:v>
                </c:pt>
                <c:pt idx="182">
                  <c:v>-0.18</c:v>
                </c:pt>
                <c:pt idx="183">
                  <c:v>-0.17</c:v>
                </c:pt>
                <c:pt idx="184">
                  <c:v>-0.16</c:v>
                </c:pt>
                <c:pt idx="185">
                  <c:v>-0.15</c:v>
                </c:pt>
                <c:pt idx="186">
                  <c:v>-0.14000000000000001</c:v>
                </c:pt>
                <c:pt idx="187">
                  <c:v>-0.13</c:v>
                </c:pt>
                <c:pt idx="188">
                  <c:v>-0.12</c:v>
                </c:pt>
                <c:pt idx="189">
                  <c:v>-0.11</c:v>
                </c:pt>
                <c:pt idx="190">
                  <c:v>-0.1</c:v>
                </c:pt>
                <c:pt idx="191">
                  <c:v>-9.0000000000000094E-2</c:v>
                </c:pt>
                <c:pt idx="192">
                  <c:v>-8.0000000000000099E-2</c:v>
                </c:pt>
                <c:pt idx="193">
                  <c:v>-7.0000000000000104E-2</c:v>
                </c:pt>
                <c:pt idx="194">
                  <c:v>-6.0000000000000102E-2</c:v>
                </c:pt>
                <c:pt idx="195">
                  <c:v>-0.05</c:v>
                </c:pt>
                <c:pt idx="196">
                  <c:v>-0.04</c:v>
                </c:pt>
                <c:pt idx="197">
                  <c:v>-0.03</c:v>
                </c:pt>
                <c:pt idx="198">
                  <c:v>-0.02</c:v>
                </c:pt>
                <c:pt idx="199">
                  <c:v>-0.01</c:v>
                </c:pt>
                <c:pt idx="200">
                  <c:v>0</c:v>
                </c:pt>
                <c:pt idx="201">
                  <c:v>9.9999999999997903E-3</c:v>
                </c:pt>
                <c:pt idx="202">
                  <c:v>0.02</c:v>
                </c:pt>
                <c:pt idx="203">
                  <c:v>2.9999999999999801E-2</c:v>
                </c:pt>
                <c:pt idx="204">
                  <c:v>0.04</c:v>
                </c:pt>
                <c:pt idx="205">
                  <c:v>4.9999999999999802E-2</c:v>
                </c:pt>
                <c:pt idx="206">
                  <c:v>6.0000000000000102E-2</c:v>
                </c:pt>
                <c:pt idx="207">
                  <c:v>6.9999999999999798E-2</c:v>
                </c:pt>
                <c:pt idx="208">
                  <c:v>8.0000000000000099E-2</c:v>
                </c:pt>
                <c:pt idx="209">
                  <c:v>8.99999999999999E-2</c:v>
                </c:pt>
                <c:pt idx="210">
                  <c:v>0.1</c:v>
                </c:pt>
                <c:pt idx="211">
                  <c:v>0.11</c:v>
                </c:pt>
                <c:pt idx="212">
                  <c:v>0.12</c:v>
                </c:pt>
                <c:pt idx="213">
                  <c:v>0.13</c:v>
                </c:pt>
                <c:pt idx="214">
                  <c:v>0.14000000000000001</c:v>
                </c:pt>
                <c:pt idx="215">
                  <c:v>0.15</c:v>
                </c:pt>
                <c:pt idx="216">
                  <c:v>0.16</c:v>
                </c:pt>
                <c:pt idx="217">
                  <c:v>0.17</c:v>
                </c:pt>
                <c:pt idx="218">
                  <c:v>0.18</c:v>
                </c:pt>
                <c:pt idx="219">
                  <c:v>0.19</c:v>
                </c:pt>
                <c:pt idx="220">
                  <c:v>0.2</c:v>
                </c:pt>
                <c:pt idx="221">
                  <c:v>0.21</c:v>
                </c:pt>
                <c:pt idx="222">
                  <c:v>0.22</c:v>
                </c:pt>
                <c:pt idx="223">
                  <c:v>0.23</c:v>
                </c:pt>
                <c:pt idx="224">
                  <c:v>0.24</c:v>
                </c:pt>
                <c:pt idx="225">
                  <c:v>0.25</c:v>
                </c:pt>
                <c:pt idx="226">
                  <c:v>0.26</c:v>
                </c:pt>
                <c:pt idx="227">
                  <c:v>0.27</c:v>
                </c:pt>
                <c:pt idx="228">
                  <c:v>0.28000000000000003</c:v>
                </c:pt>
                <c:pt idx="229">
                  <c:v>0.28999999999999998</c:v>
                </c:pt>
                <c:pt idx="230">
                  <c:v>0.3</c:v>
                </c:pt>
                <c:pt idx="231">
                  <c:v>0.31</c:v>
                </c:pt>
                <c:pt idx="232">
                  <c:v>0.32</c:v>
                </c:pt>
                <c:pt idx="233">
                  <c:v>0.33</c:v>
                </c:pt>
                <c:pt idx="234">
                  <c:v>0.34</c:v>
                </c:pt>
                <c:pt idx="235">
                  <c:v>0.35</c:v>
                </c:pt>
                <c:pt idx="236">
                  <c:v>0.36</c:v>
                </c:pt>
                <c:pt idx="237">
                  <c:v>0.37</c:v>
                </c:pt>
                <c:pt idx="238">
                  <c:v>0.38</c:v>
                </c:pt>
                <c:pt idx="239">
                  <c:v>0.39</c:v>
                </c:pt>
                <c:pt idx="240">
                  <c:v>0.4</c:v>
                </c:pt>
                <c:pt idx="241">
                  <c:v>0.41</c:v>
                </c:pt>
                <c:pt idx="242">
                  <c:v>0.42</c:v>
                </c:pt>
                <c:pt idx="243">
                  <c:v>0.43</c:v>
                </c:pt>
                <c:pt idx="244">
                  <c:v>0.44</c:v>
                </c:pt>
                <c:pt idx="245">
                  <c:v>0.45</c:v>
                </c:pt>
                <c:pt idx="246">
                  <c:v>0.46</c:v>
                </c:pt>
                <c:pt idx="247">
                  <c:v>0.47</c:v>
                </c:pt>
                <c:pt idx="248">
                  <c:v>0.48</c:v>
                </c:pt>
                <c:pt idx="249">
                  <c:v>0.49</c:v>
                </c:pt>
                <c:pt idx="250">
                  <c:v>0.5</c:v>
                </c:pt>
                <c:pt idx="251">
                  <c:v>0.51</c:v>
                </c:pt>
                <c:pt idx="252">
                  <c:v>0.52</c:v>
                </c:pt>
                <c:pt idx="253">
                  <c:v>0.53</c:v>
                </c:pt>
                <c:pt idx="254">
                  <c:v>0.54</c:v>
                </c:pt>
                <c:pt idx="255">
                  <c:v>0.55000000000000004</c:v>
                </c:pt>
                <c:pt idx="256">
                  <c:v>0.56000000000000005</c:v>
                </c:pt>
                <c:pt idx="257">
                  <c:v>0.56999999999999995</c:v>
                </c:pt>
                <c:pt idx="258">
                  <c:v>0.57999999999999996</c:v>
                </c:pt>
                <c:pt idx="259">
                  <c:v>0.59</c:v>
                </c:pt>
                <c:pt idx="260">
                  <c:v>0.6</c:v>
                </c:pt>
                <c:pt idx="261">
                  <c:v>0.61</c:v>
                </c:pt>
                <c:pt idx="262">
                  <c:v>0.62</c:v>
                </c:pt>
                <c:pt idx="263">
                  <c:v>0.63</c:v>
                </c:pt>
                <c:pt idx="264">
                  <c:v>0.64</c:v>
                </c:pt>
                <c:pt idx="265">
                  <c:v>0.65</c:v>
                </c:pt>
                <c:pt idx="266">
                  <c:v>0.66</c:v>
                </c:pt>
                <c:pt idx="267">
                  <c:v>0.67</c:v>
                </c:pt>
                <c:pt idx="268">
                  <c:v>0.68</c:v>
                </c:pt>
                <c:pt idx="269">
                  <c:v>0.69</c:v>
                </c:pt>
                <c:pt idx="270">
                  <c:v>0.7</c:v>
                </c:pt>
                <c:pt idx="271">
                  <c:v>0.71</c:v>
                </c:pt>
                <c:pt idx="272">
                  <c:v>0.72</c:v>
                </c:pt>
                <c:pt idx="273">
                  <c:v>0.73</c:v>
                </c:pt>
                <c:pt idx="274">
                  <c:v>0.74</c:v>
                </c:pt>
                <c:pt idx="275">
                  <c:v>0.75</c:v>
                </c:pt>
                <c:pt idx="276">
                  <c:v>0.76</c:v>
                </c:pt>
                <c:pt idx="277">
                  <c:v>0.77</c:v>
                </c:pt>
                <c:pt idx="278">
                  <c:v>0.78</c:v>
                </c:pt>
                <c:pt idx="279">
                  <c:v>0.79</c:v>
                </c:pt>
                <c:pt idx="280">
                  <c:v>0.8</c:v>
                </c:pt>
                <c:pt idx="281">
                  <c:v>0.81</c:v>
                </c:pt>
                <c:pt idx="282">
                  <c:v>0.82</c:v>
                </c:pt>
                <c:pt idx="283">
                  <c:v>0.83</c:v>
                </c:pt>
                <c:pt idx="284">
                  <c:v>0.84</c:v>
                </c:pt>
                <c:pt idx="285">
                  <c:v>0.85</c:v>
                </c:pt>
                <c:pt idx="286">
                  <c:v>0.86</c:v>
                </c:pt>
                <c:pt idx="287">
                  <c:v>0.87</c:v>
                </c:pt>
                <c:pt idx="288">
                  <c:v>0.88</c:v>
                </c:pt>
                <c:pt idx="289">
                  <c:v>0.89</c:v>
                </c:pt>
                <c:pt idx="290">
                  <c:v>0.9</c:v>
                </c:pt>
                <c:pt idx="291">
                  <c:v>0.91</c:v>
                </c:pt>
                <c:pt idx="292">
                  <c:v>0.92</c:v>
                </c:pt>
                <c:pt idx="293">
                  <c:v>0.93</c:v>
                </c:pt>
                <c:pt idx="294">
                  <c:v>0.94</c:v>
                </c:pt>
                <c:pt idx="295">
                  <c:v>0.95</c:v>
                </c:pt>
                <c:pt idx="296">
                  <c:v>0.96</c:v>
                </c:pt>
                <c:pt idx="297">
                  <c:v>0.97</c:v>
                </c:pt>
                <c:pt idx="298">
                  <c:v>0.98</c:v>
                </c:pt>
                <c:pt idx="299">
                  <c:v>0.99</c:v>
                </c:pt>
                <c:pt idx="300">
                  <c:v>1</c:v>
                </c:pt>
                <c:pt idx="301">
                  <c:v>1.01</c:v>
                </c:pt>
                <c:pt idx="302">
                  <c:v>1.02</c:v>
                </c:pt>
                <c:pt idx="303">
                  <c:v>1.03</c:v>
                </c:pt>
                <c:pt idx="304">
                  <c:v>1.04</c:v>
                </c:pt>
                <c:pt idx="305">
                  <c:v>1.05</c:v>
                </c:pt>
                <c:pt idx="306">
                  <c:v>1.06</c:v>
                </c:pt>
                <c:pt idx="307">
                  <c:v>1.07</c:v>
                </c:pt>
                <c:pt idx="308">
                  <c:v>1.08</c:v>
                </c:pt>
                <c:pt idx="309">
                  <c:v>1.0900000000000001</c:v>
                </c:pt>
                <c:pt idx="310">
                  <c:v>1.1000000000000001</c:v>
                </c:pt>
                <c:pt idx="311">
                  <c:v>1.1100000000000001</c:v>
                </c:pt>
                <c:pt idx="312">
                  <c:v>1.1200000000000001</c:v>
                </c:pt>
                <c:pt idx="313">
                  <c:v>1.1299999999999999</c:v>
                </c:pt>
                <c:pt idx="314">
                  <c:v>1.1399999999999999</c:v>
                </c:pt>
                <c:pt idx="315">
                  <c:v>1.1499999999999999</c:v>
                </c:pt>
                <c:pt idx="316">
                  <c:v>1.1599999999999999</c:v>
                </c:pt>
                <c:pt idx="317">
                  <c:v>1.17</c:v>
                </c:pt>
                <c:pt idx="318">
                  <c:v>1.18</c:v>
                </c:pt>
                <c:pt idx="319">
                  <c:v>1.19</c:v>
                </c:pt>
                <c:pt idx="320">
                  <c:v>1.2</c:v>
                </c:pt>
                <c:pt idx="321">
                  <c:v>1.21</c:v>
                </c:pt>
                <c:pt idx="322">
                  <c:v>1.22</c:v>
                </c:pt>
                <c:pt idx="323">
                  <c:v>1.23</c:v>
                </c:pt>
                <c:pt idx="324">
                  <c:v>1.24</c:v>
                </c:pt>
                <c:pt idx="325">
                  <c:v>1.25</c:v>
                </c:pt>
                <c:pt idx="326">
                  <c:v>1.26</c:v>
                </c:pt>
                <c:pt idx="327">
                  <c:v>1.27</c:v>
                </c:pt>
                <c:pt idx="328">
                  <c:v>1.28</c:v>
                </c:pt>
                <c:pt idx="329">
                  <c:v>1.29</c:v>
                </c:pt>
                <c:pt idx="330">
                  <c:v>1.3</c:v>
                </c:pt>
                <c:pt idx="331">
                  <c:v>1.31</c:v>
                </c:pt>
                <c:pt idx="332">
                  <c:v>1.32</c:v>
                </c:pt>
                <c:pt idx="333">
                  <c:v>1.33</c:v>
                </c:pt>
                <c:pt idx="334">
                  <c:v>1.34</c:v>
                </c:pt>
                <c:pt idx="335">
                  <c:v>1.35</c:v>
                </c:pt>
                <c:pt idx="336">
                  <c:v>1.36</c:v>
                </c:pt>
                <c:pt idx="337">
                  <c:v>1.37</c:v>
                </c:pt>
                <c:pt idx="338">
                  <c:v>1.38</c:v>
                </c:pt>
                <c:pt idx="339">
                  <c:v>1.39</c:v>
                </c:pt>
                <c:pt idx="340">
                  <c:v>1.4</c:v>
                </c:pt>
                <c:pt idx="341">
                  <c:v>1.41</c:v>
                </c:pt>
                <c:pt idx="342">
                  <c:v>1.42</c:v>
                </c:pt>
                <c:pt idx="343">
                  <c:v>1.43</c:v>
                </c:pt>
                <c:pt idx="344">
                  <c:v>1.44</c:v>
                </c:pt>
                <c:pt idx="345">
                  <c:v>1.45</c:v>
                </c:pt>
                <c:pt idx="346">
                  <c:v>1.46</c:v>
                </c:pt>
                <c:pt idx="347">
                  <c:v>1.47</c:v>
                </c:pt>
                <c:pt idx="348">
                  <c:v>1.48</c:v>
                </c:pt>
                <c:pt idx="349">
                  <c:v>1.49</c:v>
                </c:pt>
                <c:pt idx="350">
                  <c:v>1.5</c:v>
                </c:pt>
                <c:pt idx="351">
                  <c:v>1.51</c:v>
                </c:pt>
                <c:pt idx="352">
                  <c:v>1.52</c:v>
                </c:pt>
                <c:pt idx="353">
                  <c:v>1.53</c:v>
                </c:pt>
                <c:pt idx="354">
                  <c:v>1.54</c:v>
                </c:pt>
                <c:pt idx="355">
                  <c:v>1.55</c:v>
                </c:pt>
                <c:pt idx="356">
                  <c:v>1.56</c:v>
                </c:pt>
                <c:pt idx="357">
                  <c:v>1.57</c:v>
                </c:pt>
                <c:pt idx="358">
                  <c:v>1.58</c:v>
                </c:pt>
                <c:pt idx="359">
                  <c:v>1.59</c:v>
                </c:pt>
                <c:pt idx="360">
                  <c:v>1.6</c:v>
                </c:pt>
                <c:pt idx="361">
                  <c:v>1.61</c:v>
                </c:pt>
                <c:pt idx="362">
                  <c:v>1.62</c:v>
                </c:pt>
                <c:pt idx="363">
                  <c:v>1.63</c:v>
                </c:pt>
                <c:pt idx="364">
                  <c:v>1.64</c:v>
                </c:pt>
                <c:pt idx="365">
                  <c:v>1.65</c:v>
                </c:pt>
                <c:pt idx="366">
                  <c:v>1.66</c:v>
                </c:pt>
                <c:pt idx="367">
                  <c:v>1.67</c:v>
                </c:pt>
                <c:pt idx="368">
                  <c:v>1.68</c:v>
                </c:pt>
                <c:pt idx="369">
                  <c:v>1.69</c:v>
                </c:pt>
                <c:pt idx="370">
                  <c:v>1.7</c:v>
                </c:pt>
                <c:pt idx="371">
                  <c:v>1.71</c:v>
                </c:pt>
                <c:pt idx="372">
                  <c:v>1.72</c:v>
                </c:pt>
                <c:pt idx="373">
                  <c:v>1.73</c:v>
                </c:pt>
                <c:pt idx="374">
                  <c:v>1.74</c:v>
                </c:pt>
                <c:pt idx="375">
                  <c:v>1.75</c:v>
                </c:pt>
                <c:pt idx="376">
                  <c:v>1.76</c:v>
                </c:pt>
                <c:pt idx="377">
                  <c:v>1.77</c:v>
                </c:pt>
                <c:pt idx="378">
                  <c:v>1.78</c:v>
                </c:pt>
                <c:pt idx="379">
                  <c:v>1.79</c:v>
                </c:pt>
                <c:pt idx="380">
                  <c:v>1.8</c:v>
                </c:pt>
                <c:pt idx="381">
                  <c:v>1.81</c:v>
                </c:pt>
                <c:pt idx="382">
                  <c:v>1.82</c:v>
                </c:pt>
                <c:pt idx="383">
                  <c:v>1.83</c:v>
                </c:pt>
                <c:pt idx="384">
                  <c:v>1.84</c:v>
                </c:pt>
                <c:pt idx="385">
                  <c:v>1.85</c:v>
                </c:pt>
                <c:pt idx="386">
                  <c:v>1.86</c:v>
                </c:pt>
                <c:pt idx="387">
                  <c:v>1.87</c:v>
                </c:pt>
                <c:pt idx="388">
                  <c:v>1.88</c:v>
                </c:pt>
                <c:pt idx="389">
                  <c:v>1.89</c:v>
                </c:pt>
                <c:pt idx="390">
                  <c:v>1.9</c:v>
                </c:pt>
                <c:pt idx="391">
                  <c:v>1.91</c:v>
                </c:pt>
                <c:pt idx="392">
                  <c:v>1.92</c:v>
                </c:pt>
                <c:pt idx="393">
                  <c:v>1.93</c:v>
                </c:pt>
                <c:pt idx="394">
                  <c:v>1.94</c:v>
                </c:pt>
                <c:pt idx="395">
                  <c:v>1.95</c:v>
                </c:pt>
                <c:pt idx="396">
                  <c:v>1.96</c:v>
                </c:pt>
                <c:pt idx="397">
                  <c:v>1.97</c:v>
                </c:pt>
                <c:pt idx="398">
                  <c:v>1.98</c:v>
                </c:pt>
                <c:pt idx="399">
                  <c:v>1.99</c:v>
                </c:pt>
                <c:pt idx="400">
                  <c:v>2</c:v>
                </c:pt>
              </c:numCache>
            </c:numRef>
          </c:xVal>
          <c:yVal>
            <c:numRef>
              <c:f>加法モデル!$F$2:$F$402</c:f>
              <c:numCache>
                <c:formatCode>General</c:formatCode>
                <c:ptCount val="401"/>
                <c:pt idx="0">
                  <c:v>0.64476356011861902</c:v>
                </c:pt>
                <c:pt idx="1">
                  <c:v>0.61006277463755365</c:v>
                </c:pt>
                <c:pt idx="2">
                  <c:v>0.53405218065416094</c:v>
                </c:pt>
                <c:pt idx="3">
                  <c:v>0.42900766793963147</c:v>
                </c:pt>
                <c:pt idx="4">
                  <c:v>0.31179087881820022</c:v>
                </c:pt>
                <c:pt idx="5">
                  <c:v>0.2011871391918171</c:v>
                </c:pt>
                <c:pt idx="6">
                  <c:v>0.1149396823214085</c:v>
                </c:pt>
                <c:pt idx="7">
                  <c:v>6.6948396218733441E-2</c:v>
                </c:pt>
                <c:pt idx="8">
                  <c:v>6.5075350842439206E-2</c:v>
                </c:pt>
                <c:pt idx="9">
                  <c:v>0.10990356410265151</c:v>
                </c:pt>
                <c:pt idx="10">
                  <c:v>0.19464497023036995</c:v>
                </c:pt>
                <c:pt idx="11">
                  <c:v>0.30621212028328343</c:v>
                </c:pt>
                <c:pt idx="12">
                  <c:v>0.42728441684333379</c:v>
                </c:pt>
                <c:pt idx="13">
                  <c:v>0.53904266988041249</c:v>
                </c:pt>
                <c:pt idx="14">
                  <c:v>0.62414024753945152</c:v>
                </c:pt>
                <c:pt idx="15">
                  <c:v>0.66944174247191979</c:v>
                </c:pt>
                <c:pt idx="16">
                  <c:v>0.66809677851665938</c:v>
                </c:pt>
                <c:pt idx="17">
                  <c:v>0.6206215492546282</c:v>
                </c:pt>
                <c:pt idx="18">
                  <c:v>0.53481733728140946</c:v>
                </c:pt>
                <c:pt idx="19">
                  <c:v>0.42453887821348318</c:v>
                </c:pt>
                <c:pt idx="20">
                  <c:v>0.30750701767115957</c:v>
                </c:pt>
                <c:pt idx="21">
                  <c:v>0.20251099460605734</c:v>
                </c:pt>
                <c:pt idx="22">
                  <c:v>0.12644204892017991</c:v>
                </c:pt>
                <c:pt idx="23">
                  <c:v>9.162668150927511E-2</c:v>
                </c:pt>
                <c:pt idx="24">
                  <c:v>0.10388058633410929</c:v>
                </c:pt>
                <c:pt idx="25">
                  <c:v>0.16159049585616614</c:v>
                </c:pt>
                <c:pt idx="26">
                  <c:v>0.2559688962558816</c:v>
                </c:pt>
                <c:pt idx="27">
                  <c:v>0.37244139850189645</c:v>
                </c:pt>
                <c:pt idx="28">
                  <c:v>0.49294772988581365</c:v>
                </c:pt>
                <c:pt idx="29">
                  <c:v>0.59879307005405913</c:v>
                </c:pt>
                <c:pt idx="30">
                  <c:v>0.67359956827349143</c:v>
                </c:pt>
                <c:pt idx="31">
                  <c:v>0.70589206225318701</c:v>
                </c:pt>
                <c:pt idx="32">
                  <c:v>0.69090977037613366</c:v>
                </c:pt>
                <c:pt idx="33">
                  <c:v>0.63135793097368575</c:v>
                </c:pt>
                <c:pt idx="34">
                  <c:v>0.53698072132924113</c:v>
                </c:pt>
                <c:pt idx="35">
                  <c:v>0.42302288311060343</c:v>
                </c:pt>
                <c:pt idx="36">
                  <c:v>0.30782292975027087</c:v>
                </c:pt>
                <c:pt idx="37">
                  <c:v>0.2099179154086265</c:v>
                </c:pt>
                <c:pt idx="38">
                  <c:v>0.14511685884113623</c:v>
                </c:pt>
                <c:pt idx="39">
                  <c:v>0.12400486419223217</c:v>
                </c:pt>
                <c:pt idx="40">
                  <c:v>0.15027198316400237</c:v>
                </c:pt>
                <c:pt idx="41">
                  <c:v>0.22013065447902283</c:v>
                </c:pt>
                <c:pt idx="42">
                  <c:v>0.3229136941377494</c:v>
                </c:pt>
                <c:pt idx="43">
                  <c:v>0.44275842695825474</c:v>
                </c:pt>
                <c:pt idx="44">
                  <c:v>0.56111107205976851</c:v>
                </c:pt>
                <c:pt idx="45">
                  <c:v>0.6596559948894799</c:v>
                </c:pt>
                <c:pt idx="46">
                  <c:v>0.72320736130686047</c:v>
                </c:pt>
                <c:pt idx="47">
                  <c:v>0.742106665128204</c:v>
                </c:pt>
                <c:pt idx="48">
                  <c:v>0.71374761224981487</c:v>
                </c:pt>
                <c:pt idx="49">
                  <c:v>0.64298761567688167</c:v>
                </c:pt>
                <c:pt idx="50">
                  <c:v>0.54138093544182042</c:v>
                </c:pt>
                <c:pt idx="51">
                  <c:v>0.42535453375817911</c:v>
                </c:pt>
                <c:pt idx="52">
                  <c:v>0.31361463777291143</c:v>
                </c:pt>
                <c:pt idx="53">
                  <c:v>0.22419345663484497</c:v>
                </c:pt>
                <c:pt idx="54">
                  <c:v>0.17160231131837345</c:v>
                </c:pt>
                <c:pt idx="55">
                  <c:v>0.16454063540712921</c:v>
                </c:pt>
                <c:pt idx="56">
                  <c:v>0.20452254524036839</c:v>
                </c:pt>
                <c:pt idx="57">
                  <c:v>0.28563781379789155</c:v>
                </c:pt>
                <c:pt idx="58">
                  <c:v>0.39548498529234605</c:v>
                </c:pt>
                <c:pt idx="59">
                  <c:v>0.51712931219306224</c:v>
                </c:pt>
                <c:pt idx="60">
                  <c:v>0.63177639947747311</c:v>
                </c:pt>
                <c:pt idx="61">
                  <c:v>0.72173944647189869</c:v>
                </c:pt>
                <c:pt idx="62">
                  <c:v>0.77323162403974632</c:v>
                </c:pt>
                <c:pt idx="63">
                  <c:v>0.77854273215892822</c:v>
                </c:pt>
                <c:pt idx="64">
                  <c:v>0.7372564915183516</c:v>
                </c:pt>
                <c:pt idx="65">
                  <c:v>0.65631628555723798</c:v>
                </c:pt>
                <c:pt idx="66">
                  <c:v>0.54892897372581628</c:v>
                </c:pt>
                <c:pt idx="67">
                  <c:v>0.4324798397515619</c:v>
                </c:pt>
                <c:pt idx="68">
                  <c:v>0.32578785873467087</c:v>
                </c:pt>
                <c:pt idx="69">
                  <c:v>0.24613461604820719</c:v>
                </c:pt>
                <c:pt idx="70">
                  <c:v>0.20653594642149048</c:v>
                </c:pt>
                <c:pt idx="71">
                  <c:v>0.21368704140529232</c:v>
                </c:pt>
                <c:pt idx="72">
                  <c:v>0.26690544756814849</c:v>
                </c:pt>
                <c:pt idx="73">
                  <c:v>0.35823883276830526</c:v>
                </c:pt>
                <c:pt idx="74">
                  <c:v>0.47372050657757703</c:v>
                </c:pt>
                <c:pt idx="75">
                  <c:v>0.59557447578968703</c:v>
                </c:pt>
                <c:pt idx="76">
                  <c:v>0.70502190523415276</c:v>
                </c:pt>
                <c:pt idx="77">
                  <c:v>0.78524590544279693</c:v>
                </c:pt>
                <c:pt idx="78">
                  <c:v>0.8240465723872048</c:v>
                </c:pt>
                <c:pt idx="79">
                  <c:v>0.81576710689272347</c:v>
                </c:pt>
                <c:pt idx="80">
                  <c:v>0.76218692182617986</c:v>
                </c:pt>
                <c:pt idx="81">
                  <c:v>0.67224073507113635</c:v>
                </c:pt>
                <c:pt idx="82">
                  <c:v>0.56060799733446365</c:v>
                </c:pt>
                <c:pt idx="83">
                  <c:v>0.44539535311900968</c:v>
                </c:pt>
                <c:pt idx="84">
                  <c:v>0.34527802331790719</c:v>
                </c:pt>
                <c:pt idx="85">
                  <c:v>0.27655142226471369</c:v>
                </c:pt>
                <c:pt idx="86">
                  <c:v>0.25055849407928282</c:v>
                </c:pt>
                <c:pt idx="87">
                  <c:v>0.27189893533378368</c:v>
                </c:pt>
                <c:pt idx="88">
                  <c:v>0.3377030284054573</c:v>
                </c:pt>
                <c:pt idx="89">
                  <c:v>0.43808473126396247</c:v>
                </c:pt>
                <c:pt idx="90">
                  <c:v>0.55770249077960399</c:v>
                </c:pt>
                <c:pt idx="91">
                  <c:v>0.67818136145146624</c:v>
                </c:pt>
                <c:pt idx="92">
                  <c:v>0.78101403026707372</c:v>
                </c:pt>
                <c:pt idx="93">
                  <c:v>0.85048273965717791</c:v>
                </c:pt>
                <c:pt idx="94">
                  <c:v>0.87614080115963056</c:v>
                </c:pt>
                <c:pt idx="95">
                  <c:v>0.85446192334958426</c:v>
                </c:pt>
                <c:pt idx="96">
                  <c:v>0.78939696142253091</c:v>
                </c:pt>
                <c:pt idx="97">
                  <c:v>0.69175018991407944</c:v>
                </c:pt>
                <c:pt idx="98">
                  <c:v>0.57747357138077671</c:v>
                </c:pt>
                <c:pt idx="99">
                  <c:v>0.46514831851292382</c:v>
                </c:pt>
                <c:pt idx="100">
                  <c:v>0.37305135564760483</c:v>
                </c:pt>
                <c:pt idx="101">
                  <c:v>0.31626982090769523</c:v>
                </c:pt>
                <c:pt idx="102">
                  <c:v>0.30431916563402994</c:v>
                </c:pt>
                <c:pt idx="103">
                  <c:v>0.33964090083847648</c:v>
                </c:pt>
                <c:pt idx="104">
                  <c:v>0.41721716348272764</c:v>
                </c:pt>
                <c:pt idx="105">
                  <c:v>0.52536295409381639</c:v>
                </c:pt>
                <c:pt idx="106">
                  <c:v>0.64757096881792042</c:v>
                </c:pt>
                <c:pt idx="107">
                  <c:v>0.76511776749668203</c:v>
                </c:pt>
                <c:pt idx="108">
                  <c:v>0.86001982113263109</c:v>
                </c:pt>
                <c:pt idx="109">
                  <c:v>0.9178727438478107</c:v>
                </c:pt>
                <c:pt idx="110">
                  <c:v>0.93012545703983185</c:v>
                </c:pt>
                <c:pt idx="111">
                  <c:v>0.89543024522081094</c:v>
                </c:pt>
                <c:pt idx="112">
                  <c:v>0.81985555940865018</c:v>
                </c:pt>
                <c:pt idx="113">
                  <c:v>0.71592797109572226</c:v>
                </c:pt>
                <c:pt idx="114">
                  <c:v>0.60065453119920442</c:v>
                </c:pt>
                <c:pt idx="115">
                  <c:v>0.49283776003182267</c:v>
                </c:pt>
                <c:pt idx="116">
                  <c:v>0.4101071723400857</c:v>
                </c:pt>
                <c:pt idx="117">
                  <c:v>0.3661359943370488</c:v>
                </c:pt>
                <c:pt idx="118">
                  <c:v>0.36848249191276283</c:v>
                </c:pt>
                <c:pt idx="119">
                  <c:v>0.41739671683454904</c:v>
                </c:pt>
                <c:pt idx="120">
                  <c:v>0.50578105947630769</c:v>
                </c:pt>
                <c:pt idx="121">
                  <c:v>0.62031083593498748</c:v>
                </c:pt>
                <c:pt idx="122">
                  <c:v>0.74353799346954741</c:v>
                </c:pt>
                <c:pt idx="123">
                  <c:v>0.85664580543135838</c:v>
                </c:pt>
                <c:pt idx="124">
                  <c:v>0.94241964992832195</c:v>
                </c:pt>
                <c:pt idx="125">
                  <c:v>0.98796485159467362</c:v>
                </c:pt>
                <c:pt idx="126">
                  <c:v>0.98674249901247679</c:v>
                </c:pt>
                <c:pt idx="127">
                  <c:v>0.93960182697906958</c:v>
                </c:pt>
                <c:pt idx="128">
                  <c:v>0.85464617316203595</c:v>
                </c:pt>
                <c:pt idx="129">
                  <c:v>0.74595367164010506</c:v>
                </c:pt>
                <c:pt idx="130">
                  <c:v>0.63135465769205534</c:v>
                </c:pt>
                <c:pt idx="131">
                  <c:v>0.52961668274862927</c:v>
                </c:pt>
                <c:pt idx="132">
                  <c:v>0.45748156375224497</c:v>
                </c:pt>
                <c:pt idx="133">
                  <c:v>0.42702225168284297</c:v>
                </c:pt>
                <c:pt idx="134">
                  <c:v>0.44373681159410283</c:v>
                </c:pt>
                <c:pt idx="135">
                  <c:v>0.50568043280434738</c:v>
                </c:pt>
                <c:pt idx="136">
                  <c:v>0.60377250574929942</c:v>
                </c:pt>
                <c:pt idx="137">
                  <c:v>0.72323028481531371</c:v>
                </c:pt>
                <c:pt idx="138">
                  <c:v>0.84590279331676721</c:v>
                </c:pt>
                <c:pt idx="139">
                  <c:v>0.95313649834130765</c:v>
                </c:pt>
                <c:pt idx="140">
                  <c:v>1.0287203284170439</c:v>
                </c:pt>
                <c:pt idx="141">
                  <c:v>1.0614450804688367</c:v>
                </c:pt>
                <c:pt idx="142">
                  <c:v>1.046873141983248</c:v>
                </c:pt>
                <c:pt idx="143">
                  <c:v>0.98803912816671868</c:v>
                </c:pt>
                <c:pt idx="144">
                  <c:v>0.89497081889705687</c:v>
                </c:pt>
                <c:pt idx="145">
                  <c:v>0.78310602899170878</c:v>
                </c:pt>
                <c:pt idx="146">
                  <c:v>0.67085535316938827</c:v>
                </c:pt>
                <c:pt idx="147">
                  <c:v>0.57669557468699506</c:v>
                </c:pt>
                <c:pt idx="148">
                  <c:v>0.51625262451973852</c:v>
                </c:pt>
                <c:pt idx="149">
                  <c:v>0.49983462769181025</c:v>
                </c:pt>
                <c:pt idx="150">
                  <c:v>0.53080451450042521</c:v>
                </c:pt>
                <c:pt idx="151">
                  <c:v>0.60504912553976797</c:v>
                </c:pt>
                <c:pt idx="152">
                  <c:v>0.71162862717008868</c:v>
                </c:pt>
                <c:pt idx="153">
                  <c:v>0.83450370901058668</c:v>
                </c:pt>
                <c:pt idx="154">
                  <c:v>0.95506787695147088</c:v>
                </c:pt>
                <c:pt idx="155">
                  <c:v>1.0550850483005596</c:v>
                </c:pt>
                <c:pt idx="156">
                  <c:v>1.119568667384506</c:v>
                </c:pt>
                <c:pt idx="157">
                  <c:v>1.1391477925591864</c:v>
                </c:pt>
                <c:pt idx="158">
                  <c:v>1.11154660151774</c:v>
                </c:pt>
                <c:pt idx="159">
                  <c:v>1.0419437335414521</c:v>
                </c:pt>
                <c:pt idx="160">
                  <c:v>0.94215473645524506</c:v>
                </c:pt>
                <c:pt idx="161">
                  <c:v>0.82876669193910157</c:v>
                </c:pt>
                <c:pt idx="162">
                  <c:v>0.72051952084487925</c:v>
                </c:pt>
                <c:pt idx="163">
                  <c:v>0.63534740283110858</c:v>
                </c:pt>
                <c:pt idx="164">
                  <c:v>0.5875474051041627</c:v>
                </c:pt>
                <c:pt idx="165">
                  <c:v>0.58552233153340705</c:v>
                </c:pt>
                <c:pt idx="166">
                  <c:v>0.63045414663682142</c:v>
                </c:pt>
                <c:pt idx="167">
                  <c:v>0.71611741162307552</c:v>
                </c:pt>
                <c:pt idx="168">
                  <c:v>0.82986218683890345</c:v>
                </c:pt>
                <c:pt idx="169">
                  <c:v>0.95461122193949433</c:v>
                </c:pt>
                <c:pt idx="170">
                  <c:v>1.0715561213703175</c:v>
                </c:pt>
                <c:pt idx="171">
                  <c:v>1.1631268199162226</c:v>
                </c:pt>
                <c:pt idx="172">
                  <c:v>1.2157655534235816</c:v>
                </c:pt>
                <c:pt idx="173">
                  <c:v>1.2220673757146812</c:v>
                </c:pt>
                <c:pt idx="174">
                  <c:v>1.1819492811414314</c:v>
                </c:pt>
                <c:pt idx="175">
                  <c:v>1.1026633540360182</c:v>
                </c:pt>
                <c:pt idx="176">
                  <c:v>0.99765186905155256</c:v>
                </c:pt>
                <c:pt idx="177">
                  <c:v>0.88442509687707727</c:v>
                </c:pt>
                <c:pt idx="178">
                  <c:v>0.78179686314392893</c:v>
                </c:pt>
                <c:pt idx="179">
                  <c:v>0.70691430498983521</c:v>
                </c:pt>
                <c:pt idx="180">
                  <c:v>0.67255076141179138</c:v>
                </c:pt>
                <c:pt idx="181">
                  <c:v>0.68508919049932526</c:v>
                </c:pt>
                <c:pt idx="182">
                  <c:v>0.74351448762867023</c:v>
                </c:pt>
                <c:pt idx="183">
                  <c:v>0.83957379542036736</c:v>
                </c:pt>
                <c:pt idx="184">
                  <c:v>0.95907949604520926</c:v>
                </c:pt>
                <c:pt idx="185">
                  <c:v>1.0841491720459433</c:v>
                </c:pt>
                <c:pt idx="186">
                  <c:v>1.1960288951156173</c:v>
                </c:pt>
                <c:pt idx="187">
                  <c:v>1.2780541076153118</c:v>
                </c:pt>
                <c:pt idx="188">
                  <c:v>1.3182806387458768</c:v>
                </c:pt>
                <c:pt idx="189">
                  <c:v>1.3113704757733502</c:v>
                </c:pt>
                <c:pt idx="190">
                  <c:v>1.2594345684983268</c:v>
                </c:pt>
                <c:pt idx="191">
                  <c:v>1.1716996066775898</c:v>
                </c:pt>
                <c:pt idx="192">
                  <c:v>1.0630513789186713</c:v>
                </c:pt>
                <c:pt idx="193">
                  <c:v>0.95168468465173461</c:v>
                </c:pt>
                <c:pt idx="194">
                  <c:v>0.8562308264071401</c:v>
                </c:pt>
                <c:pt idx="195">
                  <c:v>0.7928161882098621</c:v>
                </c:pt>
                <c:pt idx="196">
                  <c:v>0.77251628588879528</c:v>
                </c:pt>
                <c:pt idx="197">
                  <c:v>0.79960723877929185</c:v>
                </c:pt>
                <c:pt idx="198">
                  <c:v>0.87089071699300513</c:v>
                </c:pt>
                <c:pt idx="199">
                  <c:v>0.97619894024064002</c:v>
                </c:pt>
                <c:pt idx="200">
                  <c:v>1.1000000000000001</c:v>
                </c:pt>
                <c:pt idx="201">
                  <c:v>1.2238500599594413</c:v>
                </c:pt>
                <c:pt idx="202">
                  <c:v>1.3293052862083492</c:v>
                </c:pt>
                <c:pt idx="203">
                  <c:v>1.4008337774276955</c:v>
                </c:pt>
                <c:pt idx="204">
                  <c:v>1.4282677653338767</c:v>
                </c:pt>
                <c:pt idx="205">
                  <c:v>1.4084089368473287</c:v>
                </c:pt>
                <c:pt idx="206">
                  <c:v>1.3455334329161077</c:v>
                </c:pt>
                <c:pt idx="207">
                  <c:v>1.2507167957868019</c:v>
                </c:pt>
                <c:pt idx="208">
                  <c:v>1.1400854407083363</c:v>
                </c:pt>
                <c:pt idx="209">
                  <c:v>1.0322707062428509</c:v>
                </c:pt>
                <c:pt idx="210">
                  <c:v>0.94546743266183819</c:v>
                </c:pt>
                <c:pt idx="211">
                  <c:v>0.89456145422574573</c:v>
                </c:pt>
                <c:pt idx="212">
                  <c:v>0.88877951115807408</c:v>
                </c:pt>
                <c:pt idx="213">
                  <c:v>0.93023260854241963</c:v>
                </c:pt>
                <c:pt idx="214">
                  <c:v>1.0135827937468116</c:v>
                </c:pt>
                <c:pt idx="215">
                  <c:v>1.1268859608960275</c:v>
                </c:pt>
                <c:pt idx="216">
                  <c:v>1.2534776221001933</c:v>
                </c:pt>
                <c:pt idx="217">
                  <c:v>1.3746039236299357</c:v>
                </c:pt>
                <c:pt idx="218">
                  <c:v>1.4723825274377709</c:v>
                </c:pt>
                <c:pt idx="219">
                  <c:v>1.5326258999403402</c:v>
                </c:pt>
                <c:pt idx="220">
                  <c:v>1.547081272844242</c:v>
                </c:pt>
                <c:pt idx="221">
                  <c:v>1.5147336354563397</c:v>
                </c:pt>
                <c:pt idx="222">
                  <c:v>1.4419660446459681</c:v>
                </c:pt>
                <c:pt idx="223">
                  <c:v>1.3415519430439455</c:v>
                </c:pt>
                <c:pt idx="224">
                  <c:v>1.2306385762809169</c:v>
                </c:pt>
                <c:pt idx="225">
                  <c:v>1.1280398833455472</c:v>
                </c:pt>
                <c:pt idx="226">
                  <c:v>1.0512662531541723</c:v>
                </c:pt>
                <c:pt idx="227">
                  <c:v>1.0137600834629545</c:v>
                </c:pt>
                <c:pt idx="228">
                  <c:v>1.0227735865889211</c:v>
                </c:pt>
                <c:pt idx="229">
                  <c:v>1.0782238897568865</c:v>
                </c:pt>
                <c:pt idx="230">
                  <c:v>1.1727061845566129</c:v>
                </c:pt>
                <c:pt idx="231">
                  <c:v>1.2926628495032713</c:v>
                </c:pt>
                <c:pt idx="232">
                  <c:v>1.4205239669588241</c:v>
                </c:pt>
                <c:pt idx="233">
                  <c:v>1.5374812938613989</c:v>
                </c:pt>
                <c:pt idx="234">
                  <c:v>1.6264577372818598</c:v>
                </c:pt>
                <c:pt idx="235">
                  <c:v>1.6748035199133477</c:v>
                </c:pt>
                <c:pt idx="236">
                  <c:v>1.6762933702496241</c:v>
                </c:pt>
                <c:pt idx="237">
                  <c:v>1.6321094250406434</c:v>
                </c:pt>
                <c:pt idx="238">
                  <c:v>1.5506546653430677</c:v>
                </c:pt>
                <c:pt idx="239">
                  <c:v>1.4462263405145719</c:v>
                </c:pt>
                <c:pt idx="240">
                  <c:v>1.3367588173379175</c:v>
                </c:pt>
                <c:pt idx="241">
                  <c:v>1.2409922087712917</c:v>
                </c:pt>
                <c:pt idx="242">
                  <c:v>1.1755137935925202</c:v>
                </c:pt>
                <c:pt idx="243">
                  <c:v>1.1521393217255369</c:v>
                </c:pt>
                <c:pt idx="244">
                  <c:v>1.176047639561713</c:v>
                </c:pt>
                <c:pt idx="245">
                  <c:v>1.2449631369254939</c:v>
                </c:pt>
                <c:pt idx="246">
                  <c:v>1.3495150893356787</c:v>
                </c:pt>
                <c:pt idx="247">
                  <c:v>1.4747171633240994</c:v>
                </c:pt>
                <c:pt idx="248">
                  <c:v>1.6023335034568991</c:v>
                </c:pt>
                <c:pt idx="249">
                  <c:v>1.7137578479468916</c:v>
                </c:pt>
                <c:pt idx="250">
                  <c:v>1.7929511238115454</c:v>
                </c:pt>
                <c:pt idx="251">
                  <c:v>1.8289737398966779</c:v>
                </c:pt>
                <c:pt idx="252">
                  <c:v>1.8177127843812186</c:v>
                </c:pt>
                <c:pt idx="253">
                  <c:v>1.7625314402584387</c:v>
                </c:pt>
                <c:pt idx="254">
                  <c:v>1.6737380903722787</c:v>
                </c:pt>
                <c:pt idx="255">
                  <c:v>1.5669589286540233</c:v>
                </c:pt>
                <c:pt idx="256">
                  <c:v>1.4606710064658577</c:v>
                </c:pt>
                <c:pt idx="257">
                  <c:v>1.37328519179413</c:v>
                </c:pt>
                <c:pt idx="258">
                  <c:v>1.3202395778996583</c:v>
                </c:pt>
                <c:pt idx="259">
                  <c:v>1.3115622282930055</c:v>
                </c:pt>
                <c:pt idx="260">
                  <c:v>1.3502880470166465</c:v>
                </c:pt>
                <c:pt idx="261">
                  <c:v>1.4319797156106115</c:v>
                </c:pt>
                <c:pt idx="262">
                  <c:v>1.5454283302850704</c:v>
                </c:pt>
                <c:pt idx="263">
                  <c:v>1.6744231240999483</c:v>
                </c:pt>
                <c:pt idx="264">
                  <c:v>1.8003108739361384</c:v>
                </c:pt>
                <c:pt idx="265">
                  <c:v>1.9049409181778718</c:v>
                </c:pt>
                <c:pt idx="266">
                  <c:v>1.9735308315734053</c:v>
                </c:pt>
                <c:pt idx="267">
                  <c:v>1.9970003302281083</c:v>
                </c:pt>
                <c:pt idx="268">
                  <c:v>1.9734049344536535</c:v>
                </c:pt>
                <c:pt idx="269">
                  <c:v>1.9082430456369925</c:v>
                </c:pt>
                <c:pt idx="270">
                  <c:v>1.8135879564477397</c:v>
                </c:pt>
                <c:pt idx="271">
                  <c:v>1.7061818308911325</c:v>
                </c:pt>
                <c:pt idx="272">
                  <c:v>1.6047925728508836</c:v>
                </c:pt>
                <c:pt idx="273">
                  <c:v>1.5272508754661636</c:v>
                </c:pt>
                <c:pt idx="274">
                  <c:v>1.4876352361010499</c:v>
                </c:pt>
                <c:pt idx="275">
                  <c:v>1.4940493611512329</c:v>
                </c:pt>
                <c:pt idx="276">
                  <c:v>1.5473428596029828</c:v>
                </c:pt>
                <c:pt idx="277">
                  <c:v>1.6409771997064555</c:v>
                </c:pt>
                <c:pt idx="278">
                  <c:v>1.7620580912617443</c:v>
                </c:pt>
                <c:pt idx="279">
                  <c:v>1.8933713030592461</c:v>
                </c:pt>
                <c:pt idx="280">
                  <c:v>2.0161005046686085</c:v>
                </c:pt>
                <c:pt idx="281">
                  <c:v>2.112798045122263</c:v>
                </c:pt>
                <c:pt idx="282">
                  <c:v>2.1701396478655153</c:v>
                </c:pt>
                <c:pt idx="283">
                  <c:v>2.1810281162154643</c:v>
                </c:pt>
                <c:pt idx="284">
                  <c:v>2.1457139204977089</c:v>
                </c:pt>
                <c:pt idx="285">
                  <c:v>2.0717557507961639</c:v>
                </c:pt>
                <c:pt idx="286">
                  <c:v>1.9728272631741208</c:v>
                </c:pt>
                <c:pt idx="287">
                  <c:v>1.8665584079057611</c:v>
                </c:pt>
                <c:pt idx="288">
                  <c:v>1.7717521465302588</c:v>
                </c:pt>
                <c:pt idx="289">
                  <c:v>1.7054159769116364</c:v>
                </c:pt>
                <c:pt idx="290">
                  <c:v>1.6800769232314086</c:v>
                </c:pt>
                <c:pt idx="291">
                  <c:v>1.7018038949610981</c:v>
                </c:pt>
                <c:pt idx="292">
                  <c:v>1.7692496408533853</c:v>
                </c:pt>
                <c:pt idx="293">
                  <c:v>1.8738635523561369</c:v>
                </c:pt>
                <c:pt idx="294">
                  <c:v>2.0012417194743732</c:v>
                </c:pt>
                <c:pt idx="295">
                  <c:v>2.1334010949496465</c:v>
                </c:pt>
                <c:pt idx="296">
                  <c:v>2.2516187262422656</c:v>
                </c:pt>
                <c:pt idx="297">
                  <c:v>2.3393878030206179</c:v>
                </c:pt>
                <c:pt idx="298">
                  <c:v>2.3850238252616678</c:v>
                </c:pt>
                <c:pt idx="299">
                  <c:v>2.3835094353292363</c:v>
                </c:pt>
                <c:pt idx="300">
                  <c:v>2.3372866556142813</c:v>
                </c:pt>
                <c:pt idx="301">
                  <c:v>2.2558714548387462</c:v>
                </c:pt>
                <c:pt idx="302">
                  <c:v>2.1543514945339859</c:v>
                </c:pt>
                <c:pt idx="303">
                  <c:v>2.0510042284985834</c:v>
                </c:pt>
                <c:pt idx="304">
                  <c:v>1.9644114049632972</c:v>
                </c:pt>
                <c:pt idx="305">
                  <c:v>1.9105255281303375</c:v>
                </c:pt>
                <c:pt idx="306">
                  <c:v>1.9001514203127199</c:v>
                </c:pt>
                <c:pt idx="307">
                  <c:v>1.9372404906419269</c:v>
                </c:pt>
                <c:pt idx="308">
                  <c:v>2.0182670078148313</c:v>
                </c:pt>
                <c:pt idx="309">
                  <c:v>2.132784849704179</c:v>
                </c:pt>
                <c:pt idx="310">
                  <c:v>2.2650768313165393</c:v>
                </c:pt>
                <c:pt idx="311">
                  <c:v>2.3966362184842369</c:v>
                </c:pt>
                <c:pt idx="312">
                  <c:v>2.5090886508485006</c:v>
                </c:pt>
                <c:pt idx="313">
                  <c:v>2.5870931667477954</c:v>
                </c:pt>
                <c:pt idx="314">
                  <c:v>2.6207643219749412</c:v>
                </c:pt>
                <c:pt idx="315">
                  <c:v>2.6072330031146298</c:v>
                </c:pt>
                <c:pt idx="316">
                  <c:v>2.5510995173603805</c:v>
                </c:pt>
                <c:pt idx="317">
                  <c:v>2.4637074258972165</c:v>
                </c:pt>
                <c:pt idx="318">
                  <c:v>2.3613527665979199</c:v>
                </c:pt>
                <c:pt idx="319">
                  <c:v>2.262711390399458</c:v>
                </c:pt>
                <c:pt idx="320">
                  <c:v>2.1858905783839915</c:v>
                </c:pt>
                <c:pt idx="321">
                  <c:v>2.1455704244043812</c:v>
                </c:pt>
                <c:pt idx="322">
                  <c:v>2.1506862960883653</c:v>
                </c:pt>
                <c:pt idx="323">
                  <c:v>2.2030182626769723</c:v>
                </c:pt>
                <c:pt idx="324">
                  <c:v>2.2969101880319398</c:v>
                </c:pt>
                <c:pt idx="325">
                  <c:v>2.4201628378559197</c:v>
                </c:pt>
                <c:pt idx="326">
                  <c:v>2.5559599991392949</c:v>
                </c:pt>
                <c:pt idx="327">
                  <c:v>2.6855235199307854</c:v>
                </c:pt>
                <c:pt idx="328">
                  <c:v>2.7910780970374334</c:v>
                </c:pt>
                <c:pt idx="329">
                  <c:v>2.8586577368723023</c:v>
                </c:pt>
                <c:pt idx="330">
                  <c:v>2.8803108109969622</c:v>
                </c:pt>
                <c:pt idx="331">
                  <c:v>2.8553555765798277</c:v>
                </c:pt>
                <c:pt idx="332">
                  <c:v>2.7904879427029252</c:v>
                </c:pt>
                <c:pt idx="333">
                  <c:v>2.6987244685933653</c:v>
                </c:pt>
                <c:pt idx="334">
                  <c:v>2.5973474711240372</c:v>
                </c:pt>
                <c:pt idx="335">
                  <c:v>2.5051766639328412</c:v>
                </c:pt>
                <c:pt idx="336">
                  <c:v>2.4395980763590246</c:v>
                </c:pt>
                <c:pt idx="337">
                  <c:v>2.4138193205751906</c:v>
                </c:pt>
                <c:pt idx="338">
                  <c:v>2.4347845398904218</c:v>
                </c:pt>
                <c:pt idx="339">
                  <c:v>2.5020782220482065</c:v>
                </c:pt>
                <c:pt idx="340">
                  <c:v>2.6079909413033433</c:v>
                </c:pt>
                <c:pt idx="341">
                  <c:v>2.7387366500563712</c:v>
                </c:pt>
                <c:pt idx="342">
                  <c:v>2.8766293364692834</c:v>
                </c:pt>
                <c:pt idx="343">
                  <c:v>3.0028754016923802</c:v>
                </c:pt>
                <c:pt idx="344">
                  <c:v>3.1005409017440666</c:v>
                </c:pt>
                <c:pt idx="345">
                  <c:v>3.1572251918016425</c:v>
                </c:pt>
                <c:pt idx="346">
                  <c:v>3.1670188632648832</c:v>
                </c:pt>
                <c:pt idx="347">
                  <c:v>3.1314368583884375</c:v>
                </c:pt>
                <c:pt idx="348">
                  <c:v>3.0591794442072233</c:v>
                </c:pt>
                <c:pt idx="349">
                  <c:v>2.9647587827236492</c:v>
                </c:pt>
                <c:pt idx="350">
                  <c:v>2.8662079317324984</c:v>
                </c:pt>
                <c:pt idx="351">
                  <c:v>2.7822339746862057</c:v>
                </c:pt>
                <c:pt idx="352">
                  <c:v>2.7292647378052828</c:v>
                </c:pt>
                <c:pt idx="353">
                  <c:v>2.7188553528729305</c:v>
                </c:pt>
                <c:pt idx="354">
                  <c:v>2.7558641124316581</c:v>
                </c:pt>
                <c:pt idx="355">
                  <c:v>2.8376856097447245</c:v>
                </c:pt>
                <c:pt idx="356">
                  <c:v>2.9546622338684929</c:v>
                </c:pt>
                <c:pt idx="357">
                  <c:v>3.0916090538194867</c:v>
                </c:pt>
                <c:pt idx="358">
                  <c:v>3.2302113461631818</c:v>
                </c:pt>
                <c:pt idx="359">
                  <c:v>3.3519162491429793</c:v>
                </c:pt>
                <c:pt idx="360">
                  <c:v>3.4408620147520388</c:v>
                </c:pt>
                <c:pt idx="361">
                  <c:v>3.4863823942622574</c:v>
                </c:pt>
                <c:pt idx="362">
                  <c:v>3.4846907698098279</c:v>
                </c:pt>
                <c:pt idx="363">
                  <c:v>3.4394781446988643</c:v>
                </c:pt>
                <c:pt idx="364">
                  <c:v>3.3613305829108606</c:v>
                </c:pt>
                <c:pt idx="365">
                  <c:v>3.2660580713204097</c:v>
                </c:pt>
                <c:pt idx="366">
                  <c:v>3.172198640536529</c:v>
                </c:pt>
                <c:pt idx="367">
                  <c:v>3.098091788817702</c:v>
                </c:pt>
                <c:pt idx="368">
                  <c:v>3.058983251083327</c:v>
                </c:pt>
                <c:pt idx="369">
                  <c:v>3.064618206342673</c:v>
                </c:pt>
                <c:pt idx="370">
                  <c:v>3.1177029031763306</c:v>
                </c:pt>
                <c:pt idx="371">
                  <c:v>3.2134775787893868</c:v>
                </c:pt>
                <c:pt idx="372">
                  <c:v>3.3404680983358057</c:v>
                </c:pt>
                <c:pt idx="373">
                  <c:v>3.4822976472004665</c:v>
                </c:pt>
                <c:pt idx="374">
                  <c:v>3.6202724498717176</c:v>
                </c:pt>
                <c:pt idx="375">
                  <c:v>3.7363332872581854</c:v>
                </c:pt>
                <c:pt idx="376">
                  <c:v>3.8159068327722618</c:v>
                </c:pt>
                <c:pt idx="377">
                  <c:v>3.8502066439169198</c:v>
                </c:pt>
                <c:pt idx="378">
                  <c:v>3.8376205334074647</c:v>
                </c:pt>
                <c:pt idx="379">
                  <c:v>3.7839652844426985</c:v>
                </c:pt>
                <c:pt idx="380">
                  <c:v>3.7015684961939934</c:v>
                </c:pt>
                <c:pt idx="381">
                  <c:v>3.6073225159303792</c:v>
                </c:pt>
                <c:pt idx="382">
                  <c:v>3.5200176991161687</c:v>
                </c:pt>
                <c:pt idx="383">
                  <c:v>3.4573760170847381</c:v>
                </c:pt>
                <c:pt idx="384">
                  <c:v>3.4332533404211705</c:v>
                </c:pt>
                <c:pt idx="385">
                  <c:v>3.4554520960007977</c:v>
                </c:pt>
                <c:pt idx="386">
                  <c:v>3.5244896310515461</c:v>
                </c:pt>
                <c:pt idx="387">
                  <c:v>3.6335167324829718</c:v>
                </c:pt>
                <c:pt idx="388">
                  <c:v>3.7693991654979975</c:v>
                </c:pt>
                <c:pt idx="389">
                  <c:v>3.9147914803312007</c:v>
                </c:pt>
                <c:pt idx="390">
                  <c:v>4.0508756786382341</c:v>
                </c:pt>
                <c:pt idx="391">
                  <c:v>4.1603323643413104</c:v>
                </c:pt>
                <c:pt idx="392">
                  <c:v>4.2300752995517614</c:v>
                </c:pt>
                <c:pt idx="393">
                  <c:v>4.2533176393269478</c:v>
                </c:pt>
                <c:pt idx="394">
                  <c:v>4.2306436322358936</c:v>
                </c:pt>
                <c:pt idx="395">
                  <c:v>4.1699165887889817</c:v>
                </c:pt>
                <c:pt idx="396">
                  <c:v>4.085037647503337</c:v>
                </c:pt>
                <c:pt idx="397">
                  <c:v>3.9937513021601507</c:v>
                </c:pt>
                <c:pt idx="398">
                  <c:v>3.9148441492583057</c:v>
                </c:pt>
                <c:pt idx="399">
                  <c:v>3.865179111857898</c:v>
                </c:pt>
                <c:pt idx="400">
                  <c:v>3.8570333706676614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80E-44BC-B70D-CEFBDD317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570095"/>
        <c:axId val="496959055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加法モデル!$E$1</c15:sqref>
                        </c15:formulaRef>
                      </c:ext>
                    </c:extLst>
                    <c:strCache>
                      <c:ptCount val="1"/>
                      <c:pt idx="0">
                        <c:v>S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加法モデル!$C$2:$C$402</c15:sqref>
                        </c15:formulaRef>
                      </c:ext>
                    </c:extLst>
                    <c:numCache>
                      <c:formatCode>General</c:formatCode>
                      <c:ptCount val="401"/>
                      <c:pt idx="0">
                        <c:v>-2</c:v>
                      </c:pt>
                      <c:pt idx="1">
                        <c:v>-1.99</c:v>
                      </c:pt>
                      <c:pt idx="2">
                        <c:v>-1.98</c:v>
                      </c:pt>
                      <c:pt idx="3">
                        <c:v>-1.97</c:v>
                      </c:pt>
                      <c:pt idx="4">
                        <c:v>-1.96</c:v>
                      </c:pt>
                      <c:pt idx="5">
                        <c:v>-1.95</c:v>
                      </c:pt>
                      <c:pt idx="6">
                        <c:v>-1.94</c:v>
                      </c:pt>
                      <c:pt idx="7">
                        <c:v>-1.93</c:v>
                      </c:pt>
                      <c:pt idx="8">
                        <c:v>-1.92</c:v>
                      </c:pt>
                      <c:pt idx="9">
                        <c:v>-1.91</c:v>
                      </c:pt>
                      <c:pt idx="10">
                        <c:v>-1.9</c:v>
                      </c:pt>
                      <c:pt idx="11">
                        <c:v>-1.89</c:v>
                      </c:pt>
                      <c:pt idx="12">
                        <c:v>-1.88</c:v>
                      </c:pt>
                      <c:pt idx="13">
                        <c:v>-1.87</c:v>
                      </c:pt>
                      <c:pt idx="14">
                        <c:v>-1.86</c:v>
                      </c:pt>
                      <c:pt idx="15">
                        <c:v>-1.85</c:v>
                      </c:pt>
                      <c:pt idx="16">
                        <c:v>-1.84</c:v>
                      </c:pt>
                      <c:pt idx="17">
                        <c:v>-1.83</c:v>
                      </c:pt>
                      <c:pt idx="18">
                        <c:v>-1.82</c:v>
                      </c:pt>
                      <c:pt idx="19">
                        <c:v>-1.81</c:v>
                      </c:pt>
                      <c:pt idx="20">
                        <c:v>-1.8</c:v>
                      </c:pt>
                      <c:pt idx="21">
                        <c:v>-1.79</c:v>
                      </c:pt>
                      <c:pt idx="22">
                        <c:v>-1.78</c:v>
                      </c:pt>
                      <c:pt idx="23">
                        <c:v>-1.77</c:v>
                      </c:pt>
                      <c:pt idx="24">
                        <c:v>-1.76</c:v>
                      </c:pt>
                      <c:pt idx="25">
                        <c:v>-1.75</c:v>
                      </c:pt>
                      <c:pt idx="26">
                        <c:v>-1.74</c:v>
                      </c:pt>
                      <c:pt idx="27">
                        <c:v>-1.73</c:v>
                      </c:pt>
                      <c:pt idx="28">
                        <c:v>-1.72</c:v>
                      </c:pt>
                      <c:pt idx="29">
                        <c:v>-1.71</c:v>
                      </c:pt>
                      <c:pt idx="30">
                        <c:v>-1.7</c:v>
                      </c:pt>
                      <c:pt idx="31">
                        <c:v>-1.69</c:v>
                      </c:pt>
                      <c:pt idx="32">
                        <c:v>-1.68</c:v>
                      </c:pt>
                      <c:pt idx="33">
                        <c:v>-1.67</c:v>
                      </c:pt>
                      <c:pt idx="34">
                        <c:v>-1.66</c:v>
                      </c:pt>
                      <c:pt idx="35">
                        <c:v>-1.65</c:v>
                      </c:pt>
                      <c:pt idx="36">
                        <c:v>-1.64</c:v>
                      </c:pt>
                      <c:pt idx="37">
                        <c:v>-1.63</c:v>
                      </c:pt>
                      <c:pt idx="38">
                        <c:v>-1.62</c:v>
                      </c:pt>
                      <c:pt idx="39">
                        <c:v>-1.61</c:v>
                      </c:pt>
                      <c:pt idx="40">
                        <c:v>-1.6</c:v>
                      </c:pt>
                      <c:pt idx="41">
                        <c:v>-1.59</c:v>
                      </c:pt>
                      <c:pt idx="42">
                        <c:v>-1.58</c:v>
                      </c:pt>
                      <c:pt idx="43">
                        <c:v>-1.57</c:v>
                      </c:pt>
                      <c:pt idx="44">
                        <c:v>-1.56</c:v>
                      </c:pt>
                      <c:pt idx="45">
                        <c:v>-1.55</c:v>
                      </c:pt>
                      <c:pt idx="46">
                        <c:v>-1.54</c:v>
                      </c:pt>
                      <c:pt idx="47">
                        <c:v>-1.53</c:v>
                      </c:pt>
                      <c:pt idx="48">
                        <c:v>-1.52</c:v>
                      </c:pt>
                      <c:pt idx="49">
                        <c:v>-1.51</c:v>
                      </c:pt>
                      <c:pt idx="50">
                        <c:v>-1.5</c:v>
                      </c:pt>
                      <c:pt idx="51">
                        <c:v>-1.49</c:v>
                      </c:pt>
                      <c:pt idx="52">
                        <c:v>-1.48</c:v>
                      </c:pt>
                      <c:pt idx="53">
                        <c:v>-1.47</c:v>
                      </c:pt>
                      <c:pt idx="54">
                        <c:v>-1.46</c:v>
                      </c:pt>
                      <c:pt idx="55">
                        <c:v>-1.45</c:v>
                      </c:pt>
                      <c:pt idx="56">
                        <c:v>-1.44</c:v>
                      </c:pt>
                      <c:pt idx="57">
                        <c:v>-1.43</c:v>
                      </c:pt>
                      <c:pt idx="58">
                        <c:v>-1.42</c:v>
                      </c:pt>
                      <c:pt idx="59">
                        <c:v>-1.41</c:v>
                      </c:pt>
                      <c:pt idx="60">
                        <c:v>-1.4</c:v>
                      </c:pt>
                      <c:pt idx="61">
                        <c:v>-1.39</c:v>
                      </c:pt>
                      <c:pt idx="62">
                        <c:v>-1.38</c:v>
                      </c:pt>
                      <c:pt idx="63">
                        <c:v>-1.37</c:v>
                      </c:pt>
                      <c:pt idx="64">
                        <c:v>-1.36</c:v>
                      </c:pt>
                      <c:pt idx="65">
                        <c:v>-1.35</c:v>
                      </c:pt>
                      <c:pt idx="66">
                        <c:v>-1.34</c:v>
                      </c:pt>
                      <c:pt idx="67">
                        <c:v>-1.33</c:v>
                      </c:pt>
                      <c:pt idx="68">
                        <c:v>-1.32</c:v>
                      </c:pt>
                      <c:pt idx="69">
                        <c:v>-1.31</c:v>
                      </c:pt>
                      <c:pt idx="70">
                        <c:v>-1.3</c:v>
                      </c:pt>
                      <c:pt idx="71">
                        <c:v>-1.29</c:v>
                      </c:pt>
                      <c:pt idx="72">
                        <c:v>-1.28</c:v>
                      </c:pt>
                      <c:pt idx="73">
                        <c:v>-1.27</c:v>
                      </c:pt>
                      <c:pt idx="74">
                        <c:v>-1.26</c:v>
                      </c:pt>
                      <c:pt idx="75">
                        <c:v>-1.25</c:v>
                      </c:pt>
                      <c:pt idx="76">
                        <c:v>-1.24</c:v>
                      </c:pt>
                      <c:pt idx="77">
                        <c:v>-1.23</c:v>
                      </c:pt>
                      <c:pt idx="78">
                        <c:v>-1.22</c:v>
                      </c:pt>
                      <c:pt idx="79">
                        <c:v>-1.21</c:v>
                      </c:pt>
                      <c:pt idx="80">
                        <c:v>-1.2</c:v>
                      </c:pt>
                      <c:pt idx="81">
                        <c:v>-1.19</c:v>
                      </c:pt>
                      <c:pt idx="82">
                        <c:v>-1.18</c:v>
                      </c:pt>
                      <c:pt idx="83">
                        <c:v>-1.17</c:v>
                      </c:pt>
                      <c:pt idx="84">
                        <c:v>-1.1599999999999999</c:v>
                      </c:pt>
                      <c:pt idx="85">
                        <c:v>-1.1499999999999999</c:v>
                      </c:pt>
                      <c:pt idx="86">
                        <c:v>-1.1399999999999999</c:v>
                      </c:pt>
                      <c:pt idx="87">
                        <c:v>-1.1299999999999999</c:v>
                      </c:pt>
                      <c:pt idx="88">
                        <c:v>-1.1200000000000001</c:v>
                      </c:pt>
                      <c:pt idx="89">
                        <c:v>-1.1100000000000001</c:v>
                      </c:pt>
                      <c:pt idx="90">
                        <c:v>-1.1000000000000001</c:v>
                      </c:pt>
                      <c:pt idx="91">
                        <c:v>-1.0900000000000001</c:v>
                      </c:pt>
                      <c:pt idx="92">
                        <c:v>-1.08</c:v>
                      </c:pt>
                      <c:pt idx="93">
                        <c:v>-1.07</c:v>
                      </c:pt>
                      <c:pt idx="94">
                        <c:v>-1.06</c:v>
                      </c:pt>
                      <c:pt idx="95">
                        <c:v>-1.05</c:v>
                      </c:pt>
                      <c:pt idx="96">
                        <c:v>-1.04</c:v>
                      </c:pt>
                      <c:pt idx="97">
                        <c:v>-1.03</c:v>
                      </c:pt>
                      <c:pt idx="98">
                        <c:v>-1.02</c:v>
                      </c:pt>
                      <c:pt idx="99">
                        <c:v>-1.01</c:v>
                      </c:pt>
                      <c:pt idx="100">
                        <c:v>-1</c:v>
                      </c:pt>
                      <c:pt idx="101">
                        <c:v>-0.99</c:v>
                      </c:pt>
                      <c:pt idx="102">
                        <c:v>-0.98</c:v>
                      </c:pt>
                      <c:pt idx="103">
                        <c:v>-0.97</c:v>
                      </c:pt>
                      <c:pt idx="104">
                        <c:v>-0.96</c:v>
                      </c:pt>
                      <c:pt idx="105">
                        <c:v>-0.95</c:v>
                      </c:pt>
                      <c:pt idx="106">
                        <c:v>-0.94</c:v>
                      </c:pt>
                      <c:pt idx="107">
                        <c:v>-0.93</c:v>
                      </c:pt>
                      <c:pt idx="108">
                        <c:v>-0.92</c:v>
                      </c:pt>
                      <c:pt idx="109">
                        <c:v>-0.91</c:v>
                      </c:pt>
                      <c:pt idx="110">
                        <c:v>-0.9</c:v>
                      </c:pt>
                      <c:pt idx="111">
                        <c:v>-0.89</c:v>
                      </c:pt>
                      <c:pt idx="112">
                        <c:v>-0.88</c:v>
                      </c:pt>
                      <c:pt idx="113">
                        <c:v>-0.87</c:v>
                      </c:pt>
                      <c:pt idx="114">
                        <c:v>-0.86</c:v>
                      </c:pt>
                      <c:pt idx="115">
                        <c:v>-0.85</c:v>
                      </c:pt>
                      <c:pt idx="116">
                        <c:v>-0.84</c:v>
                      </c:pt>
                      <c:pt idx="117">
                        <c:v>-0.83</c:v>
                      </c:pt>
                      <c:pt idx="118">
                        <c:v>-0.82</c:v>
                      </c:pt>
                      <c:pt idx="119">
                        <c:v>-0.81</c:v>
                      </c:pt>
                      <c:pt idx="120">
                        <c:v>-0.8</c:v>
                      </c:pt>
                      <c:pt idx="121">
                        <c:v>-0.79</c:v>
                      </c:pt>
                      <c:pt idx="122">
                        <c:v>-0.78</c:v>
                      </c:pt>
                      <c:pt idx="123">
                        <c:v>-0.77</c:v>
                      </c:pt>
                      <c:pt idx="124">
                        <c:v>-0.76</c:v>
                      </c:pt>
                      <c:pt idx="125">
                        <c:v>-0.75</c:v>
                      </c:pt>
                      <c:pt idx="126">
                        <c:v>-0.74</c:v>
                      </c:pt>
                      <c:pt idx="127">
                        <c:v>-0.73</c:v>
                      </c:pt>
                      <c:pt idx="128">
                        <c:v>-0.72</c:v>
                      </c:pt>
                      <c:pt idx="129">
                        <c:v>-0.71</c:v>
                      </c:pt>
                      <c:pt idx="130">
                        <c:v>-0.7</c:v>
                      </c:pt>
                      <c:pt idx="131">
                        <c:v>-0.69</c:v>
                      </c:pt>
                      <c:pt idx="132">
                        <c:v>-0.68</c:v>
                      </c:pt>
                      <c:pt idx="133">
                        <c:v>-0.67</c:v>
                      </c:pt>
                      <c:pt idx="134">
                        <c:v>-0.66</c:v>
                      </c:pt>
                      <c:pt idx="135">
                        <c:v>-0.65</c:v>
                      </c:pt>
                      <c:pt idx="136">
                        <c:v>-0.64</c:v>
                      </c:pt>
                      <c:pt idx="137">
                        <c:v>-0.63</c:v>
                      </c:pt>
                      <c:pt idx="138">
                        <c:v>-0.62</c:v>
                      </c:pt>
                      <c:pt idx="139">
                        <c:v>-0.61</c:v>
                      </c:pt>
                      <c:pt idx="140">
                        <c:v>-0.6</c:v>
                      </c:pt>
                      <c:pt idx="141">
                        <c:v>-0.59</c:v>
                      </c:pt>
                      <c:pt idx="142">
                        <c:v>-0.57999999999999996</c:v>
                      </c:pt>
                      <c:pt idx="143">
                        <c:v>-0.56999999999999995</c:v>
                      </c:pt>
                      <c:pt idx="144">
                        <c:v>-0.56000000000000005</c:v>
                      </c:pt>
                      <c:pt idx="145">
                        <c:v>-0.55000000000000004</c:v>
                      </c:pt>
                      <c:pt idx="146">
                        <c:v>-0.54</c:v>
                      </c:pt>
                      <c:pt idx="147">
                        <c:v>-0.53</c:v>
                      </c:pt>
                      <c:pt idx="148">
                        <c:v>-0.52</c:v>
                      </c:pt>
                      <c:pt idx="149">
                        <c:v>-0.51</c:v>
                      </c:pt>
                      <c:pt idx="150">
                        <c:v>-0.5</c:v>
                      </c:pt>
                      <c:pt idx="151">
                        <c:v>-0.49</c:v>
                      </c:pt>
                      <c:pt idx="152">
                        <c:v>-0.48</c:v>
                      </c:pt>
                      <c:pt idx="153">
                        <c:v>-0.47</c:v>
                      </c:pt>
                      <c:pt idx="154">
                        <c:v>-0.46</c:v>
                      </c:pt>
                      <c:pt idx="155">
                        <c:v>-0.45</c:v>
                      </c:pt>
                      <c:pt idx="156">
                        <c:v>-0.44</c:v>
                      </c:pt>
                      <c:pt idx="157">
                        <c:v>-0.43</c:v>
                      </c:pt>
                      <c:pt idx="158">
                        <c:v>-0.42</c:v>
                      </c:pt>
                      <c:pt idx="159">
                        <c:v>-0.41</c:v>
                      </c:pt>
                      <c:pt idx="160">
                        <c:v>-0.4</c:v>
                      </c:pt>
                      <c:pt idx="161">
                        <c:v>-0.39</c:v>
                      </c:pt>
                      <c:pt idx="162">
                        <c:v>-0.38</c:v>
                      </c:pt>
                      <c:pt idx="163">
                        <c:v>-0.37</c:v>
                      </c:pt>
                      <c:pt idx="164">
                        <c:v>-0.36</c:v>
                      </c:pt>
                      <c:pt idx="165">
                        <c:v>-0.35</c:v>
                      </c:pt>
                      <c:pt idx="166">
                        <c:v>-0.34</c:v>
                      </c:pt>
                      <c:pt idx="167">
                        <c:v>-0.33</c:v>
                      </c:pt>
                      <c:pt idx="168">
                        <c:v>-0.32</c:v>
                      </c:pt>
                      <c:pt idx="169">
                        <c:v>-0.31</c:v>
                      </c:pt>
                      <c:pt idx="170">
                        <c:v>-0.3</c:v>
                      </c:pt>
                      <c:pt idx="171">
                        <c:v>-0.28999999999999998</c:v>
                      </c:pt>
                      <c:pt idx="172">
                        <c:v>-0.28000000000000003</c:v>
                      </c:pt>
                      <c:pt idx="173">
                        <c:v>-0.27</c:v>
                      </c:pt>
                      <c:pt idx="174">
                        <c:v>-0.26</c:v>
                      </c:pt>
                      <c:pt idx="175">
                        <c:v>-0.25</c:v>
                      </c:pt>
                      <c:pt idx="176">
                        <c:v>-0.24</c:v>
                      </c:pt>
                      <c:pt idx="177">
                        <c:v>-0.23</c:v>
                      </c:pt>
                      <c:pt idx="178">
                        <c:v>-0.22</c:v>
                      </c:pt>
                      <c:pt idx="179">
                        <c:v>-0.21</c:v>
                      </c:pt>
                      <c:pt idx="180">
                        <c:v>-0.2</c:v>
                      </c:pt>
                      <c:pt idx="181">
                        <c:v>-0.19</c:v>
                      </c:pt>
                      <c:pt idx="182">
                        <c:v>-0.18</c:v>
                      </c:pt>
                      <c:pt idx="183">
                        <c:v>-0.17</c:v>
                      </c:pt>
                      <c:pt idx="184">
                        <c:v>-0.16</c:v>
                      </c:pt>
                      <c:pt idx="185">
                        <c:v>-0.15</c:v>
                      </c:pt>
                      <c:pt idx="186">
                        <c:v>-0.14000000000000001</c:v>
                      </c:pt>
                      <c:pt idx="187">
                        <c:v>-0.13</c:v>
                      </c:pt>
                      <c:pt idx="188">
                        <c:v>-0.12</c:v>
                      </c:pt>
                      <c:pt idx="189">
                        <c:v>-0.11</c:v>
                      </c:pt>
                      <c:pt idx="190">
                        <c:v>-0.1</c:v>
                      </c:pt>
                      <c:pt idx="191">
                        <c:v>-9.0000000000000094E-2</c:v>
                      </c:pt>
                      <c:pt idx="192">
                        <c:v>-8.0000000000000099E-2</c:v>
                      </c:pt>
                      <c:pt idx="193">
                        <c:v>-7.0000000000000104E-2</c:v>
                      </c:pt>
                      <c:pt idx="194">
                        <c:v>-6.0000000000000102E-2</c:v>
                      </c:pt>
                      <c:pt idx="195">
                        <c:v>-0.05</c:v>
                      </c:pt>
                      <c:pt idx="196">
                        <c:v>-0.04</c:v>
                      </c:pt>
                      <c:pt idx="197">
                        <c:v>-0.03</c:v>
                      </c:pt>
                      <c:pt idx="198">
                        <c:v>-0.02</c:v>
                      </c:pt>
                      <c:pt idx="199">
                        <c:v>-0.01</c:v>
                      </c:pt>
                      <c:pt idx="200">
                        <c:v>0</c:v>
                      </c:pt>
                      <c:pt idx="201">
                        <c:v>9.9999999999997903E-3</c:v>
                      </c:pt>
                      <c:pt idx="202">
                        <c:v>0.02</c:v>
                      </c:pt>
                      <c:pt idx="203">
                        <c:v>2.9999999999999801E-2</c:v>
                      </c:pt>
                      <c:pt idx="204">
                        <c:v>0.04</c:v>
                      </c:pt>
                      <c:pt idx="205">
                        <c:v>4.9999999999999802E-2</c:v>
                      </c:pt>
                      <c:pt idx="206">
                        <c:v>6.0000000000000102E-2</c:v>
                      </c:pt>
                      <c:pt idx="207">
                        <c:v>6.9999999999999798E-2</c:v>
                      </c:pt>
                      <c:pt idx="208">
                        <c:v>8.0000000000000099E-2</c:v>
                      </c:pt>
                      <c:pt idx="209">
                        <c:v>8.99999999999999E-2</c:v>
                      </c:pt>
                      <c:pt idx="210">
                        <c:v>0.1</c:v>
                      </c:pt>
                      <c:pt idx="211">
                        <c:v>0.11</c:v>
                      </c:pt>
                      <c:pt idx="212">
                        <c:v>0.12</c:v>
                      </c:pt>
                      <c:pt idx="213">
                        <c:v>0.13</c:v>
                      </c:pt>
                      <c:pt idx="214">
                        <c:v>0.14000000000000001</c:v>
                      </c:pt>
                      <c:pt idx="215">
                        <c:v>0.15</c:v>
                      </c:pt>
                      <c:pt idx="216">
                        <c:v>0.16</c:v>
                      </c:pt>
                      <c:pt idx="217">
                        <c:v>0.17</c:v>
                      </c:pt>
                      <c:pt idx="218">
                        <c:v>0.18</c:v>
                      </c:pt>
                      <c:pt idx="219">
                        <c:v>0.19</c:v>
                      </c:pt>
                      <c:pt idx="220">
                        <c:v>0.2</c:v>
                      </c:pt>
                      <c:pt idx="221">
                        <c:v>0.21</c:v>
                      </c:pt>
                      <c:pt idx="222">
                        <c:v>0.22</c:v>
                      </c:pt>
                      <c:pt idx="223">
                        <c:v>0.23</c:v>
                      </c:pt>
                      <c:pt idx="224">
                        <c:v>0.24</c:v>
                      </c:pt>
                      <c:pt idx="225">
                        <c:v>0.25</c:v>
                      </c:pt>
                      <c:pt idx="226">
                        <c:v>0.26</c:v>
                      </c:pt>
                      <c:pt idx="227">
                        <c:v>0.27</c:v>
                      </c:pt>
                      <c:pt idx="228">
                        <c:v>0.28000000000000003</c:v>
                      </c:pt>
                      <c:pt idx="229">
                        <c:v>0.28999999999999998</c:v>
                      </c:pt>
                      <c:pt idx="230">
                        <c:v>0.3</c:v>
                      </c:pt>
                      <c:pt idx="231">
                        <c:v>0.31</c:v>
                      </c:pt>
                      <c:pt idx="232">
                        <c:v>0.32</c:v>
                      </c:pt>
                      <c:pt idx="233">
                        <c:v>0.33</c:v>
                      </c:pt>
                      <c:pt idx="234">
                        <c:v>0.34</c:v>
                      </c:pt>
                      <c:pt idx="235">
                        <c:v>0.35</c:v>
                      </c:pt>
                      <c:pt idx="236">
                        <c:v>0.36</c:v>
                      </c:pt>
                      <c:pt idx="237">
                        <c:v>0.37</c:v>
                      </c:pt>
                      <c:pt idx="238">
                        <c:v>0.38</c:v>
                      </c:pt>
                      <c:pt idx="239">
                        <c:v>0.39</c:v>
                      </c:pt>
                      <c:pt idx="240">
                        <c:v>0.4</c:v>
                      </c:pt>
                      <c:pt idx="241">
                        <c:v>0.41</c:v>
                      </c:pt>
                      <c:pt idx="242">
                        <c:v>0.42</c:v>
                      </c:pt>
                      <c:pt idx="243">
                        <c:v>0.43</c:v>
                      </c:pt>
                      <c:pt idx="244">
                        <c:v>0.44</c:v>
                      </c:pt>
                      <c:pt idx="245">
                        <c:v>0.45</c:v>
                      </c:pt>
                      <c:pt idx="246">
                        <c:v>0.46</c:v>
                      </c:pt>
                      <c:pt idx="247">
                        <c:v>0.47</c:v>
                      </c:pt>
                      <c:pt idx="248">
                        <c:v>0.48</c:v>
                      </c:pt>
                      <c:pt idx="249">
                        <c:v>0.49</c:v>
                      </c:pt>
                      <c:pt idx="250">
                        <c:v>0.5</c:v>
                      </c:pt>
                      <c:pt idx="251">
                        <c:v>0.51</c:v>
                      </c:pt>
                      <c:pt idx="252">
                        <c:v>0.52</c:v>
                      </c:pt>
                      <c:pt idx="253">
                        <c:v>0.53</c:v>
                      </c:pt>
                      <c:pt idx="254">
                        <c:v>0.54</c:v>
                      </c:pt>
                      <c:pt idx="255">
                        <c:v>0.55000000000000004</c:v>
                      </c:pt>
                      <c:pt idx="256">
                        <c:v>0.56000000000000005</c:v>
                      </c:pt>
                      <c:pt idx="257">
                        <c:v>0.56999999999999995</c:v>
                      </c:pt>
                      <c:pt idx="258">
                        <c:v>0.57999999999999996</c:v>
                      </c:pt>
                      <c:pt idx="259">
                        <c:v>0.59</c:v>
                      </c:pt>
                      <c:pt idx="260">
                        <c:v>0.6</c:v>
                      </c:pt>
                      <c:pt idx="261">
                        <c:v>0.61</c:v>
                      </c:pt>
                      <c:pt idx="262">
                        <c:v>0.62</c:v>
                      </c:pt>
                      <c:pt idx="263">
                        <c:v>0.63</c:v>
                      </c:pt>
                      <c:pt idx="264">
                        <c:v>0.64</c:v>
                      </c:pt>
                      <c:pt idx="265">
                        <c:v>0.65</c:v>
                      </c:pt>
                      <c:pt idx="266">
                        <c:v>0.66</c:v>
                      </c:pt>
                      <c:pt idx="267">
                        <c:v>0.67</c:v>
                      </c:pt>
                      <c:pt idx="268">
                        <c:v>0.68</c:v>
                      </c:pt>
                      <c:pt idx="269">
                        <c:v>0.69</c:v>
                      </c:pt>
                      <c:pt idx="270">
                        <c:v>0.7</c:v>
                      </c:pt>
                      <c:pt idx="271">
                        <c:v>0.71</c:v>
                      </c:pt>
                      <c:pt idx="272">
                        <c:v>0.72</c:v>
                      </c:pt>
                      <c:pt idx="273">
                        <c:v>0.73</c:v>
                      </c:pt>
                      <c:pt idx="274">
                        <c:v>0.74</c:v>
                      </c:pt>
                      <c:pt idx="275">
                        <c:v>0.75</c:v>
                      </c:pt>
                      <c:pt idx="276">
                        <c:v>0.76</c:v>
                      </c:pt>
                      <c:pt idx="277">
                        <c:v>0.77</c:v>
                      </c:pt>
                      <c:pt idx="278">
                        <c:v>0.78</c:v>
                      </c:pt>
                      <c:pt idx="279">
                        <c:v>0.79</c:v>
                      </c:pt>
                      <c:pt idx="280">
                        <c:v>0.8</c:v>
                      </c:pt>
                      <c:pt idx="281">
                        <c:v>0.81</c:v>
                      </c:pt>
                      <c:pt idx="282">
                        <c:v>0.82</c:v>
                      </c:pt>
                      <c:pt idx="283">
                        <c:v>0.83</c:v>
                      </c:pt>
                      <c:pt idx="284">
                        <c:v>0.84</c:v>
                      </c:pt>
                      <c:pt idx="285">
                        <c:v>0.85</c:v>
                      </c:pt>
                      <c:pt idx="286">
                        <c:v>0.86</c:v>
                      </c:pt>
                      <c:pt idx="287">
                        <c:v>0.87</c:v>
                      </c:pt>
                      <c:pt idx="288">
                        <c:v>0.88</c:v>
                      </c:pt>
                      <c:pt idx="289">
                        <c:v>0.89</c:v>
                      </c:pt>
                      <c:pt idx="290">
                        <c:v>0.9</c:v>
                      </c:pt>
                      <c:pt idx="291">
                        <c:v>0.91</c:v>
                      </c:pt>
                      <c:pt idx="292">
                        <c:v>0.92</c:v>
                      </c:pt>
                      <c:pt idx="293">
                        <c:v>0.93</c:v>
                      </c:pt>
                      <c:pt idx="294">
                        <c:v>0.94</c:v>
                      </c:pt>
                      <c:pt idx="295">
                        <c:v>0.95</c:v>
                      </c:pt>
                      <c:pt idx="296">
                        <c:v>0.96</c:v>
                      </c:pt>
                      <c:pt idx="297">
                        <c:v>0.97</c:v>
                      </c:pt>
                      <c:pt idx="298">
                        <c:v>0.98</c:v>
                      </c:pt>
                      <c:pt idx="299">
                        <c:v>0.99</c:v>
                      </c:pt>
                      <c:pt idx="300">
                        <c:v>1</c:v>
                      </c:pt>
                      <c:pt idx="301">
                        <c:v>1.01</c:v>
                      </c:pt>
                      <c:pt idx="302">
                        <c:v>1.02</c:v>
                      </c:pt>
                      <c:pt idx="303">
                        <c:v>1.03</c:v>
                      </c:pt>
                      <c:pt idx="304">
                        <c:v>1.04</c:v>
                      </c:pt>
                      <c:pt idx="305">
                        <c:v>1.05</c:v>
                      </c:pt>
                      <c:pt idx="306">
                        <c:v>1.06</c:v>
                      </c:pt>
                      <c:pt idx="307">
                        <c:v>1.07</c:v>
                      </c:pt>
                      <c:pt idx="308">
                        <c:v>1.08</c:v>
                      </c:pt>
                      <c:pt idx="309">
                        <c:v>1.0900000000000001</c:v>
                      </c:pt>
                      <c:pt idx="310">
                        <c:v>1.1000000000000001</c:v>
                      </c:pt>
                      <c:pt idx="311">
                        <c:v>1.1100000000000001</c:v>
                      </c:pt>
                      <c:pt idx="312">
                        <c:v>1.1200000000000001</c:v>
                      </c:pt>
                      <c:pt idx="313">
                        <c:v>1.1299999999999999</c:v>
                      </c:pt>
                      <c:pt idx="314">
                        <c:v>1.1399999999999999</c:v>
                      </c:pt>
                      <c:pt idx="315">
                        <c:v>1.1499999999999999</c:v>
                      </c:pt>
                      <c:pt idx="316">
                        <c:v>1.1599999999999999</c:v>
                      </c:pt>
                      <c:pt idx="317">
                        <c:v>1.17</c:v>
                      </c:pt>
                      <c:pt idx="318">
                        <c:v>1.18</c:v>
                      </c:pt>
                      <c:pt idx="319">
                        <c:v>1.19</c:v>
                      </c:pt>
                      <c:pt idx="320">
                        <c:v>1.2</c:v>
                      </c:pt>
                      <c:pt idx="321">
                        <c:v>1.21</c:v>
                      </c:pt>
                      <c:pt idx="322">
                        <c:v>1.22</c:v>
                      </c:pt>
                      <c:pt idx="323">
                        <c:v>1.23</c:v>
                      </c:pt>
                      <c:pt idx="324">
                        <c:v>1.24</c:v>
                      </c:pt>
                      <c:pt idx="325">
                        <c:v>1.25</c:v>
                      </c:pt>
                      <c:pt idx="326">
                        <c:v>1.26</c:v>
                      </c:pt>
                      <c:pt idx="327">
                        <c:v>1.27</c:v>
                      </c:pt>
                      <c:pt idx="328">
                        <c:v>1.28</c:v>
                      </c:pt>
                      <c:pt idx="329">
                        <c:v>1.29</c:v>
                      </c:pt>
                      <c:pt idx="330">
                        <c:v>1.3</c:v>
                      </c:pt>
                      <c:pt idx="331">
                        <c:v>1.31</c:v>
                      </c:pt>
                      <c:pt idx="332">
                        <c:v>1.32</c:v>
                      </c:pt>
                      <c:pt idx="333">
                        <c:v>1.33</c:v>
                      </c:pt>
                      <c:pt idx="334">
                        <c:v>1.34</c:v>
                      </c:pt>
                      <c:pt idx="335">
                        <c:v>1.35</c:v>
                      </c:pt>
                      <c:pt idx="336">
                        <c:v>1.36</c:v>
                      </c:pt>
                      <c:pt idx="337">
                        <c:v>1.37</c:v>
                      </c:pt>
                      <c:pt idx="338">
                        <c:v>1.38</c:v>
                      </c:pt>
                      <c:pt idx="339">
                        <c:v>1.39</c:v>
                      </c:pt>
                      <c:pt idx="340">
                        <c:v>1.4</c:v>
                      </c:pt>
                      <c:pt idx="341">
                        <c:v>1.41</c:v>
                      </c:pt>
                      <c:pt idx="342">
                        <c:v>1.42</c:v>
                      </c:pt>
                      <c:pt idx="343">
                        <c:v>1.43</c:v>
                      </c:pt>
                      <c:pt idx="344">
                        <c:v>1.44</c:v>
                      </c:pt>
                      <c:pt idx="345">
                        <c:v>1.45</c:v>
                      </c:pt>
                      <c:pt idx="346">
                        <c:v>1.46</c:v>
                      </c:pt>
                      <c:pt idx="347">
                        <c:v>1.47</c:v>
                      </c:pt>
                      <c:pt idx="348">
                        <c:v>1.48</c:v>
                      </c:pt>
                      <c:pt idx="349">
                        <c:v>1.49</c:v>
                      </c:pt>
                      <c:pt idx="350">
                        <c:v>1.5</c:v>
                      </c:pt>
                      <c:pt idx="351">
                        <c:v>1.51</c:v>
                      </c:pt>
                      <c:pt idx="352">
                        <c:v>1.52</c:v>
                      </c:pt>
                      <c:pt idx="353">
                        <c:v>1.53</c:v>
                      </c:pt>
                      <c:pt idx="354">
                        <c:v>1.54</c:v>
                      </c:pt>
                      <c:pt idx="355">
                        <c:v>1.55</c:v>
                      </c:pt>
                      <c:pt idx="356">
                        <c:v>1.56</c:v>
                      </c:pt>
                      <c:pt idx="357">
                        <c:v>1.57</c:v>
                      </c:pt>
                      <c:pt idx="358">
                        <c:v>1.58</c:v>
                      </c:pt>
                      <c:pt idx="359">
                        <c:v>1.59</c:v>
                      </c:pt>
                      <c:pt idx="360">
                        <c:v>1.6</c:v>
                      </c:pt>
                      <c:pt idx="361">
                        <c:v>1.61</c:v>
                      </c:pt>
                      <c:pt idx="362">
                        <c:v>1.62</c:v>
                      </c:pt>
                      <c:pt idx="363">
                        <c:v>1.63</c:v>
                      </c:pt>
                      <c:pt idx="364">
                        <c:v>1.64</c:v>
                      </c:pt>
                      <c:pt idx="365">
                        <c:v>1.65</c:v>
                      </c:pt>
                      <c:pt idx="366">
                        <c:v>1.66</c:v>
                      </c:pt>
                      <c:pt idx="367">
                        <c:v>1.67</c:v>
                      </c:pt>
                      <c:pt idx="368">
                        <c:v>1.68</c:v>
                      </c:pt>
                      <c:pt idx="369">
                        <c:v>1.69</c:v>
                      </c:pt>
                      <c:pt idx="370">
                        <c:v>1.7</c:v>
                      </c:pt>
                      <c:pt idx="371">
                        <c:v>1.71</c:v>
                      </c:pt>
                      <c:pt idx="372">
                        <c:v>1.72</c:v>
                      </c:pt>
                      <c:pt idx="373">
                        <c:v>1.73</c:v>
                      </c:pt>
                      <c:pt idx="374">
                        <c:v>1.74</c:v>
                      </c:pt>
                      <c:pt idx="375">
                        <c:v>1.75</c:v>
                      </c:pt>
                      <c:pt idx="376">
                        <c:v>1.76</c:v>
                      </c:pt>
                      <c:pt idx="377">
                        <c:v>1.77</c:v>
                      </c:pt>
                      <c:pt idx="378">
                        <c:v>1.78</c:v>
                      </c:pt>
                      <c:pt idx="379">
                        <c:v>1.79</c:v>
                      </c:pt>
                      <c:pt idx="380">
                        <c:v>1.8</c:v>
                      </c:pt>
                      <c:pt idx="381">
                        <c:v>1.81</c:v>
                      </c:pt>
                      <c:pt idx="382">
                        <c:v>1.82</c:v>
                      </c:pt>
                      <c:pt idx="383">
                        <c:v>1.83</c:v>
                      </c:pt>
                      <c:pt idx="384">
                        <c:v>1.84</c:v>
                      </c:pt>
                      <c:pt idx="385">
                        <c:v>1.85</c:v>
                      </c:pt>
                      <c:pt idx="386">
                        <c:v>1.86</c:v>
                      </c:pt>
                      <c:pt idx="387">
                        <c:v>1.87</c:v>
                      </c:pt>
                      <c:pt idx="388">
                        <c:v>1.88</c:v>
                      </c:pt>
                      <c:pt idx="389">
                        <c:v>1.89</c:v>
                      </c:pt>
                      <c:pt idx="390">
                        <c:v>1.9</c:v>
                      </c:pt>
                      <c:pt idx="391">
                        <c:v>1.91</c:v>
                      </c:pt>
                      <c:pt idx="392">
                        <c:v>1.92</c:v>
                      </c:pt>
                      <c:pt idx="393">
                        <c:v>1.93</c:v>
                      </c:pt>
                      <c:pt idx="394">
                        <c:v>1.94</c:v>
                      </c:pt>
                      <c:pt idx="395">
                        <c:v>1.95</c:v>
                      </c:pt>
                      <c:pt idx="396">
                        <c:v>1.96</c:v>
                      </c:pt>
                      <c:pt idx="397">
                        <c:v>1.97</c:v>
                      </c:pt>
                      <c:pt idx="398">
                        <c:v>1.98</c:v>
                      </c:pt>
                      <c:pt idx="399">
                        <c:v>1.99</c:v>
                      </c:pt>
                      <c:pt idx="400">
                        <c:v>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加法モデル!$E$2:$E$402</c15:sqref>
                        </c15:formulaRef>
                      </c:ext>
                    </c:extLst>
                    <c:numCache>
                      <c:formatCode>General</c:formatCode>
                      <c:ptCount val="401"/>
                      <c:pt idx="0">
                        <c:v>0.29816659617701258</c:v>
                      </c:pt>
                      <c:pt idx="1">
                        <c:v>0.26173357620090837</c:v>
                      </c:pt>
                      <c:pt idx="2">
                        <c:v>0.18397857954206673</c:v>
                      </c:pt>
                      <c:pt idx="3">
                        <c:v>7.7177410495598397E-2</c:v>
                      </c:pt>
                      <c:pt idx="4">
                        <c:v>-4.1808374690773725E-2</c:v>
                      </c:pt>
                      <c:pt idx="5">
                        <c:v>-0.15419353679626055</c:v>
                      </c:pt>
                      <c:pt idx="6">
                        <c:v>-0.24223492984999395</c:v>
                      </c:pt>
                      <c:pt idx="7">
                        <c:v>-0.29203275374344656</c:v>
                      </c:pt>
                      <c:pt idx="8">
                        <c:v>-0.29572502703868453</c:v>
                      </c:pt>
                      <c:pt idx="9">
                        <c:v>-0.25272882096811383</c:v>
                      </c:pt>
                      <c:pt idx="10">
                        <c:v>-0.16983229106945411</c:v>
                      </c:pt>
                      <c:pt idx="11">
                        <c:v>-6.0122976684320484E-2</c:v>
                      </c:pt>
                      <c:pt idx="12">
                        <c:v>5.9078433734909327E-2</c:v>
                      </c:pt>
                      <c:pt idx="13">
                        <c:v>0.16895265848433152</c:v>
                      </c:pt>
                      <c:pt idx="14">
                        <c:v>0.25215297339111498</c:v>
                      </c:pt>
                      <c:pt idx="15">
                        <c:v>0.29554387814047423</c:v>
                      </c:pt>
                      <c:pt idx="16">
                        <c:v>0.29227490295195008</c:v>
                      </c:pt>
                      <c:pt idx="17">
                        <c:v>0.24286214712956503</c:v>
                      </c:pt>
                      <c:pt idx="18">
                        <c:v>0.15510679832971305</c:v>
                      </c:pt>
                      <c:pt idx="19">
                        <c:v>4.2863496562779581E-2</c:v>
                      </c:pt>
                      <c:pt idx="20">
                        <c:v>-7.6147008828610876E-2</c:v>
                      </c:pt>
                      <c:pt idx="21">
                        <c:v>-0.18313557584683285</c:v>
                      </c:pt>
                      <c:pt idx="22">
                        <c:v>-0.26121106222493545</c:v>
                      </c:pt>
                      <c:pt idx="23">
                        <c:v>-0.29804706538806636</c:v>
                      </c:pt>
                      <c:pt idx="24">
                        <c:v>-0.28782799038701506</c:v>
                      </c:pt>
                      <c:pt idx="25">
                        <c:v>-0.23216720446736672</c:v>
                      </c:pt>
                      <c:pt idx="26">
                        <c:v>-0.1398523218561516</c:v>
                      </c:pt>
                      <c:pt idx="27">
                        <c:v>-2.5457832697513741E-2</c:v>
                      </c:pt>
                      <c:pt idx="28">
                        <c:v>9.2955888477093185E-2</c:v>
                      </c:pt>
                      <c:pt idx="29">
                        <c:v>0.19669391877577569</c:v>
                      </c:pt>
                      <c:pt idx="30">
                        <c:v>0.26937830420678738</c:v>
                      </c:pt>
                      <c:pt idx="31">
                        <c:v>0.29953377849525337</c:v>
                      </c:pt>
                      <c:pt idx="32">
                        <c:v>0.28239945530976895</c:v>
                      </c:pt>
                      <c:pt idx="33">
                        <c:v>0.2206804675317238</c:v>
                      </c:pt>
                      <c:pt idx="34">
                        <c:v>0.12412088625381193</c:v>
                      </c:pt>
                      <c:pt idx="35">
                        <c:v>7.9653462071900376E-3</c:v>
                      </c:pt>
                      <c:pt idx="36">
                        <c:v>-0.10944774686347274</c:v>
                      </c:pt>
                      <c:pt idx="37">
                        <c:v>-0.20958144724208225</c:v>
                      </c:pt>
                      <c:pt idx="38">
                        <c:v>-0.27662684537923399</c:v>
                      </c:pt>
                      <c:pt idx="39">
                        <c:v>-0.29999894710368197</c:v>
                      </c:pt>
                      <c:pt idx="40">
                        <c:v>-0.27600781145903719</c:v>
                      </c:pt>
                      <c:pt idx="41">
                        <c:v>-0.20844111124636175</c:v>
                      </c:pt>
                      <c:pt idx="42">
                        <c:v>-0.1079661427722428</c:v>
                      </c:pt>
                      <c:pt idx="43">
                        <c:v>9.5543056854428821E-3</c:v>
                      </c:pt>
                      <c:pt idx="44">
                        <c:v>0.12556633935552569</c:v>
                      </c:pt>
                      <c:pt idx="45">
                        <c:v>0.22175420899476683</c:v>
                      </c:pt>
                      <c:pt idx="46">
                        <c:v>0.28293196496655959</c:v>
                      </c:pt>
                      <c:pt idx="47">
                        <c:v>0.29944098477981113</c:v>
                      </c:pt>
                      <c:pt idx="48">
                        <c:v>0.26867485720643103</c:v>
                      </c:pt>
                      <c:pt idx="49">
                        <c:v>0.19549087730446643</c:v>
                      </c:pt>
                      <c:pt idx="50">
                        <c:v>9.1443186330665005E-2</c:v>
                      </c:pt>
                      <c:pt idx="51">
                        <c:v>-2.7041373111439636E-2</c:v>
                      </c:pt>
                      <c:pt idx="52">
                        <c:v>-0.14125669432511601</c:v>
                      </c:pt>
                      <c:pt idx="53">
                        <c:v>-0.23317068945786795</c:v>
                      </c:pt>
                      <c:pt idx="54">
                        <c:v>-0.28827215968368614</c:v>
                      </c:pt>
                      <c:pt idx="55">
                        <c:v>-0.29786179442536115</c:v>
                      </c:pt>
                      <c:pt idx="56">
                        <c:v>-0.26042560121412539</c:v>
                      </c:pt>
                      <c:pt idx="57">
                        <c:v>-0.181873931810802</c:v>
                      </c:pt>
                      <c:pt idx="58">
                        <c:v>-7.4608367619615271E-2</c:v>
                      </c:pt>
                      <c:pt idx="59">
                        <c:v>4.44362173294909E-2</c:v>
                      </c:pt>
                      <c:pt idx="60">
                        <c:v>0.15646530062607356</c:v>
                      </c:pt>
                      <c:pt idx="61">
                        <c:v>0.2437919533137336</c:v>
                      </c:pt>
                      <c:pt idx="62">
                        <c:v>0.29262921707202977</c:v>
                      </c:pt>
                      <c:pt idx="63">
                        <c:v>0.29526676178756661</c:v>
                      </c:pt>
                      <c:pt idx="64">
                        <c:v>0.25128817714410945</c:v>
                      </c:pt>
                      <c:pt idx="65">
                        <c:v>0.16763671465548488</c:v>
                      </c:pt>
                      <c:pt idx="66">
                        <c:v>5.7519100919809753E-2</c:v>
                      </c:pt>
                      <c:pt idx="67">
                        <c:v>-6.1679514120780349E-2</c:v>
                      </c:pt>
                      <c:pt idx="68">
                        <c:v>-0.17114029009121168</c:v>
                      </c:pt>
                      <c:pt idx="69">
                        <c:v>-0.25358177728992692</c:v>
                      </c:pt>
                      <c:pt idx="70">
                        <c:v>-0.29598827761214558</c:v>
                      </c:pt>
                      <c:pt idx="71">
                        <c:v>-0.2916647370913617</c:v>
                      </c:pt>
                      <c:pt idx="72">
                        <c:v>-0.24129374770977421</c:v>
                      </c:pt>
                      <c:pt idx="73">
                        <c:v>-0.15282778113312878</c:v>
                      </c:pt>
                      <c:pt idx="74">
                        <c:v>-4.0233668293697143E-2</c:v>
                      </c:pt>
                      <c:pt idx="75">
                        <c:v>7.8712456111178622E-2</c:v>
                      </c:pt>
                      <c:pt idx="76">
                        <c:v>0.18523161442603853</c:v>
                      </c:pt>
                      <c:pt idx="77">
                        <c:v>0.26250677369683401</c:v>
                      </c:pt>
                      <c:pt idx="78">
                        <c:v>0.29833788540135464</c:v>
                      </c:pt>
                      <c:pt idx="79">
                        <c:v>0.28706800485614631</c:v>
                      </c:pt>
                      <c:pt idx="80">
                        <c:v>0.23047639839710005</c:v>
                      </c:pt>
                      <c:pt idx="81">
                        <c:v>0.13749763634752785</c:v>
                      </c:pt>
                      <c:pt idx="82">
                        <c:v>2.2811020817503944E-2</c:v>
                      </c:pt>
                      <c:pt idx="83">
                        <c:v>-9.5476953330746461E-2</c:v>
                      </c:pt>
                      <c:pt idx="84">
                        <c:v>-0.19869121589587285</c:v>
                      </c:pt>
                      <c:pt idx="85">
                        <c:v>-0.27053650429464277</c:v>
                      </c:pt>
                      <c:pt idx="86">
                        <c:v>-0.29967002722350639</c:v>
                      </c:pt>
                      <c:pt idx="87">
                        <c:v>-0.28149224200006556</c:v>
                      </c:pt>
                      <c:pt idx="88">
                        <c:v>-0.21887302121785748</c:v>
                      </c:pt>
                      <c:pt idx="89">
                        <c:v>-0.1216985629666027</c:v>
                      </c:pt>
                      <c:pt idx="90">
                        <c:v>-5.3105775316240732E-3</c:v>
                      </c:pt>
                      <c:pt idx="91">
                        <c:v>0.11191583132658663</c:v>
                      </c:pt>
                      <c:pt idx="92">
                        <c:v>0.21147319122427441</c:v>
                      </c:pt>
                      <c:pt idx="93">
                        <c:v>0.27764358410139839</c:v>
                      </c:pt>
                      <c:pt idx="94">
                        <c:v>0.29998015987764109</c:v>
                      </c:pt>
                      <c:pt idx="95">
                        <c:v>0.27495646437469012</c:v>
                      </c:pt>
                      <c:pt idx="96">
                        <c:v>0.20652318889130111</c:v>
                      </c:pt>
                      <c:pt idx="97">
                        <c:v>0.10548444291504488</c:v>
                      </c:pt>
                      <c:pt idx="98">
                        <c:v>-1.2207977204959456E-2</c:v>
                      </c:pt>
                      <c:pt idx="99">
                        <c:v>-0.12797302615337194</c:v>
                      </c:pt>
                      <c:pt idx="100">
                        <c:v>-0.22353394814380464</c:v>
                      </c:pt>
                      <c:pt idx="101">
                        <c:v>-0.28380377478807245</c:v>
                      </c:pt>
                      <c:pt idx="102">
                        <c:v>-0.29926722567234154</c:v>
                      </c:pt>
                      <c:pt idx="103">
                        <c:v>-0.2674829619124322</c:v>
                      </c:pt>
                      <c:pt idx="104">
                        <c:v>-0.19346901988346019</c:v>
                      </c:pt>
                      <c:pt idx="105">
                        <c:v>-8.8910573612815597E-2</c:v>
                      </c:pt>
                      <c:pt idx="106">
                        <c:v>2.968489726508898E-2</c:v>
                      </c:pt>
                      <c:pt idx="107">
                        <c:v>0.1435937755765245</c:v>
                      </c:pt>
                      <c:pt idx="108">
                        <c:v>0.23483235406519498</c:v>
                      </c:pt>
                      <c:pt idx="109">
                        <c:v>0.28899606734212824</c:v>
                      </c:pt>
                      <c:pt idx="110">
                        <c:v>0.29753365603293475</c:v>
                      </c:pt>
                      <c:pt idx="111">
                        <c:v>0.25909722260788681</c:v>
                      </c:pt>
                      <c:pt idx="112">
                        <c:v>0.17975503476427956</c:v>
                      </c:pt>
                      <c:pt idx="113">
                        <c:v>7.2033479386132346E-2</c:v>
                      </c:pt>
                      <c:pt idx="114">
                        <c:v>-4.7060578514522999E-2</c:v>
                      </c:pt>
                      <c:pt idx="115">
                        <c:v>-0.15872480583600715</c:v>
                      </c:pt>
                      <c:pt idx="116">
                        <c:v>-0.24532987635793252</c:v>
                      </c:pt>
                      <c:pt idx="117">
                        <c:v>-0.29320275371767801</c:v>
                      </c:pt>
                      <c:pt idx="118">
                        <c:v>-0.29478536320924187</c:v>
                      </c:pt>
                      <c:pt idx="119">
                        <c:v>-0.24982784559233509</c:v>
                      </c:pt>
                      <c:pt idx="120">
                        <c:v>-0.16542800437250718</c:v>
                      </c:pt>
                      <c:pt idx="121">
                        <c:v>-5.4910718694176401E-2</c:v>
                      </c:pt>
                      <c:pt idx="122">
                        <c:v>6.4275762088765259E-2</c:v>
                      </c:pt>
                      <c:pt idx="123">
                        <c:v>0.17331451333371953</c:v>
                      </c:pt>
                      <c:pt idx="124">
                        <c:v>0.25499071376379839</c:v>
                      </c:pt>
                      <c:pt idx="125">
                        <c:v>0.29640948722785854</c:v>
                      </c:pt>
                      <c:pt idx="126">
                        <c:v>0.29103172011215561</c:v>
                      </c:pt>
                      <c:pt idx="127">
                        <c:v>0.23970644359788409</c:v>
                      </c:pt>
                      <c:pt idx="128">
                        <c:v>0.15053679030617131</c:v>
                      </c:pt>
                      <c:pt idx="129">
                        <c:v>3.7600687828928732E-2</c:v>
                      </c:pt>
                      <c:pt idx="130">
                        <c:v>-8.1271736492360705E-2</c:v>
                      </c:pt>
                      <c:pt idx="131">
                        <c:v>-0.18731314062491825</c:v>
                      </c:pt>
                      <c:pt idx="132">
                        <c:v>-0.26378191849521676</c:v>
                      </c:pt>
                      <c:pt idx="133">
                        <c:v>-0.29860533147346774</c:v>
                      </c:pt>
                      <c:pt idx="134">
                        <c:v>-0.2862855283478094</c:v>
                      </c:pt>
                      <c:pt idx="135">
                        <c:v>-0.22876753514388079</c:v>
                      </c:pt>
                      <c:pt idx="136">
                        <c:v>-0.13513217828261678</c:v>
                      </c:pt>
                      <c:pt idx="137">
                        <c:v>-2.0162421757642476E-2</c:v>
                      </c:pt>
                      <c:pt idx="138">
                        <c:v>9.799053783141666E-2</c:v>
                      </c:pt>
                      <c:pt idx="139">
                        <c:v>0.20067294611340727</c:v>
                      </c:pt>
                      <c:pt idx="140">
                        <c:v>0.27167350860198713</c:v>
                      </c:pt>
                      <c:pt idx="141">
                        <c:v>0.29978279764098831</c:v>
                      </c:pt>
                      <c:pt idx="142">
                        <c:v>0.28056297455836166</c:v>
                      </c:pt>
                      <c:pt idx="143">
                        <c:v>0.21704842681327274</c:v>
                      </c:pt>
                      <c:pt idx="144">
                        <c:v>0.11926670493643084</c:v>
                      </c:pt>
                      <c:pt idx="145">
                        <c:v>2.6553927871211629E-3</c:v>
                      </c:pt>
                      <c:pt idx="146">
                        <c:v>-0.11437514749648203</c:v>
                      </c:pt>
                      <c:pt idx="147">
                        <c:v>-0.21334836687179398</c:v>
                      </c:pt>
                      <c:pt idx="148">
                        <c:v>-0.27863857022317212</c:v>
                      </c:pt>
                      <c:pt idx="149">
                        <c:v>-0.29993787004280076</c:v>
                      </c:pt>
                      <c:pt idx="150">
                        <c:v>-0.27388357521828827</c:v>
                      </c:pt>
                      <c:pt idx="151">
                        <c:v>-0.20458908602044068</c:v>
                      </c:pt>
                      <c:pt idx="152">
                        <c:v>-0.10299447864596861</c:v>
                      </c:pt>
                      <c:pt idx="153">
                        <c:v>1.4860692263511289E-2</c:v>
                      </c:pt>
                      <c:pt idx="154">
                        <c:v>0.13036968662156806</c:v>
                      </c:pt>
                      <c:pt idx="155">
                        <c:v>0.22529617403150282</c:v>
                      </c:pt>
                      <c:pt idx="156">
                        <c:v>0.28465334937543718</c:v>
                      </c:pt>
                      <c:pt idx="157">
                        <c:v>0.29907001981247883</c:v>
                      </c:pt>
                      <c:pt idx="158">
                        <c:v>0.26627011007445134</c:v>
                      </c:pt>
                      <c:pt idx="159">
                        <c:v>0.19143200470438423</c:v>
                      </c:pt>
                      <c:pt idx="160">
                        <c:v>8.6370994999519585E-2</c:v>
                      </c:pt>
                      <c:pt idx="161">
                        <c:v>-3.232609568983269E-2</c:v>
                      </c:pt>
                      <c:pt idx="162">
                        <c:v>-0.1459196066561399</c:v>
                      </c:pt>
                      <c:pt idx="163">
                        <c:v>-0.23647562021259488</c:v>
                      </c:pt>
                      <c:pt idx="164">
                        <c:v>-0.28969733296478339</c:v>
                      </c:pt>
                      <c:pt idx="165">
                        <c:v>-0.29718220670846107</c:v>
                      </c:pt>
                      <c:pt idx="166">
                        <c:v>-0.257748544456949</c:v>
                      </c:pt>
                      <c:pt idx="167">
                        <c:v>-0.17762205441216733</c:v>
                      </c:pt>
                      <c:pt idx="168">
                        <c:v>-6.9452947530461676E-2</c:v>
                      </c:pt>
                      <c:pt idx="169">
                        <c:v>4.9681252634492822E-2</c:v>
                      </c:pt>
                      <c:pt idx="170">
                        <c:v>0.16097187540013047</c:v>
                      </c:pt>
                      <c:pt idx="171">
                        <c:v>0.24684857849061265</c:v>
                      </c:pt>
                      <c:pt idx="172">
                        <c:v>0.29375331874539506</c:v>
                      </c:pt>
                      <c:pt idx="173">
                        <c:v>0.29428086901994743</c:v>
                      </c:pt>
                      <c:pt idx="174">
                        <c:v>0.2483479407256961</c:v>
                      </c:pt>
                      <c:pt idx="175">
                        <c:v>0.16320633326681092</c:v>
                      </c:pt>
                      <c:pt idx="176">
                        <c:v>5.229803436689389E-2</c:v>
                      </c:pt>
                      <c:pt idx="177">
                        <c:v>-6.6866974230073775E-2</c:v>
                      </c:pt>
                      <c:pt idx="178">
                        <c:v>-0.17547515786752851</c:v>
                      </c:pt>
                      <c:pt idx="179">
                        <c:v>-0.25637967242648413</c:v>
                      </c:pt>
                      <c:pt idx="180">
                        <c:v>-0.29680747398701451</c:v>
                      </c:pt>
                      <c:pt idx="181">
                        <c:v>-0.29037590160944587</c:v>
                      </c:pt>
                      <c:pt idx="182">
                        <c:v>-0.23810035915474578</c:v>
                      </c:pt>
                      <c:pt idx="183">
                        <c:v>-0.14823400534158268</c:v>
                      </c:pt>
                      <c:pt idx="184">
                        <c:v>-3.496476145514809E-2</c:v>
                      </c:pt>
                      <c:pt idx="185">
                        <c:v>8.3824649459677755E-2</c:v>
                      </c:pt>
                      <c:pt idx="186">
                        <c:v>0.18937999136169625</c:v>
                      </c:pt>
                      <c:pt idx="187">
                        <c:v>0.26503639671604595</c:v>
                      </c:pt>
                      <c:pt idx="188">
                        <c:v>0.29884938265075217</c:v>
                      </c:pt>
                      <c:pt idx="189">
                        <c:v>0.28548062216685477</c:v>
                      </c:pt>
                      <c:pt idx="190">
                        <c:v>0.22704074859237844</c:v>
                      </c:pt>
                      <c:pt idx="191">
                        <c:v>0.13275613298845668</c:v>
                      </c:pt>
                      <c:pt idx="192">
                        <c:v>1.7512243028275087E-2</c:v>
                      </c:pt>
                      <c:pt idx="193">
                        <c:v>-0.10049644504677026</c:v>
                      </c:pt>
                      <c:pt idx="194">
                        <c:v>-0.20263895416534441</c:v>
                      </c:pt>
                      <c:pt idx="195">
                        <c:v>-0.2727892280477045</c:v>
                      </c:pt>
                      <c:pt idx="196">
                        <c:v>-0.29987208091245154</c:v>
                      </c:pt>
                      <c:pt idx="197">
                        <c:v>-0.27961172579016785</c:v>
                      </c:pt>
                      <c:pt idx="198">
                        <c:v>-0.21520682726985682</c:v>
                      </c:pt>
                      <c:pt idx="199">
                        <c:v>-0.11682550269259515</c:v>
                      </c:pt>
                      <c:pt idx="200">
                        <c:v>0</c:v>
                      </c:pt>
                      <c:pt idx="201">
                        <c:v>0.11682550269259281</c:v>
                      </c:pt>
                      <c:pt idx="202">
                        <c:v>0.21520682726985682</c:v>
                      </c:pt>
                      <c:pt idx="203">
                        <c:v>0.27961172579016702</c:v>
                      </c:pt>
                      <c:pt idx="204">
                        <c:v>0.29987208091245154</c:v>
                      </c:pt>
                      <c:pt idx="205">
                        <c:v>0.2727892280477055</c:v>
                      </c:pt>
                      <c:pt idx="206">
                        <c:v>0.20263895416534441</c:v>
                      </c:pt>
                      <c:pt idx="207">
                        <c:v>0.10049644504677378</c:v>
                      </c:pt>
                      <c:pt idx="208">
                        <c:v>-1.7512243028275087E-2</c:v>
                      </c:pt>
                      <c:pt idx="209">
                        <c:v>-0.13275613298845465</c:v>
                      </c:pt>
                      <c:pt idx="210">
                        <c:v>-0.22704074859237844</c:v>
                      </c:pt>
                      <c:pt idx="211">
                        <c:v>-0.28548062216685477</c:v>
                      </c:pt>
                      <c:pt idx="212">
                        <c:v>-0.29884938265075217</c:v>
                      </c:pt>
                      <c:pt idx="213">
                        <c:v>-0.26503639671604595</c:v>
                      </c:pt>
                      <c:pt idx="214">
                        <c:v>-0.18937999136169625</c:v>
                      </c:pt>
                      <c:pt idx="215">
                        <c:v>-8.3824649459677755E-2</c:v>
                      </c:pt>
                      <c:pt idx="216">
                        <c:v>3.496476145514809E-2</c:v>
                      </c:pt>
                      <c:pt idx="217">
                        <c:v>0.14823400534158268</c:v>
                      </c:pt>
                      <c:pt idx="218">
                        <c:v>0.23810035915474578</c:v>
                      </c:pt>
                      <c:pt idx="219">
                        <c:v>0.29037590160944587</c:v>
                      </c:pt>
                      <c:pt idx="220">
                        <c:v>0.29680747398701451</c:v>
                      </c:pt>
                      <c:pt idx="221">
                        <c:v>0.25637967242648413</c:v>
                      </c:pt>
                      <c:pt idx="222">
                        <c:v>0.17547515786752851</c:v>
                      </c:pt>
                      <c:pt idx="223">
                        <c:v>6.6866974230073775E-2</c:v>
                      </c:pt>
                      <c:pt idx="224">
                        <c:v>-5.229803436689389E-2</c:v>
                      </c:pt>
                      <c:pt idx="225">
                        <c:v>-0.16320633326681092</c:v>
                      </c:pt>
                      <c:pt idx="226">
                        <c:v>-0.2483479407256961</c:v>
                      </c:pt>
                      <c:pt idx="227">
                        <c:v>-0.29428086901994743</c:v>
                      </c:pt>
                      <c:pt idx="228">
                        <c:v>-0.29375331874539506</c:v>
                      </c:pt>
                      <c:pt idx="229">
                        <c:v>-0.24684857849061265</c:v>
                      </c:pt>
                      <c:pt idx="230">
                        <c:v>-0.16097187540013047</c:v>
                      </c:pt>
                      <c:pt idx="231">
                        <c:v>-4.9681252634492822E-2</c:v>
                      </c:pt>
                      <c:pt idx="232">
                        <c:v>6.9452947530461676E-2</c:v>
                      </c:pt>
                      <c:pt idx="233">
                        <c:v>0.17762205441216733</c:v>
                      </c:pt>
                      <c:pt idx="234">
                        <c:v>0.257748544456949</c:v>
                      </c:pt>
                      <c:pt idx="235">
                        <c:v>0.29718220670846107</c:v>
                      </c:pt>
                      <c:pt idx="236">
                        <c:v>0.28969733296478339</c:v>
                      </c:pt>
                      <c:pt idx="237">
                        <c:v>0.23647562021259488</c:v>
                      </c:pt>
                      <c:pt idx="238">
                        <c:v>0.1459196066561399</c:v>
                      </c:pt>
                      <c:pt idx="239">
                        <c:v>3.232609568983269E-2</c:v>
                      </c:pt>
                      <c:pt idx="240">
                        <c:v>-8.6370994999519585E-2</c:v>
                      </c:pt>
                      <c:pt idx="241">
                        <c:v>-0.19143200470438423</c:v>
                      </c:pt>
                      <c:pt idx="242">
                        <c:v>-0.26627011007445134</c:v>
                      </c:pt>
                      <c:pt idx="243">
                        <c:v>-0.29907001981247883</c:v>
                      </c:pt>
                      <c:pt idx="244">
                        <c:v>-0.28465334937543718</c:v>
                      </c:pt>
                      <c:pt idx="245">
                        <c:v>-0.22529617403150282</c:v>
                      </c:pt>
                      <c:pt idx="246">
                        <c:v>-0.13036968662156806</c:v>
                      </c:pt>
                      <c:pt idx="247">
                        <c:v>-1.4860692263511289E-2</c:v>
                      </c:pt>
                      <c:pt idx="248">
                        <c:v>0.10299447864596861</c:v>
                      </c:pt>
                      <c:pt idx="249">
                        <c:v>0.20458908602044068</c:v>
                      </c:pt>
                      <c:pt idx="250">
                        <c:v>0.27388357521828827</c:v>
                      </c:pt>
                      <c:pt idx="251">
                        <c:v>0.29993787004280076</c:v>
                      </c:pt>
                      <c:pt idx="252">
                        <c:v>0.27863857022317212</c:v>
                      </c:pt>
                      <c:pt idx="253">
                        <c:v>0.21334836687179398</c:v>
                      </c:pt>
                      <c:pt idx="254">
                        <c:v>0.11437514749648203</c:v>
                      </c:pt>
                      <c:pt idx="255">
                        <c:v>-2.6553927871211629E-3</c:v>
                      </c:pt>
                      <c:pt idx="256">
                        <c:v>-0.11926670493643084</c:v>
                      </c:pt>
                      <c:pt idx="257">
                        <c:v>-0.21704842681327274</c:v>
                      </c:pt>
                      <c:pt idx="258">
                        <c:v>-0.28056297455836166</c:v>
                      </c:pt>
                      <c:pt idx="259">
                        <c:v>-0.29978279764098831</c:v>
                      </c:pt>
                      <c:pt idx="260">
                        <c:v>-0.27167350860198713</c:v>
                      </c:pt>
                      <c:pt idx="261">
                        <c:v>-0.20067294611340727</c:v>
                      </c:pt>
                      <c:pt idx="262">
                        <c:v>-9.799053783141666E-2</c:v>
                      </c:pt>
                      <c:pt idx="263">
                        <c:v>2.0162421757642476E-2</c:v>
                      </c:pt>
                      <c:pt idx="264">
                        <c:v>0.13513217828261678</c:v>
                      </c:pt>
                      <c:pt idx="265">
                        <c:v>0.22876753514388079</c:v>
                      </c:pt>
                      <c:pt idx="266">
                        <c:v>0.2862855283478094</c:v>
                      </c:pt>
                      <c:pt idx="267">
                        <c:v>0.29860533147346774</c:v>
                      </c:pt>
                      <c:pt idx="268">
                        <c:v>0.26378191849521676</c:v>
                      </c:pt>
                      <c:pt idx="269">
                        <c:v>0.18731314062491825</c:v>
                      </c:pt>
                      <c:pt idx="270">
                        <c:v>8.1271736492360705E-2</c:v>
                      </c:pt>
                      <c:pt idx="271">
                        <c:v>-3.7600687828928732E-2</c:v>
                      </c:pt>
                      <c:pt idx="272">
                        <c:v>-0.15053679030617131</c:v>
                      </c:pt>
                      <c:pt idx="273">
                        <c:v>-0.23970644359788409</c:v>
                      </c:pt>
                      <c:pt idx="274">
                        <c:v>-0.29103172011215561</c:v>
                      </c:pt>
                      <c:pt idx="275">
                        <c:v>-0.29640948722785854</c:v>
                      </c:pt>
                      <c:pt idx="276">
                        <c:v>-0.25499071376379839</c:v>
                      </c:pt>
                      <c:pt idx="277">
                        <c:v>-0.17331451333371953</c:v>
                      </c:pt>
                      <c:pt idx="278">
                        <c:v>-6.4275762088765259E-2</c:v>
                      </c:pt>
                      <c:pt idx="279">
                        <c:v>5.4910718694176401E-2</c:v>
                      </c:pt>
                      <c:pt idx="280">
                        <c:v>0.16542800437250718</c:v>
                      </c:pt>
                      <c:pt idx="281">
                        <c:v>0.24982784559233509</c:v>
                      </c:pt>
                      <c:pt idx="282">
                        <c:v>0.29478536320924187</c:v>
                      </c:pt>
                      <c:pt idx="283">
                        <c:v>0.29320275371767801</c:v>
                      </c:pt>
                      <c:pt idx="284">
                        <c:v>0.24532987635793252</c:v>
                      </c:pt>
                      <c:pt idx="285">
                        <c:v>0.15872480583600715</c:v>
                      </c:pt>
                      <c:pt idx="286">
                        <c:v>4.7060578514522999E-2</c:v>
                      </c:pt>
                      <c:pt idx="287">
                        <c:v>-7.2033479386132346E-2</c:v>
                      </c:pt>
                      <c:pt idx="288">
                        <c:v>-0.17975503476427956</c:v>
                      </c:pt>
                      <c:pt idx="289">
                        <c:v>-0.25909722260788681</c:v>
                      </c:pt>
                      <c:pt idx="290">
                        <c:v>-0.29753365603293475</c:v>
                      </c:pt>
                      <c:pt idx="291">
                        <c:v>-0.28899606734212824</c:v>
                      </c:pt>
                      <c:pt idx="292">
                        <c:v>-0.23483235406519498</c:v>
                      </c:pt>
                      <c:pt idx="293">
                        <c:v>-0.1435937755765245</c:v>
                      </c:pt>
                      <c:pt idx="294">
                        <c:v>-2.968489726508898E-2</c:v>
                      </c:pt>
                      <c:pt idx="295">
                        <c:v>8.8910573612815597E-2</c:v>
                      </c:pt>
                      <c:pt idx="296">
                        <c:v>0.19346901988346019</c:v>
                      </c:pt>
                      <c:pt idx="297">
                        <c:v>0.2674829619124322</c:v>
                      </c:pt>
                      <c:pt idx="298">
                        <c:v>0.29926722567234154</c:v>
                      </c:pt>
                      <c:pt idx="299">
                        <c:v>0.28380377478807245</c:v>
                      </c:pt>
                      <c:pt idx="300">
                        <c:v>0.22353394814380464</c:v>
                      </c:pt>
                      <c:pt idx="301">
                        <c:v>0.12797302615337194</c:v>
                      </c:pt>
                      <c:pt idx="302">
                        <c:v>1.2207977204959456E-2</c:v>
                      </c:pt>
                      <c:pt idx="303">
                        <c:v>-0.10548444291504488</c:v>
                      </c:pt>
                      <c:pt idx="304">
                        <c:v>-0.20652318889130111</c:v>
                      </c:pt>
                      <c:pt idx="305">
                        <c:v>-0.27495646437469012</c:v>
                      </c:pt>
                      <c:pt idx="306">
                        <c:v>-0.29998015987764109</c:v>
                      </c:pt>
                      <c:pt idx="307">
                        <c:v>-0.27764358410139839</c:v>
                      </c:pt>
                      <c:pt idx="308">
                        <c:v>-0.21147319122427441</c:v>
                      </c:pt>
                      <c:pt idx="309">
                        <c:v>-0.11191583132658663</c:v>
                      </c:pt>
                      <c:pt idx="310">
                        <c:v>5.3105775316240732E-3</c:v>
                      </c:pt>
                      <c:pt idx="311">
                        <c:v>0.1216985629666027</c:v>
                      </c:pt>
                      <c:pt idx="312">
                        <c:v>0.21887302121785748</c:v>
                      </c:pt>
                      <c:pt idx="313">
                        <c:v>0.28149224200006556</c:v>
                      </c:pt>
                      <c:pt idx="314">
                        <c:v>0.29967002722350639</c:v>
                      </c:pt>
                      <c:pt idx="315">
                        <c:v>0.27053650429464277</c:v>
                      </c:pt>
                      <c:pt idx="316">
                        <c:v>0.19869121589587285</c:v>
                      </c:pt>
                      <c:pt idx="317">
                        <c:v>9.5476953330746461E-2</c:v>
                      </c:pt>
                      <c:pt idx="318">
                        <c:v>-2.2811020817503944E-2</c:v>
                      </c:pt>
                      <c:pt idx="319">
                        <c:v>-0.13749763634752785</c:v>
                      </c:pt>
                      <c:pt idx="320">
                        <c:v>-0.23047639839710005</c:v>
                      </c:pt>
                      <c:pt idx="321">
                        <c:v>-0.28706800485614631</c:v>
                      </c:pt>
                      <c:pt idx="322">
                        <c:v>-0.29833788540135464</c:v>
                      </c:pt>
                      <c:pt idx="323">
                        <c:v>-0.26250677369683401</c:v>
                      </c:pt>
                      <c:pt idx="324">
                        <c:v>-0.18523161442603853</c:v>
                      </c:pt>
                      <c:pt idx="325">
                        <c:v>-7.8712456111178622E-2</c:v>
                      </c:pt>
                      <c:pt idx="326">
                        <c:v>4.0233668293697143E-2</c:v>
                      </c:pt>
                      <c:pt idx="327">
                        <c:v>0.15282778113312878</c:v>
                      </c:pt>
                      <c:pt idx="328">
                        <c:v>0.24129374770977421</c:v>
                      </c:pt>
                      <c:pt idx="329">
                        <c:v>0.2916647370913617</c:v>
                      </c:pt>
                      <c:pt idx="330">
                        <c:v>0.29598827761214558</c:v>
                      </c:pt>
                      <c:pt idx="331">
                        <c:v>0.25358177728992692</c:v>
                      </c:pt>
                      <c:pt idx="332">
                        <c:v>0.17114029009121168</c:v>
                      </c:pt>
                      <c:pt idx="333">
                        <c:v>6.1679514120780349E-2</c:v>
                      </c:pt>
                      <c:pt idx="334">
                        <c:v>-5.7519100919809753E-2</c:v>
                      </c:pt>
                      <c:pt idx="335">
                        <c:v>-0.16763671465548488</c:v>
                      </c:pt>
                      <c:pt idx="336">
                        <c:v>-0.25128817714410945</c:v>
                      </c:pt>
                      <c:pt idx="337">
                        <c:v>-0.29526676178756661</c:v>
                      </c:pt>
                      <c:pt idx="338">
                        <c:v>-0.29262921707202977</c:v>
                      </c:pt>
                      <c:pt idx="339">
                        <c:v>-0.2437919533137336</c:v>
                      </c:pt>
                      <c:pt idx="340">
                        <c:v>-0.15646530062607356</c:v>
                      </c:pt>
                      <c:pt idx="341">
                        <c:v>-4.44362173294909E-2</c:v>
                      </c:pt>
                      <c:pt idx="342">
                        <c:v>7.4608367619615271E-2</c:v>
                      </c:pt>
                      <c:pt idx="343">
                        <c:v>0.181873931810802</c:v>
                      </c:pt>
                      <c:pt idx="344">
                        <c:v>0.26042560121412539</c:v>
                      </c:pt>
                      <c:pt idx="345">
                        <c:v>0.29786179442536115</c:v>
                      </c:pt>
                      <c:pt idx="346">
                        <c:v>0.28827215968368614</c:v>
                      </c:pt>
                      <c:pt idx="347">
                        <c:v>0.23317068945786795</c:v>
                      </c:pt>
                      <c:pt idx="348">
                        <c:v>0.14125669432511601</c:v>
                      </c:pt>
                      <c:pt idx="349">
                        <c:v>2.7041373111439636E-2</c:v>
                      </c:pt>
                      <c:pt idx="350">
                        <c:v>-9.1443186330665005E-2</c:v>
                      </c:pt>
                      <c:pt idx="351">
                        <c:v>-0.19549087730446643</c:v>
                      </c:pt>
                      <c:pt idx="352">
                        <c:v>-0.26867485720643103</c:v>
                      </c:pt>
                      <c:pt idx="353">
                        <c:v>-0.29944098477981113</c:v>
                      </c:pt>
                      <c:pt idx="354">
                        <c:v>-0.28293196496655959</c:v>
                      </c:pt>
                      <c:pt idx="355">
                        <c:v>-0.22175420899476683</c:v>
                      </c:pt>
                      <c:pt idx="356">
                        <c:v>-0.12556633935552569</c:v>
                      </c:pt>
                      <c:pt idx="357">
                        <c:v>-9.5543056854428821E-3</c:v>
                      </c:pt>
                      <c:pt idx="358">
                        <c:v>0.1079661427722428</c:v>
                      </c:pt>
                      <c:pt idx="359">
                        <c:v>0.20844111124636175</c:v>
                      </c:pt>
                      <c:pt idx="360">
                        <c:v>0.27600781145903719</c:v>
                      </c:pt>
                      <c:pt idx="361">
                        <c:v>0.29999894710368197</c:v>
                      </c:pt>
                      <c:pt idx="362">
                        <c:v>0.27662684537923399</c:v>
                      </c:pt>
                      <c:pt idx="363">
                        <c:v>0.20958144724208225</c:v>
                      </c:pt>
                      <c:pt idx="364">
                        <c:v>0.10944774686347274</c:v>
                      </c:pt>
                      <c:pt idx="365">
                        <c:v>-7.9653462071900376E-3</c:v>
                      </c:pt>
                      <c:pt idx="366">
                        <c:v>-0.12412088625381193</c:v>
                      </c:pt>
                      <c:pt idx="367">
                        <c:v>-0.2206804675317238</c:v>
                      </c:pt>
                      <c:pt idx="368">
                        <c:v>-0.28239945530976895</c:v>
                      </c:pt>
                      <c:pt idx="369">
                        <c:v>-0.29953377849525337</c:v>
                      </c:pt>
                      <c:pt idx="370">
                        <c:v>-0.26937830420678738</c:v>
                      </c:pt>
                      <c:pt idx="371">
                        <c:v>-0.19669391877577569</c:v>
                      </c:pt>
                      <c:pt idx="372">
                        <c:v>-9.2955888477093185E-2</c:v>
                      </c:pt>
                      <c:pt idx="373">
                        <c:v>2.5457832697513741E-2</c:v>
                      </c:pt>
                      <c:pt idx="374">
                        <c:v>0.1398523218561516</c:v>
                      </c:pt>
                      <c:pt idx="375">
                        <c:v>0.23216720446736672</c:v>
                      </c:pt>
                      <c:pt idx="376">
                        <c:v>0.28782799038701506</c:v>
                      </c:pt>
                      <c:pt idx="377">
                        <c:v>0.29804706538806636</c:v>
                      </c:pt>
                      <c:pt idx="378">
                        <c:v>0.26121106222493545</c:v>
                      </c:pt>
                      <c:pt idx="379">
                        <c:v>0.18313557584683285</c:v>
                      </c:pt>
                      <c:pt idx="380">
                        <c:v>7.6147008828610876E-2</c:v>
                      </c:pt>
                      <c:pt idx="381">
                        <c:v>-4.2863496562779581E-2</c:v>
                      </c:pt>
                      <c:pt idx="382">
                        <c:v>-0.15510679832971305</c:v>
                      </c:pt>
                      <c:pt idx="383">
                        <c:v>-0.24286214712956503</c:v>
                      </c:pt>
                      <c:pt idx="384">
                        <c:v>-0.29227490295195008</c:v>
                      </c:pt>
                      <c:pt idx="385">
                        <c:v>-0.29554387814047423</c:v>
                      </c:pt>
                      <c:pt idx="386">
                        <c:v>-0.25215297339111498</c:v>
                      </c:pt>
                      <c:pt idx="387">
                        <c:v>-0.16895265848433152</c:v>
                      </c:pt>
                      <c:pt idx="388">
                        <c:v>-5.9078433734909327E-2</c:v>
                      </c:pt>
                      <c:pt idx="389">
                        <c:v>6.0122976684320484E-2</c:v>
                      </c:pt>
                      <c:pt idx="390">
                        <c:v>0.16983229106945411</c:v>
                      </c:pt>
                      <c:pt idx="391">
                        <c:v>0.25272882096811383</c:v>
                      </c:pt>
                      <c:pt idx="392">
                        <c:v>0.29572502703868453</c:v>
                      </c:pt>
                      <c:pt idx="393">
                        <c:v>0.29203275374344656</c:v>
                      </c:pt>
                      <c:pt idx="394">
                        <c:v>0.24223492984999395</c:v>
                      </c:pt>
                      <c:pt idx="395">
                        <c:v>0.15419353679626055</c:v>
                      </c:pt>
                      <c:pt idx="396">
                        <c:v>4.1808374690773725E-2</c:v>
                      </c:pt>
                      <c:pt idx="397">
                        <c:v>-7.7177410495598397E-2</c:v>
                      </c:pt>
                      <c:pt idx="398">
                        <c:v>-0.18397857954206673</c:v>
                      </c:pt>
                      <c:pt idx="399">
                        <c:v>-0.26173357620090837</c:v>
                      </c:pt>
                      <c:pt idx="400">
                        <c:v>-0.29816659617701258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E80E-44BC-B70D-CEFBDD317A36}"/>
                  </c:ext>
                </c:extLst>
              </c15:ser>
            </c15:filteredScatterSeries>
          </c:ext>
        </c:extLst>
      </c:scatterChart>
      <c:valAx>
        <c:axId val="676570095"/>
        <c:scaling>
          <c:orientation val="minMax"/>
          <c:max val="2"/>
          <c:min val="-2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496959055"/>
        <c:crosses val="autoZero"/>
        <c:crossBetween val="midCat"/>
      </c:valAx>
      <c:valAx>
        <c:axId val="496959055"/>
        <c:scaling>
          <c:orientation val="minMax"/>
          <c:max val="6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_);[Red]\(#,##0.0\)" sourceLinked="0"/>
        <c:majorTickMark val="out"/>
        <c:minorTickMark val="none"/>
        <c:tickLblPos val="low"/>
        <c:crossAx val="676570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438481910673842E-2"/>
          <c:y val="0.14444442146752223"/>
          <c:w val="0.93912303617865234"/>
          <c:h val="0.4418727524261906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加法モデル!$E$1</c:f>
              <c:strCache>
                <c:ptCount val="1"/>
                <c:pt idx="0">
                  <c:v>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加法モデル!$C$2:$C$402</c:f>
              <c:numCache>
                <c:formatCode>General</c:formatCode>
                <c:ptCount val="401"/>
                <c:pt idx="0">
                  <c:v>-2</c:v>
                </c:pt>
                <c:pt idx="1">
                  <c:v>-1.99</c:v>
                </c:pt>
                <c:pt idx="2">
                  <c:v>-1.98</c:v>
                </c:pt>
                <c:pt idx="3">
                  <c:v>-1.97</c:v>
                </c:pt>
                <c:pt idx="4">
                  <c:v>-1.96</c:v>
                </c:pt>
                <c:pt idx="5">
                  <c:v>-1.95</c:v>
                </c:pt>
                <c:pt idx="6">
                  <c:v>-1.94</c:v>
                </c:pt>
                <c:pt idx="7">
                  <c:v>-1.93</c:v>
                </c:pt>
                <c:pt idx="8">
                  <c:v>-1.92</c:v>
                </c:pt>
                <c:pt idx="9">
                  <c:v>-1.91</c:v>
                </c:pt>
                <c:pt idx="10">
                  <c:v>-1.9</c:v>
                </c:pt>
                <c:pt idx="11">
                  <c:v>-1.89</c:v>
                </c:pt>
                <c:pt idx="12">
                  <c:v>-1.88</c:v>
                </c:pt>
                <c:pt idx="13">
                  <c:v>-1.87</c:v>
                </c:pt>
                <c:pt idx="14">
                  <c:v>-1.86</c:v>
                </c:pt>
                <c:pt idx="15">
                  <c:v>-1.85</c:v>
                </c:pt>
                <c:pt idx="16">
                  <c:v>-1.84</c:v>
                </c:pt>
                <c:pt idx="17">
                  <c:v>-1.83</c:v>
                </c:pt>
                <c:pt idx="18">
                  <c:v>-1.82</c:v>
                </c:pt>
                <c:pt idx="19">
                  <c:v>-1.81</c:v>
                </c:pt>
                <c:pt idx="20">
                  <c:v>-1.8</c:v>
                </c:pt>
                <c:pt idx="21">
                  <c:v>-1.79</c:v>
                </c:pt>
                <c:pt idx="22">
                  <c:v>-1.78</c:v>
                </c:pt>
                <c:pt idx="23">
                  <c:v>-1.77</c:v>
                </c:pt>
                <c:pt idx="24">
                  <c:v>-1.76</c:v>
                </c:pt>
                <c:pt idx="25">
                  <c:v>-1.75</c:v>
                </c:pt>
                <c:pt idx="26">
                  <c:v>-1.74</c:v>
                </c:pt>
                <c:pt idx="27">
                  <c:v>-1.73</c:v>
                </c:pt>
                <c:pt idx="28">
                  <c:v>-1.72</c:v>
                </c:pt>
                <c:pt idx="29">
                  <c:v>-1.71</c:v>
                </c:pt>
                <c:pt idx="30">
                  <c:v>-1.7</c:v>
                </c:pt>
                <c:pt idx="31">
                  <c:v>-1.69</c:v>
                </c:pt>
                <c:pt idx="32">
                  <c:v>-1.68</c:v>
                </c:pt>
                <c:pt idx="33">
                  <c:v>-1.67</c:v>
                </c:pt>
                <c:pt idx="34">
                  <c:v>-1.66</c:v>
                </c:pt>
                <c:pt idx="35">
                  <c:v>-1.65</c:v>
                </c:pt>
                <c:pt idx="36">
                  <c:v>-1.64</c:v>
                </c:pt>
                <c:pt idx="37">
                  <c:v>-1.63</c:v>
                </c:pt>
                <c:pt idx="38">
                  <c:v>-1.62</c:v>
                </c:pt>
                <c:pt idx="39">
                  <c:v>-1.61</c:v>
                </c:pt>
                <c:pt idx="40">
                  <c:v>-1.6</c:v>
                </c:pt>
                <c:pt idx="41">
                  <c:v>-1.59</c:v>
                </c:pt>
                <c:pt idx="42">
                  <c:v>-1.58</c:v>
                </c:pt>
                <c:pt idx="43">
                  <c:v>-1.57</c:v>
                </c:pt>
                <c:pt idx="44">
                  <c:v>-1.56</c:v>
                </c:pt>
                <c:pt idx="45">
                  <c:v>-1.55</c:v>
                </c:pt>
                <c:pt idx="46">
                  <c:v>-1.54</c:v>
                </c:pt>
                <c:pt idx="47">
                  <c:v>-1.53</c:v>
                </c:pt>
                <c:pt idx="48">
                  <c:v>-1.52</c:v>
                </c:pt>
                <c:pt idx="49">
                  <c:v>-1.51</c:v>
                </c:pt>
                <c:pt idx="50">
                  <c:v>-1.5</c:v>
                </c:pt>
                <c:pt idx="51">
                  <c:v>-1.49</c:v>
                </c:pt>
                <c:pt idx="52">
                  <c:v>-1.48</c:v>
                </c:pt>
                <c:pt idx="53">
                  <c:v>-1.47</c:v>
                </c:pt>
                <c:pt idx="54">
                  <c:v>-1.46</c:v>
                </c:pt>
                <c:pt idx="55">
                  <c:v>-1.45</c:v>
                </c:pt>
                <c:pt idx="56">
                  <c:v>-1.44</c:v>
                </c:pt>
                <c:pt idx="57">
                  <c:v>-1.43</c:v>
                </c:pt>
                <c:pt idx="58">
                  <c:v>-1.42</c:v>
                </c:pt>
                <c:pt idx="59">
                  <c:v>-1.41</c:v>
                </c:pt>
                <c:pt idx="60">
                  <c:v>-1.4</c:v>
                </c:pt>
                <c:pt idx="61">
                  <c:v>-1.39</c:v>
                </c:pt>
                <c:pt idx="62">
                  <c:v>-1.38</c:v>
                </c:pt>
                <c:pt idx="63">
                  <c:v>-1.37</c:v>
                </c:pt>
                <c:pt idx="64">
                  <c:v>-1.36</c:v>
                </c:pt>
                <c:pt idx="65">
                  <c:v>-1.35</c:v>
                </c:pt>
                <c:pt idx="66">
                  <c:v>-1.34</c:v>
                </c:pt>
                <c:pt idx="67">
                  <c:v>-1.33</c:v>
                </c:pt>
                <c:pt idx="68">
                  <c:v>-1.32</c:v>
                </c:pt>
                <c:pt idx="69">
                  <c:v>-1.31</c:v>
                </c:pt>
                <c:pt idx="70">
                  <c:v>-1.3</c:v>
                </c:pt>
                <c:pt idx="71">
                  <c:v>-1.29</c:v>
                </c:pt>
                <c:pt idx="72">
                  <c:v>-1.28</c:v>
                </c:pt>
                <c:pt idx="73">
                  <c:v>-1.27</c:v>
                </c:pt>
                <c:pt idx="74">
                  <c:v>-1.26</c:v>
                </c:pt>
                <c:pt idx="75">
                  <c:v>-1.25</c:v>
                </c:pt>
                <c:pt idx="76">
                  <c:v>-1.24</c:v>
                </c:pt>
                <c:pt idx="77">
                  <c:v>-1.23</c:v>
                </c:pt>
                <c:pt idx="78">
                  <c:v>-1.22</c:v>
                </c:pt>
                <c:pt idx="79">
                  <c:v>-1.21</c:v>
                </c:pt>
                <c:pt idx="80">
                  <c:v>-1.2</c:v>
                </c:pt>
                <c:pt idx="81">
                  <c:v>-1.19</c:v>
                </c:pt>
                <c:pt idx="82">
                  <c:v>-1.18</c:v>
                </c:pt>
                <c:pt idx="83">
                  <c:v>-1.17</c:v>
                </c:pt>
                <c:pt idx="84">
                  <c:v>-1.1599999999999999</c:v>
                </c:pt>
                <c:pt idx="85">
                  <c:v>-1.1499999999999999</c:v>
                </c:pt>
                <c:pt idx="86">
                  <c:v>-1.1399999999999999</c:v>
                </c:pt>
                <c:pt idx="87">
                  <c:v>-1.1299999999999999</c:v>
                </c:pt>
                <c:pt idx="88">
                  <c:v>-1.1200000000000001</c:v>
                </c:pt>
                <c:pt idx="89">
                  <c:v>-1.1100000000000001</c:v>
                </c:pt>
                <c:pt idx="90">
                  <c:v>-1.1000000000000001</c:v>
                </c:pt>
                <c:pt idx="91">
                  <c:v>-1.0900000000000001</c:v>
                </c:pt>
                <c:pt idx="92">
                  <c:v>-1.08</c:v>
                </c:pt>
                <c:pt idx="93">
                  <c:v>-1.07</c:v>
                </c:pt>
                <c:pt idx="94">
                  <c:v>-1.06</c:v>
                </c:pt>
                <c:pt idx="95">
                  <c:v>-1.05</c:v>
                </c:pt>
                <c:pt idx="96">
                  <c:v>-1.04</c:v>
                </c:pt>
                <c:pt idx="97">
                  <c:v>-1.03</c:v>
                </c:pt>
                <c:pt idx="98">
                  <c:v>-1.02</c:v>
                </c:pt>
                <c:pt idx="99">
                  <c:v>-1.01</c:v>
                </c:pt>
                <c:pt idx="100">
                  <c:v>-1</c:v>
                </c:pt>
                <c:pt idx="101">
                  <c:v>-0.99</c:v>
                </c:pt>
                <c:pt idx="102">
                  <c:v>-0.98</c:v>
                </c:pt>
                <c:pt idx="103">
                  <c:v>-0.97</c:v>
                </c:pt>
                <c:pt idx="104">
                  <c:v>-0.96</c:v>
                </c:pt>
                <c:pt idx="105">
                  <c:v>-0.95</c:v>
                </c:pt>
                <c:pt idx="106">
                  <c:v>-0.94</c:v>
                </c:pt>
                <c:pt idx="107">
                  <c:v>-0.93</c:v>
                </c:pt>
                <c:pt idx="108">
                  <c:v>-0.92</c:v>
                </c:pt>
                <c:pt idx="109">
                  <c:v>-0.91</c:v>
                </c:pt>
                <c:pt idx="110">
                  <c:v>-0.9</c:v>
                </c:pt>
                <c:pt idx="111">
                  <c:v>-0.89</c:v>
                </c:pt>
                <c:pt idx="112">
                  <c:v>-0.88</c:v>
                </c:pt>
                <c:pt idx="113">
                  <c:v>-0.87</c:v>
                </c:pt>
                <c:pt idx="114">
                  <c:v>-0.86</c:v>
                </c:pt>
                <c:pt idx="115">
                  <c:v>-0.85</c:v>
                </c:pt>
                <c:pt idx="116">
                  <c:v>-0.84</c:v>
                </c:pt>
                <c:pt idx="117">
                  <c:v>-0.83</c:v>
                </c:pt>
                <c:pt idx="118">
                  <c:v>-0.82</c:v>
                </c:pt>
                <c:pt idx="119">
                  <c:v>-0.81</c:v>
                </c:pt>
                <c:pt idx="120">
                  <c:v>-0.8</c:v>
                </c:pt>
                <c:pt idx="121">
                  <c:v>-0.79</c:v>
                </c:pt>
                <c:pt idx="122">
                  <c:v>-0.78</c:v>
                </c:pt>
                <c:pt idx="123">
                  <c:v>-0.77</c:v>
                </c:pt>
                <c:pt idx="124">
                  <c:v>-0.76</c:v>
                </c:pt>
                <c:pt idx="125">
                  <c:v>-0.75</c:v>
                </c:pt>
                <c:pt idx="126">
                  <c:v>-0.74</c:v>
                </c:pt>
                <c:pt idx="127">
                  <c:v>-0.73</c:v>
                </c:pt>
                <c:pt idx="128">
                  <c:v>-0.72</c:v>
                </c:pt>
                <c:pt idx="129">
                  <c:v>-0.71</c:v>
                </c:pt>
                <c:pt idx="130">
                  <c:v>-0.7</c:v>
                </c:pt>
                <c:pt idx="131">
                  <c:v>-0.69</c:v>
                </c:pt>
                <c:pt idx="132">
                  <c:v>-0.68</c:v>
                </c:pt>
                <c:pt idx="133">
                  <c:v>-0.67</c:v>
                </c:pt>
                <c:pt idx="134">
                  <c:v>-0.66</c:v>
                </c:pt>
                <c:pt idx="135">
                  <c:v>-0.65</c:v>
                </c:pt>
                <c:pt idx="136">
                  <c:v>-0.64</c:v>
                </c:pt>
                <c:pt idx="137">
                  <c:v>-0.63</c:v>
                </c:pt>
                <c:pt idx="138">
                  <c:v>-0.62</c:v>
                </c:pt>
                <c:pt idx="139">
                  <c:v>-0.61</c:v>
                </c:pt>
                <c:pt idx="140">
                  <c:v>-0.6</c:v>
                </c:pt>
                <c:pt idx="141">
                  <c:v>-0.59</c:v>
                </c:pt>
                <c:pt idx="142">
                  <c:v>-0.57999999999999996</c:v>
                </c:pt>
                <c:pt idx="143">
                  <c:v>-0.56999999999999995</c:v>
                </c:pt>
                <c:pt idx="144">
                  <c:v>-0.56000000000000005</c:v>
                </c:pt>
                <c:pt idx="145">
                  <c:v>-0.55000000000000004</c:v>
                </c:pt>
                <c:pt idx="146">
                  <c:v>-0.54</c:v>
                </c:pt>
                <c:pt idx="147">
                  <c:v>-0.53</c:v>
                </c:pt>
                <c:pt idx="148">
                  <c:v>-0.52</c:v>
                </c:pt>
                <c:pt idx="149">
                  <c:v>-0.51</c:v>
                </c:pt>
                <c:pt idx="150">
                  <c:v>-0.5</c:v>
                </c:pt>
                <c:pt idx="151">
                  <c:v>-0.49</c:v>
                </c:pt>
                <c:pt idx="152">
                  <c:v>-0.48</c:v>
                </c:pt>
                <c:pt idx="153">
                  <c:v>-0.47</c:v>
                </c:pt>
                <c:pt idx="154">
                  <c:v>-0.46</c:v>
                </c:pt>
                <c:pt idx="155">
                  <c:v>-0.45</c:v>
                </c:pt>
                <c:pt idx="156">
                  <c:v>-0.44</c:v>
                </c:pt>
                <c:pt idx="157">
                  <c:v>-0.43</c:v>
                </c:pt>
                <c:pt idx="158">
                  <c:v>-0.42</c:v>
                </c:pt>
                <c:pt idx="159">
                  <c:v>-0.41</c:v>
                </c:pt>
                <c:pt idx="160">
                  <c:v>-0.4</c:v>
                </c:pt>
                <c:pt idx="161">
                  <c:v>-0.39</c:v>
                </c:pt>
                <c:pt idx="162">
                  <c:v>-0.38</c:v>
                </c:pt>
                <c:pt idx="163">
                  <c:v>-0.37</c:v>
                </c:pt>
                <c:pt idx="164">
                  <c:v>-0.36</c:v>
                </c:pt>
                <c:pt idx="165">
                  <c:v>-0.35</c:v>
                </c:pt>
                <c:pt idx="166">
                  <c:v>-0.34</c:v>
                </c:pt>
                <c:pt idx="167">
                  <c:v>-0.33</c:v>
                </c:pt>
                <c:pt idx="168">
                  <c:v>-0.32</c:v>
                </c:pt>
                <c:pt idx="169">
                  <c:v>-0.31</c:v>
                </c:pt>
                <c:pt idx="170">
                  <c:v>-0.3</c:v>
                </c:pt>
                <c:pt idx="171">
                  <c:v>-0.28999999999999998</c:v>
                </c:pt>
                <c:pt idx="172">
                  <c:v>-0.28000000000000003</c:v>
                </c:pt>
                <c:pt idx="173">
                  <c:v>-0.27</c:v>
                </c:pt>
                <c:pt idx="174">
                  <c:v>-0.26</c:v>
                </c:pt>
                <c:pt idx="175">
                  <c:v>-0.25</c:v>
                </c:pt>
                <c:pt idx="176">
                  <c:v>-0.24</c:v>
                </c:pt>
                <c:pt idx="177">
                  <c:v>-0.23</c:v>
                </c:pt>
                <c:pt idx="178">
                  <c:v>-0.22</c:v>
                </c:pt>
                <c:pt idx="179">
                  <c:v>-0.21</c:v>
                </c:pt>
                <c:pt idx="180">
                  <c:v>-0.2</c:v>
                </c:pt>
                <c:pt idx="181">
                  <c:v>-0.19</c:v>
                </c:pt>
                <c:pt idx="182">
                  <c:v>-0.18</c:v>
                </c:pt>
                <c:pt idx="183">
                  <c:v>-0.17</c:v>
                </c:pt>
                <c:pt idx="184">
                  <c:v>-0.16</c:v>
                </c:pt>
                <c:pt idx="185">
                  <c:v>-0.15</c:v>
                </c:pt>
                <c:pt idx="186">
                  <c:v>-0.14000000000000001</c:v>
                </c:pt>
                <c:pt idx="187">
                  <c:v>-0.13</c:v>
                </c:pt>
                <c:pt idx="188">
                  <c:v>-0.12</c:v>
                </c:pt>
                <c:pt idx="189">
                  <c:v>-0.11</c:v>
                </c:pt>
                <c:pt idx="190">
                  <c:v>-0.1</c:v>
                </c:pt>
                <c:pt idx="191">
                  <c:v>-9.0000000000000094E-2</c:v>
                </c:pt>
                <c:pt idx="192">
                  <c:v>-8.0000000000000099E-2</c:v>
                </c:pt>
                <c:pt idx="193">
                  <c:v>-7.0000000000000104E-2</c:v>
                </c:pt>
                <c:pt idx="194">
                  <c:v>-6.0000000000000102E-2</c:v>
                </c:pt>
                <c:pt idx="195">
                  <c:v>-0.05</c:v>
                </c:pt>
                <c:pt idx="196">
                  <c:v>-0.04</c:v>
                </c:pt>
                <c:pt idx="197">
                  <c:v>-0.03</c:v>
                </c:pt>
                <c:pt idx="198">
                  <c:v>-0.02</c:v>
                </c:pt>
                <c:pt idx="199">
                  <c:v>-0.01</c:v>
                </c:pt>
                <c:pt idx="200">
                  <c:v>0</c:v>
                </c:pt>
                <c:pt idx="201">
                  <c:v>9.9999999999997903E-3</c:v>
                </c:pt>
                <c:pt idx="202">
                  <c:v>0.02</c:v>
                </c:pt>
                <c:pt idx="203">
                  <c:v>2.9999999999999801E-2</c:v>
                </c:pt>
                <c:pt idx="204">
                  <c:v>0.04</c:v>
                </c:pt>
                <c:pt idx="205">
                  <c:v>4.9999999999999802E-2</c:v>
                </c:pt>
                <c:pt idx="206">
                  <c:v>6.0000000000000102E-2</c:v>
                </c:pt>
                <c:pt idx="207">
                  <c:v>6.9999999999999798E-2</c:v>
                </c:pt>
                <c:pt idx="208">
                  <c:v>8.0000000000000099E-2</c:v>
                </c:pt>
                <c:pt idx="209">
                  <c:v>8.99999999999999E-2</c:v>
                </c:pt>
                <c:pt idx="210">
                  <c:v>0.1</c:v>
                </c:pt>
                <c:pt idx="211">
                  <c:v>0.11</c:v>
                </c:pt>
                <c:pt idx="212">
                  <c:v>0.12</c:v>
                </c:pt>
                <c:pt idx="213">
                  <c:v>0.13</c:v>
                </c:pt>
                <c:pt idx="214">
                  <c:v>0.14000000000000001</c:v>
                </c:pt>
                <c:pt idx="215">
                  <c:v>0.15</c:v>
                </c:pt>
                <c:pt idx="216">
                  <c:v>0.16</c:v>
                </c:pt>
                <c:pt idx="217">
                  <c:v>0.17</c:v>
                </c:pt>
                <c:pt idx="218">
                  <c:v>0.18</c:v>
                </c:pt>
                <c:pt idx="219">
                  <c:v>0.19</c:v>
                </c:pt>
                <c:pt idx="220">
                  <c:v>0.2</c:v>
                </c:pt>
                <c:pt idx="221">
                  <c:v>0.21</c:v>
                </c:pt>
                <c:pt idx="222">
                  <c:v>0.22</c:v>
                </c:pt>
                <c:pt idx="223">
                  <c:v>0.23</c:v>
                </c:pt>
                <c:pt idx="224">
                  <c:v>0.24</c:v>
                </c:pt>
                <c:pt idx="225">
                  <c:v>0.25</c:v>
                </c:pt>
                <c:pt idx="226">
                  <c:v>0.26</c:v>
                </c:pt>
                <c:pt idx="227">
                  <c:v>0.27</c:v>
                </c:pt>
                <c:pt idx="228">
                  <c:v>0.28000000000000003</c:v>
                </c:pt>
                <c:pt idx="229">
                  <c:v>0.28999999999999998</c:v>
                </c:pt>
                <c:pt idx="230">
                  <c:v>0.3</c:v>
                </c:pt>
                <c:pt idx="231">
                  <c:v>0.31</c:v>
                </c:pt>
                <c:pt idx="232">
                  <c:v>0.32</c:v>
                </c:pt>
                <c:pt idx="233">
                  <c:v>0.33</c:v>
                </c:pt>
                <c:pt idx="234">
                  <c:v>0.34</c:v>
                </c:pt>
                <c:pt idx="235">
                  <c:v>0.35</c:v>
                </c:pt>
                <c:pt idx="236">
                  <c:v>0.36</c:v>
                </c:pt>
                <c:pt idx="237">
                  <c:v>0.37</c:v>
                </c:pt>
                <c:pt idx="238">
                  <c:v>0.38</c:v>
                </c:pt>
                <c:pt idx="239">
                  <c:v>0.39</c:v>
                </c:pt>
                <c:pt idx="240">
                  <c:v>0.4</c:v>
                </c:pt>
                <c:pt idx="241">
                  <c:v>0.41</c:v>
                </c:pt>
                <c:pt idx="242">
                  <c:v>0.42</c:v>
                </c:pt>
                <c:pt idx="243">
                  <c:v>0.43</c:v>
                </c:pt>
                <c:pt idx="244">
                  <c:v>0.44</c:v>
                </c:pt>
                <c:pt idx="245">
                  <c:v>0.45</c:v>
                </c:pt>
                <c:pt idx="246">
                  <c:v>0.46</c:v>
                </c:pt>
                <c:pt idx="247">
                  <c:v>0.47</c:v>
                </c:pt>
                <c:pt idx="248">
                  <c:v>0.48</c:v>
                </c:pt>
                <c:pt idx="249">
                  <c:v>0.49</c:v>
                </c:pt>
                <c:pt idx="250">
                  <c:v>0.5</c:v>
                </c:pt>
                <c:pt idx="251">
                  <c:v>0.51</c:v>
                </c:pt>
                <c:pt idx="252">
                  <c:v>0.52</c:v>
                </c:pt>
                <c:pt idx="253">
                  <c:v>0.53</c:v>
                </c:pt>
                <c:pt idx="254">
                  <c:v>0.54</c:v>
                </c:pt>
                <c:pt idx="255">
                  <c:v>0.55000000000000004</c:v>
                </c:pt>
                <c:pt idx="256">
                  <c:v>0.56000000000000005</c:v>
                </c:pt>
                <c:pt idx="257">
                  <c:v>0.56999999999999995</c:v>
                </c:pt>
                <c:pt idx="258">
                  <c:v>0.57999999999999996</c:v>
                </c:pt>
                <c:pt idx="259">
                  <c:v>0.59</c:v>
                </c:pt>
                <c:pt idx="260">
                  <c:v>0.6</c:v>
                </c:pt>
                <c:pt idx="261">
                  <c:v>0.61</c:v>
                </c:pt>
                <c:pt idx="262">
                  <c:v>0.62</c:v>
                </c:pt>
                <c:pt idx="263">
                  <c:v>0.63</c:v>
                </c:pt>
                <c:pt idx="264">
                  <c:v>0.64</c:v>
                </c:pt>
                <c:pt idx="265">
                  <c:v>0.65</c:v>
                </c:pt>
                <c:pt idx="266">
                  <c:v>0.66</c:v>
                </c:pt>
                <c:pt idx="267">
                  <c:v>0.67</c:v>
                </c:pt>
                <c:pt idx="268">
                  <c:v>0.68</c:v>
                </c:pt>
                <c:pt idx="269">
                  <c:v>0.69</c:v>
                </c:pt>
                <c:pt idx="270">
                  <c:v>0.7</c:v>
                </c:pt>
                <c:pt idx="271">
                  <c:v>0.71</c:v>
                </c:pt>
                <c:pt idx="272">
                  <c:v>0.72</c:v>
                </c:pt>
                <c:pt idx="273">
                  <c:v>0.73</c:v>
                </c:pt>
                <c:pt idx="274">
                  <c:v>0.74</c:v>
                </c:pt>
                <c:pt idx="275">
                  <c:v>0.75</c:v>
                </c:pt>
                <c:pt idx="276">
                  <c:v>0.76</c:v>
                </c:pt>
                <c:pt idx="277">
                  <c:v>0.77</c:v>
                </c:pt>
                <c:pt idx="278">
                  <c:v>0.78</c:v>
                </c:pt>
                <c:pt idx="279">
                  <c:v>0.79</c:v>
                </c:pt>
                <c:pt idx="280">
                  <c:v>0.8</c:v>
                </c:pt>
                <c:pt idx="281">
                  <c:v>0.81</c:v>
                </c:pt>
                <c:pt idx="282">
                  <c:v>0.82</c:v>
                </c:pt>
                <c:pt idx="283">
                  <c:v>0.83</c:v>
                </c:pt>
                <c:pt idx="284">
                  <c:v>0.84</c:v>
                </c:pt>
                <c:pt idx="285">
                  <c:v>0.85</c:v>
                </c:pt>
                <c:pt idx="286">
                  <c:v>0.86</c:v>
                </c:pt>
                <c:pt idx="287">
                  <c:v>0.87</c:v>
                </c:pt>
                <c:pt idx="288">
                  <c:v>0.88</c:v>
                </c:pt>
                <c:pt idx="289">
                  <c:v>0.89</c:v>
                </c:pt>
                <c:pt idx="290">
                  <c:v>0.9</c:v>
                </c:pt>
                <c:pt idx="291">
                  <c:v>0.91</c:v>
                </c:pt>
                <c:pt idx="292">
                  <c:v>0.92</c:v>
                </c:pt>
                <c:pt idx="293">
                  <c:v>0.93</c:v>
                </c:pt>
                <c:pt idx="294">
                  <c:v>0.94</c:v>
                </c:pt>
                <c:pt idx="295">
                  <c:v>0.95</c:v>
                </c:pt>
                <c:pt idx="296">
                  <c:v>0.96</c:v>
                </c:pt>
                <c:pt idx="297">
                  <c:v>0.97</c:v>
                </c:pt>
                <c:pt idx="298">
                  <c:v>0.98</c:v>
                </c:pt>
                <c:pt idx="299">
                  <c:v>0.99</c:v>
                </c:pt>
                <c:pt idx="300">
                  <c:v>1</c:v>
                </c:pt>
                <c:pt idx="301">
                  <c:v>1.01</c:v>
                </c:pt>
                <c:pt idx="302">
                  <c:v>1.02</c:v>
                </c:pt>
                <c:pt idx="303">
                  <c:v>1.03</c:v>
                </c:pt>
                <c:pt idx="304">
                  <c:v>1.04</c:v>
                </c:pt>
                <c:pt idx="305">
                  <c:v>1.05</c:v>
                </c:pt>
                <c:pt idx="306">
                  <c:v>1.06</c:v>
                </c:pt>
                <c:pt idx="307">
                  <c:v>1.07</c:v>
                </c:pt>
                <c:pt idx="308">
                  <c:v>1.08</c:v>
                </c:pt>
                <c:pt idx="309">
                  <c:v>1.0900000000000001</c:v>
                </c:pt>
                <c:pt idx="310">
                  <c:v>1.1000000000000001</c:v>
                </c:pt>
                <c:pt idx="311">
                  <c:v>1.1100000000000001</c:v>
                </c:pt>
                <c:pt idx="312">
                  <c:v>1.1200000000000001</c:v>
                </c:pt>
                <c:pt idx="313">
                  <c:v>1.1299999999999999</c:v>
                </c:pt>
                <c:pt idx="314">
                  <c:v>1.1399999999999999</c:v>
                </c:pt>
                <c:pt idx="315">
                  <c:v>1.1499999999999999</c:v>
                </c:pt>
                <c:pt idx="316">
                  <c:v>1.1599999999999999</c:v>
                </c:pt>
                <c:pt idx="317">
                  <c:v>1.17</c:v>
                </c:pt>
                <c:pt idx="318">
                  <c:v>1.18</c:v>
                </c:pt>
                <c:pt idx="319">
                  <c:v>1.19</c:v>
                </c:pt>
                <c:pt idx="320">
                  <c:v>1.2</c:v>
                </c:pt>
                <c:pt idx="321">
                  <c:v>1.21</c:v>
                </c:pt>
                <c:pt idx="322">
                  <c:v>1.22</c:v>
                </c:pt>
                <c:pt idx="323">
                  <c:v>1.23</c:v>
                </c:pt>
                <c:pt idx="324">
                  <c:v>1.24</c:v>
                </c:pt>
                <c:pt idx="325">
                  <c:v>1.25</c:v>
                </c:pt>
                <c:pt idx="326">
                  <c:v>1.26</c:v>
                </c:pt>
                <c:pt idx="327">
                  <c:v>1.27</c:v>
                </c:pt>
                <c:pt idx="328">
                  <c:v>1.28</c:v>
                </c:pt>
                <c:pt idx="329">
                  <c:v>1.29</c:v>
                </c:pt>
                <c:pt idx="330">
                  <c:v>1.3</c:v>
                </c:pt>
                <c:pt idx="331">
                  <c:v>1.31</c:v>
                </c:pt>
                <c:pt idx="332">
                  <c:v>1.32</c:v>
                </c:pt>
                <c:pt idx="333">
                  <c:v>1.33</c:v>
                </c:pt>
                <c:pt idx="334">
                  <c:v>1.34</c:v>
                </c:pt>
                <c:pt idx="335">
                  <c:v>1.35</c:v>
                </c:pt>
                <c:pt idx="336">
                  <c:v>1.36</c:v>
                </c:pt>
                <c:pt idx="337">
                  <c:v>1.37</c:v>
                </c:pt>
                <c:pt idx="338">
                  <c:v>1.38</c:v>
                </c:pt>
                <c:pt idx="339">
                  <c:v>1.39</c:v>
                </c:pt>
                <c:pt idx="340">
                  <c:v>1.4</c:v>
                </c:pt>
                <c:pt idx="341">
                  <c:v>1.41</c:v>
                </c:pt>
                <c:pt idx="342">
                  <c:v>1.42</c:v>
                </c:pt>
                <c:pt idx="343">
                  <c:v>1.43</c:v>
                </c:pt>
                <c:pt idx="344">
                  <c:v>1.44</c:v>
                </c:pt>
                <c:pt idx="345">
                  <c:v>1.45</c:v>
                </c:pt>
                <c:pt idx="346">
                  <c:v>1.46</c:v>
                </c:pt>
                <c:pt idx="347">
                  <c:v>1.47</c:v>
                </c:pt>
                <c:pt idx="348">
                  <c:v>1.48</c:v>
                </c:pt>
                <c:pt idx="349">
                  <c:v>1.49</c:v>
                </c:pt>
                <c:pt idx="350">
                  <c:v>1.5</c:v>
                </c:pt>
                <c:pt idx="351">
                  <c:v>1.51</c:v>
                </c:pt>
                <c:pt idx="352">
                  <c:v>1.52</c:v>
                </c:pt>
                <c:pt idx="353">
                  <c:v>1.53</c:v>
                </c:pt>
                <c:pt idx="354">
                  <c:v>1.54</c:v>
                </c:pt>
                <c:pt idx="355">
                  <c:v>1.55</c:v>
                </c:pt>
                <c:pt idx="356">
                  <c:v>1.56</c:v>
                </c:pt>
                <c:pt idx="357">
                  <c:v>1.57</c:v>
                </c:pt>
                <c:pt idx="358">
                  <c:v>1.58</c:v>
                </c:pt>
                <c:pt idx="359">
                  <c:v>1.59</c:v>
                </c:pt>
                <c:pt idx="360">
                  <c:v>1.6</c:v>
                </c:pt>
                <c:pt idx="361">
                  <c:v>1.61</c:v>
                </c:pt>
                <c:pt idx="362">
                  <c:v>1.62</c:v>
                </c:pt>
                <c:pt idx="363">
                  <c:v>1.63</c:v>
                </c:pt>
                <c:pt idx="364">
                  <c:v>1.64</c:v>
                </c:pt>
                <c:pt idx="365">
                  <c:v>1.65</c:v>
                </c:pt>
                <c:pt idx="366">
                  <c:v>1.66</c:v>
                </c:pt>
                <c:pt idx="367">
                  <c:v>1.67</c:v>
                </c:pt>
                <c:pt idx="368">
                  <c:v>1.68</c:v>
                </c:pt>
                <c:pt idx="369">
                  <c:v>1.69</c:v>
                </c:pt>
                <c:pt idx="370">
                  <c:v>1.7</c:v>
                </c:pt>
                <c:pt idx="371">
                  <c:v>1.71</c:v>
                </c:pt>
                <c:pt idx="372">
                  <c:v>1.72</c:v>
                </c:pt>
                <c:pt idx="373">
                  <c:v>1.73</c:v>
                </c:pt>
                <c:pt idx="374">
                  <c:v>1.74</c:v>
                </c:pt>
                <c:pt idx="375">
                  <c:v>1.75</c:v>
                </c:pt>
                <c:pt idx="376">
                  <c:v>1.76</c:v>
                </c:pt>
                <c:pt idx="377">
                  <c:v>1.77</c:v>
                </c:pt>
                <c:pt idx="378">
                  <c:v>1.78</c:v>
                </c:pt>
                <c:pt idx="379">
                  <c:v>1.79</c:v>
                </c:pt>
                <c:pt idx="380">
                  <c:v>1.8</c:v>
                </c:pt>
                <c:pt idx="381">
                  <c:v>1.81</c:v>
                </c:pt>
                <c:pt idx="382">
                  <c:v>1.82</c:v>
                </c:pt>
                <c:pt idx="383">
                  <c:v>1.83</c:v>
                </c:pt>
                <c:pt idx="384">
                  <c:v>1.84</c:v>
                </c:pt>
                <c:pt idx="385">
                  <c:v>1.85</c:v>
                </c:pt>
                <c:pt idx="386">
                  <c:v>1.86</c:v>
                </c:pt>
                <c:pt idx="387">
                  <c:v>1.87</c:v>
                </c:pt>
                <c:pt idx="388">
                  <c:v>1.88</c:v>
                </c:pt>
                <c:pt idx="389">
                  <c:v>1.89</c:v>
                </c:pt>
                <c:pt idx="390">
                  <c:v>1.9</c:v>
                </c:pt>
                <c:pt idx="391">
                  <c:v>1.91</c:v>
                </c:pt>
                <c:pt idx="392">
                  <c:v>1.92</c:v>
                </c:pt>
                <c:pt idx="393">
                  <c:v>1.93</c:v>
                </c:pt>
                <c:pt idx="394">
                  <c:v>1.94</c:v>
                </c:pt>
                <c:pt idx="395">
                  <c:v>1.95</c:v>
                </c:pt>
                <c:pt idx="396">
                  <c:v>1.96</c:v>
                </c:pt>
                <c:pt idx="397">
                  <c:v>1.97</c:v>
                </c:pt>
                <c:pt idx="398">
                  <c:v>1.98</c:v>
                </c:pt>
                <c:pt idx="399">
                  <c:v>1.99</c:v>
                </c:pt>
                <c:pt idx="400">
                  <c:v>2</c:v>
                </c:pt>
              </c:numCache>
            </c:numRef>
          </c:xVal>
          <c:yVal>
            <c:numRef>
              <c:f>加法モデル!$E$2:$E$402</c:f>
              <c:numCache>
                <c:formatCode>General</c:formatCode>
                <c:ptCount val="401"/>
                <c:pt idx="0">
                  <c:v>0.29816659617701258</c:v>
                </c:pt>
                <c:pt idx="1">
                  <c:v>0.26173357620090837</c:v>
                </c:pt>
                <c:pt idx="2">
                  <c:v>0.18397857954206673</c:v>
                </c:pt>
                <c:pt idx="3">
                  <c:v>7.7177410495598397E-2</c:v>
                </c:pt>
                <c:pt idx="4">
                  <c:v>-4.1808374690773725E-2</c:v>
                </c:pt>
                <c:pt idx="5">
                  <c:v>-0.15419353679626055</c:v>
                </c:pt>
                <c:pt idx="6">
                  <c:v>-0.24223492984999395</c:v>
                </c:pt>
                <c:pt idx="7">
                  <c:v>-0.29203275374344656</c:v>
                </c:pt>
                <c:pt idx="8">
                  <c:v>-0.29572502703868453</c:v>
                </c:pt>
                <c:pt idx="9">
                  <c:v>-0.25272882096811383</c:v>
                </c:pt>
                <c:pt idx="10">
                  <c:v>-0.16983229106945411</c:v>
                </c:pt>
                <c:pt idx="11">
                  <c:v>-6.0122976684320484E-2</c:v>
                </c:pt>
                <c:pt idx="12">
                  <c:v>5.9078433734909327E-2</c:v>
                </c:pt>
                <c:pt idx="13">
                  <c:v>0.16895265848433152</c:v>
                </c:pt>
                <c:pt idx="14">
                  <c:v>0.25215297339111498</c:v>
                </c:pt>
                <c:pt idx="15">
                  <c:v>0.29554387814047423</c:v>
                </c:pt>
                <c:pt idx="16">
                  <c:v>0.29227490295195008</c:v>
                </c:pt>
                <c:pt idx="17">
                  <c:v>0.24286214712956503</c:v>
                </c:pt>
                <c:pt idx="18">
                  <c:v>0.15510679832971305</c:v>
                </c:pt>
                <c:pt idx="19">
                  <c:v>4.2863496562779581E-2</c:v>
                </c:pt>
                <c:pt idx="20">
                  <c:v>-7.6147008828610876E-2</c:v>
                </c:pt>
                <c:pt idx="21">
                  <c:v>-0.18313557584683285</c:v>
                </c:pt>
                <c:pt idx="22">
                  <c:v>-0.26121106222493545</c:v>
                </c:pt>
                <c:pt idx="23">
                  <c:v>-0.29804706538806636</c:v>
                </c:pt>
                <c:pt idx="24">
                  <c:v>-0.28782799038701506</c:v>
                </c:pt>
                <c:pt idx="25">
                  <c:v>-0.23216720446736672</c:v>
                </c:pt>
                <c:pt idx="26">
                  <c:v>-0.1398523218561516</c:v>
                </c:pt>
                <c:pt idx="27">
                  <c:v>-2.5457832697513741E-2</c:v>
                </c:pt>
                <c:pt idx="28">
                  <c:v>9.2955888477093185E-2</c:v>
                </c:pt>
                <c:pt idx="29">
                  <c:v>0.19669391877577569</c:v>
                </c:pt>
                <c:pt idx="30">
                  <c:v>0.26937830420678738</c:v>
                </c:pt>
                <c:pt idx="31">
                  <c:v>0.29953377849525337</c:v>
                </c:pt>
                <c:pt idx="32">
                  <c:v>0.28239945530976895</c:v>
                </c:pt>
                <c:pt idx="33">
                  <c:v>0.2206804675317238</c:v>
                </c:pt>
                <c:pt idx="34">
                  <c:v>0.12412088625381193</c:v>
                </c:pt>
                <c:pt idx="35">
                  <c:v>7.9653462071900376E-3</c:v>
                </c:pt>
                <c:pt idx="36">
                  <c:v>-0.10944774686347274</c:v>
                </c:pt>
                <c:pt idx="37">
                  <c:v>-0.20958144724208225</c:v>
                </c:pt>
                <c:pt idx="38">
                  <c:v>-0.27662684537923399</c:v>
                </c:pt>
                <c:pt idx="39">
                  <c:v>-0.29999894710368197</c:v>
                </c:pt>
                <c:pt idx="40">
                  <c:v>-0.27600781145903719</c:v>
                </c:pt>
                <c:pt idx="41">
                  <c:v>-0.20844111124636175</c:v>
                </c:pt>
                <c:pt idx="42">
                  <c:v>-0.1079661427722428</c:v>
                </c:pt>
                <c:pt idx="43">
                  <c:v>9.5543056854428821E-3</c:v>
                </c:pt>
                <c:pt idx="44">
                  <c:v>0.12556633935552569</c:v>
                </c:pt>
                <c:pt idx="45">
                  <c:v>0.22175420899476683</c:v>
                </c:pt>
                <c:pt idx="46">
                  <c:v>0.28293196496655959</c:v>
                </c:pt>
                <c:pt idx="47">
                  <c:v>0.29944098477981113</c:v>
                </c:pt>
                <c:pt idx="48">
                  <c:v>0.26867485720643103</c:v>
                </c:pt>
                <c:pt idx="49">
                  <c:v>0.19549087730446643</c:v>
                </c:pt>
                <c:pt idx="50">
                  <c:v>9.1443186330665005E-2</c:v>
                </c:pt>
                <c:pt idx="51">
                  <c:v>-2.7041373111439636E-2</c:v>
                </c:pt>
                <c:pt idx="52">
                  <c:v>-0.14125669432511601</c:v>
                </c:pt>
                <c:pt idx="53">
                  <c:v>-0.23317068945786795</c:v>
                </c:pt>
                <c:pt idx="54">
                  <c:v>-0.28827215968368614</c:v>
                </c:pt>
                <c:pt idx="55">
                  <c:v>-0.29786179442536115</c:v>
                </c:pt>
                <c:pt idx="56">
                  <c:v>-0.26042560121412539</c:v>
                </c:pt>
                <c:pt idx="57">
                  <c:v>-0.181873931810802</c:v>
                </c:pt>
                <c:pt idx="58">
                  <c:v>-7.4608367619615271E-2</c:v>
                </c:pt>
                <c:pt idx="59">
                  <c:v>4.44362173294909E-2</c:v>
                </c:pt>
                <c:pt idx="60">
                  <c:v>0.15646530062607356</c:v>
                </c:pt>
                <c:pt idx="61">
                  <c:v>0.2437919533137336</c:v>
                </c:pt>
                <c:pt idx="62">
                  <c:v>0.29262921707202977</c:v>
                </c:pt>
                <c:pt idx="63">
                  <c:v>0.29526676178756661</c:v>
                </c:pt>
                <c:pt idx="64">
                  <c:v>0.25128817714410945</c:v>
                </c:pt>
                <c:pt idx="65">
                  <c:v>0.16763671465548488</c:v>
                </c:pt>
                <c:pt idx="66">
                  <c:v>5.7519100919809753E-2</c:v>
                </c:pt>
                <c:pt idx="67">
                  <c:v>-6.1679514120780349E-2</c:v>
                </c:pt>
                <c:pt idx="68">
                  <c:v>-0.17114029009121168</c:v>
                </c:pt>
                <c:pt idx="69">
                  <c:v>-0.25358177728992692</c:v>
                </c:pt>
                <c:pt idx="70">
                  <c:v>-0.29598827761214558</c:v>
                </c:pt>
                <c:pt idx="71">
                  <c:v>-0.2916647370913617</c:v>
                </c:pt>
                <c:pt idx="72">
                  <c:v>-0.24129374770977421</c:v>
                </c:pt>
                <c:pt idx="73">
                  <c:v>-0.15282778113312878</c:v>
                </c:pt>
                <c:pt idx="74">
                  <c:v>-4.0233668293697143E-2</c:v>
                </c:pt>
                <c:pt idx="75">
                  <c:v>7.8712456111178622E-2</c:v>
                </c:pt>
                <c:pt idx="76">
                  <c:v>0.18523161442603853</c:v>
                </c:pt>
                <c:pt idx="77">
                  <c:v>0.26250677369683401</c:v>
                </c:pt>
                <c:pt idx="78">
                  <c:v>0.29833788540135464</c:v>
                </c:pt>
                <c:pt idx="79">
                  <c:v>0.28706800485614631</c:v>
                </c:pt>
                <c:pt idx="80">
                  <c:v>0.23047639839710005</c:v>
                </c:pt>
                <c:pt idx="81">
                  <c:v>0.13749763634752785</c:v>
                </c:pt>
                <c:pt idx="82">
                  <c:v>2.2811020817503944E-2</c:v>
                </c:pt>
                <c:pt idx="83">
                  <c:v>-9.5476953330746461E-2</c:v>
                </c:pt>
                <c:pt idx="84">
                  <c:v>-0.19869121589587285</c:v>
                </c:pt>
                <c:pt idx="85">
                  <c:v>-0.27053650429464277</c:v>
                </c:pt>
                <c:pt idx="86">
                  <c:v>-0.29967002722350639</c:v>
                </c:pt>
                <c:pt idx="87">
                  <c:v>-0.28149224200006556</c:v>
                </c:pt>
                <c:pt idx="88">
                  <c:v>-0.21887302121785748</c:v>
                </c:pt>
                <c:pt idx="89">
                  <c:v>-0.1216985629666027</c:v>
                </c:pt>
                <c:pt idx="90">
                  <c:v>-5.3105775316240732E-3</c:v>
                </c:pt>
                <c:pt idx="91">
                  <c:v>0.11191583132658663</c:v>
                </c:pt>
                <c:pt idx="92">
                  <c:v>0.21147319122427441</c:v>
                </c:pt>
                <c:pt idx="93">
                  <c:v>0.27764358410139839</c:v>
                </c:pt>
                <c:pt idx="94">
                  <c:v>0.29998015987764109</c:v>
                </c:pt>
                <c:pt idx="95">
                  <c:v>0.27495646437469012</c:v>
                </c:pt>
                <c:pt idx="96">
                  <c:v>0.20652318889130111</c:v>
                </c:pt>
                <c:pt idx="97">
                  <c:v>0.10548444291504488</c:v>
                </c:pt>
                <c:pt idx="98">
                  <c:v>-1.2207977204959456E-2</c:v>
                </c:pt>
                <c:pt idx="99">
                  <c:v>-0.12797302615337194</c:v>
                </c:pt>
                <c:pt idx="100">
                  <c:v>-0.22353394814380464</c:v>
                </c:pt>
                <c:pt idx="101">
                  <c:v>-0.28380377478807245</c:v>
                </c:pt>
                <c:pt idx="102">
                  <c:v>-0.29926722567234154</c:v>
                </c:pt>
                <c:pt idx="103">
                  <c:v>-0.2674829619124322</c:v>
                </c:pt>
                <c:pt idx="104">
                  <c:v>-0.19346901988346019</c:v>
                </c:pt>
                <c:pt idx="105">
                  <c:v>-8.8910573612815597E-2</c:v>
                </c:pt>
                <c:pt idx="106">
                  <c:v>2.968489726508898E-2</c:v>
                </c:pt>
                <c:pt idx="107">
                  <c:v>0.1435937755765245</c:v>
                </c:pt>
                <c:pt idx="108">
                  <c:v>0.23483235406519498</c:v>
                </c:pt>
                <c:pt idx="109">
                  <c:v>0.28899606734212824</c:v>
                </c:pt>
                <c:pt idx="110">
                  <c:v>0.29753365603293475</c:v>
                </c:pt>
                <c:pt idx="111">
                  <c:v>0.25909722260788681</c:v>
                </c:pt>
                <c:pt idx="112">
                  <c:v>0.17975503476427956</c:v>
                </c:pt>
                <c:pt idx="113">
                  <c:v>7.2033479386132346E-2</c:v>
                </c:pt>
                <c:pt idx="114">
                  <c:v>-4.7060578514522999E-2</c:v>
                </c:pt>
                <c:pt idx="115">
                  <c:v>-0.15872480583600715</c:v>
                </c:pt>
                <c:pt idx="116">
                  <c:v>-0.24532987635793252</c:v>
                </c:pt>
                <c:pt idx="117">
                  <c:v>-0.29320275371767801</c:v>
                </c:pt>
                <c:pt idx="118">
                  <c:v>-0.29478536320924187</c:v>
                </c:pt>
                <c:pt idx="119">
                  <c:v>-0.24982784559233509</c:v>
                </c:pt>
                <c:pt idx="120">
                  <c:v>-0.16542800437250718</c:v>
                </c:pt>
                <c:pt idx="121">
                  <c:v>-5.4910718694176401E-2</c:v>
                </c:pt>
                <c:pt idx="122">
                  <c:v>6.4275762088765259E-2</c:v>
                </c:pt>
                <c:pt idx="123">
                  <c:v>0.17331451333371953</c:v>
                </c:pt>
                <c:pt idx="124">
                  <c:v>0.25499071376379839</c:v>
                </c:pt>
                <c:pt idx="125">
                  <c:v>0.29640948722785854</c:v>
                </c:pt>
                <c:pt idx="126">
                  <c:v>0.29103172011215561</c:v>
                </c:pt>
                <c:pt idx="127">
                  <c:v>0.23970644359788409</c:v>
                </c:pt>
                <c:pt idx="128">
                  <c:v>0.15053679030617131</c:v>
                </c:pt>
                <c:pt idx="129">
                  <c:v>3.7600687828928732E-2</c:v>
                </c:pt>
                <c:pt idx="130">
                  <c:v>-8.1271736492360705E-2</c:v>
                </c:pt>
                <c:pt idx="131">
                  <c:v>-0.18731314062491825</c:v>
                </c:pt>
                <c:pt idx="132">
                  <c:v>-0.26378191849521676</c:v>
                </c:pt>
                <c:pt idx="133">
                  <c:v>-0.29860533147346774</c:v>
                </c:pt>
                <c:pt idx="134">
                  <c:v>-0.2862855283478094</c:v>
                </c:pt>
                <c:pt idx="135">
                  <c:v>-0.22876753514388079</c:v>
                </c:pt>
                <c:pt idx="136">
                  <c:v>-0.13513217828261678</c:v>
                </c:pt>
                <c:pt idx="137">
                  <c:v>-2.0162421757642476E-2</c:v>
                </c:pt>
                <c:pt idx="138">
                  <c:v>9.799053783141666E-2</c:v>
                </c:pt>
                <c:pt idx="139">
                  <c:v>0.20067294611340727</c:v>
                </c:pt>
                <c:pt idx="140">
                  <c:v>0.27167350860198713</c:v>
                </c:pt>
                <c:pt idx="141">
                  <c:v>0.29978279764098831</c:v>
                </c:pt>
                <c:pt idx="142">
                  <c:v>0.28056297455836166</c:v>
                </c:pt>
                <c:pt idx="143">
                  <c:v>0.21704842681327274</c:v>
                </c:pt>
                <c:pt idx="144">
                  <c:v>0.11926670493643084</c:v>
                </c:pt>
                <c:pt idx="145">
                  <c:v>2.6553927871211629E-3</c:v>
                </c:pt>
                <c:pt idx="146">
                  <c:v>-0.11437514749648203</c:v>
                </c:pt>
                <c:pt idx="147">
                  <c:v>-0.21334836687179398</c:v>
                </c:pt>
                <c:pt idx="148">
                  <c:v>-0.27863857022317212</c:v>
                </c:pt>
                <c:pt idx="149">
                  <c:v>-0.29993787004280076</c:v>
                </c:pt>
                <c:pt idx="150">
                  <c:v>-0.27388357521828827</c:v>
                </c:pt>
                <c:pt idx="151">
                  <c:v>-0.20458908602044068</c:v>
                </c:pt>
                <c:pt idx="152">
                  <c:v>-0.10299447864596861</c:v>
                </c:pt>
                <c:pt idx="153">
                  <c:v>1.4860692263511289E-2</c:v>
                </c:pt>
                <c:pt idx="154">
                  <c:v>0.13036968662156806</c:v>
                </c:pt>
                <c:pt idx="155">
                  <c:v>0.22529617403150282</c:v>
                </c:pt>
                <c:pt idx="156">
                  <c:v>0.28465334937543718</c:v>
                </c:pt>
                <c:pt idx="157">
                  <c:v>0.29907001981247883</c:v>
                </c:pt>
                <c:pt idx="158">
                  <c:v>0.26627011007445134</c:v>
                </c:pt>
                <c:pt idx="159">
                  <c:v>0.19143200470438423</c:v>
                </c:pt>
                <c:pt idx="160">
                  <c:v>8.6370994999519585E-2</c:v>
                </c:pt>
                <c:pt idx="161">
                  <c:v>-3.232609568983269E-2</c:v>
                </c:pt>
                <c:pt idx="162">
                  <c:v>-0.1459196066561399</c:v>
                </c:pt>
                <c:pt idx="163">
                  <c:v>-0.23647562021259488</c:v>
                </c:pt>
                <c:pt idx="164">
                  <c:v>-0.28969733296478339</c:v>
                </c:pt>
                <c:pt idx="165">
                  <c:v>-0.29718220670846107</c:v>
                </c:pt>
                <c:pt idx="166">
                  <c:v>-0.257748544456949</c:v>
                </c:pt>
                <c:pt idx="167">
                  <c:v>-0.17762205441216733</c:v>
                </c:pt>
                <c:pt idx="168">
                  <c:v>-6.9452947530461676E-2</c:v>
                </c:pt>
                <c:pt idx="169">
                  <c:v>4.9681252634492822E-2</c:v>
                </c:pt>
                <c:pt idx="170">
                  <c:v>0.16097187540013047</c:v>
                </c:pt>
                <c:pt idx="171">
                  <c:v>0.24684857849061265</c:v>
                </c:pt>
                <c:pt idx="172">
                  <c:v>0.29375331874539506</c:v>
                </c:pt>
                <c:pt idx="173">
                  <c:v>0.29428086901994743</c:v>
                </c:pt>
                <c:pt idx="174">
                  <c:v>0.2483479407256961</c:v>
                </c:pt>
                <c:pt idx="175">
                  <c:v>0.16320633326681092</c:v>
                </c:pt>
                <c:pt idx="176">
                  <c:v>5.229803436689389E-2</c:v>
                </c:pt>
                <c:pt idx="177">
                  <c:v>-6.6866974230073775E-2</c:v>
                </c:pt>
                <c:pt idx="178">
                  <c:v>-0.17547515786752851</c:v>
                </c:pt>
                <c:pt idx="179">
                  <c:v>-0.25637967242648413</c:v>
                </c:pt>
                <c:pt idx="180">
                  <c:v>-0.29680747398701451</c:v>
                </c:pt>
                <c:pt idx="181">
                  <c:v>-0.29037590160944587</c:v>
                </c:pt>
                <c:pt idx="182">
                  <c:v>-0.23810035915474578</c:v>
                </c:pt>
                <c:pt idx="183">
                  <c:v>-0.14823400534158268</c:v>
                </c:pt>
                <c:pt idx="184">
                  <c:v>-3.496476145514809E-2</c:v>
                </c:pt>
                <c:pt idx="185">
                  <c:v>8.3824649459677755E-2</c:v>
                </c:pt>
                <c:pt idx="186">
                  <c:v>0.18937999136169625</c:v>
                </c:pt>
                <c:pt idx="187">
                  <c:v>0.26503639671604595</c:v>
                </c:pt>
                <c:pt idx="188">
                  <c:v>0.29884938265075217</c:v>
                </c:pt>
                <c:pt idx="189">
                  <c:v>0.28548062216685477</c:v>
                </c:pt>
                <c:pt idx="190">
                  <c:v>0.22704074859237844</c:v>
                </c:pt>
                <c:pt idx="191">
                  <c:v>0.13275613298845668</c:v>
                </c:pt>
                <c:pt idx="192">
                  <c:v>1.7512243028275087E-2</c:v>
                </c:pt>
                <c:pt idx="193">
                  <c:v>-0.10049644504677026</c:v>
                </c:pt>
                <c:pt idx="194">
                  <c:v>-0.20263895416534441</c:v>
                </c:pt>
                <c:pt idx="195">
                  <c:v>-0.2727892280477045</c:v>
                </c:pt>
                <c:pt idx="196">
                  <c:v>-0.29987208091245154</c:v>
                </c:pt>
                <c:pt idx="197">
                  <c:v>-0.27961172579016785</c:v>
                </c:pt>
                <c:pt idx="198">
                  <c:v>-0.21520682726985682</c:v>
                </c:pt>
                <c:pt idx="199">
                  <c:v>-0.11682550269259515</c:v>
                </c:pt>
                <c:pt idx="200">
                  <c:v>0</c:v>
                </c:pt>
                <c:pt idx="201">
                  <c:v>0.11682550269259281</c:v>
                </c:pt>
                <c:pt idx="202">
                  <c:v>0.21520682726985682</c:v>
                </c:pt>
                <c:pt idx="203">
                  <c:v>0.27961172579016702</c:v>
                </c:pt>
                <c:pt idx="204">
                  <c:v>0.29987208091245154</c:v>
                </c:pt>
                <c:pt idx="205">
                  <c:v>0.2727892280477055</c:v>
                </c:pt>
                <c:pt idx="206">
                  <c:v>0.20263895416534441</c:v>
                </c:pt>
                <c:pt idx="207">
                  <c:v>0.10049644504677378</c:v>
                </c:pt>
                <c:pt idx="208">
                  <c:v>-1.7512243028275087E-2</c:v>
                </c:pt>
                <c:pt idx="209">
                  <c:v>-0.13275613298845465</c:v>
                </c:pt>
                <c:pt idx="210">
                  <c:v>-0.22704074859237844</c:v>
                </c:pt>
                <c:pt idx="211">
                  <c:v>-0.28548062216685477</c:v>
                </c:pt>
                <c:pt idx="212">
                  <c:v>-0.29884938265075217</c:v>
                </c:pt>
                <c:pt idx="213">
                  <c:v>-0.26503639671604595</c:v>
                </c:pt>
                <c:pt idx="214">
                  <c:v>-0.18937999136169625</c:v>
                </c:pt>
                <c:pt idx="215">
                  <c:v>-8.3824649459677755E-2</c:v>
                </c:pt>
                <c:pt idx="216">
                  <c:v>3.496476145514809E-2</c:v>
                </c:pt>
                <c:pt idx="217">
                  <c:v>0.14823400534158268</c:v>
                </c:pt>
                <c:pt idx="218">
                  <c:v>0.23810035915474578</c:v>
                </c:pt>
                <c:pt idx="219">
                  <c:v>0.29037590160944587</c:v>
                </c:pt>
                <c:pt idx="220">
                  <c:v>0.29680747398701451</c:v>
                </c:pt>
                <c:pt idx="221">
                  <c:v>0.25637967242648413</c:v>
                </c:pt>
                <c:pt idx="222">
                  <c:v>0.17547515786752851</c:v>
                </c:pt>
                <c:pt idx="223">
                  <c:v>6.6866974230073775E-2</c:v>
                </c:pt>
                <c:pt idx="224">
                  <c:v>-5.229803436689389E-2</c:v>
                </c:pt>
                <c:pt idx="225">
                  <c:v>-0.16320633326681092</c:v>
                </c:pt>
                <c:pt idx="226">
                  <c:v>-0.2483479407256961</c:v>
                </c:pt>
                <c:pt idx="227">
                  <c:v>-0.29428086901994743</c:v>
                </c:pt>
                <c:pt idx="228">
                  <c:v>-0.29375331874539506</c:v>
                </c:pt>
                <c:pt idx="229">
                  <c:v>-0.24684857849061265</c:v>
                </c:pt>
                <c:pt idx="230">
                  <c:v>-0.16097187540013047</c:v>
                </c:pt>
                <c:pt idx="231">
                  <c:v>-4.9681252634492822E-2</c:v>
                </c:pt>
                <c:pt idx="232">
                  <c:v>6.9452947530461676E-2</c:v>
                </c:pt>
                <c:pt idx="233">
                  <c:v>0.17762205441216733</c:v>
                </c:pt>
                <c:pt idx="234">
                  <c:v>0.257748544456949</c:v>
                </c:pt>
                <c:pt idx="235">
                  <c:v>0.29718220670846107</c:v>
                </c:pt>
                <c:pt idx="236">
                  <c:v>0.28969733296478339</c:v>
                </c:pt>
                <c:pt idx="237">
                  <c:v>0.23647562021259488</c:v>
                </c:pt>
                <c:pt idx="238">
                  <c:v>0.1459196066561399</c:v>
                </c:pt>
                <c:pt idx="239">
                  <c:v>3.232609568983269E-2</c:v>
                </c:pt>
                <c:pt idx="240">
                  <c:v>-8.6370994999519585E-2</c:v>
                </c:pt>
                <c:pt idx="241">
                  <c:v>-0.19143200470438423</c:v>
                </c:pt>
                <c:pt idx="242">
                  <c:v>-0.26627011007445134</c:v>
                </c:pt>
                <c:pt idx="243">
                  <c:v>-0.29907001981247883</c:v>
                </c:pt>
                <c:pt idx="244">
                  <c:v>-0.28465334937543718</c:v>
                </c:pt>
                <c:pt idx="245">
                  <c:v>-0.22529617403150282</c:v>
                </c:pt>
                <c:pt idx="246">
                  <c:v>-0.13036968662156806</c:v>
                </c:pt>
                <c:pt idx="247">
                  <c:v>-1.4860692263511289E-2</c:v>
                </c:pt>
                <c:pt idx="248">
                  <c:v>0.10299447864596861</c:v>
                </c:pt>
                <c:pt idx="249">
                  <c:v>0.20458908602044068</c:v>
                </c:pt>
                <c:pt idx="250">
                  <c:v>0.27388357521828827</c:v>
                </c:pt>
                <c:pt idx="251">
                  <c:v>0.29993787004280076</c:v>
                </c:pt>
                <c:pt idx="252">
                  <c:v>0.27863857022317212</c:v>
                </c:pt>
                <c:pt idx="253">
                  <c:v>0.21334836687179398</c:v>
                </c:pt>
                <c:pt idx="254">
                  <c:v>0.11437514749648203</c:v>
                </c:pt>
                <c:pt idx="255">
                  <c:v>-2.6553927871211629E-3</c:v>
                </c:pt>
                <c:pt idx="256">
                  <c:v>-0.11926670493643084</c:v>
                </c:pt>
                <c:pt idx="257">
                  <c:v>-0.21704842681327274</c:v>
                </c:pt>
                <c:pt idx="258">
                  <c:v>-0.28056297455836166</c:v>
                </c:pt>
                <c:pt idx="259">
                  <c:v>-0.29978279764098831</c:v>
                </c:pt>
                <c:pt idx="260">
                  <c:v>-0.27167350860198713</c:v>
                </c:pt>
                <c:pt idx="261">
                  <c:v>-0.20067294611340727</c:v>
                </c:pt>
                <c:pt idx="262">
                  <c:v>-9.799053783141666E-2</c:v>
                </c:pt>
                <c:pt idx="263">
                  <c:v>2.0162421757642476E-2</c:v>
                </c:pt>
                <c:pt idx="264">
                  <c:v>0.13513217828261678</c:v>
                </c:pt>
                <c:pt idx="265">
                  <c:v>0.22876753514388079</c:v>
                </c:pt>
                <c:pt idx="266">
                  <c:v>0.2862855283478094</c:v>
                </c:pt>
                <c:pt idx="267">
                  <c:v>0.29860533147346774</c:v>
                </c:pt>
                <c:pt idx="268">
                  <c:v>0.26378191849521676</c:v>
                </c:pt>
                <c:pt idx="269">
                  <c:v>0.18731314062491825</c:v>
                </c:pt>
                <c:pt idx="270">
                  <c:v>8.1271736492360705E-2</c:v>
                </c:pt>
                <c:pt idx="271">
                  <c:v>-3.7600687828928732E-2</c:v>
                </c:pt>
                <c:pt idx="272">
                  <c:v>-0.15053679030617131</c:v>
                </c:pt>
                <c:pt idx="273">
                  <c:v>-0.23970644359788409</c:v>
                </c:pt>
                <c:pt idx="274">
                  <c:v>-0.29103172011215561</c:v>
                </c:pt>
                <c:pt idx="275">
                  <c:v>-0.29640948722785854</c:v>
                </c:pt>
                <c:pt idx="276">
                  <c:v>-0.25499071376379839</c:v>
                </c:pt>
                <c:pt idx="277">
                  <c:v>-0.17331451333371953</c:v>
                </c:pt>
                <c:pt idx="278">
                  <c:v>-6.4275762088765259E-2</c:v>
                </c:pt>
                <c:pt idx="279">
                  <c:v>5.4910718694176401E-2</c:v>
                </c:pt>
                <c:pt idx="280">
                  <c:v>0.16542800437250718</c:v>
                </c:pt>
                <c:pt idx="281">
                  <c:v>0.24982784559233509</c:v>
                </c:pt>
                <c:pt idx="282">
                  <c:v>0.29478536320924187</c:v>
                </c:pt>
                <c:pt idx="283">
                  <c:v>0.29320275371767801</c:v>
                </c:pt>
                <c:pt idx="284">
                  <c:v>0.24532987635793252</c:v>
                </c:pt>
                <c:pt idx="285">
                  <c:v>0.15872480583600715</c:v>
                </c:pt>
                <c:pt idx="286">
                  <c:v>4.7060578514522999E-2</c:v>
                </c:pt>
                <c:pt idx="287">
                  <c:v>-7.2033479386132346E-2</c:v>
                </c:pt>
                <c:pt idx="288">
                  <c:v>-0.17975503476427956</c:v>
                </c:pt>
                <c:pt idx="289">
                  <c:v>-0.25909722260788681</c:v>
                </c:pt>
                <c:pt idx="290">
                  <c:v>-0.29753365603293475</c:v>
                </c:pt>
                <c:pt idx="291">
                  <c:v>-0.28899606734212824</c:v>
                </c:pt>
                <c:pt idx="292">
                  <c:v>-0.23483235406519498</c:v>
                </c:pt>
                <c:pt idx="293">
                  <c:v>-0.1435937755765245</c:v>
                </c:pt>
                <c:pt idx="294">
                  <c:v>-2.968489726508898E-2</c:v>
                </c:pt>
                <c:pt idx="295">
                  <c:v>8.8910573612815597E-2</c:v>
                </c:pt>
                <c:pt idx="296">
                  <c:v>0.19346901988346019</c:v>
                </c:pt>
                <c:pt idx="297">
                  <c:v>0.2674829619124322</c:v>
                </c:pt>
                <c:pt idx="298">
                  <c:v>0.29926722567234154</c:v>
                </c:pt>
                <c:pt idx="299">
                  <c:v>0.28380377478807245</c:v>
                </c:pt>
                <c:pt idx="300">
                  <c:v>0.22353394814380464</c:v>
                </c:pt>
                <c:pt idx="301">
                  <c:v>0.12797302615337194</c:v>
                </c:pt>
                <c:pt idx="302">
                  <c:v>1.2207977204959456E-2</c:v>
                </c:pt>
                <c:pt idx="303">
                  <c:v>-0.10548444291504488</c:v>
                </c:pt>
                <c:pt idx="304">
                  <c:v>-0.20652318889130111</c:v>
                </c:pt>
                <c:pt idx="305">
                  <c:v>-0.27495646437469012</c:v>
                </c:pt>
                <c:pt idx="306">
                  <c:v>-0.29998015987764109</c:v>
                </c:pt>
                <c:pt idx="307">
                  <c:v>-0.27764358410139839</c:v>
                </c:pt>
                <c:pt idx="308">
                  <c:v>-0.21147319122427441</c:v>
                </c:pt>
                <c:pt idx="309">
                  <c:v>-0.11191583132658663</c:v>
                </c:pt>
                <c:pt idx="310">
                  <c:v>5.3105775316240732E-3</c:v>
                </c:pt>
                <c:pt idx="311">
                  <c:v>0.1216985629666027</c:v>
                </c:pt>
                <c:pt idx="312">
                  <c:v>0.21887302121785748</c:v>
                </c:pt>
                <c:pt idx="313">
                  <c:v>0.28149224200006556</c:v>
                </c:pt>
                <c:pt idx="314">
                  <c:v>0.29967002722350639</c:v>
                </c:pt>
                <c:pt idx="315">
                  <c:v>0.27053650429464277</c:v>
                </c:pt>
                <c:pt idx="316">
                  <c:v>0.19869121589587285</c:v>
                </c:pt>
                <c:pt idx="317">
                  <c:v>9.5476953330746461E-2</c:v>
                </c:pt>
                <c:pt idx="318">
                  <c:v>-2.2811020817503944E-2</c:v>
                </c:pt>
                <c:pt idx="319">
                  <c:v>-0.13749763634752785</c:v>
                </c:pt>
                <c:pt idx="320">
                  <c:v>-0.23047639839710005</c:v>
                </c:pt>
                <c:pt idx="321">
                  <c:v>-0.28706800485614631</c:v>
                </c:pt>
                <c:pt idx="322">
                  <c:v>-0.29833788540135464</c:v>
                </c:pt>
                <c:pt idx="323">
                  <c:v>-0.26250677369683401</c:v>
                </c:pt>
                <c:pt idx="324">
                  <c:v>-0.18523161442603853</c:v>
                </c:pt>
                <c:pt idx="325">
                  <c:v>-7.8712456111178622E-2</c:v>
                </c:pt>
                <c:pt idx="326">
                  <c:v>4.0233668293697143E-2</c:v>
                </c:pt>
                <c:pt idx="327">
                  <c:v>0.15282778113312878</c:v>
                </c:pt>
                <c:pt idx="328">
                  <c:v>0.24129374770977421</c:v>
                </c:pt>
                <c:pt idx="329">
                  <c:v>0.2916647370913617</c:v>
                </c:pt>
                <c:pt idx="330">
                  <c:v>0.29598827761214558</c:v>
                </c:pt>
                <c:pt idx="331">
                  <c:v>0.25358177728992692</c:v>
                </c:pt>
                <c:pt idx="332">
                  <c:v>0.17114029009121168</c:v>
                </c:pt>
                <c:pt idx="333">
                  <c:v>6.1679514120780349E-2</c:v>
                </c:pt>
                <c:pt idx="334">
                  <c:v>-5.7519100919809753E-2</c:v>
                </c:pt>
                <c:pt idx="335">
                  <c:v>-0.16763671465548488</c:v>
                </c:pt>
                <c:pt idx="336">
                  <c:v>-0.25128817714410945</c:v>
                </c:pt>
                <c:pt idx="337">
                  <c:v>-0.29526676178756661</c:v>
                </c:pt>
                <c:pt idx="338">
                  <c:v>-0.29262921707202977</c:v>
                </c:pt>
                <c:pt idx="339">
                  <c:v>-0.2437919533137336</c:v>
                </c:pt>
                <c:pt idx="340">
                  <c:v>-0.15646530062607356</c:v>
                </c:pt>
                <c:pt idx="341">
                  <c:v>-4.44362173294909E-2</c:v>
                </c:pt>
                <c:pt idx="342">
                  <c:v>7.4608367619615271E-2</c:v>
                </c:pt>
                <c:pt idx="343">
                  <c:v>0.181873931810802</c:v>
                </c:pt>
                <c:pt idx="344">
                  <c:v>0.26042560121412539</c:v>
                </c:pt>
                <c:pt idx="345">
                  <c:v>0.29786179442536115</c:v>
                </c:pt>
                <c:pt idx="346">
                  <c:v>0.28827215968368614</c:v>
                </c:pt>
                <c:pt idx="347">
                  <c:v>0.23317068945786795</c:v>
                </c:pt>
                <c:pt idx="348">
                  <c:v>0.14125669432511601</c:v>
                </c:pt>
                <c:pt idx="349">
                  <c:v>2.7041373111439636E-2</c:v>
                </c:pt>
                <c:pt idx="350">
                  <c:v>-9.1443186330665005E-2</c:v>
                </c:pt>
                <c:pt idx="351">
                  <c:v>-0.19549087730446643</c:v>
                </c:pt>
                <c:pt idx="352">
                  <c:v>-0.26867485720643103</c:v>
                </c:pt>
                <c:pt idx="353">
                  <c:v>-0.29944098477981113</c:v>
                </c:pt>
                <c:pt idx="354">
                  <c:v>-0.28293196496655959</c:v>
                </c:pt>
                <c:pt idx="355">
                  <c:v>-0.22175420899476683</c:v>
                </c:pt>
                <c:pt idx="356">
                  <c:v>-0.12556633935552569</c:v>
                </c:pt>
                <c:pt idx="357">
                  <c:v>-9.5543056854428821E-3</c:v>
                </c:pt>
                <c:pt idx="358">
                  <c:v>0.1079661427722428</c:v>
                </c:pt>
                <c:pt idx="359">
                  <c:v>0.20844111124636175</c:v>
                </c:pt>
                <c:pt idx="360">
                  <c:v>0.27600781145903719</c:v>
                </c:pt>
                <c:pt idx="361">
                  <c:v>0.29999894710368197</c:v>
                </c:pt>
                <c:pt idx="362">
                  <c:v>0.27662684537923399</c:v>
                </c:pt>
                <c:pt idx="363">
                  <c:v>0.20958144724208225</c:v>
                </c:pt>
                <c:pt idx="364">
                  <c:v>0.10944774686347274</c:v>
                </c:pt>
                <c:pt idx="365">
                  <c:v>-7.9653462071900376E-3</c:v>
                </c:pt>
                <c:pt idx="366">
                  <c:v>-0.12412088625381193</c:v>
                </c:pt>
                <c:pt idx="367">
                  <c:v>-0.2206804675317238</c:v>
                </c:pt>
                <c:pt idx="368">
                  <c:v>-0.28239945530976895</c:v>
                </c:pt>
                <c:pt idx="369">
                  <c:v>-0.29953377849525337</c:v>
                </c:pt>
                <c:pt idx="370">
                  <c:v>-0.26937830420678738</c:v>
                </c:pt>
                <c:pt idx="371">
                  <c:v>-0.19669391877577569</c:v>
                </c:pt>
                <c:pt idx="372">
                  <c:v>-9.2955888477093185E-2</c:v>
                </c:pt>
                <c:pt idx="373">
                  <c:v>2.5457832697513741E-2</c:v>
                </c:pt>
                <c:pt idx="374">
                  <c:v>0.1398523218561516</c:v>
                </c:pt>
                <c:pt idx="375">
                  <c:v>0.23216720446736672</c:v>
                </c:pt>
                <c:pt idx="376">
                  <c:v>0.28782799038701506</c:v>
                </c:pt>
                <c:pt idx="377">
                  <c:v>0.29804706538806636</c:v>
                </c:pt>
                <c:pt idx="378">
                  <c:v>0.26121106222493545</c:v>
                </c:pt>
                <c:pt idx="379">
                  <c:v>0.18313557584683285</c:v>
                </c:pt>
                <c:pt idx="380">
                  <c:v>7.6147008828610876E-2</c:v>
                </c:pt>
                <c:pt idx="381">
                  <c:v>-4.2863496562779581E-2</c:v>
                </c:pt>
                <c:pt idx="382">
                  <c:v>-0.15510679832971305</c:v>
                </c:pt>
                <c:pt idx="383">
                  <c:v>-0.24286214712956503</c:v>
                </c:pt>
                <c:pt idx="384">
                  <c:v>-0.29227490295195008</c:v>
                </c:pt>
                <c:pt idx="385">
                  <c:v>-0.29554387814047423</c:v>
                </c:pt>
                <c:pt idx="386">
                  <c:v>-0.25215297339111498</c:v>
                </c:pt>
                <c:pt idx="387">
                  <c:v>-0.16895265848433152</c:v>
                </c:pt>
                <c:pt idx="388">
                  <c:v>-5.9078433734909327E-2</c:v>
                </c:pt>
                <c:pt idx="389">
                  <c:v>6.0122976684320484E-2</c:v>
                </c:pt>
                <c:pt idx="390">
                  <c:v>0.16983229106945411</c:v>
                </c:pt>
                <c:pt idx="391">
                  <c:v>0.25272882096811383</c:v>
                </c:pt>
                <c:pt idx="392">
                  <c:v>0.29572502703868453</c:v>
                </c:pt>
                <c:pt idx="393">
                  <c:v>0.29203275374344656</c:v>
                </c:pt>
                <c:pt idx="394">
                  <c:v>0.24223492984999395</c:v>
                </c:pt>
                <c:pt idx="395">
                  <c:v>0.15419353679626055</c:v>
                </c:pt>
                <c:pt idx="396">
                  <c:v>4.1808374690773725E-2</c:v>
                </c:pt>
                <c:pt idx="397">
                  <c:v>-7.7177410495598397E-2</c:v>
                </c:pt>
                <c:pt idx="398">
                  <c:v>-0.18397857954206673</c:v>
                </c:pt>
                <c:pt idx="399">
                  <c:v>-0.26173357620090837</c:v>
                </c:pt>
                <c:pt idx="400">
                  <c:v>-0.29816659617701258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A54-4EF9-8940-498A6CB66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085168"/>
        <c:axId val="1600395424"/>
      </c:scatterChart>
      <c:valAx>
        <c:axId val="1676085168"/>
        <c:scaling>
          <c:orientation val="minMax"/>
          <c:max val="2"/>
          <c:min val="-2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600395424"/>
        <c:crosses val="autoZero"/>
        <c:crossBetween val="midCat"/>
      </c:valAx>
      <c:valAx>
        <c:axId val="1600395424"/>
        <c:scaling>
          <c:orientation val="minMax"/>
          <c:min val="-0.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low"/>
        <c:crossAx val="1676085168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5099676768160951"/>
          <c:y val="0.73076159536123508"/>
          <c:w val="9.8383420822397205E-2"/>
          <c:h val="0.269237882472116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Sheet1!$D$1</c:f>
              <c:strCache>
                <c:ptCount val="1"/>
                <c:pt idx="0">
                  <c:v>T(t)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Sheet1!$C$2:$C$402</c:f>
              <c:numCache>
                <c:formatCode>0.0_ </c:formatCode>
                <c:ptCount val="401"/>
                <c:pt idx="0">
                  <c:v>-100</c:v>
                </c:pt>
                <c:pt idx="1">
                  <c:v>-99.5</c:v>
                </c:pt>
                <c:pt idx="2">
                  <c:v>-99</c:v>
                </c:pt>
                <c:pt idx="3">
                  <c:v>-98.5</c:v>
                </c:pt>
                <c:pt idx="4">
                  <c:v>-98</c:v>
                </c:pt>
                <c:pt idx="5">
                  <c:v>-97.5</c:v>
                </c:pt>
                <c:pt idx="6">
                  <c:v>-97</c:v>
                </c:pt>
                <c:pt idx="7">
                  <c:v>-96.5</c:v>
                </c:pt>
                <c:pt idx="8">
                  <c:v>-96</c:v>
                </c:pt>
                <c:pt idx="9">
                  <c:v>-95.5</c:v>
                </c:pt>
                <c:pt idx="10">
                  <c:v>-95</c:v>
                </c:pt>
                <c:pt idx="11">
                  <c:v>-94.5</c:v>
                </c:pt>
                <c:pt idx="12">
                  <c:v>-94</c:v>
                </c:pt>
                <c:pt idx="13">
                  <c:v>-93.5</c:v>
                </c:pt>
                <c:pt idx="14">
                  <c:v>-93</c:v>
                </c:pt>
                <c:pt idx="15">
                  <c:v>-92.5</c:v>
                </c:pt>
                <c:pt idx="16">
                  <c:v>-92</c:v>
                </c:pt>
                <c:pt idx="17">
                  <c:v>-91.5</c:v>
                </c:pt>
                <c:pt idx="18">
                  <c:v>-91</c:v>
                </c:pt>
                <c:pt idx="19">
                  <c:v>-90.5</c:v>
                </c:pt>
                <c:pt idx="20">
                  <c:v>-90</c:v>
                </c:pt>
                <c:pt idx="21">
                  <c:v>-89.5</c:v>
                </c:pt>
                <c:pt idx="22">
                  <c:v>-89</c:v>
                </c:pt>
                <c:pt idx="23">
                  <c:v>-88.5</c:v>
                </c:pt>
                <c:pt idx="24">
                  <c:v>-88</c:v>
                </c:pt>
                <c:pt idx="25">
                  <c:v>-87.5</c:v>
                </c:pt>
                <c:pt idx="26">
                  <c:v>-87</c:v>
                </c:pt>
                <c:pt idx="27">
                  <c:v>-86.5</c:v>
                </c:pt>
                <c:pt idx="28">
                  <c:v>-86</c:v>
                </c:pt>
                <c:pt idx="29">
                  <c:v>-85.5</c:v>
                </c:pt>
                <c:pt idx="30">
                  <c:v>-85</c:v>
                </c:pt>
                <c:pt idx="31">
                  <c:v>-84.5</c:v>
                </c:pt>
                <c:pt idx="32">
                  <c:v>-84</c:v>
                </c:pt>
                <c:pt idx="33">
                  <c:v>-83.5</c:v>
                </c:pt>
                <c:pt idx="34">
                  <c:v>-83</c:v>
                </c:pt>
                <c:pt idx="35">
                  <c:v>-82.5</c:v>
                </c:pt>
                <c:pt idx="36">
                  <c:v>-82</c:v>
                </c:pt>
                <c:pt idx="37">
                  <c:v>-81.5</c:v>
                </c:pt>
                <c:pt idx="38">
                  <c:v>-81</c:v>
                </c:pt>
                <c:pt idx="39">
                  <c:v>-80.5</c:v>
                </c:pt>
                <c:pt idx="40">
                  <c:v>-80</c:v>
                </c:pt>
                <c:pt idx="41">
                  <c:v>-79.5</c:v>
                </c:pt>
                <c:pt idx="42">
                  <c:v>-79</c:v>
                </c:pt>
                <c:pt idx="43">
                  <c:v>-78.5</c:v>
                </c:pt>
                <c:pt idx="44">
                  <c:v>-78</c:v>
                </c:pt>
                <c:pt idx="45">
                  <c:v>-77.5</c:v>
                </c:pt>
                <c:pt idx="46">
                  <c:v>-77</c:v>
                </c:pt>
                <c:pt idx="47">
                  <c:v>-76.5</c:v>
                </c:pt>
                <c:pt idx="48">
                  <c:v>-76</c:v>
                </c:pt>
                <c:pt idx="49">
                  <c:v>-75.5</c:v>
                </c:pt>
                <c:pt idx="50">
                  <c:v>-75</c:v>
                </c:pt>
                <c:pt idx="51">
                  <c:v>-74.5</c:v>
                </c:pt>
                <c:pt idx="52">
                  <c:v>-74</c:v>
                </c:pt>
                <c:pt idx="53">
                  <c:v>-73.5</c:v>
                </c:pt>
                <c:pt idx="54">
                  <c:v>-73</c:v>
                </c:pt>
                <c:pt idx="55">
                  <c:v>-72.5</c:v>
                </c:pt>
                <c:pt idx="56">
                  <c:v>-72</c:v>
                </c:pt>
                <c:pt idx="57">
                  <c:v>-71.5</c:v>
                </c:pt>
                <c:pt idx="58">
                  <c:v>-71</c:v>
                </c:pt>
                <c:pt idx="59">
                  <c:v>-70.5</c:v>
                </c:pt>
                <c:pt idx="60">
                  <c:v>-70</c:v>
                </c:pt>
                <c:pt idx="61">
                  <c:v>-69.5</c:v>
                </c:pt>
                <c:pt idx="62">
                  <c:v>-69</c:v>
                </c:pt>
                <c:pt idx="63">
                  <c:v>-68.5</c:v>
                </c:pt>
                <c:pt idx="64">
                  <c:v>-68</c:v>
                </c:pt>
                <c:pt idx="65">
                  <c:v>-67.5</c:v>
                </c:pt>
                <c:pt idx="66">
                  <c:v>-67</c:v>
                </c:pt>
                <c:pt idx="67">
                  <c:v>-66.5</c:v>
                </c:pt>
                <c:pt idx="68">
                  <c:v>-66</c:v>
                </c:pt>
                <c:pt idx="69">
                  <c:v>-65.5</c:v>
                </c:pt>
                <c:pt idx="70">
                  <c:v>-65</c:v>
                </c:pt>
                <c:pt idx="71">
                  <c:v>-64.5</c:v>
                </c:pt>
                <c:pt idx="72">
                  <c:v>-64</c:v>
                </c:pt>
                <c:pt idx="73">
                  <c:v>-63.5</c:v>
                </c:pt>
                <c:pt idx="74">
                  <c:v>-63</c:v>
                </c:pt>
                <c:pt idx="75">
                  <c:v>-62.5</c:v>
                </c:pt>
                <c:pt idx="76">
                  <c:v>-62</c:v>
                </c:pt>
                <c:pt idx="77">
                  <c:v>-61.5</c:v>
                </c:pt>
                <c:pt idx="78">
                  <c:v>-61</c:v>
                </c:pt>
                <c:pt idx="79">
                  <c:v>-60.5</c:v>
                </c:pt>
                <c:pt idx="80">
                  <c:v>-60</c:v>
                </c:pt>
                <c:pt idx="81">
                  <c:v>-59.5</c:v>
                </c:pt>
                <c:pt idx="82">
                  <c:v>-59</c:v>
                </c:pt>
                <c:pt idx="83">
                  <c:v>-58.5</c:v>
                </c:pt>
                <c:pt idx="84">
                  <c:v>-58</c:v>
                </c:pt>
                <c:pt idx="85">
                  <c:v>-57.5</c:v>
                </c:pt>
                <c:pt idx="86">
                  <c:v>-57</c:v>
                </c:pt>
                <c:pt idx="87">
                  <c:v>-56.5</c:v>
                </c:pt>
                <c:pt idx="88">
                  <c:v>-56</c:v>
                </c:pt>
                <c:pt idx="89">
                  <c:v>-55.5</c:v>
                </c:pt>
                <c:pt idx="90">
                  <c:v>-55</c:v>
                </c:pt>
                <c:pt idx="91">
                  <c:v>-54.5</c:v>
                </c:pt>
                <c:pt idx="92">
                  <c:v>-54</c:v>
                </c:pt>
                <c:pt idx="93">
                  <c:v>-53.5</c:v>
                </c:pt>
                <c:pt idx="94">
                  <c:v>-53</c:v>
                </c:pt>
                <c:pt idx="95">
                  <c:v>-52.5</c:v>
                </c:pt>
                <c:pt idx="96">
                  <c:v>-52</c:v>
                </c:pt>
                <c:pt idx="97">
                  <c:v>-51.5</c:v>
                </c:pt>
                <c:pt idx="98">
                  <c:v>-51</c:v>
                </c:pt>
                <c:pt idx="99">
                  <c:v>-50.5</c:v>
                </c:pt>
                <c:pt idx="100">
                  <c:v>-50</c:v>
                </c:pt>
                <c:pt idx="101">
                  <c:v>-49.5</c:v>
                </c:pt>
                <c:pt idx="102">
                  <c:v>-49</c:v>
                </c:pt>
                <c:pt idx="103">
                  <c:v>-48.5</c:v>
                </c:pt>
                <c:pt idx="104">
                  <c:v>-48</c:v>
                </c:pt>
                <c:pt idx="105">
                  <c:v>-47.5</c:v>
                </c:pt>
                <c:pt idx="106">
                  <c:v>-47</c:v>
                </c:pt>
                <c:pt idx="107">
                  <c:v>-46.5</c:v>
                </c:pt>
                <c:pt idx="108">
                  <c:v>-46</c:v>
                </c:pt>
                <c:pt idx="109">
                  <c:v>-45.5</c:v>
                </c:pt>
                <c:pt idx="110">
                  <c:v>-45</c:v>
                </c:pt>
                <c:pt idx="111">
                  <c:v>-44.5</c:v>
                </c:pt>
                <c:pt idx="112">
                  <c:v>-44</c:v>
                </c:pt>
                <c:pt idx="113">
                  <c:v>-43.5</c:v>
                </c:pt>
                <c:pt idx="114">
                  <c:v>-43</c:v>
                </c:pt>
                <c:pt idx="115">
                  <c:v>-42.5</c:v>
                </c:pt>
                <c:pt idx="116">
                  <c:v>-42</c:v>
                </c:pt>
                <c:pt idx="117">
                  <c:v>-41.5</c:v>
                </c:pt>
                <c:pt idx="118">
                  <c:v>-41</c:v>
                </c:pt>
                <c:pt idx="119">
                  <c:v>-40.5</c:v>
                </c:pt>
                <c:pt idx="120">
                  <c:v>-40</c:v>
                </c:pt>
                <c:pt idx="121">
                  <c:v>-39.5</c:v>
                </c:pt>
                <c:pt idx="122">
                  <c:v>-39</c:v>
                </c:pt>
                <c:pt idx="123">
                  <c:v>-38.5</c:v>
                </c:pt>
                <c:pt idx="124">
                  <c:v>-38</c:v>
                </c:pt>
                <c:pt idx="125">
                  <c:v>-37.5</c:v>
                </c:pt>
                <c:pt idx="126">
                  <c:v>-37</c:v>
                </c:pt>
                <c:pt idx="127">
                  <c:v>-36.5</c:v>
                </c:pt>
                <c:pt idx="128">
                  <c:v>-36</c:v>
                </c:pt>
                <c:pt idx="129">
                  <c:v>-35.5</c:v>
                </c:pt>
                <c:pt idx="130">
                  <c:v>-35</c:v>
                </c:pt>
                <c:pt idx="131">
                  <c:v>-34.5</c:v>
                </c:pt>
                <c:pt idx="132">
                  <c:v>-34</c:v>
                </c:pt>
                <c:pt idx="133">
                  <c:v>-33.5</c:v>
                </c:pt>
                <c:pt idx="134">
                  <c:v>-33</c:v>
                </c:pt>
                <c:pt idx="135">
                  <c:v>-32.5</c:v>
                </c:pt>
                <c:pt idx="136">
                  <c:v>-32</c:v>
                </c:pt>
                <c:pt idx="137">
                  <c:v>-31.5</c:v>
                </c:pt>
                <c:pt idx="138">
                  <c:v>-31</c:v>
                </c:pt>
                <c:pt idx="139">
                  <c:v>-30.5</c:v>
                </c:pt>
                <c:pt idx="140">
                  <c:v>-30</c:v>
                </c:pt>
                <c:pt idx="141">
                  <c:v>-29.5</c:v>
                </c:pt>
                <c:pt idx="142">
                  <c:v>-29</c:v>
                </c:pt>
                <c:pt idx="143">
                  <c:v>-28.5</c:v>
                </c:pt>
                <c:pt idx="144">
                  <c:v>-28</c:v>
                </c:pt>
                <c:pt idx="145">
                  <c:v>-27.5</c:v>
                </c:pt>
                <c:pt idx="146">
                  <c:v>-27</c:v>
                </c:pt>
                <c:pt idx="147">
                  <c:v>-26.5</c:v>
                </c:pt>
                <c:pt idx="148">
                  <c:v>-26</c:v>
                </c:pt>
                <c:pt idx="149">
                  <c:v>-25.5</c:v>
                </c:pt>
                <c:pt idx="150">
                  <c:v>-25</c:v>
                </c:pt>
                <c:pt idx="151">
                  <c:v>-24.5</c:v>
                </c:pt>
                <c:pt idx="152">
                  <c:v>-24</c:v>
                </c:pt>
                <c:pt idx="153">
                  <c:v>-23.5</c:v>
                </c:pt>
                <c:pt idx="154">
                  <c:v>-23</c:v>
                </c:pt>
                <c:pt idx="155">
                  <c:v>-22.5</c:v>
                </c:pt>
                <c:pt idx="156">
                  <c:v>-22</c:v>
                </c:pt>
                <c:pt idx="157">
                  <c:v>-21.5</c:v>
                </c:pt>
                <c:pt idx="158">
                  <c:v>-21</c:v>
                </c:pt>
                <c:pt idx="159">
                  <c:v>-20.5</c:v>
                </c:pt>
                <c:pt idx="160">
                  <c:v>-20</c:v>
                </c:pt>
                <c:pt idx="161">
                  <c:v>-19.5</c:v>
                </c:pt>
                <c:pt idx="162">
                  <c:v>-19</c:v>
                </c:pt>
                <c:pt idx="163">
                  <c:v>-18.5</c:v>
                </c:pt>
                <c:pt idx="164">
                  <c:v>-18</c:v>
                </c:pt>
                <c:pt idx="165">
                  <c:v>-17.5</c:v>
                </c:pt>
                <c:pt idx="166">
                  <c:v>-17</c:v>
                </c:pt>
                <c:pt idx="167">
                  <c:v>-16.5</c:v>
                </c:pt>
                <c:pt idx="168">
                  <c:v>-16</c:v>
                </c:pt>
                <c:pt idx="169">
                  <c:v>-15.5</c:v>
                </c:pt>
                <c:pt idx="170">
                  <c:v>-15</c:v>
                </c:pt>
                <c:pt idx="171">
                  <c:v>-14.5</c:v>
                </c:pt>
                <c:pt idx="172">
                  <c:v>-14</c:v>
                </c:pt>
                <c:pt idx="173">
                  <c:v>-13.5</c:v>
                </c:pt>
                <c:pt idx="174">
                  <c:v>-13</c:v>
                </c:pt>
                <c:pt idx="175">
                  <c:v>-12.5</c:v>
                </c:pt>
                <c:pt idx="176">
                  <c:v>-12</c:v>
                </c:pt>
                <c:pt idx="177">
                  <c:v>-11.5</c:v>
                </c:pt>
                <c:pt idx="178">
                  <c:v>-11</c:v>
                </c:pt>
                <c:pt idx="179">
                  <c:v>-10.5</c:v>
                </c:pt>
                <c:pt idx="180">
                  <c:v>-10</c:v>
                </c:pt>
                <c:pt idx="181">
                  <c:v>-9.5</c:v>
                </c:pt>
                <c:pt idx="182">
                  <c:v>-9</c:v>
                </c:pt>
                <c:pt idx="183">
                  <c:v>-8.5</c:v>
                </c:pt>
                <c:pt idx="184">
                  <c:v>-8</c:v>
                </c:pt>
                <c:pt idx="185">
                  <c:v>-7.5</c:v>
                </c:pt>
                <c:pt idx="186">
                  <c:v>-7</c:v>
                </c:pt>
                <c:pt idx="187">
                  <c:v>-6.5</c:v>
                </c:pt>
                <c:pt idx="188">
                  <c:v>-6</c:v>
                </c:pt>
                <c:pt idx="189">
                  <c:v>-5.5</c:v>
                </c:pt>
                <c:pt idx="190">
                  <c:v>-5</c:v>
                </c:pt>
                <c:pt idx="191">
                  <c:v>-4.5</c:v>
                </c:pt>
                <c:pt idx="192">
                  <c:v>-4</c:v>
                </c:pt>
                <c:pt idx="193">
                  <c:v>-3.5</c:v>
                </c:pt>
                <c:pt idx="194">
                  <c:v>-3</c:v>
                </c:pt>
                <c:pt idx="195">
                  <c:v>-2.5</c:v>
                </c:pt>
                <c:pt idx="196">
                  <c:v>-2</c:v>
                </c:pt>
                <c:pt idx="197">
                  <c:v>-1.5</c:v>
                </c:pt>
                <c:pt idx="198">
                  <c:v>-1</c:v>
                </c:pt>
                <c:pt idx="199">
                  <c:v>-0.5</c:v>
                </c:pt>
                <c:pt idx="200">
                  <c:v>0</c:v>
                </c:pt>
                <c:pt idx="201">
                  <c:v>0.5</c:v>
                </c:pt>
                <c:pt idx="202">
                  <c:v>1</c:v>
                </c:pt>
                <c:pt idx="203">
                  <c:v>1.5</c:v>
                </c:pt>
                <c:pt idx="204">
                  <c:v>2</c:v>
                </c:pt>
                <c:pt idx="205">
                  <c:v>2.5</c:v>
                </c:pt>
                <c:pt idx="206">
                  <c:v>3</c:v>
                </c:pt>
                <c:pt idx="207">
                  <c:v>3.5</c:v>
                </c:pt>
                <c:pt idx="208">
                  <c:v>4</c:v>
                </c:pt>
                <c:pt idx="209">
                  <c:v>4.5</c:v>
                </c:pt>
                <c:pt idx="210">
                  <c:v>5</c:v>
                </c:pt>
                <c:pt idx="211">
                  <c:v>5.5</c:v>
                </c:pt>
                <c:pt idx="212">
                  <c:v>6</c:v>
                </c:pt>
                <c:pt idx="213">
                  <c:v>6.5</c:v>
                </c:pt>
                <c:pt idx="214">
                  <c:v>7</c:v>
                </c:pt>
                <c:pt idx="215">
                  <c:v>7.5</c:v>
                </c:pt>
                <c:pt idx="216">
                  <c:v>8</c:v>
                </c:pt>
                <c:pt idx="217">
                  <c:v>8.5</c:v>
                </c:pt>
                <c:pt idx="218">
                  <c:v>9</c:v>
                </c:pt>
                <c:pt idx="219">
                  <c:v>9.5</c:v>
                </c:pt>
                <c:pt idx="220">
                  <c:v>10</c:v>
                </c:pt>
                <c:pt idx="221">
                  <c:v>10.5</c:v>
                </c:pt>
                <c:pt idx="222">
                  <c:v>11</c:v>
                </c:pt>
                <c:pt idx="223">
                  <c:v>11.5</c:v>
                </c:pt>
                <c:pt idx="224">
                  <c:v>12</c:v>
                </c:pt>
                <c:pt idx="225">
                  <c:v>12.5</c:v>
                </c:pt>
                <c:pt idx="226">
                  <c:v>13</c:v>
                </c:pt>
                <c:pt idx="227">
                  <c:v>13.5</c:v>
                </c:pt>
                <c:pt idx="228">
                  <c:v>14</c:v>
                </c:pt>
                <c:pt idx="229">
                  <c:v>14.5</c:v>
                </c:pt>
                <c:pt idx="230">
                  <c:v>15</c:v>
                </c:pt>
                <c:pt idx="231">
                  <c:v>15.5</c:v>
                </c:pt>
                <c:pt idx="232">
                  <c:v>16</c:v>
                </c:pt>
                <c:pt idx="233">
                  <c:v>16.5</c:v>
                </c:pt>
                <c:pt idx="234">
                  <c:v>17</c:v>
                </c:pt>
                <c:pt idx="235">
                  <c:v>17.5</c:v>
                </c:pt>
                <c:pt idx="236">
                  <c:v>18</c:v>
                </c:pt>
                <c:pt idx="237">
                  <c:v>18.5</c:v>
                </c:pt>
                <c:pt idx="238">
                  <c:v>19</c:v>
                </c:pt>
                <c:pt idx="239">
                  <c:v>19.5</c:v>
                </c:pt>
                <c:pt idx="240">
                  <c:v>20</c:v>
                </c:pt>
                <c:pt idx="241">
                  <c:v>20.5</c:v>
                </c:pt>
                <c:pt idx="242">
                  <c:v>21</c:v>
                </c:pt>
                <c:pt idx="243">
                  <c:v>21.5</c:v>
                </c:pt>
                <c:pt idx="244">
                  <c:v>22</c:v>
                </c:pt>
                <c:pt idx="245">
                  <c:v>22.5</c:v>
                </c:pt>
                <c:pt idx="246">
                  <c:v>23</c:v>
                </c:pt>
                <c:pt idx="247">
                  <c:v>23.5</c:v>
                </c:pt>
                <c:pt idx="248">
                  <c:v>24</c:v>
                </c:pt>
                <c:pt idx="249">
                  <c:v>24.5</c:v>
                </c:pt>
                <c:pt idx="250">
                  <c:v>25</c:v>
                </c:pt>
                <c:pt idx="251">
                  <c:v>25.5</c:v>
                </c:pt>
                <c:pt idx="252">
                  <c:v>26</c:v>
                </c:pt>
                <c:pt idx="253">
                  <c:v>26.5</c:v>
                </c:pt>
                <c:pt idx="254">
                  <c:v>27</c:v>
                </c:pt>
                <c:pt idx="255">
                  <c:v>27.5</c:v>
                </c:pt>
                <c:pt idx="256">
                  <c:v>28</c:v>
                </c:pt>
                <c:pt idx="257">
                  <c:v>28.5</c:v>
                </c:pt>
                <c:pt idx="258">
                  <c:v>29</c:v>
                </c:pt>
                <c:pt idx="259">
                  <c:v>29.5</c:v>
                </c:pt>
                <c:pt idx="260">
                  <c:v>30</c:v>
                </c:pt>
                <c:pt idx="261">
                  <c:v>30.5</c:v>
                </c:pt>
                <c:pt idx="262">
                  <c:v>31</c:v>
                </c:pt>
                <c:pt idx="263">
                  <c:v>31.5</c:v>
                </c:pt>
                <c:pt idx="264">
                  <c:v>32</c:v>
                </c:pt>
                <c:pt idx="265">
                  <c:v>32.5</c:v>
                </c:pt>
                <c:pt idx="266">
                  <c:v>33</c:v>
                </c:pt>
                <c:pt idx="267">
                  <c:v>33.5</c:v>
                </c:pt>
                <c:pt idx="268">
                  <c:v>34</c:v>
                </c:pt>
                <c:pt idx="269">
                  <c:v>34.5</c:v>
                </c:pt>
                <c:pt idx="270">
                  <c:v>35</c:v>
                </c:pt>
                <c:pt idx="271">
                  <c:v>35.5</c:v>
                </c:pt>
                <c:pt idx="272">
                  <c:v>36</c:v>
                </c:pt>
                <c:pt idx="273">
                  <c:v>36.5</c:v>
                </c:pt>
                <c:pt idx="274">
                  <c:v>37</c:v>
                </c:pt>
                <c:pt idx="275">
                  <c:v>37.5</c:v>
                </c:pt>
                <c:pt idx="276">
                  <c:v>38</c:v>
                </c:pt>
                <c:pt idx="277">
                  <c:v>38.5</c:v>
                </c:pt>
                <c:pt idx="278">
                  <c:v>39</c:v>
                </c:pt>
                <c:pt idx="279">
                  <c:v>39.5</c:v>
                </c:pt>
                <c:pt idx="280">
                  <c:v>40</c:v>
                </c:pt>
                <c:pt idx="281">
                  <c:v>40.5</c:v>
                </c:pt>
                <c:pt idx="282">
                  <c:v>41</c:v>
                </c:pt>
                <c:pt idx="283">
                  <c:v>41.5</c:v>
                </c:pt>
                <c:pt idx="284">
                  <c:v>42</c:v>
                </c:pt>
                <c:pt idx="285">
                  <c:v>42.5</c:v>
                </c:pt>
                <c:pt idx="286">
                  <c:v>43</c:v>
                </c:pt>
                <c:pt idx="287">
                  <c:v>43.5</c:v>
                </c:pt>
                <c:pt idx="288">
                  <c:v>44</c:v>
                </c:pt>
                <c:pt idx="289">
                  <c:v>44.5</c:v>
                </c:pt>
                <c:pt idx="290">
                  <c:v>45</c:v>
                </c:pt>
                <c:pt idx="291">
                  <c:v>45.5</c:v>
                </c:pt>
                <c:pt idx="292">
                  <c:v>46</c:v>
                </c:pt>
                <c:pt idx="293">
                  <c:v>46.5</c:v>
                </c:pt>
                <c:pt idx="294">
                  <c:v>47</c:v>
                </c:pt>
                <c:pt idx="295">
                  <c:v>47.5</c:v>
                </c:pt>
                <c:pt idx="296">
                  <c:v>48</c:v>
                </c:pt>
                <c:pt idx="297">
                  <c:v>48.5</c:v>
                </c:pt>
                <c:pt idx="298">
                  <c:v>49</c:v>
                </c:pt>
                <c:pt idx="299">
                  <c:v>49.5</c:v>
                </c:pt>
                <c:pt idx="300">
                  <c:v>50</c:v>
                </c:pt>
                <c:pt idx="301">
                  <c:v>50.5</c:v>
                </c:pt>
                <c:pt idx="302">
                  <c:v>51</c:v>
                </c:pt>
                <c:pt idx="303">
                  <c:v>51.5</c:v>
                </c:pt>
                <c:pt idx="304">
                  <c:v>52</c:v>
                </c:pt>
                <c:pt idx="305">
                  <c:v>52.5</c:v>
                </c:pt>
                <c:pt idx="306">
                  <c:v>53</c:v>
                </c:pt>
                <c:pt idx="307">
                  <c:v>53.5</c:v>
                </c:pt>
                <c:pt idx="308">
                  <c:v>54</c:v>
                </c:pt>
                <c:pt idx="309">
                  <c:v>54.5</c:v>
                </c:pt>
                <c:pt idx="310">
                  <c:v>55</c:v>
                </c:pt>
                <c:pt idx="311">
                  <c:v>55.5</c:v>
                </c:pt>
                <c:pt idx="312">
                  <c:v>56</c:v>
                </c:pt>
                <c:pt idx="313">
                  <c:v>56.5</c:v>
                </c:pt>
                <c:pt idx="314">
                  <c:v>57</c:v>
                </c:pt>
                <c:pt idx="315">
                  <c:v>57.5</c:v>
                </c:pt>
                <c:pt idx="316">
                  <c:v>58</c:v>
                </c:pt>
                <c:pt idx="317">
                  <c:v>58.5</c:v>
                </c:pt>
                <c:pt idx="318">
                  <c:v>59</c:v>
                </c:pt>
                <c:pt idx="319">
                  <c:v>59.5</c:v>
                </c:pt>
                <c:pt idx="320">
                  <c:v>60</c:v>
                </c:pt>
                <c:pt idx="321">
                  <c:v>60.5</c:v>
                </c:pt>
                <c:pt idx="322">
                  <c:v>61</c:v>
                </c:pt>
                <c:pt idx="323">
                  <c:v>61.5</c:v>
                </c:pt>
                <c:pt idx="324">
                  <c:v>62</c:v>
                </c:pt>
                <c:pt idx="325">
                  <c:v>62.5</c:v>
                </c:pt>
                <c:pt idx="326">
                  <c:v>63</c:v>
                </c:pt>
                <c:pt idx="327">
                  <c:v>63.5</c:v>
                </c:pt>
                <c:pt idx="328">
                  <c:v>64</c:v>
                </c:pt>
                <c:pt idx="329">
                  <c:v>64.5</c:v>
                </c:pt>
                <c:pt idx="330">
                  <c:v>65</c:v>
                </c:pt>
                <c:pt idx="331">
                  <c:v>65.5</c:v>
                </c:pt>
                <c:pt idx="332">
                  <c:v>66</c:v>
                </c:pt>
                <c:pt idx="333">
                  <c:v>66.5</c:v>
                </c:pt>
                <c:pt idx="334">
                  <c:v>67</c:v>
                </c:pt>
                <c:pt idx="335">
                  <c:v>67.5</c:v>
                </c:pt>
                <c:pt idx="336">
                  <c:v>68</c:v>
                </c:pt>
                <c:pt idx="337">
                  <c:v>68.5</c:v>
                </c:pt>
                <c:pt idx="338">
                  <c:v>69</c:v>
                </c:pt>
                <c:pt idx="339">
                  <c:v>69.5</c:v>
                </c:pt>
                <c:pt idx="340">
                  <c:v>70</c:v>
                </c:pt>
                <c:pt idx="341">
                  <c:v>70.5</c:v>
                </c:pt>
                <c:pt idx="342">
                  <c:v>71</c:v>
                </c:pt>
                <c:pt idx="343">
                  <c:v>71.5</c:v>
                </c:pt>
                <c:pt idx="344">
                  <c:v>72</c:v>
                </c:pt>
                <c:pt idx="345">
                  <c:v>72.5</c:v>
                </c:pt>
                <c:pt idx="346">
                  <c:v>73</c:v>
                </c:pt>
                <c:pt idx="347">
                  <c:v>73.5</c:v>
                </c:pt>
                <c:pt idx="348">
                  <c:v>74</c:v>
                </c:pt>
                <c:pt idx="349">
                  <c:v>74.5</c:v>
                </c:pt>
                <c:pt idx="350">
                  <c:v>75</c:v>
                </c:pt>
                <c:pt idx="351">
                  <c:v>75.5</c:v>
                </c:pt>
                <c:pt idx="352">
                  <c:v>76</c:v>
                </c:pt>
                <c:pt idx="353">
                  <c:v>76.5</c:v>
                </c:pt>
                <c:pt idx="354">
                  <c:v>77</c:v>
                </c:pt>
                <c:pt idx="355">
                  <c:v>77.5</c:v>
                </c:pt>
                <c:pt idx="356">
                  <c:v>78</c:v>
                </c:pt>
                <c:pt idx="357">
                  <c:v>78.5</c:v>
                </c:pt>
                <c:pt idx="358">
                  <c:v>79</c:v>
                </c:pt>
                <c:pt idx="359">
                  <c:v>79.5</c:v>
                </c:pt>
                <c:pt idx="360">
                  <c:v>80</c:v>
                </c:pt>
                <c:pt idx="361">
                  <c:v>80.5</c:v>
                </c:pt>
                <c:pt idx="362">
                  <c:v>81</c:v>
                </c:pt>
                <c:pt idx="363">
                  <c:v>81.5</c:v>
                </c:pt>
                <c:pt idx="364">
                  <c:v>82</c:v>
                </c:pt>
                <c:pt idx="365">
                  <c:v>82.5</c:v>
                </c:pt>
                <c:pt idx="366">
                  <c:v>83</c:v>
                </c:pt>
                <c:pt idx="367">
                  <c:v>83.5</c:v>
                </c:pt>
                <c:pt idx="368">
                  <c:v>84</c:v>
                </c:pt>
                <c:pt idx="369">
                  <c:v>84.5</c:v>
                </c:pt>
                <c:pt idx="370">
                  <c:v>85</c:v>
                </c:pt>
                <c:pt idx="371">
                  <c:v>85.5</c:v>
                </c:pt>
                <c:pt idx="372">
                  <c:v>86</c:v>
                </c:pt>
                <c:pt idx="373">
                  <c:v>86.5</c:v>
                </c:pt>
                <c:pt idx="374">
                  <c:v>87</c:v>
                </c:pt>
                <c:pt idx="375">
                  <c:v>87.5</c:v>
                </c:pt>
                <c:pt idx="376">
                  <c:v>88</c:v>
                </c:pt>
                <c:pt idx="377">
                  <c:v>88.5</c:v>
                </c:pt>
                <c:pt idx="378">
                  <c:v>89</c:v>
                </c:pt>
                <c:pt idx="379">
                  <c:v>89.5</c:v>
                </c:pt>
                <c:pt idx="380">
                  <c:v>90</c:v>
                </c:pt>
                <c:pt idx="381">
                  <c:v>90.5</c:v>
                </c:pt>
                <c:pt idx="382">
                  <c:v>91</c:v>
                </c:pt>
                <c:pt idx="383">
                  <c:v>91.5</c:v>
                </c:pt>
                <c:pt idx="384">
                  <c:v>92</c:v>
                </c:pt>
                <c:pt idx="385">
                  <c:v>92.5</c:v>
                </c:pt>
                <c:pt idx="386">
                  <c:v>93</c:v>
                </c:pt>
                <c:pt idx="387">
                  <c:v>93.5</c:v>
                </c:pt>
                <c:pt idx="388">
                  <c:v>94</c:v>
                </c:pt>
                <c:pt idx="389">
                  <c:v>94.5</c:v>
                </c:pt>
                <c:pt idx="390">
                  <c:v>95</c:v>
                </c:pt>
                <c:pt idx="391">
                  <c:v>95.5</c:v>
                </c:pt>
                <c:pt idx="392">
                  <c:v>96</c:v>
                </c:pt>
                <c:pt idx="393">
                  <c:v>96.5</c:v>
                </c:pt>
                <c:pt idx="394">
                  <c:v>97</c:v>
                </c:pt>
                <c:pt idx="395">
                  <c:v>97.5</c:v>
                </c:pt>
                <c:pt idx="396">
                  <c:v>98</c:v>
                </c:pt>
                <c:pt idx="397">
                  <c:v>98.5</c:v>
                </c:pt>
                <c:pt idx="398">
                  <c:v>99</c:v>
                </c:pt>
                <c:pt idx="399">
                  <c:v>99.5</c:v>
                </c:pt>
                <c:pt idx="400">
                  <c:v>100</c:v>
                </c:pt>
              </c:numCache>
            </c:numRef>
          </c:xVal>
          <c:yVal>
            <c:numRef>
              <c:f>Sheet1!$D$2:$D$402</c:f>
              <c:numCache>
                <c:formatCode>General</c:formatCode>
                <c:ptCount val="401"/>
                <c:pt idx="0">
                  <c:v>1.7285714285714286</c:v>
                </c:pt>
                <c:pt idx="1">
                  <c:v>1.7143214285714286</c:v>
                </c:pt>
                <c:pt idx="2">
                  <c:v>1.7001428571428572</c:v>
                </c:pt>
                <c:pt idx="3">
                  <c:v>1.6860357142857143</c:v>
                </c:pt>
                <c:pt idx="4">
                  <c:v>1.6720000000000002</c:v>
                </c:pt>
                <c:pt idx="5">
                  <c:v>1.6580357142857143</c:v>
                </c:pt>
                <c:pt idx="6">
                  <c:v>1.6441428571428571</c:v>
                </c:pt>
                <c:pt idx="7">
                  <c:v>1.6303214285714287</c:v>
                </c:pt>
                <c:pt idx="8">
                  <c:v>1.6165714285714285</c:v>
                </c:pt>
                <c:pt idx="9">
                  <c:v>1.6028928571428571</c:v>
                </c:pt>
                <c:pt idx="10">
                  <c:v>1.5892857142857144</c:v>
                </c:pt>
                <c:pt idx="11">
                  <c:v>1.57575</c:v>
                </c:pt>
                <c:pt idx="12">
                  <c:v>1.5622857142857143</c:v>
                </c:pt>
                <c:pt idx="13">
                  <c:v>1.5488928571428573</c:v>
                </c:pt>
                <c:pt idx="14">
                  <c:v>1.5355714285714286</c:v>
                </c:pt>
                <c:pt idx="15">
                  <c:v>1.5223214285714286</c:v>
                </c:pt>
                <c:pt idx="16">
                  <c:v>1.5091428571428571</c:v>
                </c:pt>
                <c:pt idx="17">
                  <c:v>1.4960357142857144</c:v>
                </c:pt>
                <c:pt idx="18">
                  <c:v>1.4830000000000001</c:v>
                </c:pt>
                <c:pt idx="19">
                  <c:v>1.4700357142857143</c:v>
                </c:pt>
                <c:pt idx="20">
                  <c:v>1.4571428571428573</c:v>
                </c:pt>
                <c:pt idx="21">
                  <c:v>1.4443214285714285</c:v>
                </c:pt>
                <c:pt idx="22">
                  <c:v>1.4315714285714287</c:v>
                </c:pt>
                <c:pt idx="23">
                  <c:v>1.4188928571428572</c:v>
                </c:pt>
                <c:pt idx="24">
                  <c:v>1.4062857142857144</c:v>
                </c:pt>
                <c:pt idx="25">
                  <c:v>1.39375</c:v>
                </c:pt>
                <c:pt idx="26">
                  <c:v>1.3812857142857142</c:v>
                </c:pt>
                <c:pt idx="27">
                  <c:v>1.3688928571428571</c:v>
                </c:pt>
                <c:pt idx="28">
                  <c:v>1.3565714285714285</c:v>
                </c:pt>
                <c:pt idx="29">
                  <c:v>1.3443214285714287</c:v>
                </c:pt>
                <c:pt idx="30">
                  <c:v>1.3321428571428573</c:v>
                </c:pt>
                <c:pt idx="31">
                  <c:v>1.3200357142857144</c:v>
                </c:pt>
                <c:pt idx="32">
                  <c:v>1.3080000000000001</c:v>
                </c:pt>
                <c:pt idx="33">
                  <c:v>1.2960357142857142</c:v>
                </c:pt>
                <c:pt idx="34">
                  <c:v>1.284142857142857</c:v>
                </c:pt>
                <c:pt idx="35">
                  <c:v>1.2723214285714286</c:v>
                </c:pt>
                <c:pt idx="36">
                  <c:v>1.2605714285714285</c:v>
                </c:pt>
                <c:pt idx="37">
                  <c:v>1.248892857142857</c:v>
                </c:pt>
                <c:pt idx="38">
                  <c:v>1.2372857142857143</c:v>
                </c:pt>
                <c:pt idx="39">
                  <c:v>1.2257499999999999</c:v>
                </c:pt>
                <c:pt idx="40">
                  <c:v>1.2142857142857142</c:v>
                </c:pt>
                <c:pt idx="41">
                  <c:v>1.2028928571428572</c:v>
                </c:pt>
                <c:pt idx="42">
                  <c:v>1.1915714285714285</c:v>
                </c:pt>
                <c:pt idx="43">
                  <c:v>1.1803214285714285</c:v>
                </c:pt>
                <c:pt idx="44">
                  <c:v>1.169142857142857</c:v>
                </c:pt>
                <c:pt idx="45">
                  <c:v>1.1580357142857143</c:v>
                </c:pt>
                <c:pt idx="46">
                  <c:v>1.147</c:v>
                </c:pt>
                <c:pt idx="47">
                  <c:v>1.1360357142857143</c:v>
                </c:pt>
                <c:pt idx="48">
                  <c:v>1.1251428571428572</c:v>
                </c:pt>
                <c:pt idx="49">
                  <c:v>1.1143214285714285</c:v>
                </c:pt>
                <c:pt idx="50">
                  <c:v>1.1035714285714286</c:v>
                </c:pt>
                <c:pt idx="51">
                  <c:v>1.0928928571428571</c:v>
                </c:pt>
                <c:pt idx="52">
                  <c:v>1.0822857142857143</c:v>
                </c:pt>
                <c:pt idx="53">
                  <c:v>1.07175</c:v>
                </c:pt>
                <c:pt idx="54">
                  <c:v>1.0612857142857142</c:v>
                </c:pt>
                <c:pt idx="55">
                  <c:v>1.0508928571428571</c:v>
                </c:pt>
                <c:pt idx="56">
                  <c:v>1.0405714285714285</c:v>
                </c:pt>
                <c:pt idx="57">
                  <c:v>1.0303214285714286</c:v>
                </c:pt>
                <c:pt idx="58">
                  <c:v>1.0201428571428572</c:v>
                </c:pt>
                <c:pt idx="59">
                  <c:v>1.0100357142857144</c:v>
                </c:pt>
                <c:pt idx="60">
                  <c:v>1</c:v>
                </c:pt>
                <c:pt idx="61">
                  <c:v>0.99003571428571435</c:v>
                </c:pt>
                <c:pt idx="62">
                  <c:v>0.9801428571428572</c:v>
                </c:pt>
                <c:pt idx="63">
                  <c:v>0.97032142857142856</c:v>
                </c:pt>
                <c:pt idx="64">
                  <c:v>0.96057142857142863</c:v>
                </c:pt>
                <c:pt idx="65">
                  <c:v>0.95089285714285721</c:v>
                </c:pt>
                <c:pt idx="66">
                  <c:v>0.94128571428571428</c:v>
                </c:pt>
                <c:pt idx="67">
                  <c:v>0.93175000000000008</c:v>
                </c:pt>
                <c:pt idx="68">
                  <c:v>0.92228571428571438</c:v>
                </c:pt>
                <c:pt idx="69">
                  <c:v>0.91289285714285717</c:v>
                </c:pt>
                <c:pt idx="70">
                  <c:v>0.90357142857142847</c:v>
                </c:pt>
                <c:pt idx="71">
                  <c:v>0.89432142857142849</c:v>
                </c:pt>
                <c:pt idx="72">
                  <c:v>0.88514285714285723</c:v>
                </c:pt>
                <c:pt idx="73">
                  <c:v>0.87603571428571425</c:v>
                </c:pt>
                <c:pt idx="74">
                  <c:v>0.86699999999999999</c:v>
                </c:pt>
                <c:pt idx="75">
                  <c:v>0.85803571428571423</c:v>
                </c:pt>
                <c:pt idx="76">
                  <c:v>0.8491428571428572</c:v>
                </c:pt>
                <c:pt idx="77">
                  <c:v>0.84032142857142866</c:v>
                </c:pt>
                <c:pt idx="78">
                  <c:v>0.83157142857142863</c:v>
                </c:pt>
                <c:pt idx="79">
                  <c:v>0.82289285714285709</c:v>
                </c:pt>
                <c:pt idx="80">
                  <c:v>0.81428571428571428</c:v>
                </c:pt>
                <c:pt idx="81">
                  <c:v>0.80574999999999997</c:v>
                </c:pt>
                <c:pt idx="82">
                  <c:v>0.79728571428571426</c:v>
                </c:pt>
                <c:pt idx="83">
                  <c:v>0.78889285714285706</c:v>
                </c:pt>
                <c:pt idx="84">
                  <c:v>0.78057142857142858</c:v>
                </c:pt>
                <c:pt idx="85">
                  <c:v>0.7723214285714286</c:v>
                </c:pt>
                <c:pt idx="86">
                  <c:v>0.76414285714285712</c:v>
                </c:pt>
                <c:pt idx="87">
                  <c:v>0.75603571428571426</c:v>
                </c:pt>
                <c:pt idx="88">
                  <c:v>0.748</c:v>
                </c:pt>
                <c:pt idx="89">
                  <c:v>0.74003571428571435</c:v>
                </c:pt>
                <c:pt idx="90">
                  <c:v>0.73214285714285721</c:v>
                </c:pt>
                <c:pt idx="91">
                  <c:v>0.72432142857142856</c:v>
                </c:pt>
                <c:pt idx="92">
                  <c:v>0.71657142857142864</c:v>
                </c:pt>
                <c:pt idx="93">
                  <c:v>0.70889285714285721</c:v>
                </c:pt>
                <c:pt idx="94">
                  <c:v>0.70128571428571429</c:v>
                </c:pt>
                <c:pt idx="95">
                  <c:v>0.69374999999999998</c:v>
                </c:pt>
                <c:pt idx="96">
                  <c:v>0.68628571428571428</c:v>
                </c:pt>
                <c:pt idx="97">
                  <c:v>0.67889285714285719</c:v>
                </c:pt>
                <c:pt idx="98">
                  <c:v>0.67157142857142849</c:v>
                </c:pt>
                <c:pt idx="99">
                  <c:v>0.66432142857142851</c:v>
                </c:pt>
                <c:pt idx="100">
                  <c:v>0.65714285714285714</c:v>
                </c:pt>
                <c:pt idx="101">
                  <c:v>0.65003571428571427</c:v>
                </c:pt>
                <c:pt idx="102">
                  <c:v>0.64300000000000002</c:v>
                </c:pt>
                <c:pt idx="103">
                  <c:v>0.63603571428571426</c:v>
                </c:pt>
                <c:pt idx="104">
                  <c:v>0.62914285714285711</c:v>
                </c:pt>
                <c:pt idx="105">
                  <c:v>0.62232142857142858</c:v>
                </c:pt>
                <c:pt idx="106">
                  <c:v>0.61557142857142855</c:v>
                </c:pt>
                <c:pt idx="107">
                  <c:v>0.60889285714285712</c:v>
                </c:pt>
                <c:pt idx="108">
                  <c:v>0.60228571428571431</c:v>
                </c:pt>
                <c:pt idx="109">
                  <c:v>0.59575</c:v>
                </c:pt>
                <c:pt idx="110">
                  <c:v>0.5892857142857143</c:v>
                </c:pt>
                <c:pt idx="111">
                  <c:v>0.5828928571428571</c:v>
                </c:pt>
                <c:pt idx="112">
                  <c:v>0.57657142857142851</c:v>
                </c:pt>
                <c:pt idx="113">
                  <c:v>0.57032142857142853</c:v>
                </c:pt>
                <c:pt idx="114">
                  <c:v>0.56414285714285706</c:v>
                </c:pt>
                <c:pt idx="115">
                  <c:v>0.5580357142857143</c:v>
                </c:pt>
                <c:pt idx="116">
                  <c:v>0.55200000000000005</c:v>
                </c:pt>
                <c:pt idx="117">
                  <c:v>0.54603571428571429</c:v>
                </c:pt>
                <c:pt idx="118">
                  <c:v>0.54014285714285715</c:v>
                </c:pt>
                <c:pt idx="119">
                  <c:v>0.53432142857142861</c:v>
                </c:pt>
                <c:pt idx="120">
                  <c:v>0.52857142857142858</c:v>
                </c:pt>
                <c:pt idx="121">
                  <c:v>0.52289285714285716</c:v>
                </c:pt>
                <c:pt idx="122">
                  <c:v>0.51728571428571424</c:v>
                </c:pt>
                <c:pt idx="123">
                  <c:v>0.51174999999999993</c:v>
                </c:pt>
                <c:pt idx="124">
                  <c:v>0.50628571428571423</c:v>
                </c:pt>
                <c:pt idx="125">
                  <c:v>0.50089285714285714</c:v>
                </c:pt>
                <c:pt idx="126">
                  <c:v>0.49557142857142855</c:v>
                </c:pt>
                <c:pt idx="127">
                  <c:v>0.49032142857142857</c:v>
                </c:pt>
                <c:pt idx="128">
                  <c:v>0.4851428571428571</c:v>
                </c:pt>
                <c:pt idx="129">
                  <c:v>0.48003571428571429</c:v>
                </c:pt>
                <c:pt idx="130">
                  <c:v>0.47499999999999998</c:v>
                </c:pt>
                <c:pt idx="131">
                  <c:v>0.47003571428571428</c:v>
                </c:pt>
                <c:pt idx="132">
                  <c:v>0.46514285714285714</c:v>
                </c:pt>
                <c:pt idx="133">
                  <c:v>0.46032142857142855</c:v>
                </c:pt>
                <c:pt idx="134">
                  <c:v>0.45557142857142857</c:v>
                </c:pt>
                <c:pt idx="135">
                  <c:v>0.4508928571428571</c:v>
                </c:pt>
                <c:pt idx="136">
                  <c:v>0.44628571428571429</c:v>
                </c:pt>
                <c:pt idx="137">
                  <c:v>0.44174999999999998</c:v>
                </c:pt>
                <c:pt idx="138">
                  <c:v>0.43728571428571428</c:v>
                </c:pt>
                <c:pt idx="139">
                  <c:v>0.43289285714285713</c:v>
                </c:pt>
                <c:pt idx="140">
                  <c:v>0.42857142857142855</c:v>
                </c:pt>
                <c:pt idx="141">
                  <c:v>0.42432142857142857</c:v>
                </c:pt>
                <c:pt idx="142">
                  <c:v>0.42014285714285715</c:v>
                </c:pt>
                <c:pt idx="143">
                  <c:v>0.41603571428571429</c:v>
                </c:pt>
                <c:pt idx="144">
                  <c:v>0.41199999999999998</c:v>
                </c:pt>
                <c:pt idx="145">
                  <c:v>0.40803571428571428</c:v>
                </c:pt>
                <c:pt idx="146">
                  <c:v>0.40414285714285714</c:v>
                </c:pt>
                <c:pt idx="147">
                  <c:v>0.40032142857142855</c:v>
                </c:pt>
                <c:pt idx="148">
                  <c:v>0.39657142857142857</c:v>
                </c:pt>
                <c:pt idx="149">
                  <c:v>0.39289285714285715</c:v>
                </c:pt>
                <c:pt idx="150">
                  <c:v>0.38928571428571429</c:v>
                </c:pt>
                <c:pt idx="151">
                  <c:v>0.38574999999999998</c:v>
                </c:pt>
                <c:pt idx="152">
                  <c:v>0.38228571428571428</c:v>
                </c:pt>
                <c:pt idx="153">
                  <c:v>0.37889285714285714</c:v>
                </c:pt>
                <c:pt idx="154">
                  <c:v>0.37557142857142856</c:v>
                </c:pt>
                <c:pt idx="155">
                  <c:v>0.37232142857142858</c:v>
                </c:pt>
                <c:pt idx="156">
                  <c:v>0.36914285714285711</c:v>
                </c:pt>
                <c:pt idx="157">
                  <c:v>0.36603571428571424</c:v>
                </c:pt>
                <c:pt idx="158">
                  <c:v>0.36299999999999999</c:v>
                </c:pt>
                <c:pt idx="159">
                  <c:v>0.36003571428571429</c:v>
                </c:pt>
                <c:pt idx="160">
                  <c:v>0.35714285714285715</c:v>
                </c:pt>
                <c:pt idx="161">
                  <c:v>0.35432142857142856</c:v>
                </c:pt>
                <c:pt idx="162">
                  <c:v>0.35157142857142853</c:v>
                </c:pt>
                <c:pt idx="163">
                  <c:v>0.34889285714285712</c:v>
                </c:pt>
                <c:pt idx="164">
                  <c:v>0.34628571428571425</c:v>
                </c:pt>
                <c:pt idx="165">
                  <c:v>0.34375</c:v>
                </c:pt>
                <c:pt idx="166">
                  <c:v>0.3412857142857143</c:v>
                </c:pt>
                <c:pt idx="167">
                  <c:v>0.33889285714285711</c:v>
                </c:pt>
                <c:pt idx="168">
                  <c:v>0.33657142857142858</c:v>
                </c:pt>
                <c:pt idx="169">
                  <c:v>0.33432142857142855</c:v>
                </c:pt>
                <c:pt idx="170">
                  <c:v>0.33214285714285713</c:v>
                </c:pt>
                <c:pt idx="171">
                  <c:v>0.33003571428571427</c:v>
                </c:pt>
                <c:pt idx="172">
                  <c:v>0.32800000000000001</c:v>
                </c:pt>
                <c:pt idx="173">
                  <c:v>0.32603571428571426</c:v>
                </c:pt>
                <c:pt idx="174">
                  <c:v>0.32414285714285712</c:v>
                </c:pt>
                <c:pt idx="175">
                  <c:v>0.32232142857142854</c:v>
                </c:pt>
                <c:pt idx="176">
                  <c:v>0.32057142857142856</c:v>
                </c:pt>
                <c:pt idx="177">
                  <c:v>0.31889285714285714</c:v>
                </c:pt>
                <c:pt idx="178">
                  <c:v>0.31728571428571428</c:v>
                </c:pt>
                <c:pt idx="179">
                  <c:v>0.31574999999999998</c:v>
                </c:pt>
                <c:pt idx="180">
                  <c:v>0.31428571428571428</c:v>
                </c:pt>
                <c:pt idx="181">
                  <c:v>0.31289285714285714</c:v>
                </c:pt>
                <c:pt idx="182">
                  <c:v>0.31157142857142855</c:v>
                </c:pt>
                <c:pt idx="183">
                  <c:v>0.31032142857142858</c:v>
                </c:pt>
                <c:pt idx="184">
                  <c:v>0.30914285714285711</c:v>
                </c:pt>
                <c:pt idx="185">
                  <c:v>0.3080357142857143</c:v>
                </c:pt>
                <c:pt idx="186">
                  <c:v>0.307</c:v>
                </c:pt>
                <c:pt idx="187">
                  <c:v>0.3060357142857143</c:v>
                </c:pt>
                <c:pt idx="188">
                  <c:v>0.3051428571428571</c:v>
                </c:pt>
                <c:pt idx="189">
                  <c:v>0.30432142857142858</c:v>
                </c:pt>
                <c:pt idx="190">
                  <c:v>0.30357142857142855</c:v>
                </c:pt>
                <c:pt idx="191">
                  <c:v>0.30289285714285713</c:v>
                </c:pt>
                <c:pt idx="192">
                  <c:v>0.30228571428571427</c:v>
                </c:pt>
                <c:pt idx="193">
                  <c:v>0.30174999999999996</c:v>
                </c:pt>
                <c:pt idx="194">
                  <c:v>0.30128571428571427</c:v>
                </c:pt>
                <c:pt idx="195">
                  <c:v>0.30089285714285713</c:v>
                </c:pt>
                <c:pt idx="196">
                  <c:v>0.30057142857142854</c:v>
                </c:pt>
                <c:pt idx="197">
                  <c:v>0.30032142857142857</c:v>
                </c:pt>
                <c:pt idx="198">
                  <c:v>0.30014285714285716</c:v>
                </c:pt>
                <c:pt idx="199">
                  <c:v>0.30003571428571429</c:v>
                </c:pt>
                <c:pt idx="200">
                  <c:v>0.3</c:v>
                </c:pt>
                <c:pt idx="201">
                  <c:v>0.30003571428571429</c:v>
                </c:pt>
                <c:pt idx="202">
                  <c:v>0.30014285714285716</c:v>
                </c:pt>
                <c:pt idx="203">
                  <c:v>0.30032142857142857</c:v>
                </c:pt>
                <c:pt idx="204">
                  <c:v>0.30057142857142854</c:v>
                </c:pt>
                <c:pt idx="205">
                  <c:v>0.30089285714285713</c:v>
                </c:pt>
                <c:pt idx="206">
                  <c:v>0.30128571428571427</c:v>
                </c:pt>
                <c:pt idx="207">
                  <c:v>0.30174999999999996</c:v>
                </c:pt>
                <c:pt idx="208">
                  <c:v>0.30228571428571427</c:v>
                </c:pt>
                <c:pt idx="209">
                  <c:v>0.30289285714285713</c:v>
                </c:pt>
                <c:pt idx="210">
                  <c:v>0.30357142857142855</c:v>
                </c:pt>
                <c:pt idx="211">
                  <c:v>0.30432142857142858</c:v>
                </c:pt>
                <c:pt idx="212">
                  <c:v>0.3051428571428571</c:v>
                </c:pt>
                <c:pt idx="213">
                  <c:v>0.3060357142857143</c:v>
                </c:pt>
                <c:pt idx="214">
                  <c:v>0.307</c:v>
                </c:pt>
                <c:pt idx="215">
                  <c:v>0.3080357142857143</c:v>
                </c:pt>
                <c:pt idx="216">
                  <c:v>0.30914285714285711</c:v>
                </c:pt>
                <c:pt idx="217">
                  <c:v>0.31032142857142858</c:v>
                </c:pt>
                <c:pt idx="218">
                  <c:v>0.31157142857142855</c:v>
                </c:pt>
                <c:pt idx="219">
                  <c:v>0.31289285714285714</c:v>
                </c:pt>
                <c:pt idx="220">
                  <c:v>0.31428571428571428</c:v>
                </c:pt>
                <c:pt idx="221">
                  <c:v>0.31574999999999998</c:v>
                </c:pt>
                <c:pt idx="222">
                  <c:v>0.31728571428571428</c:v>
                </c:pt>
                <c:pt idx="223">
                  <c:v>0.31889285714285714</c:v>
                </c:pt>
                <c:pt idx="224">
                  <c:v>0.32057142857142856</c:v>
                </c:pt>
                <c:pt idx="225">
                  <c:v>0.32232142857142854</c:v>
                </c:pt>
                <c:pt idx="226">
                  <c:v>0.32414285714285712</c:v>
                </c:pt>
                <c:pt idx="227">
                  <c:v>0.32603571428571426</c:v>
                </c:pt>
                <c:pt idx="228">
                  <c:v>0.32800000000000001</c:v>
                </c:pt>
                <c:pt idx="229">
                  <c:v>0.33003571428571427</c:v>
                </c:pt>
                <c:pt idx="230">
                  <c:v>0.33214285714285713</c:v>
                </c:pt>
                <c:pt idx="231">
                  <c:v>0.33432142857142855</c:v>
                </c:pt>
                <c:pt idx="232">
                  <c:v>0.33657142857142858</c:v>
                </c:pt>
                <c:pt idx="233">
                  <c:v>0.33889285714285711</c:v>
                </c:pt>
                <c:pt idx="234">
                  <c:v>0.3412857142857143</c:v>
                </c:pt>
                <c:pt idx="235">
                  <c:v>0.34375</c:v>
                </c:pt>
                <c:pt idx="236">
                  <c:v>0.34628571428571425</c:v>
                </c:pt>
                <c:pt idx="237">
                  <c:v>0.34889285714285712</c:v>
                </c:pt>
                <c:pt idx="238">
                  <c:v>0.35157142857142853</c:v>
                </c:pt>
                <c:pt idx="239">
                  <c:v>0.35432142857142856</c:v>
                </c:pt>
                <c:pt idx="240">
                  <c:v>0.35714285714285715</c:v>
                </c:pt>
                <c:pt idx="241">
                  <c:v>0.36003571428571429</c:v>
                </c:pt>
                <c:pt idx="242">
                  <c:v>0.36299999999999999</c:v>
                </c:pt>
                <c:pt idx="243">
                  <c:v>0.36603571428571424</c:v>
                </c:pt>
                <c:pt idx="244">
                  <c:v>0.36914285714285711</c:v>
                </c:pt>
                <c:pt idx="245">
                  <c:v>0.37232142857142858</c:v>
                </c:pt>
                <c:pt idx="246">
                  <c:v>0.37557142857142856</c:v>
                </c:pt>
                <c:pt idx="247">
                  <c:v>0.37889285714285714</c:v>
                </c:pt>
                <c:pt idx="248">
                  <c:v>0.38228571428571428</c:v>
                </c:pt>
                <c:pt idx="249">
                  <c:v>0.38574999999999998</c:v>
                </c:pt>
                <c:pt idx="250">
                  <c:v>0.38928571428571429</c:v>
                </c:pt>
                <c:pt idx="251">
                  <c:v>0.39289285714285715</c:v>
                </c:pt>
                <c:pt idx="252">
                  <c:v>0.39657142857142857</c:v>
                </c:pt>
                <c:pt idx="253">
                  <c:v>0.40032142857142855</c:v>
                </c:pt>
                <c:pt idx="254">
                  <c:v>0.40414285714285714</c:v>
                </c:pt>
                <c:pt idx="255">
                  <c:v>0.40803571428571428</c:v>
                </c:pt>
                <c:pt idx="256">
                  <c:v>0.41199999999999998</c:v>
                </c:pt>
                <c:pt idx="257">
                  <c:v>0.41603571428571429</c:v>
                </c:pt>
                <c:pt idx="258">
                  <c:v>0.42014285714285715</c:v>
                </c:pt>
                <c:pt idx="259">
                  <c:v>0.42432142857142857</c:v>
                </c:pt>
                <c:pt idx="260">
                  <c:v>0.42857142857142855</c:v>
                </c:pt>
                <c:pt idx="261">
                  <c:v>0.43289285714285713</c:v>
                </c:pt>
                <c:pt idx="262">
                  <c:v>0.43728571428571428</c:v>
                </c:pt>
                <c:pt idx="263">
                  <c:v>0.44174999999999998</c:v>
                </c:pt>
                <c:pt idx="264">
                  <c:v>0.44628571428571429</c:v>
                </c:pt>
                <c:pt idx="265">
                  <c:v>0.4508928571428571</c:v>
                </c:pt>
                <c:pt idx="266">
                  <c:v>0.45557142857142857</c:v>
                </c:pt>
                <c:pt idx="267">
                  <c:v>0.46032142857142855</c:v>
                </c:pt>
                <c:pt idx="268">
                  <c:v>0.46514285714285714</c:v>
                </c:pt>
                <c:pt idx="269">
                  <c:v>0.47003571428571428</c:v>
                </c:pt>
                <c:pt idx="270">
                  <c:v>0.47499999999999998</c:v>
                </c:pt>
                <c:pt idx="271">
                  <c:v>0.48003571428571429</c:v>
                </c:pt>
                <c:pt idx="272">
                  <c:v>0.4851428571428571</c:v>
                </c:pt>
                <c:pt idx="273">
                  <c:v>0.49032142857142857</c:v>
                </c:pt>
                <c:pt idx="274">
                  <c:v>0.49557142857142855</c:v>
                </c:pt>
                <c:pt idx="275">
                  <c:v>0.50089285714285714</c:v>
                </c:pt>
                <c:pt idx="276">
                  <c:v>0.50628571428571423</c:v>
                </c:pt>
                <c:pt idx="277">
                  <c:v>0.51174999999999993</c:v>
                </c:pt>
                <c:pt idx="278">
                  <c:v>0.51728571428571424</c:v>
                </c:pt>
                <c:pt idx="279">
                  <c:v>0.52289285714285716</c:v>
                </c:pt>
                <c:pt idx="280">
                  <c:v>0.52857142857142858</c:v>
                </c:pt>
                <c:pt idx="281">
                  <c:v>0.53432142857142861</c:v>
                </c:pt>
                <c:pt idx="282">
                  <c:v>0.54014285714285715</c:v>
                </c:pt>
                <c:pt idx="283">
                  <c:v>0.54603571428571429</c:v>
                </c:pt>
                <c:pt idx="284">
                  <c:v>0.55200000000000005</c:v>
                </c:pt>
                <c:pt idx="285">
                  <c:v>0.5580357142857143</c:v>
                </c:pt>
                <c:pt idx="286">
                  <c:v>0.56414285714285706</c:v>
                </c:pt>
                <c:pt idx="287">
                  <c:v>0.57032142857142853</c:v>
                </c:pt>
                <c:pt idx="288">
                  <c:v>0.57657142857142851</c:v>
                </c:pt>
                <c:pt idx="289">
                  <c:v>0.5828928571428571</c:v>
                </c:pt>
                <c:pt idx="290">
                  <c:v>0.5892857142857143</c:v>
                </c:pt>
                <c:pt idx="291">
                  <c:v>0.59575</c:v>
                </c:pt>
                <c:pt idx="292">
                  <c:v>0.60228571428571431</c:v>
                </c:pt>
                <c:pt idx="293">
                  <c:v>0.60889285714285712</c:v>
                </c:pt>
                <c:pt idx="294">
                  <c:v>0.61557142857142855</c:v>
                </c:pt>
                <c:pt idx="295">
                  <c:v>0.62232142857142858</c:v>
                </c:pt>
                <c:pt idx="296">
                  <c:v>0.62914285714285711</c:v>
                </c:pt>
                <c:pt idx="297">
                  <c:v>0.63603571428571426</c:v>
                </c:pt>
                <c:pt idx="298">
                  <c:v>0.64300000000000002</c:v>
                </c:pt>
                <c:pt idx="299">
                  <c:v>0.65003571428571427</c:v>
                </c:pt>
                <c:pt idx="300">
                  <c:v>0.65714285714285714</c:v>
                </c:pt>
                <c:pt idx="301">
                  <c:v>0.66432142857142851</c:v>
                </c:pt>
                <c:pt idx="302">
                  <c:v>0.67157142857142849</c:v>
                </c:pt>
                <c:pt idx="303">
                  <c:v>0.67889285714285719</c:v>
                </c:pt>
                <c:pt idx="304">
                  <c:v>0.68628571428571428</c:v>
                </c:pt>
                <c:pt idx="305">
                  <c:v>0.69374999999999998</c:v>
                </c:pt>
                <c:pt idx="306">
                  <c:v>0.70128571428571429</c:v>
                </c:pt>
                <c:pt idx="307">
                  <c:v>0.70889285714285721</c:v>
                </c:pt>
                <c:pt idx="308">
                  <c:v>0.71657142857142864</c:v>
                </c:pt>
                <c:pt idx="309">
                  <c:v>0.72432142857142856</c:v>
                </c:pt>
                <c:pt idx="310">
                  <c:v>0.73214285714285721</c:v>
                </c:pt>
                <c:pt idx="311">
                  <c:v>0.74003571428571435</c:v>
                </c:pt>
                <c:pt idx="312">
                  <c:v>0.748</c:v>
                </c:pt>
                <c:pt idx="313">
                  <c:v>0.75603571428571426</c:v>
                </c:pt>
                <c:pt idx="314">
                  <c:v>0.76414285714285712</c:v>
                </c:pt>
                <c:pt idx="315">
                  <c:v>0.7723214285714286</c:v>
                </c:pt>
                <c:pt idx="316">
                  <c:v>0.78057142857142858</c:v>
                </c:pt>
                <c:pt idx="317">
                  <c:v>0.78889285714285706</c:v>
                </c:pt>
                <c:pt idx="318">
                  <c:v>0.79728571428571426</c:v>
                </c:pt>
                <c:pt idx="319">
                  <c:v>0.80574999999999997</c:v>
                </c:pt>
                <c:pt idx="320">
                  <c:v>0.81428571428571428</c:v>
                </c:pt>
                <c:pt idx="321">
                  <c:v>0.82289285714285709</c:v>
                </c:pt>
                <c:pt idx="322">
                  <c:v>0.83157142857142863</c:v>
                </c:pt>
                <c:pt idx="323">
                  <c:v>0.84032142857142866</c:v>
                </c:pt>
                <c:pt idx="324">
                  <c:v>0.8491428571428572</c:v>
                </c:pt>
                <c:pt idx="325">
                  <c:v>0.85803571428571423</c:v>
                </c:pt>
                <c:pt idx="326">
                  <c:v>0.86699999999999999</c:v>
                </c:pt>
                <c:pt idx="327">
                  <c:v>0.87603571428571425</c:v>
                </c:pt>
                <c:pt idx="328">
                  <c:v>0.88514285714285723</c:v>
                </c:pt>
                <c:pt idx="329">
                  <c:v>0.89432142857142849</c:v>
                </c:pt>
                <c:pt idx="330">
                  <c:v>0.90357142857142847</c:v>
                </c:pt>
                <c:pt idx="331">
                  <c:v>0.91289285714285717</c:v>
                </c:pt>
                <c:pt idx="332">
                  <c:v>0.92228571428571438</c:v>
                </c:pt>
                <c:pt idx="333">
                  <c:v>0.93175000000000008</c:v>
                </c:pt>
                <c:pt idx="334">
                  <c:v>0.94128571428571428</c:v>
                </c:pt>
                <c:pt idx="335">
                  <c:v>0.95089285714285721</c:v>
                </c:pt>
                <c:pt idx="336">
                  <c:v>0.96057142857142863</c:v>
                </c:pt>
                <c:pt idx="337">
                  <c:v>0.97032142857142856</c:v>
                </c:pt>
                <c:pt idx="338">
                  <c:v>0.9801428571428572</c:v>
                </c:pt>
                <c:pt idx="339">
                  <c:v>0.99003571428571435</c:v>
                </c:pt>
                <c:pt idx="340">
                  <c:v>1</c:v>
                </c:pt>
                <c:pt idx="341">
                  <c:v>1.0100357142857144</c:v>
                </c:pt>
                <c:pt idx="342">
                  <c:v>1.0201428571428572</c:v>
                </c:pt>
                <c:pt idx="343">
                  <c:v>1.0303214285714286</c:v>
                </c:pt>
                <c:pt idx="344">
                  <c:v>1.0405714285714285</c:v>
                </c:pt>
                <c:pt idx="345">
                  <c:v>1.0508928571428571</c:v>
                </c:pt>
                <c:pt idx="346">
                  <c:v>1.0612857142857142</c:v>
                </c:pt>
                <c:pt idx="347">
                  <c:v>1.07175</c:v>
                </c:pt>
                <c:pt idx="348">
                  <c:v>1.0822857142857143</c:v>
                </c:pt>
                <c:pt idx="349">
                  <c:v>1.0928928571428571</c:v>
                </c:pt>
                <c:pt idx="350">
                  <c:v>1.1035714285714286</c:v>
                </c:pt>
                <c:pt idx="351">
                  <c:v>1.1143214285714285</c:v>
                </c:pt>
                <c:pt idx="352">
                  <c:v>1.1251428571428572</c:v>
                </c:pt>
                <c:pt idx="353">
                  <c:v>1.1360357142857143</c:v>
                </c:pt>
                <c:pt idx="354">
                  <c:v>1.147</c:v>
                </c:pt>
                <c:pt idx="355">
                  <c:v>1.1580357142857143</c:v>
                </c:pt>
                <c:pt idx="356">
                  <c:v>1.169142857142857</c:v>
                </c:pt>
                <c:pt idx="357">
                  <c:v>1.1803214285714285</c:v>
                </c:pt>
                <c:pt idx="358">
                  <c:v>1.1915714285714285</c:v>
                </c:pt>
                <c:pt idx="359">
                  <c:v>1.2028928571428572</c:v>
                </c:pt>
                <c:pt idx="360">
                  <c:v>1.2142857142857142</c:v>
                </c:pt>
                <c:pt idx="361">
                  <c:v>1.2257499999999999</c:v>
                </c:pt>
                <c:pt idx="362">
                  <c:v>1.2372857142857143</c:v>
                </c:pt>
                <c:pt idx="363">
                  <c:v>1.248892857142857</c:v>
                </c:pt>
                <c:pt idx="364">
                  <c:v>1.2605714285714285</c:v>
                </c:pt>
                <c:pt idx="365">
                  <c:v>1.2723214285714286</c:v>
                </c:pt>
                <c:pt idx="366">
                  <c:v>1.284142857142857</c:v>
                </c:pt>
                <c:pt idx="367">
                  <c:v>1.2960357142857142</c:v>
                </c:pt>
                <c:pt idx="368">
                  <c:v>1.3080000000000001</c:v>
                </c:pt>
                <c:pt idx="369">
                  <c:v>1.3200357142857144</c:v>
                </c:pt>
                <c:pt idx="370">
                  <c:v>1.3321428571428573</c:v>
                </c:pt>
                <c:pt idx="371">
                  <c:v>1.3443214285714287</c:v>
                </c:pt>
                <c:pt idx="372">
                  <c:v>1.3565714285714285</c:v>
                </c:pt>
                <c:pt idx="373">
                  <c:v>1.3688928571428571</c:v>
                </c:pt>
                <c:pt idx="374">
                  <c:v>1.3812857142857142</c:v>
                </c:pt>
                <c:pt idx="375">
                  <c:v>1.39375</c:v>
                </c:pt>
                <c:pt idx="376">
                  <c:v>1.4062857142857144</c:v>
                </c:pt>
                <c:pt idx="377">
                  <c:v>1.4188928571428572</c:v>
                </c:pt>
                <c:pt idx="378">
                  <c:v>1.4315714285714287</c:v>
                </c:pt>
                <c:pt idx="379">
                  <c:v>1.4443214285714285</c:v>
                </c:pt>
                <c:pt idx="380">
                  <c:v>1.4571428571428573</c:v>
                </c:pt>
                <c:pt idx="381">
                  <c:v>1.4700357142857143</c:v>
                </c:pt>
                <c:pt idx="382">
                  <c:v>1.4830000000000001</c:v>
                </c:pt>
                <c:pt idx="383">
                  <c:v>1.4960357142857144</c:v>
                </c:pt>
                <c:pt idx="384">
                  <c:v>1.5091428571428571</c:v>
                </c:pt>
                <c:pt idx="385">
                  <c:v>1.5223214285714286</c:v>
                </c:pt>
                <c:pt idx="386">
                  <c:v>1.5355714285714286</c:v>
                </c:pt>
                <c:pt idx="387">
                  <c:v>1.5488928571428573</c:v>
                </c:pt>
                <c:pt idx="388">
                  <c:v>1.5622857142857143</c:v>
                </c:pt>
                <c:pt idx="389">
                  <c:v>1.57575</c:v>
                </c:pt>
                <c:pt idx="390">
                  <c:v>1.5892857142857144</c:v>
                </c:pt>
                <c:pt idx="391">
                  <c:v>1.6028928571428571</c:v>
                </c:pt>
                <c:pt idx="392">
                  <c:v>1.6165714285714285</c:v>
                </c:pt>
                <c:pt idx="393">
                  <c:v>1.6303214285714287</c:v>
                </c:pt>
                <c:pt idx="394">
                  <c:v>1.6441428571428571</c:v>
                </c:pt>
                <c:pt idx="395">
                  <c:v>1.6580357142857143</c:v>
                </c:pt>
                <c:pt idx="396">
                  <c:v>1.6720000000000002</c:v>
                </c:pt>
                <c:pt idx="397">
                  <c:v>1.6860357142857143</c:v>
                </c:pt>
                <c:pt idx="398">
                  <c:v>1.7001428571428572</c:v>
                </c:pt>
                <c:pt idx="399">
                  <c:v>1.7143214285714286</c:v>
                </c:pt>
                <c:pt idx="400">
                  <c:v>1.7285714285714286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83-4540-BA95-FD407A3D36F0}"/>
            </c:ext>
          </c:extLst>
        </c:ser>
        <c:ser>
          <c:idx val="0"/>
          <c:order val="1"/>
          <c:tx>
            <c:strRef>
              <c:f>Sheet1!$F$1</c:f>
              <c:strCache>
                <c:ptCount val="1"/>
                <c:pt idx="0">
                  <c:v>T(t)+S(t)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Sheet1!$C$2:$C$402</c:f>
              <c:numCache>
                <c:formatCode>0.0_ </c:formatCode>
                <c:ptCount val="401"/>
                <c:pt idx="0">
                  <c:v>-100</c:v>
                </c:pt>
                <c:pt idx="1">
                  <c:v>-99.5</c:v>
                </c:pt>
                <c:pt idx="2">
                  <c:v>-99</c:v>
                </c:pt>
                <c:pt idx="3">
                  <c:v>-98.5</c:v>
                </c:pt>
                <c:pt idx="4">
                  <c:v>-98</c:v>
                </c:pt>
                <c:pt idx="5">
                  <c:v>-97.5</c:v>
                </c:pt>
                <c:pt idx="6">
                  <c:v>-97</c:v>
                </c:pt>
                <c:pt idx="7">
                  <c:v>-96.5</c:v>
                </c:pt>
                <c:pt idx="8">
                  <c:v>-96</c:v>
                </c:pt>
                <c:pt idx="9">
                  <c:v>-95.5</c:v>
                </c:pt>
                <c:pt idx="10">
                  <c:v>-95</c:v>
                </c:pt>
                <c:pt idx="11">
                  <c:v>-94.5</c:v>
                </c:pt>
                <c:pt idx="12">
                  <c:v>-94</c:v>
                </c:pt>
                <c:pt idx="13">
                  <c:v>-93.5</c:v>
                </c:pt>
                <c:pt idx="14">
                  <c:v>-93</c:v>
                </c:pt>
                <c:pt idx="15">
                  <c:v>-92.5</c:v>
                </c:pt>
                <c:pt idx="16">
                  <c:v>-92</c:v>
                </c:pt>
                <c:pt idx="17">
                  <c:v>-91.5</c:v>
                </c:pt>
                <c:pt idx="18">
                  <c:v>-91</c:v>
                </c:pt>
                <c:pt idx="19">
                  <c:v>-90.5</c:v>
                </c:pt>
                <c:pt idx="20">
                  <c:v>-90</c:v>
                </c:pt>
                <c:pt idx="21">
                  <c:v>-89.5</c:v>
                </c:pt>
                <c:pt idx="22">
                  <c:v>-89</c:v>
                </c:pt>
                <c:pt idx="23">
                  <c:v>-88.5</c:v>
                </c:pt>
                <c:pt idx="24">
                  <c:v>-88</c:v>
                </c:pt>
                <c:pt idx="25">
                  <c:v>-87.5</c:v>
                </c:pt>
                <c:pt idx="26">
                  <c:v>-87</c:v>
                </c:pt>
                <c:pt idx="27">
                  <c:v>-86.5</c:v>
                </c:pt>
                <c:pt idx="28">
                  <c:v>-86</c:v>
                </c:pt>
                <c:pt idx="29">
                  <c:v>-85.5</c:v>
                </c:pt>
                <c:pt idx="30">
                  <c:v>-85</c:v>
                </c:pt>
                <c:pt idx="31">
                  <c:v>-84.5</c:v>
                </c:pt>
                <c:pt idx="32">
                  <c:v>-84</c:v>
                </c:pt>
                <c:pt idx="33">
                  <c:v>-83.5</c:v>
                </c:pt>
                <c:pt idx="34">
                  <c:v>-83</c:v>
                </c:pt>
                <c:pt idx="35">
                  <c:v>-82.5</c:v>
                </c:pt>
                <c:pt idx="36">
                  <c:v>-82</c:v>
                </c:pt>
                <c:pt idx="37">
                  <c:v>-81.5</c:v>
                </c:pt>
                <c:pt idx="38">
                  <c:v>-81</c:v>
                </c:pt>
                <c:pt idx="39">
                  <c:v>-80.5</c:v>
                </c:pt>
                <c:pt idx="40">
                  <c:v>-80</c:v>
                </c:pt>
                <c:pt idx="41">
                  <c:v>-79.5</c:v>
                </c:pt>
                <c:pt idx="42">
                  <c:v>-79</c:v>
                </c:pt>
                <c:pt idx="43">
                  <c:v>-78.5</c:v>
                </c:pt>
                <c:pt idx="44">
                  <c:v>-78</c:v>
                </c:pt>
                <c:pt idx="45">
                  <c:v>-77.5</c:v>
                </c:pt>
                <c:pt idx="46">
                  <c:v>-77</c:v>
                </c:pt>
                <c:pt idx="47">
                  <c:v>-76.5</c:v>
                </c:pt>
                <c:pt idx="48">
                  <c:v>-76</c:v>
                </c:pt>
                <c:pt idx="49">
                  <c:v>-75.5</c:v>
                </c:pt>
                <c:pt idx="50">
                  <c:v>-75</c:v>
                </c:pt>
                <c:pt idx="51">
                  <c:v>-74.5</c:v>
                </c:pt>
                <c:pt idx="52">
                  <c:v>-74</c:v>
                </c:pt>
                <c:pt idx="53">
                  <c:v>-73.5</c:v>
                </c:pt>
                <c:pt idx="54">
                  <c:v>-73</c:v>
                </c:pt>
                <c:pt idx="55">
                  <c:v>-72.5</c:v>
                </c:pt>
                <c:pt idx="56">
                  <c:v>-72</c:v>
                </c:pt>
                <c:pt idx="57">
                  <c:v>-71.5</c:v>
                </c:pt>
                <c:pt idx="58">
                  <c:v>-71</c:v>
                </c:pt>
                <c:pt idx="59">
                  <c:v>-70.5</c:v>
                </c:pt>
                <c:pt idx="60">
                  <c:v>-70</c:v>
                </c:pt>
                <c:pt idx="61">
                  <c:v>-69.5</c:v>
                </c:pt>
                <c:pt idx="62">
                  <c:v>-69</c:v>
                </c:pt>
                <c:pt idx="63">
                  <c:v>-68.5</c:v>
                </c:pt>
                <c:pt idx="64">
                  <c:v>-68</c:v>
                </c:pt>
                <c:pt idx="65">
                  <c:v>-67.5</c:v>
                </c:pt>
                <c:pt idx="66">
                  <c:v>-67</c:v>
                </c:pt>
                <c:pt idx="67">
                  <c:v>-66.5</c:v>
                </c:pt>
                <c:pt idx="68">
                  <c:v>-66</c:v>
                </c:pt>
                <c:pt idx="69">
                  <c:v>-65.5</c:v>
                </c:pt>
                <c:pt idx="70">
                  <c:v>-65</c:v>
                </c:pt>
                <c:pt idx="71">
                  <c:v>-64.5</c:v>
                </c:pt>
                <c:pt idx="72">
                  <c:v>-64</c:v>
                </c:pt>
                <c:pt idx="73">
                  <c:v>-63.5</c:v>
                </c:pt>
                <c:pt idx="74">
                  <c:v>-63</c:v>
                </c:pt>
                <c:pt idx="75">
                  <c:v>-62.5</c:v>
                </c:pt>
                <c:pt idx="76">
                  <c:v>-62</c:v>
                </c:pt>
                <c:pt idx="77">
                  <c:v>-61.5</c:v>
                </c:pt>
                <c:pt idx="78">
                  <c:v>-61</c:v>
                </c:pt>
                <c:pt idx="79">
                  <c:v>-60.5</c:v>
                </c:pt>
                <c:pt idx="80">
                  <c:v>-60</c:v>
                </c:pt>
                <c:pt idx="81">
                  <c:v>-59.5</c:v>
                </c:pt>
                <c:pt idx="82">
                  <c:v>-59</c:v>
                </c:pt>
                <c:pt idx="83">
                  <c:v>-58.5</c:v>
                </c:pt>
                <c:pt idx="84">
                  <c:v>-58</c:v>
                </c:pt>
                <c:pt idx="85">
                  <c:v>-57.5</c:v>
                </c:pt>
                <c:pt idx="86">
                  <c:v>-57</c:v>
                </c:pt>
                <c:pt idx="87">
                  <c:v>-56.5</c:v>
                </c:pt>
                <c:pt idx="88">
                  <c:v>-56</c:v>
                </c:pt>
                <c:pt idx="89">
                  <c:v>-55.5</c:v>
                </c:pt>
                <c:pt idx="90">
                  <c:v>-55</c:v>
                </c:pt>
                <c:pt idx="91">
                  <c:v>-54.5</c:v>
                </c:pt>
                <c:pt idx="92">
                  <c:v>-54</c:v>
                </c:pt>
                <c:pt idx="93">
                  <c:v>-53.5</c:v>
                </c:pt>
                <c:pt idx="94">
                  <c:v>-53</c:v>
                </c:pt>
                <c:pt idx="95">
                  <c:v>-52.5</c:v>
                </c:pt>
                <c:pt idx="96">
                  <c:v>-52</c:v>
                </c:pt>
                <c:pt idx="97">
                  <c:v>-51.5</c:v>
                </c:pt>
                <c:pt idx="98">
                  <c:v>-51</c:v>
                </c:pt>
                <c:pt idx="99">
                  <c:v>-50.5</c:v>
                </c:pt>
                <c:pt idx="100">
                  <c:v>-50</c:v>
                </c:pt>
                <c:pt idx="101">
                  <c:v>-49.5</c:v>
                </c:pt>
                <c:pt idx="102">
                  <c:v>-49</c:v>
                </c:pt>
                <c:pt idx="103">
                  <c:v>-48.5</c:v>
                </c:pt>
                <c:pt idx="104">
                  <c:v>-48</c:v>
                </c:pt>
                <c:pt idx="105">
                  <c:v>-47.5</c:v>
                </c:pt>
                <c:pt idx="106">
                  <c:v>-47</c:v>
                </c:pt>
                <c:pt idx="107">
                  <c:v>-46.5</c:v>
                </c:pt>
                <c:pt idx="108">
                  <c:v>-46</c:v>
                </c:pt>
                <c:pt idx="109">
                  <c:v>-45.5</c:v>
                </c:pt>
                <c:pt idx="110">
                  <c:v>-45</c:v>
                </c:pt>
                <c:pt idx="111">
                  <c:v>-44.5</c:v>
                </c:pt>
                <c:pt idx="112">
                  <c:v>-44</c:v>
                </c:pt>
                <c:pt idx="113">
                  <c:v>-43.5</c:v>
                </c:pt>
                <c:pt idx="114">
                  <c:v>-43</c:v>
                </c:pt>
                <c:pt idx="115">
                  <c:v>-42.5</c:v>
                </c:pt>
                <c:pt idx="116">
                  <c:v>-42</c:v>
                </c:pt>
                <c:pt idx="117">
                  <c:v>-41.5</c:v>
                </c:pt>
                <c:pt idx="118">
                  <c:v>-41</c:v>
                </c:pt>
                <c:pt idx="119">
                  <c:v>-40.5</c:v>
                </c:pt>
                <c:pt idx="120">
                  <c:v>-40</c:v>
                </c:pt>
                <c:pt idx="121">
                  <c:v>-39.5</c:v>
                </c:pt>
                <c:pt idx="122">
                  <c:v>-39</c:v>
                </c:pt>
                <c:pt idx="123">
                  <c:v>-38.5</c:v>
                </c:pt>
                <c:pt idx="124">
                  <c:v>-38</c:v>
                </c:pt>
                <c:pt idx="125">
                  <c:v>-37.5</c:v>
                </c:pt>
                <c:pt idx="126">
                  <c:v>-37</c:v>
                </c:pt>
                <c:pt idx="127">
                  <c:v>-36.5</c:v>
                </c:pt>
                <c:pt idx="128">
                  <c:v>-36</c:v>
                </c:pt>
                <c:pt idx="129">
                  <c:v>-35.5</c:v>
                </c:pt>
                <c:pt idx="130">
                  <c:v>-35</c:v>
                </c:pt>
                <c:pt idx="131">
                  <c:v>-34.5</c:v>
                </c:pt>
                <c:pt idx="132">
                  <c:v>-34</c:v>
                </c:pt>
                <c:pt idx="133">
                  <c:v>-33.5</c:v>
                </c:pt>
                <c:pt idx="134">
                  <c:v>-33</c:v>
                </c:pt>
                <c:pt idx="135">
                  <c:v>-32.5</c:v>
                </c:pt>
                <c:pt idx="136">
                  <c:v>-32</c:v>
                </c:pt>
                <c:pt idx="137">
                  <c:v>-31.5</c:v>
                </c:pt>
                <c:pt idx="138">
                  <c:v>-31</c:v>
                </c:pt>
                <c:pt idx="139">
                  <c:v>-30.5</c:v>
                </c:pt>
                <c:pt idx="140">
                  <c:v>-30</c:v>
                </c:pt>
                <c:pt idx="141">
                  <c:v>-29.5</c:v>
                </c:pt>
                <c:pt idx="142">
                  <c:v>-29</c:v>
                </c:pt>
                <c:pt idx="143">
                  <c:v>-28.5</c:v>
                </c:pt>
                <c:pt idx="144">
                  <c:v>-28</c:v>
                </c:pt>
                <c:pt idx="145">
                  <c:v>-27.5</c:v>
                </c:pt>
                <c:pt idx="146">
                  <c:v>-27</c:v>
                </c:pt>
                <c:pt idx="147">
                  <c:v>-26.5</c:v>
                </c:pt>
                <c:pt idx="148">
                  <c:v>-26</c:v>
                </c:pt>
                <c:pt idx="149">
                  <c:v>-25.5</c:v>
                </c:pt>
                <c:pt idx="150">
                  <c:v>-25</c:v>
                </c:pt>
                <c:pt idx="151">
                  <c:v>-24.5</c:v>
                </c:pt>
                <c:pt idx="152">
                  <c:v>-24</c:v>
                </c:pt>
                <c:pt idx="153">
                  <c:v>-23.5</c:v>
                </c:pt>
                <c:pt idx="154">
                  <c:v>-23</c:v>
                </c:pt>
                <c:pt idx="155">
                  <c:v>-22.5</c:v>
                </c:pt>
                <c:pt idx="156">
                  <c:v>-22</c:v>
                </c:pt>
                <c:pt idx="157">
                  <c:v>-21.5</c:v>
                </c:pt>
                <c:pt idx="158">
                  <c:v>-21</c:v>
                </c:pt>
                <c:pt idx="159">
                  <c:v>-20.5</c:v>
                </c:pt>
                <c:pt idx="160">
                  <c:v>-20</c:v>
                </c:pt>
                <c:pt idx="161">
                  <c:v>-19.5</c:v>
                </c:pt>
                <c:pt idx="162">
                  <c:v>-19</c:v>
                </c:pt>
                <c:pt idx="163">
                  <c:v>-18.5</c:v>
                </c:pt>
                <c:pt idx="164">
                  <c:v>-18</c:v>
                </c:pt>
                <c:pt idx="165">
                  <c:v>-17.5</c:v>
                </c:pt>
                <c:pt idx="166">
                  <c:v>-17</c:v>
                </c:pt>
                <c:pt idx="167">
                  <c:v>-16.5</c:v>
                </c:pt>
                <c:pt idx="168">
                  <c:v>-16</c:v>
                </c:pt>
                <c:pt idx="169">
                  <c:v>-15.5</c:v>
                </c:pt>
                <c:pt idx="170">
                  <c:v>-15</c:v>
                </c:pt>
                <c:pt idx="171">
                  <c:v>-14.5</c:v>
                </c:pt>
                <c:pt idx="172">
                  <c:v>-14</c:v>
                </c:pt>
                <c:pt idx="173">
                  <c:v>-13.5</c:v>
                </c:pt>
                <c:pt idx="174">
                  <c:v>-13</c:v>
                </c:pt>
                <c:pt idx="175">
                  <c:v>-12.5</c:v>
                </c:pt>
                <c:pt idx="176">
                  <c:v>-12</c:v>
                </c:pt>
                <c:pt idx="177">
                  <c:v>-11.5</c:v>
                </c:pt>
                <c:pt idx="178">
                  <c:v>-11</c:v>
                </c:pt>
                <c:pt idx="179">
                  <c:v>-10.5</c:v>
                </c:pt>
                <c:pt idx="180">
                  <c:v>-10</c:v>
                </c:pt>
                <c:pt idx="181">
                  <c:v>-9.5</c:v>
                </c:pt>
                <c:pt idx="182">
                  <c:v>-9</c:v>
                </c:pt>
                <c:pt idx="183">
                  <c:v>-8.5</c:v>
                </c:pt>
                <c:pt idx="184">
                  <c:v>-8</c:v>
                </c:pt>
                <c:pt idx="185">
                  <c:v>-7.5</c:v>
                </c:pt>
                <c:pt idx="186">
                  <c:v>-7</c:v>
                </c:pt>
                <c:pt idx="187">
                  <c:v>-6.5</c:v>
                </c:pt>
                <c:pt idx="188">
                  <c:v>-6</c:v>
                </c:pt>
                <c:pt idx="189">
                  <c:v>-5.5</c:v>
                </c:pt>
                <c:pt idx="190">
                  <c:v>-5</c:v>
                </c:pt>
                <c:pt idx="191">
                  <c:v>-4.5</c:v>
                </c:pt>
                <c:pt idx="192">
                  <c:v>-4</c:v>
                </c:pt>
                <c:pt idx="193">
                  <c:v>-3.5</c:v>
                </c:pt>
                <c:pt idx="194">
                  <c:v>-3</c:v>
                </c:pt>
                <c:pt idx="195">
                  <c:v>-2.5</c:v>
                </c:pt>
                <c:pt idx="196">
                  <c:v>-2</c:v>
                </c:pt>
                <c:pt idx="197">
                  <c:v>-1.5</c:v>
                </c:pt>
                <c:pt idx="198">
                  <c:v>-1</c:v>
                </c:pt>
                <c:pt idx="199">
                  <c:v>-0.5</c:v>
                </c:pt>
                <c:pt idx="200">
                  <c:v>0</c:v>
                </c:pt>
                <c:pt idx="201">
                  <c:v>0.5</c:v>
                </c:pt>
                <c:pt idx="202">
                  <c:v>1</c:v>
                </c:pt>
                <c:pt idx="203">
                  <c:v>1.5</c:v>
                </c:pt>
                <c:pt idx="204">
                  <c:v>2</c:v>
                </c:pt>
                <c:pt idx="205">
                  <c:v>2.5</c:v>
                </c:pt>
                <c:pt idx="206">
                  <c:v>3</c:v>
                </c:pt>
                <c:pt idx="207">
                  <c:v>3.5</c:v>
                </c:pt>
                <c:pt idx="208">
                  <c:v>4</c:v>
                </c:pt>
                <c:pt idx="209">
                  <c:v>4.5</c:v>
                </c:pt>
                <c:pt idx="210">
                  <c:v>5</c:v>
                </c:pt>
                <c:pt idx="211">
                  <c:v>5.5</c:v>
                </c:pt>
                <c:pt idx="212">
                  <c:v>6</c:v>
                </c:pt>
                <c:pt idx="213">
                  <c:v>6.5</c:v>
                </c:pt>
                <c:pt idx="214">
                  <c:v>7</c:v>
                </c:pt>
                <c:pt idx="215">
                  <c:v>7.5</c:v>
                </c:pt>
                <c:pt idx="216">
                  <c:v>8</c:v>
                </c:pt>
                <c:pt idx="217">
                  <c:v>8.5</c:v>
                </c:pt>
                <c:pt idx="218">
                  <c:v>9</c:v>
                </c:pt>
                <c:pt idx="219">
                  <c:v>9.5</c:v>
                </c:pt>
                <c:pt idx="220">
                  <c:v>10</c:v>
                </c:pt>
                <c:pt idx="221">
                  <c:v>10.5</c:v>
                </c:pt>
                <c:pt idx="222">
                  <c:v>11</c:v>
                </c:pt>
                <c:pt idx="223">
                  <c:v>11.5</c:v>
                </c:pt>
                <c:pt idx="224">
                  <c:v>12</c:v>
                </c:pt>
                <c:pt idx="225">
                  <c:v>12.5</c:v>
                </c:pt>
                <c:pt idx="226">
                  <c:v>13</c:v>
                </c:pt>
                <c:pt idx="227">
                  <c:v>13.5</c:v>
                </c:pt>
                <c:pt idx="228">
                  <c:v>14</c:v>
                </c:pt>
                <c:pt idx="229">
                  <c:v>14.5</c:v>
                </c:pt>
                <c:pt idx="230">
                  <c:v>15</c:v>
                </c:pt>
                <c:pt idx="231">
                  <c:v>15.5</c:v>
                </c:pt>
                <c:pt idx="232">
                  <c:v>16</c:v>
                </c:pt>
                <c:pt idx="233">
                  <c:v>16.5</c:v>
                </c:pt>
                <c:pt idx="234">
                  <c:v>17</c:v>
                </c:pt>
                <c:pt idx="235">
                  <c:v>17.5</c:v>
                </c:pt>
                <c:pt idx="236">
                  <c:v>18</c:v>
                </c:pt>
                <c:pt idx="237">
                  <c:v>18.5</c:v>
                </c:pt>
                <c:pt idx="238">
                  <c:v>19</c:v>
                </c:pt>
                <c:pt idx="239">
                  <c:v>19.5</c:v>
                </c:pt>
                <c:pt idx="240">
                  <c:v>20</c:v>
                </c:pt>
                <c:pt idx="241">
                  <c:v>20.5</c:v>
                </c:pt>
                <c:pt idx="242">
                  <c:v>21</c:v>
                </c:pt>
                <c:pt idx="243">
                  <c:v>21.5</c:v>
                </c:pt>
                <c:pt idx="244">
                  <c:v>22</c:v>
                </c:pt>
                <c:pt idx="245">
                  <c:v>22.5</c:v>
                </c:pt>
                <c:pt idx="246">
                  <c:v>23</c:v>
                </c:pt>
                <c:pt idx="247">
                  <c:v>23.5</c:v>
                </c:pt>
                <c:pt idx="248">
                  <c:v>24</c:v>
                </c:pt>
                <c:pt idx="249">
                  <c:v>24.5</c:v>
                </c:pt>
                <c:pt idx="250">
                  <c:v>25</c:v>
                </c:pt>
                <c:pt idx="251">
                  <c:v>25.5</c:v>
                </c:pt>
                <c:pt idx="252">
                  <c:v>26</c:v>
                </c:pt>
                <c:pt idx="253">
                  <c:v>26.5</c:v>
                </c:pt>
                <c:pt idx="254">
                  <c:v>27</c:v>
                </c:pt>
                <c:pt idx="255">
                  <c:v>27.5</c:v>
                </c:pt>
                <c:pt idx="256">
                  <c:v>28</c:v>
                </c:pt>
                <c:pt idx="257">
                  <c:v>28.5</c:v>
                </c:pt>
                <c:pt idx="258">
                  <c:v>29</c:v>
                </c:pt>
                <c:pt idx="259">
                  <c:v>29.5</c:v>
                </c:pt>
                <c:pt idx="260">
                  <c:v>30</c:v>
                </c:pt>
                <c:pt idx="261">
                  <c:v>30.5</c:v>
                </c:pt>
                <c:pt idx="262">
                  <c:v>31</c:v>
                </c:pt>
                <c:pt idx="263">
                  <c:v>31.5</c:v>
                </c:pt>
                <c:pt idx="264">
                  <c:v>32</c:v>
                </c:pt>
                <c:pt idx="265">
                  <c:v>32.5</c:v>
                </c:pt>
                <c:pt idx="266">
                  <c:v>33</c:v>
                </c:pt>
                <c:pt idx="267">
                  <c:v>33.5</c:v>
                </c:pt>
                <c:pt idx="268">
                  <c:v>34</c:v>
                </c:pt>
                <c:pt idx="269">
                  <c:v>34.5</c:v>
                </c:pt>
                <c:pt idx="270">
                  <c:v>35</c:v>
                </c:pt>
                <c:pt idx="271">
                  <c:v>35.5</c:v>
                </c:pt>
                <c:pt idx="272">
                  <c:v>36</c:v>
                </c:pt>
                <c:pt idx="273">
                  <c:v>36.5</c:v>
                </c:pt>
                <c:pt idx="274">
                  <c:v>37</c:v>
                </c:pt>
                <c:pt idx="275">
                  <c:v>37.5</c:v>
                </c:pt>
                <c:pt idx="276">
                  <c:v>38</c:v>
                </c:pt>
                <c:pt idx="277">
                  <c:v>38.5</c:v>
                </c:pt>
                <c:pt idx="278">
                  <c:v>39</c:v>
                </c:pt>
                <c:pt idx="279">
                  <c:v>39.5</c:v>
                </c:pt>
                <c:pt idx="280">
                  <c:v>40</c:v>
                </c:pt>
                <c:pt idx="281">
                  <c:v>40.5</c:v>
                </c:pt>
                <c:pt idx="282">
                  <c:v>41</c:v>
                </c:pt>
                <c:pt idx="283">
                  <c:v>41.5</c:v>
                </c:pt>
                <c:pt idx="284">
                  <c:v>42</c:v>
                </c:pt>
                <c:pt idx="285">
                  <c:v>42.5</c:v>
                </c:pt>
                <c:pt idx="286">
                  <c:v>43</c:v>
                </c:pt>
                <c:pt idx="287">
                  <c:v>43.5</c:v>
                </c:pt>
                <c:pt idx="288">
                  <c:v>44</c:v>
                </c:pt>
                <c:pt idx="289">
                  <c:v>44.5</c:v>
                </c:pt>
                <c:pt idx="290">
                  <c:v>45</c:v>
                </c:pt>
                <c:pt idx="291">
                  <c:v>45.5</c:v>
                </c:pt>
                <c:pt idx="292">
                  <c:v>46</c:v>
                </c:pt>
                <c:pt idx="293">
                  <c:v>46.5</c:v>
                </c:pt>
                <c:pt idx="294">
                  <c:v>47</c:v>
                </c:pt>
                <c:pt idx="295">
                  <c:v>47.5</c:v>
                </c:pt>
                <c:pt idx="296">
                  <c:v>48</c:v>
                </c:pt>
                <c:pt idx="297">
                  <c:v>48.5</c:v>
                </c:pt>
                <c:pt idx="298">
                  <c:v>49</c:v>
                </c:pt>
                <c:pt idx="299">
                  <c:v>49.5</c:v>
                </c:pt>
                <c:pt idx="300">
                  <c:v>50</c:v>
                </c:pt>
                <c:pt idx="301">
                  <c:v>50.5</c:v>
                </c:pt>
                <c:pt idx="302">
                  <c:v>51</c:v>
                </c:pt>
                <c:pt idx="303">
                  <c:v>51.5</c:v>
                </c:pt>
                <c:pt idx="304">
                  <c:v>52</c:v>
                </c:pt>
                <c:pt idx="305">
                  <c:v>52.5</c:v>
                </c:pt>
                <c:pt idx="306">
                  <c:v>53</c:v>
                </c:pt>
                <c:pt idx="307">
                  <c:v>53.5</c:v>
                </c:pt>
                <c:pt idx="308">
                  <c:v>54</c:v>
                </c:pt>
                <c:pt idx="309">
                  <c:v>54.5</c:v>
                </c:pt>
                <c:pt idx="310">
                  <c:v>55</c:v>
                </c:pt>
                <c:pt idx="311">
                  <c:v>55.5</c:v>
                </c:pt>
                <c:pt idx="312">
                  <c:v>56</c:v>
                </c:pt>
                <c:pt idx="313">
                  <c:v>56.5</c:v>
                </c:pt>
                <c:pt idx="314">
                  <c:v>57</c:v>
                </c:pt>
                <c:pt idx="315">
                  <c:v>57.5</c:v>
                </c:pt>
                <c:pt idx="316">
                  <c:v>58</c:v>
                </c:pt>
                <c:pt idx="317">
                  <c:v>58.5</c:v>
                </c:pt>
                <c:pt idx="318">
                  <c:v>59</c:v>
                </c:pt>
                <c:pt idx="319">
                  <c:v>59.5</c:v>
                </c:pt>
                <c:pt idx="320">
                  <c:v>60</c:v>
                </c:pt>
                <c:pt idx="321">
                  <c:v>60.5</c:v>
                </c:pt>
                <c:pt idx="322">
                  <c:v>61</c:v>
                </c:pt>
                <c:pt idx="323">
                  <c:v>61.5</c:v>
                </c:pt>
                <c:pt idx="324">
                  <c:v>62</c:v>
                </c:pt>
                <c:pt idx="325">
                  <c:v>62.5</c:v>
                </c:pt>
                <c:pt idx="326">
                  <c:v>63</c:v>
                </c:pt>
                <c:pt idx="327">
                  <c:v>63.5</c:v>
                </c:pt>
                <c:pt idx="328">
                  <c:v>64</c:v>
                </c:pt>
                <c:pt idx="329">
                  <c:v>64.5</c:v>
                </c:pt>
                <c:pt idx="330">
                  <c:v>65</c:v>
                </c:pt>
                <c:pt idx="331">
                  <c:v>65.5</c:v>
                </c:pt>
                <c:pt idx="332">
                  <c:v>66</c:v>
                </c:pt>
                <c:pt idx="333">
                  <c:v>66.5</c:v>
                </c:pt>
                <c:pt idx="334">
                  <c:v>67</c:v>
                </c:pt>
                <c:pt idx="335">
                  <c:v>67.5</c:v>
                </c:pt>
                <c:pt idx="336">
                  <c:v>68</c:v>
                </c:pt>
                <c:pt idx="337">
                  <c:v>68.5</c:v>
                </c:pt>
                <c:pt idx="338">
                  <c:v>69</c:v>
                </c:pt>
                <c:pt idx="339">
                  <c:v>69.5</c:v>
                </c:pt>
                <c:pt idx="340">
                  <c:v>70</c:v>
                </c:pt>
                <c:pt idx="341">
                  <c:v>70.5</c:v>
                </c:pt>
                <c:pt idx="342">
                  <c:v>71</c:v>
                </c:pt>
                <c:pt idx="343">
                  <c:v>71.5</c:v>
                </c:pt>
                <c:pt idx="344">
                  <c:v>72</c:v>
                </c:pt>
                <c:pt idx="345">
                  <c:v>72.5</c:v>
                </c:pt>
                <c:pt idx="346">
                  <c:v>73</c:v>
                </c:pt>
                <c:pt idx="347">
                  <c:v>73.5</c:v>
                </c:pt>
                <c:pt idx="348">
                  <c:v>74</c:v>
                </c:pt>
                <c:pt idx="349">
                  <c:v>74.5</c:v>
                </c:pt>
                <c:pt idx="350">
                  <c:v>75</c:v>
                </c:pt>
                <c:pt idx="351">
                  <c:v>75.5</c:v>
                </c:pt>
                <c:pt idx="352">
                  <c:v>76</c:v>
                </c:pt>
                <c:pt idx="353">
                  <c:v>76.5</c:v>
                </c:pt>
                <c:pt idx="354">
                  <c:v>77</c:v>
                </c:pt>
                <c:pt idx="355">
                  <c:v>77.5</c:v>
                </c:pt>
                <c:pt idx="356">
                  <c:v>78</c:v>
                </c:pt>
                <c:pt idx="357">
                  <c:v>78.5</c:v>
                </c:pt>
                <c:pt idx="358">
                  <c:v>79</c:v>
                </c:pt>
                <c:pt idx="359">
                  <c:v>79.5</c:v>
                </c:pt>
                <c:pt idx="360">
                  <c:v>80</c:v>
                </c:pt>
                <c:pt idx="361">
                  <c:v>80.5</c:v>
                </c:pt>
                <c:pt idx="362">
                  <c:v>81</c:v>
                </c:pt>
                <c:pt idx="363">
                  <c:v>81.5</c:v>
                </c:pt>
                <c:pt idx="364">
                  <c:v>82</c:v>
                </c:pt>
                <c:pt idx="365">
                  <c:v>82.5</c:v>
                </c:pt>
                <c:pt idx="366">
                  <c:v>83</c:v>
                </c:pt>
                <c:pt idx="367">
                  <c:v>83.5</c:v>
                </c:pt>
                <c:pt idx="368">
                  <c:v>84</c:v>
                </c:pt>
                <c:pt idx="369">
                  <c:v>84.5</c:v>
                </c:pt>
                <c:pt idx="370">
                  <c:v>85</c:v>
                </c:pt>
                <c:pt idx="371">
                  <c:v>85.5</c:v>
                </c:pt>
                <c:pt idx="372">
                  <c:v>86</c:v>
                </c:pt>
                <c:pt idx="373">
                  <c:v>86.5</c:v>
                </c:pt>
                <c:pt idx="374">
                  <c:v>87</c:v>
                </c:pt>
                <c:pt idx="375">
                  <c:v>87.5</c:v>
                </c:pt>
                <c:pt idx="376">
                  <c:v>88</c:v>
                </c:pt>
                <c:pt idx="377">
                  <c:v>88.5</c:v>
                </c:pt>
                <c:pt idx="378">
                  <c:v>89</c:v>
                </c:pt>
                <c:pt idx="379">
                  <c:v>89.5</c:v>
                </c:pt>
                <c:pt idx="380">
                  <c:v>90</c:v>
                </c:pt>
                <c:pt idx="381">
                  <c:v>90.5</c:v>
                </c:pt>
                <c:pt idx="382">
                  <c:v>91</c:v>
                </c:pt>
                <c:pt idx="383">
                  <c:v>91.5</c:v>
                </c:pt>
                <c:pt idx="384">
                  <c:v>92</c:v>
                </c:pt>
                <c:pt idx="385">
                  <c:v>92.5</c:v>
                </c:pt>
                <c:pt idx="386">
                  <c:v>93</c:v>
                </c:pt>
                <c:pt idx="387">
                  <c:v>93.5</c:v>
                </c:pt>
                <c:pt idx="388">
                  <c:v>94</c:v>
                </c:pt>
                <c:pt idx="389">
                  <c:v>94.5</c:v>
                </c:pt>
                <c:pt idx="390">
                  <c:v>95</c:v>
                </c:pt>
                <c:pt idx="391">
                  <c:v>95.5</c:v>
                </c:pt>
                <c:pt idx="392">
                  <c:v>96</c:v>
                </c:pt>
                <c:pt idx="393">
                  <c:v>96.5</c:v>
                </c:pt>
                <c:pt idx="394">
                  <c:v>97</c:v>
                </c:pt>
                <c:pt idx="395">
                  <c:v>97.5</c:v>
                </c:pt>
                <c:pt idx="396">
                  <c:v>98</c:v>
                </c:pt>
                <c:pt idx="397">
                  <c:v>98.5</c:v>
                </c:pt>
                <c:pt idx="398">
                  <c:v>99</c:v>
                </c:pt>
                <c:pt idx="399">
                  <c:v>99.5</c:v>
                </c:pt>
                <c:pt idx="400">
                  <c:v>100</c:v>
                </c:pt>
              </c:numCache>
            </c:numRef>
          </c:xVal>
          <c:yVal>
            <c:numRef>
              <c:f>Sheet1!$F$2:$F$402</c:f>
              <c:numCache>
                <c:formatCode>General</c:formatCode>
                <c:ptCount val="401"/>
                <c:pt idx="0">
                  <c:v>1.8804811209043564</c:v>
                </c:pt>
                <c:pt idx="1">
                  <c:v>1.971660032483465</c:v>
                </c:pt>
                <c:pt idx="2">
                  <c:v>1.9999049073987631</c:v>
                </c:pt>
                <c:pt idx="3">
                  <c:v>1.9548290064158553</c:v>
                </c:pt>
                <c:pt idx="4">
                  <c:v>1.8440145615971271</c:v>
                </c:pt>
                <c:pt idx="5">
                  <c:v>1.6911563814532851</c:v>
                </c:pt>
                <c:pt idx="6">
                  <c:v>1.5302605354346006</c:v>
                </c:pt>
                <c:pt idx="7">
                  <c:v>1.3973184821263471</c:v>
                </c:pt>
                <c:pt idx="8">
                  <c:v>1.3214951049411252</c:v>
                </c:pt>
                <c:pt idx="9">
                  <c:v>1.31798813149859</c:v>
                </c:pt>
                <c:pt idx="10">
                  <c:v>1.3843071998648782</c:v>
                </c:pt>
                <c:pt idx="11">
                  <c:v>1.5008835860084269</c:v>
                </c:pt>
                <c:pt idx="12">
                  <c:v>1.6358613099260106</c:v>
                </c:pt>
                <c:pt idx="13">
                  <c:v>1.7528965905636731</c:v>
                </c:pt>
                <c:pt idx="14">
                  <c:v>1.8200560709524127</c:v>
                </c:pt>
                <c:pt idx="15">
                  <c:v>1.8176352177089539</c:v>
                </c:pt>
                <c:pt idx="16">
                  <c:v>1.7429826780275985</c:v>
                </c:pt>
                <c:pt idx="17">
                  <c:v>1.6111494233162236</c:v>
                </c:pt>
                <c:pt idx="18">
                  <c:v>1.451203746474653</c:v>
                </c:pt>
                <c:pt idx="19">
                  <c:v>1.2991143300006254</c:v>
                </c:pt>
                <c:pt idx="20">
                  <c:v>1.1889438580626899</c:v>
                </c:pt>
                <c:pt idx="21">
                  <c:v>1.1445092834381034</c:v>
                </c:pt>
                <c:pt idx="22">
                  <c:v>1.1735506068276926</c:v>
                </c:pt>
                <c:pt idx="23">
                  <c:v>1.2658358547423283</c:v>
                </c:pt>
                <c:pt idx="24">
                  <c:v>1.3956662234656161</c:v>
                </c:pt>
                <c:pt idx="25">
                  <c:v>1.5281680424807829</c:v>
                </c:pt>
                <c:pt idx="26">
                  <c:v>1.627831065274961</c:v>
                </c:pt>
                <c:pt idx="27">
                  <c:v>1.667202616148683</c:v>
                </c:pt>
                <c:pt idx="28">
                  <c:v>1.6336089626726464</c:v>
                </c:pt>
                <c:pt idx="29">
                  <c:v>1.5322582873982795</c:v>
                </c:pt>
                <c:pt idx="30">
                  <c:v>1.3849655431274335</c:v>
                </c:pt>
                <c:pt idx="31">
                  <c:v>1.2248113916434136</c:v>
                </c:pt>
                <c:pt idx="32">
                  <c:v>1.0880429039780124</c:v>
                </c:pt>
                <c:pt idx="33">
                  <c:v>1.0051990132621298</c:v>
                </c:pt>
                <c:pt idx="34">
                  <c:v>0.99363351881280138</c:v>
                </c:pt>
                <c:pt idx="35">
                  <c:v>1.0532662708254785</c:v>
                </c:pt>
                <c:pt idx="36">
                  <c:v>1.1666027938415029</c:v>
                </c:pt>
                <c:pt idx="37">
                  <c:v>1.3030175444815497</c:v>
                </c:pt>
                <c:pt idx="38">
                  <c:v>1.4262521125680505</c:v>
                </c:pt>
                <c:pt idx="39">
                  <c:v>1.5032925444929255</c:v>
                </c:pt>
                <c:pt idx="40">
                  <c:v>1.5124523104627268</c:v>
                </c:pt>
                <c:pt idx="41">
                  <c:v>1.4486819233362414</c:v>
                </c:pt>
                <c:pt idx="42">
                  <c:v>1.3248052291836809</c:v>
                </c:pt>
                <c:pt idx="43">
                  <c:v>1.1683796825214277</c:v>
                </c:pt>
                <c:pt idx="44">
                  <c:v>1.0149493203465965</c:v>
                </c:pt>
                <c:pt idx="45">
                  <c:v>0.89934234223851561</c:v>
                </c:pt>
                <c:pt idx="46">
                  <c:v>0.84714395242578067</c:v>
                </c:pt>
                <c:pt idx="47">
                  <c:v>0.86843220947590316</c:v>
                </c:pt>
                <c:pt idx="48">
                  <c:v>0.95531056607340314</c:v>
                </c:pt>
                <c:pt idx="49">
                  <c:v>1.0838412192043536</c:v>
                </c:pt>
                <c:pt idx="50">
                  <c:v>1.2199059191942578</c:v>
                </c:pt>
                <c:pt idx="51">
                  <c:v>1.3275593071439198</c:v>
                </c:pt>
                <c:pt idx="52">
                  <c:v>1.3778295924261885</c:v>
                </c:pt>
                <c:pt idx="53">
                  <c:v>1.3558118574580043</c:v>
                </c:pt>
                <c:pt idx="54">
                  <c:v>1.2643173013519065</c:v>
                </c:pt>
                <c:pt idx="55">
                  <c:v>1.1231849603292874</c:v>
                </c:pt>
                <c:pt idx="56">
                  <c:v>0.96442441974281756</c:v>
                </c:pt>
                <c:pt idx="57">
                  <c:v>0.82437875120879589</c:v>
                </c:pt>
                <c:pt idx="58">
                  <c:v>0.73482646116654493</c:v>
                </c:pt>
                <c:pt idx="59">
                  <c:v>0.71520100418790655</c:v>
                </c:pt>
                <c:pt idx="60">
                  <c:v>0.76783279553263328</c:v>
                </c:pt>
                <c:pt idx="61">
                  <c:v>0.87737864421672684</c:v>
                </c:pt>
                <c:pt idx="62">
                  <c:v>1.0145783012778133</c:v>
                </c:pt>
                <c:pt idx="63">
                  <c:v>1.1434183892079914</c:v>
                </c:pt>
                <c:pt idx="64">
                  <c:v>1.2299497327782161</c:v>
                </c:pt>
                <c:pt idx="65">
                  <c:v>1.2505993011532477</c:v>
                </c:pt>
                <c:pt idx="66">
                  <c:v>1.197941707978311</c:v>
                </c:pt>
                <c:pt idx="67">
                  <c:v>1.0825172049281462</c:v>
                </c:pt>
                <c:pt idx="68">
                  <c:v>0.9302510604929044</c:v>
                </c:pt>
                <c:pt idx="69">
                  <c:v>0.77610615007641015</c:v>
                </c:pt>
                <c:pt idx="70">
                  <c:v>0.65552282472439749</c:v>
                </c:pt>
                <c:pt idx="71">
                  <c:v>0.59574187716306026</c:v>
                </c:pt>
                <c:pt idx="72">
                  <c:v>0.60913504568382004</c:v>
                </c:pt>
                <c:pt idx="73">
                  <c:v>0.6901759811301289</c:v>
                </c:pt>
                <c:pt idx="74">
                  <c:v>0.81679328990915789</c:v>
                </c:pt>
                <c:pt idx="75">
                  <c:v>0.95577438091008271</c:v>
                </c:pt>
                <c:pt idx="76">
                  <c:v>1.070897066137624</c:v>
                </c:pt>
                <c:pt idx="77">
                  <c:v>1.1317980156262615</c:v>
                </c:pt>
                <c:pt idx="78">
                  <c:v>1.1214067595739465</c:v>
                </c:pt>
                <c:pt idx="79">
                  <c:v>1.040125134703092</c:v>
                </c:pt>
                <c:pt idx="80">
                  <c:v>0.90572890061637934</c:v>
                </c:pt>
                <c:pt idx="81">
                  <c:v>0.74901561389473248</c:v>
                </c:pt>
                <c:pt idx="82">
                  <c:v>0.60626431214397292</c:v>
                </c:pt>
                <c:pt idx="83">
                  <c:v>0.51035314031324353</c:v>
                </c:pt>
                <c:pt idx="84">
                  <c:v>0.48270963414606743</c:v>
                </c:pt>
                <c:pt idx="85">
                  <c:v>0.52806451211889827</c:v>
                </c:pt>
                <c:pt idx="86">
                  <c:v>0.63329343056850962</c:v>
                </c:pt>
                <c:pt idx="87">
                  <c:v>0.77063028074824047</c:v>
                </c:pt>
                <c:pt idx="88">
                  <c:v>0.90446530062607355</c:v>
                </c:pt>
                <c:pt idx="89">
                  <c:v>1.0000635865639422</c:v>
                </c:pt>
                <c:pt idx="90">
                  <c:v>1.0320694091504432</c:v>
                </c:pt>
                <c:pt idx="91">
                  <c:v>0.99071418007272749</c:v>
                </c:pt>
                <c:pt idx="92">
                  <c:v>0.88420814322691355</c:v>
                </c:pt>
                <c:pt idx="93">
                  <c:v>0.73673022067004978</c:v>
                </c:pt>
                <c:pt idx="94">
                  <c:v>0.582508169231164</c:v>
                </c:pt>
                <c:pt idx="95">
                  <c:v>0.45743843190476463</c:v>
                </c:pt>
                <c:pt idx="96">
                  <c:v>0.3902974366735687</c:v>
                </c:pt>
                <c:pt idx="97">
                  <c:v>0.39569612332532139</c:v>
                </c:pt>
                <c:pt idx="98">
                  <c:v>0.47050267581841609</c:v>
                </c:pt>
                <c:pt idx="99">
                  <c:v>0.59460930007478319</c:v>
                </c:pt>
                <c:pt idx="100">
                  <c:v>0.73585531325403575</c:v>
                </c:pt>
                <c:pt idx="101">
                  <c:v>0.85790120055582297</c:v>
                </c:pt>
                <c:pt idx="102">
                  <c:v>0.92912579582784161</c:v>
                </c:pt>
                <c:pt idx="103">
                  <c:v>0.93036824586664335</c:v>
                </c:pt>
                <c:pt idx="104">
                  <c:v>0.85961925553995711</c:v>
                </c:pt>
                <c:pt idx="105">
                  <c:v>0.73251303331168593</c:v>
                </c:pt>
                <c:pt idx="106">
                  <c:v>0.57849949174786131</c:v>
                </c:pt>
                <c:pt idx="107">
                  <c:v>0.43363388181887141</c:v>
                </c:pt>
                <c:pt idx="108">
                  <c:v>0.33174920999107155</c:v>
                </c:pt>
                <c:pt idx="109">
                  <c:v>0.29617273827646889</c:v>
                </c:pt>
                <c:pt idx="110">
                  <c:v>0.33401465692547877</c:v>
                </c:pt>
                <c:pt idx="111">
                  <c:v>0.4344272618770687</c:v>
                </c:pt>
                <c:pt idx="112">
                  <c:v>0.5712608510398044</c:v>
                </c:pt>
                <c:pt idx="113">
                  <c:v>0.70946608336657668</c:v>
                </c:pt>
                <c:pt idx="114">
                  <c:v>0.81367527993143651</c:v>
                </c:pt>
                <c:pt idx="115">
                  <c:v>0.85686166522159257</c:v>
                </c:pt>
                <c:pt idx="116">
                  <c:v>0.82695646437469017</c:v>
                </c:pt>
                <c:pt idx="117">
                  <c:v>0.72980376017835524</c:v>
                </c:pt>
                <c:pt idx="118">
                  <c:v>0.58772965778426989</c:v>
                </c:pt>
                <c:pt idx="119">
                  <c:v>0.43407607551690247</c:v>
                </c:pt>
                <c:pt idx="120">
                  <c:v>0.30503748042762391</c:v>
                </c:pt>
                <c:pt idx="121">
                  <c:v>0.23079922043436374</c:v>
                </c:pt>
                <c:pt idx="122">
                  <c:v>0.22814709840048791</c:v>
                </c:pt>
                <c:pt idx="123">
                  <c:v>0.2963576221685067</c:v>
                </c:pt>
                <c:pt idx="124">
                  <c:v>0.4173751406728986</c:v>
                </c:pt>
                <c:pt idx="125">
                  <c:v>0.56023249703379585</c:v>
                </c:pt>
                <c:pt idx="126">
                  <c:v>0.68863286857852835</c:v>
                </c:pt>
                <c:pt idx="127">
                  <c:v>0.76983649492784023</c:v>
                </c:pt>
                <c:pt idx="128">
                  <c:v>0.78267651317579179</c:v>
                </c:pt>
                <c:pt idx="129">
                  <c:v>0.72274134414928626</c:v>
                </c:pt>
                <c:pt idx="130">
                  <c:v>0.60345480084884529</c:v>
                </c:pt>
                <c:pt idx="131">
                  <c:v>0.45278947085423693</c:v>
                </c:pt>
                <c:pt idx="132">
                  <c:v>0.30641805130684996</c:v>
                </c:pt>
                <c:pt idx="133">
                  <c:v>0.19897942852067563</c:v>
                </c:pt>
                <c:pt idx="134">
                  <c:v>0.15559787053924845</c:v>
                </c:pt>
                <c:pt idx="135">
                  <c:v>0.18573173007910793</c:v>
                </c:pt>
                <c:pt idx="136">
                  <c:v>0.28085770991320713</c:v>
                </c:pt>
                <c:pt idx="137">
                  <c:v>0.4165576632924759</c:v>
                </c:pt>
                <c:pt idx="138">
                  <c:v>0.55849700788263379</c:v>
                </c:pt>
                <c:pt idx="139">
                  <c:v>0.67083102898004265</c:v>
                </c:pt>
                <c:pt idx="140">
                  <c:v>0.72498091579928703</c:v>
                </c:pt>
                <c:pt idx="141">
                  <c:v>0.70663085107431467</c:v>
                </c:pt>
                <c:pt idx="142">
                  <c:v>0.61923302240674738</c:v>
                </c:pt>
                <c:pt idx="143">
                  <c:v>0.48316240634175323</c:v>
                </c:pt>
                <c:pt idx="144">
                  <c:v>0.33072826350763929</c:v>
                </c:pt>
                <c:pt idx="145">
                  <c:v>0.19826370478918495</c:v>
                </c:pt>
                <c:pt idx="146">
                  <c:v>0.11723007862150625</c:v>
                </c:pt>
                <c:pt idx="147">
                  <c:v>0.10651413564025347</c:v>
                </c:pt>
                <c:pt idx="148">
                  <c:v>0.16780389342754778</c:v>
                </c:pt>
                <c:pt idx="149">
                  <c:v>0.28517535093620666</c:v>
                </c:pt>
                <c:pt idx="150">
                  <c:v>0.42899123931504618</c:v>
                </c:pt>
                <c:pt idx="151">
                  <c:v>0.56315725895953728</c:v>
                </c:pt>
                <c:pt idx="152">
                  <c:v>0.65395922288770136</c:v>
                </c:pt>
                <c:pt idx="153">
                  <c:v>0.67831746553667593</c:v>
                </c:pt>
                <c:pt idx="154">
                  <c:v>0.6294375498239797</c:v>
                </c:pt>
                <c:pt idx="155">
                  <c:v>0.51847378230958141</c:v>
                </c:pt>
                <c:pt idx="156">
                  <c:v>0.37179824992997829</c:v>
                </c:pt>
                <c:pt idx="157">
                  <c:v>0.22454401335745541</c:v>
                </c:pt>
                <c:pt idx="158">
                  <c:v>0.11200330843918316</c:v>
                </c:pt>
                <c:pt idx="159">
                  <c:v>6.0986776002074528E-2</c:v>
                </c:pt>
                <c:pt idx="160">
                  <c:v>8.3259281924568884E-2</c:v>
                </c:pt>
                <c:pt idx="161">
                  <c:v>0.17265946765554827</c:v>
                </c:pt>
                <c:pt idx="162">
                  <c:v>0.30660826567254285</c:v>
                </c:pt>
                <c:pt idx="163">
                  <c:v>0.45163704268374089</c:v>
                </c:pt>
                <c:pt idx="164">
                  <c:v>0.57158188831721701</c:v>
                </c:pt>
                <c:pt idx="165">
                  <c:v>0.63643780164044728</c:v>
                </c:pt>
                <c:pt idx="166">
                  <c:v>0.62970496184958136</c:v>
                </c:pt>
                <c:pt idx="167">
                  <c:v>0.55242845985359401</c:v>
                </c:pt>
                <c:pt idx="168">
                  <c:v>0.42294242357094813</c:v>
                </c:pt>
                <c:pt idx="169">
                  <c:v>0.27238118399008959</c:v>
                </c:pt>
                <c:pt idx="170">
                  <c:v>0.13705650509572209</c:v>
                </c:pt>
                <c:pt idx="171">
                  <c:v>4.9567197628309356E-2</c:v>
                </c:pt>
                <c:pt idx="172">
                  <c:v>3.0817793291538942E-2</c:v>
                </c:pt>
                <c:pt idx="173">
                  <c:v>8.4900386320227977E-2</c:v>
                </c:pt>
                <c:pt idx="174">
                  <c:v>0.19809274609486485</c:v>
                </c:pt>
                <c:pt idx="175">
                  <c:v>0.34221799777678874</c:v>
                </c:pt>
                <c:pt idx="176">
                  <c:v>0.48154330397155903</c:v>
                </c:pt>
                <c:pt idx="177">
                  <c:v>0.58152850954938562</c:v>
                </c:pt>
                <c:pt idx="178">
                  <c:v>0.61728277625092531</c:v>
                </c:pt>
                <c:pt idx="179">
                  <c:v>0.57965872799150098</c:v>
                </c:pt>
                <c:pt idx="180">
                  <c:v>0.47749204755252517</c:v>
                </c:pt>
                <c:pt idx="181">
                  <c:v>0.33543819328139995</c:v>
                </c:pt>
                <c:pt idx="182">
                  <c:v>0.18793588299890157</c:v>
                </c:pt>
                <c:pt idx="183">
                  <c:v>7.0775294784381521E-2</c:v>
                </c:pt>
                <c:pt idx="184">
                  <c:v>1.2335383155842594E-2</c:v>
                </c:pt>
                <c:pt idx="185">
                  <c:v>2.6635721253292666E-2</c:v>
                </c:pt>
                <c:pt idx="186">
                  <c:v>0.10990402038436328</c:v>
                </c:pt>
                <c:pt idx="187">
                  <c:v>0.24149971785936963</c:v>
                </c:pt>
                <c:pt idx="188">
                  <c:v>0.38896750660253487</c:v>
                </c:pt>
                <c:pt idx="189">
                  <c:v>0.51598352624254618</c:v>
                </c:pt>
                <c:pt idx="190">
                  <c:v>0.59124871097037013</c:v>
                </c:pt>
                <c:pt idx="191">
                  <c:v>0.5961518924423862</c:v>
                </c:pt>
                <c:pt idx="192">
                  <c:v>0.52932646287809271</c:v>
                </c:pt>
                <c:pt idx="193">
                  <c:v>0.40698496830688591</c:v>
                </c:pt>
                <c:pt idx="194">
                  <c:v>0.25894971186775412</c:v>
                </c:pt>
                <c:pt idx="195">
                  <c:v>0.12135121391167017</c:v>
                </c:pt>
                <c:pt idx="196">
                  <c:v>2.7782200523724043E-2</c:v>
                </c:pt>
                <c:pt idx="197">
                  <c:v>1.0729325902122389E-3</c:v>
                </c:pt>
                <c:pt idx="198">
                  <c:v>4.7701561700488226E-2</c:v>
                </c:pt>
                <c:pt idx="199">
                  <c:v>0.1562080527044534</c:v>
                </c:pt>
                <c:pt idx="200">
                  <c:v>0.3</c:v>
                </c:pt>
                <c:pt idx="201">
                  <c:v>0.44386337586697522</c:v>
                </c:pt>
                <c:pt idx="202">
                  <c:v>0.55258415258522608</c:v>
                </c:pt>
                <c:pt idx="203">
                  <c:v>0.59956992455264491</c:v>
                </c:pt>
                <c:pt idx="204">
                  <c:v>0.57336065661913305</c:v>
                </c:pt>
                <c:pt idx="205">
                  <c:v>0.48043450037404412</c:v>
                </c:pt>
                <c:pt idx="206">
                  <c:v>0.34362171670367442</c:v>
                </c:pt>
                <c:pt idx="207">
                  <c:v>0.19651503169311402</c:v>
                </c:pt>
                <c:pt idx="208">
                  <c:v>7.524496569333583E-2</c:v>
                </c:pt>
                <c:pt idx="209">
                  <c:v>9.6338218433280609E-3</c:v>
                </c:pt>
                <c:pt idx="210">
                  <c:v>1.5894146172487023E-2</c:v>
                </c:pt>
                <c:pt idx="211">
                  <c:v>9.2659330900311004E-2</c:v>
                </c:pt>
                <c:pt idx="212">
                  <c:v>0.22131820768317934</c:v>
                </c:pt>
                <c:pt idx="213">
                  <c:v>0.37057171071205897</c:v>
                </c:pt>
                <c:pt idx="214">
                  <c:v>0.50409597961563668</c:v>
                </c:pt>
                <c:pt idx="215">
                  <c:v>0.58943570731813599</c:v>
                </c:pt>
                <c:pt idx="216">
                  <c:v>0.60595033112987162</c:v>
                </c:pt>
                <c:pt idx="217">
                  <c:v>0.54986756235847567</c:v>
                </c:pt>
                <c:pt idx="218">
                  <c:v>0.43520697414395554</c:v>
                </c:pt>
                <c:pt idx="219">
                  <c:v>0.29034752100431432</c:v>
                </c:pt>
                <c:pt idx="220">
                  <c:v>0.15107938101890336</c:v>
                </c:pt>
                <c:pt idx="221">
                  <c:v>5.1841272008498973E-2</c:v>
                </c:pt>
                <c:pt idx="222">
                  <c:v>1.7288652320503251E-2</c:v>
                </c:pt>
                <c:pt idx="223">
                  <c:v>5.6257204736328614E-2</c:v>
                </c:pt>
                <c:pt idx="224">
                  <c:v>0.15959955317129809</c:v>
                </c:pt>
                <c:pt idx="225">
                  <c:v>0.30242485936606833</c:v>
                </c:pt>
                <c:pt idx="226">
                  <c:v>0.45019296819084942</c:v>
                </c:pt>
                <c:pt idx="227">
                  <c:v>0.56717104225120052</c:v>
                </c:pt>
                <c:pt idx="228">
                  <c:v>0.62518220670846114</c:v>
                </c:pt>
                <c:pt idx="229">
                  <c:v>0.61050423094311923</c:v>
                </c:pt>
                <c:pt idx="230">
                  <c:v>0.52722920918999217</c:v>
                </c:pt>
                <c:pt idx="231">
                  <c:v>0.3962616731527675</c:v>
                </c:pt>
                <c:pt idx="232">
                  <c:v>0.25020043357190902</c:v>
                </c:pt>
                <c:pt idx="233">
                  <c:v>0.1253572544321202</c:v>
                </c:pt>
                <c:pt idx="234">
                  <c:v>5.2866466721847249E-2</c:v>
                </c:pt>
                <c:pt idx="235">
                  <c:v>5.1062198359552724E-2</c:v>
                </c:pt>
                <c:pt idx="236">
                  <c:v>0.12098954025421144</c:v>
                </c:pt>
                <c:pt idx="237">
                  <c:v>0.24614867160197335</c:v>
                </c:pt>
                <c:pt idx="238">
                  <c:v>0.39653459147031422</c:v>
                </c:pt>
                <c:pt idx="239">
                  <c:v>0.53598338948730884</c:v>
                </c:pt>
                <c:pt idx="240">
                  <c:v>0.63102643236114542</c:v>
                </c:pt>
                <c:pt idx="241">
                  <c:v>0.65908465256935411</c:v>
                </c:pt>
                <c:pt idx="242">
                  <c:v>0.61399669156081682</c:v>
                </c:pt>
                <c:pt idx="243">
                  <c:v>0.50752741521397304</c:v>
                </c:pt>
                <c:pt idx="244">
                  <c:v>0.36648746435573593</c:v>
                </c:pt>
                <c:pt idx="245">
                  <c:v>0.22616907483327572</c:v>
                </c:pt>
                <c:pt idx="246">
                  <c:v>0.12170530731887735</c:v>
                </c:pt>
                <c:pt idx="247">
                  <c:v>7.9468248749038295E-2</c:v>
                </c:pt>
                <c:pt idx="248">
                  <c:v>0.11061220568372715</c:v>
                </c:pt>
                <c:pt idx="249">
                  <c:v>0.20834274104046269</c:v>
                </c:pt>
                <c:pt idx="250">
                  <c:v>0.3495801892563824</c:v>
                </c:pt>
                <c:pt idx="251">
                  <c:v>0.50061036334950759</c:v>
                </c:pt>
                <c:pt idx="252">
                  <c:v>0.62533896371530939</c:v>
                </c:pt>
                <c:pt idx="253">
                  <c:v>0.69412872150260363</c:v>
                </c:pt>
                <c:pt idx="254">
                  <c:v>0.69105563566420802</c:v>
                </c:pt>
                <c:pt idx="255">
                  <c:v>0.61780772378224358</c:v>
                </c:pt>
                <c:pt idx="256">
                  <c:v>0.49327173649236067</c:v>
                </c:pt>
                <c:pt idx="257">
                  <c:v>0.34890902222967535</c:v>
                </c:pt>
                <c:pt idx="258">
                  <c:v>0.22105269187896689</c:v>
                </c:pt>
                <c:pt idx="259">
                  <c:v>0.14201200606854253</c:v>
                </c:pt>
                <c:pt idx="260">
                  <c:v>0.13216194134357001</c:v>
                </c:pt>
                <c:pt idx="261">
                  <c:v>0.19495468530567162</c:v>
                </c:pt>
                <c:pt idx="262">
                  <c:v>0.31607442068879477</c:v>
                </c:pt>
                <c:pt idx="263">
                  <c:v>0.46694233670752405</c:v>
                </c:pt>
                <c:pt idx="264">
                  <c:v>0.61171371865822144</c:v>
                </c:pt>
                <c:pt idx="265">
                  <c:v>0.71605398420660626</c:v>
                </c:pt>
                <c:pt idx="266">
                  <c:v>0.75554498660360869</c:v>
                </c:pt>
                <c:pt idx="267">
                  <c:v>0.72166342862218147</c:v>
                </c:pt>
                <c:pt idx="268">
                  <c:v>0.62386766297886431</c:v>
                </c:pt>
                <c:pt idx="269">
                  <c:v>0.48728195771719163</c:v>
                </c:pt>
                <c:pt idx="270">
                  <c:v>0.34654519915115467</c:v>
                </c:pt>
                <c:pt idx="271">
                  <c:v>0.23733008442214235</c:v>
                </c:pt>
                <c:pt idx="272">
                  <c:v>0.18760920110992235</c:v>
                </c:pt>
                <c:pt idx="273">
                  <c:v>0.21080636221501692</c:v>
                </c:pt>
                <c:pt idx="274">
                  <c:v>0.3025099885643287</c:v>
                </c:pt>
                <c:pt idx="275">
                  <c:v>0.44155321725191848</c:v>
                </c:pt>
                <c:pt idx="276">
                  <c:v>0.59519628789852985</c:v>
                </c:pt>
                <c:pt idx="277">
                  <c:v>0.72714237783149316</c:v>
                </c:pt>
                <c:pt idx="278">
                  <c:v>0.80642433017094062</c:v>
                </c:pt>
                <c:pt idx="279">
                  <c:v>0.81498649385135058</c:v>
                </c:pt>
                <c:pt idx="280">
                  <c:v>0.75210537671523325</c:v>
                </c:pt>
                <c:pt idx="281">
                  <c:v>0.63456678162595481</c:v>
                </c:pt>
                <c:pt idx="282">
                  <c:v>0.49255605650144446</c:v>
                </c:pt>
                <c:pt idx="283">
                  <c:v>0.36226766839307334</c:v>
                </c:pt>
                <c:pt idx="284">
                  <c:v>0.27704353562530992</c:v>
                </c:pt>
                <c:pt idx="285">
                  <c:v>0.25920976334983609</c:v>
                </c:pt>
                <c:pt idx="286">
                  <c:v>0.3146104343542776</c:v>
                </c:pt>
                <c:pt idx="287">
                  <c:v>0.43117677377628033</c:v>
                </c:pt>
                <c:pt idx="288">
                  <c:v>0.58188200610305263</c:v>
                </c:pt>
                <c:pt idx="289">
                  <c:v>0.7313584524086455</c:v>
                </c:pt>
                <c:pt idx="290">
                  <c:v>0.84455677164594989</c:v>
                </c:pt>
                <c:pt idx="291">
                  <c:v>0.89532726172353105</c:v>
                </c:pt>
                <c:pt idx="292">
                  <c:v>0.87282221858035713</c:v>
                </c:pt>
                <c:pt idx="293">
                  <c:v>0.78415183246684284</c:v>
                </c:pt>
                <c:pt idx="294">
                  <c:v>0.65264336539499579</c:v>
                </c:pt>
                <c:pt idx="295">
                  <c:v>0.51212982383117123</c:v>
                </c:pt>
                <c:pt idx="296">
                  <c:v>0.39866645874575707</c:v>
                </c:pt>
                <c:pt idx="297">
                  <c:v>0.34170318270478517</c:v>
                </c:pt>
                <c:pt idx="298">
                  <c:v>0.35687420417215848</c:v>
                </c:pt>
                <c:pt idx="299">
                  <c:v>0.44217022801560557</c:v>
                </c:pt>
                <c:pt idx="300">
                  <c:v>0.57843040103167853</c:v>
                </c:pt>
                <c:pt idx="301">
                  <c:v>0.73403355706807383</c:v>
                </c:pt>
                <c:pt idx="302">
                  <c:v>0.87264018132444088</c:v>
                </c:pt>
                <c:pt idx="303">
                  <c:v>0.96208959096039304</c:v>
                </c:pt>
                <c:pt idx="304">
                  <c:v>0.9822739918978598</c:v>
                </c:pt>
                <c:pt idx="305">
                  <c:v>0.93006156809523532</c:v>
                </c:pt>
                <c:pt idx="306">
                  <c:v>0.82006325934026458</c:v>
                </c:pt>
                <c:pt idx="307">
                  <c:v>0.68105549361566464</c:v>
                </c:pt>
                <c:pt idx="308">
                  <c:v>0.54893471391594373</c:v>
                </c:pt>
                <c:pt idx="309">
                  <c:v>0.45792867707012958</c:v>
                </c:pt>
                <c:pt idx="310">
                  <c:v>0.43221630513527126</c:v>
                </c:pt>
                <c:pt idx="311">
                  <c:v>0.48000784200748658</c:v>
                </c:pt>
                <c:pt idx="312">
                  <c:v>0.59153469937392644</c:v>
                </c:pt>
                <c:pt idx="313">
                  <c:v>0.74144114782318804</c:v>
                </c:pt>
                <c:pt idx="314">
                  <c:v>0.89499228371720463</c:v>
                </c:pt>
                <c:pt idx="315">
                  <c:v>1.0165783450239589</c:v>
                </c:pt>
                <c:pt idx="316">
                  <c:v>1.0784332229967897</c:v>
                </c:pt>
                <c:pt idx="317">
                  <c:v>1.0674325739724706</c:v>
                </c:pt>
                <c:pt idx="318">
                  <c:v>0.98830711642745561</c:v>
                </c:pt>
                <c:pt idx="319">
                  <c:v>0.86248438610526745</c:v>
                </c:pt>
                <c:pt idx="320">
                  <c:v>0.72284252795504922</c:v>
                </c:pt>
                <c:pt idx="321">
                  <c:v>0.6056605795826222</c:v>
                </c:pt>
                <c:pt idx="322">
                  <c:v>0.54173609756891072</c:v>
                </c:pt>
                <c:pt idx="323">
                  <c:v>0.54884484151659585</c:v>
                </c:pt>
                <c:pt idx="324">
                  <c:v>0.62738864814809037</c:v>
                </c:pt>
                <c:pt idx="325">
                  <c:v>0.76029704766134576</c:v>
                </c:pt>
                <c:pt idx="326">
                  <c:v>0.91720671009084209</c:v>
                </c:pt>
                <c:pt idx="327">
                  <c:v>1.0618954474412996</c:v>
                </c:pt>
                <c:pt idx="328">
                  <c:v>1.1611506686018944</c:v>
                </c:pt>
                <c:pt idx="329">
                  <c:v>1.1929009799797967</c:v>
                </c:pt>
                <c:pt idx="330">
                  <c:v>1.1516200324184596</c:v>
                </c:pt>
                <c:pt idx="331">
                  <c:v>1.0496795642093042</c:v>
                </c:pt>
                <c:pt idx="332">
                  <c:v>0.91432036807852435</c:v>
                </c:pt>
                <c:pt idx="333">
                  <c:v>0.78098279507185386</c:v>
                </c:pt>
                <c:pt idx="334">
                  <c:v>0.68462972059311755</c:v>
                </c:pt>
                <c:pt idx="335">
                  <c:v>0.65118641313246672</c:v>
                </c:pt>
                <c:pt idx="336">
                  <c:v>0.6911931243646412</c:v>
                </c:pt>
                <c:pt idx="337">
                  <c:v>0.79722446793486579</c:v>
                </c:pt>
                <c:pt idx="338">
                  <c:v>0.94570741300790107</c:v>
                </c:pt>
                <c:pt idx="339">
                  <c:v>1.1026927843547019</c:v>
                </c:pt>
                <c:pt idx="340">
                  <c:v>1.2321672044673666</c:v>
                </c:pt>
                <c:pt idx="341">
                  <c:v>1.3048704243835223</c:v>
                </c:pt>
                <c:pt idx="342">
                  <c:v>1.3054592531191695</c:v>
                </c:pt>
                <c:pt idx="343">
                  <c:v>1.2362641059340613</c:v>
                </c:pt>
                <c:pt idx="344">
                  <c:v>1.1167184374000394</c:v>
                </c:pt>
                <c:pt idx="345">
                  <c:v>0.97860075395642676</c:v>
                </c:pt>
                <c:pt idx="346">
                  <c:v>0.85825412721952188</c:v>
                </c:pt>
                <c:pt idx="347">
                  <c:v>0.78768814254199571</c:v>
                </c:pt>
                <c:pt idx="348">
                  <c:v>0.78674183614524007</c:v>
                </c:pt>
                <c:pt idx="349">
                  <c:v>0.85822640714179443</c:v>
                </c:pt>
                <c:pt idx="350">
                  <c:v>0.98723693794859946</c:v>
                </c:pt>
                <c:pt idx="351">
                  <c:v>1.1448016379385033</c:v>
                </c:pt>
                <c:pt idx="352">
                  <c:v>1.2949751482123113</c:v>
                </c:pt>
                <c:pt idx="353">
                  <c:v>1.4036392190955254</c:v>
                </c:pt>
                <c:pt idx="354">
                  <c:v>1.4468560475742194</c:v>
                </c:pt>
                <c:pt idx="355">
                  <c:v>1.4167290863329129</c:v>
                </c:pt>
                <c:pt idx="356">
                  <c:v>1.3233363939391176</c:v>
                </c:pt>
                <c:pt idx="357">
                  <c:v>1.1922631746214294</c:v>
                </c:pt>
                <c:pt idx="358">
                  <c:v>1.0583376279591761</c:v>
                </c:pt>
                <c:pt idx="359">
                  <c:v>0.95710379094947295</c:v>
                </c:pt>
                <c:pt idx="360">
                  <c:v>0.91611911810870161</c:v>
                </c:pt>
                <c:pt idx="361">
                  <c:v>0.9482074555070743</c:v>
                </c:pt>
                <c:pt idx="362">
                  <c:v>1.0483193160033781</c:v>
                </c:pt>
                <c:pt idx="363">
                  <c:v>1.1947681698041643</c:v>
                </c:pt>
                <c:pt idx="364">
                  <c:v>1.354540063301354</c:v>
                </c:pt>
                <c:pt idx="365">
                  <c:v>1.4913765863173787</c:v>
                </c:pt>
                <c:pt idx="366">
                  <c:v>1.5746521954729127</c:v>
                </c:pt>
                <c:pt idx="367">
                  <c:v>1.5868724153092986</c:v>
                </c:pt>
                <c:pt idx="368">
                  <c:v>1.5279570960219877</c:v>
                </c:pt>
                <c:pt idx="369">
                  <c:v>1.4152600369280153</c:v>
                </c:pt>
                <c:pt idx="370">
                  <c:v>1.2793201711582811</c:v>
                </c:pt>
                <c:pt idx="371">
                  <c:v>1.1563845697445778</c:v>
                </c:pt>
                <c:pt idx="372">
                  <c:v>1.0795338944702106</c:v>
                </c:pt>
                <c:pt idx="373">
                  <c:v>1.0705830981370312</c:v>
                </c:pt>
                <c:pt idx="374">
                  <c:v>1.1347403632964674</c:v>
                </c:pt>
                <c:pt idx="375">
                  <c:v>1.2593319575192172</c:v>
                </c:pt>
                <c:pt idx="376">
                  <c:v>1.4169052051058126</c:v>
                </c:pt>
                <c:pt idx="377">
                  <c:v>1.5719498595433861</c:v>
                </c:pt>
                <c:pt idx="378">
                  <c:v>1.6895922503151648</c:v>
                </c:pt>
                <c:pt idx="379">
                  <c:v>1.7441335737047536</c:v>
                </c:pt>
                <c:pt idx="380">
                  <c:v>1.7253418562230247</c:v>
                </c:pt>
                <c:pt idx="381">
                  <c:v>1.6409570985708033</c:v>
                </c:pt>
                <c:pt idx="382">
                  <c:v>1.5147962535253472</c:v>
                </c:pt>
                <c:pt idx="383">
                  <c:v>1.3809220052552051</c:v>
                </c:pt>
                <c:pt idx="384">
                  <c:v>1.2753030362581157</c:v>
                </c:pt>
                <c:pt idx="385">
                  <c:v>1.2270076394339033</c:v>
                </c:pt>
                <c:pt idx="386">
                  <c:v>1.2510867861904444</c:v>
                </c:pt>
                <c:pt idx="387">
                  <c:v>1.3448891237220415</c:v>
                </c:pt>
                <c:pt idx="388">
                  <c:v>1.4887101186454179</c:v>
                </c:pt>
                <c:pt idx="389">
                  <c:v>1.6506164139915731</c:v>
                </c:pt>
                <c:pt idx="390">
                  <c:v>1.7942642287065507</c:v>
                </c:pt>
                <c:pt idx="391">
                  <c:v>1.8877975827871243</c:v>
                </c:pt>
                <c:pt idx="392">
                  <c:v>1.9116477522017319</c:v>
                </c:pt>
                <c:pt idx="393">
                  <c:v>1.8633243750165103</c:v>
                </c:pt>
                <c:pt idx="394">
                  <c:v>1.7580251788511136</c:v>
                </c:pt>
                <c:pt idx="395">
                  <c:v>1.6249150471181435</c:v>
                </c:pt>
                <c:pt idx="396">
                  <c:v>1.4999854384028732</c:v>
                </c:pt>
                <c:pt idx="397">
                  <c:v>1.4172424221555733</c:v>
                </c:pt>
                <c:pt idx="398">
                  <c:v>1.4003808068869512</c:v>
                </c:pt>
                <c:pt idx="399">
                  <c:v>1.4569828246593921</c:v>
                </c:pt>
                <c:pt idx="400">
                  <c:v>1.5766617362385009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83-4540-BA95-FD407A3D3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3093792"/>
        <c:axId val="1672345920"/>
      </c:scatterChart>
      <c:valAx>
        <c:axId val="1793093792"/>
        <c:scaling>
          <c:orientation val="minMax"/>
          <c:max val="100"/>
          <c:min val="-10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out"/>
        <c:minorTickMark val="none"/>
        <c:tickLblPos val="nextTo"/>
        <c:crossAx val="1672345920"/>
        <c:crosses val="autoZero"/>
        <c:crossBetween val="midCat"/>
        <c:majorUnit val="20"/>
      </c:valAx>
      <c:valAx>
        <c:axId val="1672345920"/>
        <c:scaling>
          <c:orientation val="minMax"/>
          <c:max val="2.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793093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0.14666666666666667"/>
          <c:w val="0.93888888888888888"/>
          <c:h val="0.637303701523290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S(t)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Sheet1!$C$2:$C$402</c:f>
              <c:numCache>
                <c:formatCode>0.0_ </c:formatCode>
                <c:ptCount val="401"/>
                <c:pt idx="0">
                  <c:v>-100</c:v>
                </c:pt>
                <c:pt idx="1">
                  <c:v>-99.5</c:v>
                </c:pt>
                <c:pt idx="2">
                  <c:v>-99</c:v>
                </c:pt>
                <c:pt idx="3">
                  <c:v>-98.5</c:v>
                </c:pt>
                <c:pt idx="4">
                  <c:v>-98</c:v>
                </c:pt>
                <c:pt idx="5">
                  <c:v>-97.5</c:v>
                </c:pt>
                <c:pt idx="6">
                  <c:v>-97</c:v>
                </c:pt>
                <c:pt idx="7">
                  <c:v>-96.5</c:v>
                </c:pt>
                <c:pt idx="8">
                  <c:v>-96</c:v>
                </c:pt>
                <c:pt idx="9">
                  <c:v>-95.5</c:v>
                </c:pt>
                <c:pt idx="10">
                  <c:v>-95</c:v>
                </c:pt>
                <c:pt idx="11">
                  <c:v>-94.5</c:v>
                </c:pt>
                <c:pt idx="12">
                  <c:v>-94</c:v>
                </c:pt>
                <c:pt idx="13">
                  <c:v>-93.5</c:v>
                </c:pt>
                <c:pt idx="14">
                  <c:v>-93</c:v>
                </c:pt>
                <c:pt idx="15">
                  <c:v>-92.5</c:v>
                </c:pt>
                <c:pt idx="16">
                  <c:v>-92</c:v>
                </c:pt>
                <c:pt idx="17">
                  <c:v>-91.5</c:v>
                </c:pt>
                <c:pt idx="18">
                  <c:v>-91</c:v>
                </c:pt>
                <c:pt idx="19">
                  <c:v>-90.5</c:v>
                </c:pt>
                <c:pt idx="20">
                  <c:v>-90</c:v>
                </c:pt>
                <c:pt idx="21">
                  <c:v>-89.5</c:v>
                </c:pt>
                <c:pt idx="22">
                  <c:v>-89</c:v>
                </c:pt>
                <c:pt idx="23">
                  <c:v>-88.5</c:v>
                </c:pt>
                <c:pt idx="24">
                  <c:v>-88</c:v>
                </c:pt>
                <c:pt idx="25">
                  <c:v>-87.5</c:v>
                </c:pt>
                <c:pt idx="26">
                  <c:v>-87</c:v>
                </c:pt>
                <c:pt idx="27">
                  <c:v>-86.5</c:v>
                </c:pt>
                <c:pt idx="28">
                  <c:v>-86</c:v>
                </c:pt>
                <c:pt idx="29">
                  <c:v>-85.5</c:v>
                </c:pt>
                <c:pt idx="30">
                  <c:v>-85</c:v>
                </c:pt>
                <c:pt idx="31">
                  <c:v>-84.5</c:v>
                </c:pt>
                <c:pt idx="32">
                  <c:v>-84</c:v>
                </c:pt>
                <c:pt idx="33">
                  <c:v>-83.5</c:v>
                </c:pt>
                <c:pt idx="34">
                  <c:v>-83</c:v>
                </c:pt>
                <c:pt idx="35">
                  <c:v>-82.5</c:v>
                </c:pt>
                <c:pt idx="36">
                  <c:v>-82</c:v>
                </c:pt>
                <c:pt idx="37">
                  <c:v>-81.5</c:v>
                </c:pt>
                <c:pt idx="38">
                  <c:v>-81</c:v>
                </c:pt>
                <c:pt idx="39">
                  <c:v>-80.5</c:v>
                </c:pt>
                <c:pt idx="40">
                  <c:v>-80</c:v>
                </c:pt>
                <c:pt idx="41">
                  <c:v>-79.5</c:v>
                </c:pt>
                <c:pt idx="42">
                  <c:v>-79</c:v>
                </c:pt>
                <c:pt idx="43">
                  <c:v>-78.5</c:v>
                </c:pt>
                <c:pt idx="44">
                  <c:v>-78</c:v>
                </c:pt>
                <c:pt idx="45">
                  <c:v>-77.5</c:v>
                </c:pt>
                <c:pt idx="46">
                  <c:v>-77</c:v>
                </c:pt>
                <c:pt idx="47">
                  <c:v>-76.5</c:v>
                </c:pt>
                <c:pt idx="48">
                  <c:v>-76</c:v>
                </c:pt>
                <c:pt idx="49">
                  <c:v>-75.5</c:v>
                </c:pt>
                <c:pt idx="50">
                  <c:v>-75</c:v>
                </c:pt>
                <c:pt idx="51">
                  <c:v>-74.5</c:v>
                </c:pt>
                <c:pt idx="52">
                  <c:v>-74</c:v>
                </c:pt>
                <c:pt idx="53">
                  <c:v>-73.5</c:v>
                </c:pt>
                <c:pt idx="54">
                  <c:v>-73</c:v>
                </c:pt>
                <c:pt idx="55">
                  <c:v>-72.5</c:v>
                </c:pt>
                <c:pt idx="56">
                  <c:v>-72</c:v>
                </c:pt>
                <c:pt idx="57">
                  <c:v>-71.5</c:v>
                </c:pt>
                <c:pt idx="58">
                  <c:v>-71</c:v>
                </c:pt>
                <c:pt idx="59">
                  <c:v>-70.5</c:v>
                </c:pt>
                <c:pt idx="60">
                  <c:v>-70</c:v>
                </c:pt>
                <c:pt idx="61">
                  <c:v>-69.5</c:v>
                </c:pt>
                <c:pt idx="62">
                  <c:v>-69</c:v>
                </c:pt>
                <c:pt idx="63">
                  <c:v>-68.5</c:v>
                </c:pt>
                <c:pt idx="64">
                  <c:v>-68</c:v>
                </c:pt>
                <c:pt idx="65">
                  <c:v>-67.5</c:v>
                </c:pt>
                <c:pt idx="66">
                  <c:v>-67</c:v>
                </c:pt>
                <c:pt idx="67">
                  <c:v>-66.5</c:v>
                </c:pt>
                <c:pt idx="68">
                  <c:v>-66</c:v>
                </c:pt>
                <c:pt idx="69">
                  <c:v>-65.5</c:v>
                </c:pt>
                <c:pt idx="70">
                  <c:v>-65</c:v>
                </c:pt>
                <c:pt idx="71">
                  <c:v>-64.5</c:v>
                </c:pt>
                <c:pt idx="72">
                  <c:v>-64</c:v>
                </c:pt>
                <c:pt idx="73">
                  <c:v>-63.5</c:v>
                </c:pt>
                <c:pt idx="74">
                  <c:v>-63</c:v>
                </c:pt>
                <c:pt idx="75">
                  <c:v>-62.5</c:v>
                </c:pt>
                <c:pt idx="76">
                  <c:v>-62</c:v>
                </c:pt>
                <c:pt idx="77">
                  <c:v>-61.5</c:v>
                </c:pt>
                <c:pt idx="78">
                  <c:v>-61</c:v>
                </c:pt>
                <c:pt idx="79">
                  <c:v>-60.5</c:v>
                </c:pt>
                <c:pt idx="80">
                  <c:v>-60</c:v>
                </c:pt>
                <c:pt idx="81">
                  <c:v>-59.5</c:v>
                </c:pt>
                <c:pt idx="82">
                  <c:v>-59</c:v>
                </c:pt>
                <c:pt idx="83">
                  <c:v>-58.5</c:v>
                </c:pt>
                <c:pt idx="84">
                  <c:v>-58</c:v>
                </c:pt>
                <c:pt idx="85">
                  <c:v>-57.5</c:v>
                </c:pt>
                <c:pt idx="86">
                  <c:v>-57</c:v>
                </c:pt>
                <c:pt idx="87">
                  <c:v>-56.5</c:v>
                </c:pt>
                <c:pt idx="88">
                  <c:v>-56</c:v>
                </c:pt>
                <c:pt idx="89">
                  <c:v>-55.5</c:v>
                </c:pt>
                <c:pt idx="90">
                  <c:v>-55</c:v>
                </c:pt>
                <c:pt idx="91">
                  <c:v>-54.5</c:v>
                </c:pt>
                <c:pt idx="92">
                  <c:v>-54</c:v>
                </c:pt>
                <c:pt idx="93">
                  <c:v>-53.5</c:v>
                </c:pt>
                <c:pt idx="94">
                  <c:v>-53</c:v>
                </c:pt>
                <c:pt idx="95">
                  <c:v>-52.5</c:v>
                </c:pt>
                <c:pt idx="96">
                  <c:v>-52</c:v>
                </c:pt>
                <c:pt idx="97">
                  <c:v>-51.5</c:v>
                </c:pt>
                <c:pt idx="98">
                  <c:v>-51</c:v>
                </c:pt>
                <c:pt idx="99">
                  <c:v>-50.5</c:v>
                </c:pt>
                <c:pt idx="100">
                  <c:v>-50</c:v>
                </c:pt>
                <c:pt idx="101">
                  <c:v>-49.5</c:v>
                </c:pt>
                <c:pt idx="102">
                  <c:v>-49</c:v>
                </c:pt>
                <c:pt idx="103">
                  <c:v>-48.5</c:v>
                </c:pt>
                <c:pt idx="104">
                  <c:v>-48</c:v>
                </c:pt>
                <c:pt idx="105">
                  <c:v>-47.5</c:v>
                </c:pt>
                <c:pt idx="106">
                  <c:v>-47</c:v>
                </c:pt>
                <c:pt idx="107">
                  <c:v>-46.5</c:v>
                </c:pt>
                <c:pt idx="108">
                  <c:v>-46</c:v>
                </c:pt>
                <c:pt idx="109">
                  <c:v>-45.5</c:v>
                </c:pt>
                <c:pt idx="110">
                  <c:v>-45</c:v>
                </c:pt>
                <c:pt idx="111">
                  <c:v>-44.5</c:v>
                </c:pt>
                <c:pt idx="112">
                  <c:v>-44</c:v>
                </c:pt>
                <c:pt idx="113">
                  <c:v>-43.5</c:v>
                </c:pt>
                <c:pt idx="114">
                  <c:v>-43</c:v>
                </c:pt>
                <c:pt idx="115">
                  <c:v>-42.5</c:v>
                </c:pt>
                <c:pt idx="116">
                  <c:v>-42</c:v>
                </c:pt>
                <c:pt idx="117">
                  <c:v>-41.5</c:v>
                </c:pt>
                <c:pt idx="118">
                  <c:v>-41</c:v>
                </c:pt>
                <c:pt idx="119">
                  <c:v>-40.5</c:v>
                </c:pt>
                <c:pt idx="120">
                  <c:v>-40</c:v>
                </c:pt>
                <c:pt idx="121">
                  <c:v>-39.5</c:v>
                </c:pt>
                <c:pt idx="122">
                  <c:v>-39</c:v>
                </c:pt>
                <c:pt idx="123">
                  <c:v>-38.5</c:v>
                </c:pt>
                <c:pt idx="124">
                  <c:v>-38</c:v>
                </c:pt>
                <c:pt idx="125">
                  <c:v>-37.5</c:v>
                </c:pt>
                <c:pt idx="126">
                  <c:v>-37</c:v>
                </c:pt>
                <c:pt idx="127">
                  <c:v>-36.5</c:v>
                </c:pt>
                <c:pt idx="128">
                  <c:v>-36</c:v>
                </c:pt>
                <c:pt idx="129">
                  <c:v>-35.5</c:v>
                </c:pt>
                <c:pt idx="130">
                  <c:v>-35</c:v>
                </c:pt>
                <c:pt idx="131">
                  <c:v>-34.5</c:v>
                </c:pt>
                <c:pt idx="132">
                  <c:v>-34</c:v>
                </c:pt>
                <c:pt idx="133">
                  <c:v>-33.5</c:v>
                </c:pt>
                <c:pt idx="134">
                  <c:v>-33</c:v>
                </c:pt>
                <c:pt idx="135">
                  <c:v>-32.5</c:v>
                </c:pt>
                <c:pt idx="136">
                  <c:v>-32</c:v>
                </c:pt>
                <c:pt idx="137">
                  <c:v>-31.5</c:v>
                </c:pt>
                <c:pt idx="138">
                  <c:v>-31</c:v>
                </c:pt>
                <c:pt idx="139">
                  <c:v>-30.5</c:v>
                </c:pt>
                <c:pt idx="140">
                  <c:v>-30</c:v>
                </c:pt>
                <c:pt idx="141">
                  <c:v>-29.5</c:v>
                </c:pt>
                <c:pt idx="142">
                  <c:v>-29</c:v>
                </c:pt>
                <c:pt idx="143">
                  <c:v>-28.5</c:v>
                </c:pt>
                <c:pt idx="144">
                  <c:v>-28</c:v>
                </c:pt>
                <c:pt idx="145">
                  <c:v>-27.5</c:v>
                </c:pt>
                <c:pt idx="146">
                  <c:v>-27</c:v>
                </c:pt>
                <c:pt idx="147">
                  <c:v>-26.5</c:v>
                </c:pt>
                <c:pt idx="148">
                  <c:v>-26</c:v>
                </c:pt>
                <c:pt idx="149">
                  <c:v>-25.5</c:v>
                </c:pt>
                <c:pt idx="150">
                  <c:v>-25</c:v>
                </c:pt>
                <c:pt idx="151">
                  <c:v>-24.5</c:v>
                </c:pt>
                <c:pt idx="152">
                  <c:v>-24</c:v>
                </c:pt>
                <c:pt idx="153">
                  <c:v>-23.5</c:v>
                </c:pt>
                <c:pt idx="154">
                  <c:v>-23</c:v>
                </c:pt>
                <c:pt idx="155">
                  <c:v>-22.5</c:v>
                </c:pt>
                <c:pt idx="156">
                  <c:v>-22</c:v>
                </c:pt>
                <c:pt idx="157">
                  <c:v>-21.5</c:v>
                </c:pt>
                <c:pt idx="158">
                  <c:v>-21</c:v>
                </c:pt>
                <c:pt idx="159">
                  <c:v>-20.5</c:v>
                </c:pt>
                <c:pt idx="160">
                  <c:v>-20</c:v>
                </c:pt>
                <c:pt idx="161">
                  <c:v>-19.5</c:v>
                </c:pt>
                <c:pt idx="162">
                  <c:v>-19</c:v>
                </c:pt>
                <c:pt idx="163">
                  <c:v>-18.5</c:v>
                </c:pt>
                <c:pt idx="164">
                  <c:v>-18</c:v>
                </c:pt>
                <c:pt idx="165">
                  <c:v>-17.5</c:v>
                </c:pt>
                <c:pt idx="166">
                  <c:v>-17</c:v>
                </c:pt>
                <c:pt idx="167">
                  <c:v>-16.5</c:v>
                </c:pt>
                <c:pt idx="168">
                  <c:v>-16</c:v>
                </c:pt>
                <c:pt idx="169">
                  <c:v>-15.5</c:v>
                </c:pt>
                <c:pt idx="170">
                  <c:v>-15</c:v>
                </c:pt>
                <c:pt idx="171">
                  <c:v>-14.5</c:v>
                </c:pt>
                <c:pt idx="172">
                  <c:v>-14</c:v>
                </c:pt>
                <c:pt idx="173">
                  <c:v>-13.5</c:v>
                </c:pt>
                <c:pt idx="174">
                  <c:v>-13</c:v>
                </c:pt>
                <c:pt idx="175">
                  <c:v>-12.5</c:v>
                </c:pt>
                <c:pt idx="176">
                  <c:v>-12</c:v>
                </c:pt>
                <c:pt idx="177">
                  <c:v>-11.5</c:v>
                </c:pt>
                <c:pt idx="178">
                  <c:v>-11</c:v>
                </c:pt>
                <c:pt idx="179">
                  <c:v>-10.5</c:v>
                </c:pt>
                <c:pt idx="180">
                  <c:v>-10</c:v>
                </c:pt>
                <c:pt idx="181">
                  <c:v>-9.5</c:v>
                </c:pt>
                <c:pt idx="182">
                  <c:v>-9</c:v>
                </c:pt>
                <c:pt idx="183">
                  <c:v>-8.5</c:v>
                </c:pt>
                <c:pt idx="184">
                  <c:v>-8</c:v>
                </c:pt>
                <c:pt idx="185">
                  <c:v>-7.5</c:v>
                </c:pt>
                <c:pt idx="186">
                  <c:v>-7</c:v>
                </c:pt>
                <c:pt idx="187">
                  <c:v>-6.5</c:v>
                </c:pt>
                <c:pt idx="188">
                  <c:v>-6</c:v>
                </c:pt>
                <c:pt idx="189">
                  <c:v>-5.5</c:v>
                </c:pt>
                <c:pt idx="190">
                  <c:v>-5</c:v>
                </c:pt>
                <c:pt idx="191">
                  <c:v>-4.5</c:v>
                </c:pt>
                <c:pt idx="192">
                  <c:v>-4</c:v>
                </c:pt>
                <c:pt idx="193">
                  <c:v>-3.5</c:v>
                </c:pt>
                <c:pt idx="194">
                  <c:v>-3</c:v>
                </c:pt>
                <c:pt idx="195">
                  <c:v>-2.5</c:v>
                </c:pt>
                <c:pt idx="196">
                  <c:v>-2</c:v>
                </c:pt>
                <c:pt idx="197">
                  <c:v>-1.5</c:v>
                </c:pt>
                <c:pt idx="198">
                  <c:v>-1</c:v>
                </c:pt>
                <c:pt idx="199">
                  <c:v>-0.5</c:v>
                </c:pt>
                <c:pt idx="200">
                  <c:v>0</c:v>
                </c:pt>
                <c:pt idx="201">
                  <c:v>0.5</c:v>
                </c:pt>
                <c:pt idx="202">
                  <c:v>1</c:v>
                </c:pt>
                <c:pt idx="203">
                  <c:v>1.5</c:v>
                </c:pt>
                <c:pt idx="204">
                  <c:v>2</c:v>
                </c:pt>
                <c:pt idx="205">
                  <c:v>2.5</c:v>
                </c:pt>
                <c:pt idx="206">
                  <c:v>3</c:v>
                </c:pt>
                <c:pt idx="207">
                  <c:v>3.5</c:v>
                </c:pt>
                <c:pt idx="208">
                  <c:v>4</c:v>
                </c:pt>
                <c:pt idx="209">
                  <c:v>4.5</c:v>
                </c:pt>
                <c:pt idx="210">
                  <c:v>5</c:v>
                </c:pt>
                <c:pt idx="211">
                  <c:v>5.5</c:v>
                </c:pt>
                <c:pt idx="212">
                  <c:v>6</c:v>
                </c:pt>
                <c:pt idx="213">
                  <c:v>6.5</c:v>
                </c:pt>
                <c:pt idx="214">
                  <c:v>7</c:v>
                </c:pt>
                <c:pt idx="215">
                  <c:v>7.5</c:v>
                </c:pt>
                <c:pt idx="216">
                  <c:v>8</c:v>
                </c:pt>
                <c:pt idx="217">
                  <c:v>8.5</c:v>
                </c:pt>
                <c:pt idx="218">
                  <c:v>9</c:v>
                </c:pt>
                <c:pt idx="219">
                  <c:v>9.5</c:v>
                </c:pt>
                <c:pt idx="220">
                  <c:v>10</c:v>
                </c:pt>
                <c:pt idx="221">
                  <c:v>10.5</c:v>
                </c:pt>
                <c:pt idx="222">
                  <c:v>11</c:v>
                </c:pt>
                <c:pt idx="223">
                  <c:v>11.5</c:v>
                </c:pt>
                <c:pt idx="224">
                  <c:v>12</c:v>
                </c:pt>
                <c:pt idx="225">
                  <c:v>12.5</c:v>
                </c:pt>
                <c:pt idx="226">
                  <c:v>13</c:v>
                </c:pt>
                <c:pt idx="227">
                  <c:v>13.5</c:v>
                </c:pt>
                <c:pt idx="228">
                  <c:v>14</c:v>
                </c:pt>
                <c:pt idx="229">
                  <c:v>14.5</c:v>
                </c:pt>
                <c:pt idx="230">
                  <c:v>15</c:v>
                </c:pt>
                <c:pt idx="231">
                  <c:v>15.5</c:v>
                </c:pt>
                <c:pt idx="232">
                  <c:v>16</c:v>
                </c:pt>
                <c:pt idx="233">
                  <c:v>16.5</c:v>
                </c:pt>
                <c:pt idx="234">
                  <c:v>17</c:v>
                </c:pt>
                <c:pt idx="235">
                  <c:v>17.5</c:v>
                </c:pt>
                <c:pt idx="236">
                  <c:v>18</c:v>
                </c:pt>
                <c:pt idx="237">
                  <c:v>18.5</c:v>
                </c:pt>
                <c:pt idx="238">
                  <c:v>19</c:v>
                </c:pt>
                <c:pt idx="239">
                  <c:v>19.5</c:v>
                </c:pt>
                <c:pt idx="240">
                  <c:v>20</c:v>
                </c:pt>
                <c:pt idx="241">
                  <c:v>20.5</c:v>
                </c:pt>
                <c:pt idx="242">
                  <c:v>21</c:v>
                </c:pt>
                <c:pt idx="243">
                  <c:v>21.5</c:v>
                </c:pt>
                <c:pt idx="244">
                  <c:v>22</c:v>
                </c:pt>
                <c:pt idx="245">
                  <c:v>22.5</c:v>
                </c:pt>
                <c:pt idx="246">
                  <c:v>23</c:v>
                </c:pt>
                <c:pt idx="247">
                  <c:v>23.5</c:v>
                </c:pt>
                <c:pt idx="248">
                  <c:v>24</c:v>
                </c:pt>
                <c:pt idx="249">
                  <c:v>24.5</c:v>
                </c:pt>
                <c:pt idx="250">
                  <c:v>25</c:v>
                </c:pt>
                <c:pt idx="251">
                  <c:v>25.5</c:v>
                </c:pt>
                <c:pt idx="252">
                  <c:v>26</c:v>
                </c:pt>
                <c:pt idx="253">
                  <c:v>26.5</c:v>
                </c:pt>
                <c:pt idx="254">
                  <c:v>27</c:v>
                </c:pt>
                <c:pt idx="255">
                  <c:v>27.5</c:v>
                </c:pt>
                <c:pt idx="256">
                  <c:v>28</c:v>
                </c:pt>
                <c:pt idx="257">
                  <c:v>28.5</c:v>
                </c:pt>
                <c:pt idx="258">
                  <c:v>29</c:v>
                </c:pt>
                <c:pt idx="259">
                  <c:v>29.5</c:v>
                </c:pt>
                <c:pt idx="260">
                  <c:v>30</c:v>
                </c:pt>
                <c:pt idx="261">
                  <c:v>30.5</c:v>
                </c:pt>
                <c:pt idx="262">
                  <c:v>31</c:v>
                </c:pt>
                <c:pt idx="263">
                  <c:v>31.5</c:v>
                </c:pt>
                <c:pt idx="264">
                  <c:v>32</c:v>
                </c:pt>
                <c:pt idx="265">
                  <c:v>32.5</c:v>
                </c:pt>
                <c:pt idx="266">
                  <c:v>33</c:v>
                </c:pt>
                <c:pt idx="267">
                  <c:v>33.5</c:v>
                </c:pt>
                <c:pt idx="268">
                  <c:v>34</c:v>
                </c:pt>
                <c:pt idx="269">
                  <c:v>34.5</c:v>
                </c:pt>
                <c:pt idx="270">
                  <c:v>35</c:v>
                </c:pt>
                <c:pt idx="271">
                  <c:v>35.5</c:v>
                </c:pt>
                <c:pt idx="272">
                  <c:v>36</c:v>
                </c:pt>
                <c:pt idx="273">
                  <c:v>36.5</c:v>
                </c:pt>
                <c:pt idx="274">
                  <c:v>37</c:v>
                </c:pt>
                <c:pt idx="275">
                  <c:v>37.5</c:v>
                </c:pt>
                <c:pt idx="276">
                  <c:v>38</c:v>
                </c:pt>
                <c:pt idx="277">
                  <c:v>38.5</c:v>
                </c:pt>
                <c:pt idx="278">
                  <c:v>39</c:v>
                </c:pt>
                <c:pt idx="279">
                  <c:v>39.5</c:v>
                </c:pt>
                <c:pt idx="280">
                  <c:v>40</c:v>
                </c:pt>
                <c:pt idx="281">
                  <c:v>40.5</c:v>
                </c:pt>
                <c:pt idx="282">
                  <c:v>41</c:v>
                </c:pt>
                <c:pt idx="283">
                  <c:v>41.5</c:v>
                </c:pt>
                <c:pt idx="284">
                  <c:v>42</c:v>
                </c:pt>
                <c:pt idx="285">
                  <c:v>42.5</c:v>
                </c:pt>
                <c:pt idx="286">
                  <c:v>43</c:v>
                </c:pt>
                <c:pt idx="287">
                  <c:v>43.5</c:v>
                </c:pt>
                <c:pt idx="288">
                  <c:v>44</c:v>
                </c:pt>
                <c:pt idx="289">
                  <c:v>44.5</c:v>
                </c:pt>
                <c:pt idx="290">
                  <c:v>45</c:v>
                </c:pt>
                <c:pt idx="291">
                  <c:v>45.5</c:v>
                </c:pt>
                <c:pt idx="292">
                  <c:v>46</c:v>
                </c:pt>
                <c:pt idx="293">
                  <c:v>46.5</c:v>
                </c:pt>
                <c:pt idx="294">
                  <c:v>47</c:v>
                </c:pt>
                <c:pt idx="295">
                  <c:v>47.5</c:v>
                </c:pt>
                <c:pt idx="296">
                  <c:v>48</c:v>
                </c:pt>
                <c:pt idx="297">
                  <c:v>48.5</c:v>
                </c:pt>
                <c:pt idx="298">
                  <c:v>49</c:v>
                </c:pt>
                <c:pt idx="299">
                  <c:v>49.5</c:v>
                </c:pt>
                <c:pt idx="300">
                  <c:v>50</c:v>
                </c:pt>
                <c:pt idx="301">
                  <c:v>50.5</c:v>
                </c:pt>
                <c:pt idx="302">
                  <c:v>51</c:v>
                </c:pt>
                <c:pt idx="303">
                  <c:v>51.5</c:v>
                </c:pt>
                <c:pt idx="304">
                  <c:v>52</c:v>
                </c:pt>
                <c:pt idx="305">
                  <c:v>52.5</c:v>
                </c:pt>
                <c:pt idx="306">
                  <c:v>53</c:v>
                </c:pt>
                <c:pt idx="307">
                  <c:v>53.5</c:v>
                </c:pt>
                <c:pt idx="308">
                  <c:v>54</c:v>
                </c:pt>
                <c:pt idx="309">
                  <c:v>54.5</c:v>
                </c:pt>
                <c:pt idx="310">
                  <c:v>55</c:v>
                </c:pt>
                <c:pt idx="311">
                  <c:v>55.5</c:v>
                </c:pt>
                <c:pt idx="312">
                  <c:v>56</c:v>
                </c:pt>
                <c:pt idx="313">
                  <c:v>56.5</c:v>
                </c:pt>
                <c:pt idx="314">
                  <c:v>57</c:v>
                </c:pt>
                <c:pt idx="315">
                  <c:v>57.5</c:v>
                </c:pt>
                <c:pt idx="316">
                  <c:v>58</c:v>
                </c:pt>
                <c:pt idx="317">
                  <c:v>58.5</c:v>
                </c:pt>
                <c:pt idx="318">
                  <c:v>59</c:v>
                </c:pt>
                <c:pt idx="319">
                  <c:v>59.5</c:v>
                </c:pt>
                <c:pt idx="320">
                  <c:v>60</c:v>
                </c:pt>
                <c:pt idx="321">
                  <c:v>60.5</c:v>
                </c:pt>
                <c:pt idx="322">
                  <c:v>61</c:v>
                </c:pt>
                <c:pt idx="323">
                  <c:v>61.5</c:v>
                </c:pt>
                <c:pt idx="324">
                  <c:v>62</c:v>
                </c:pt>
                <c:pt idx="325">
                  <c:v>62.5</c:v>
                </c:pt>
                <c:pt idx="326">
                  <c:v>63</c:v>
                </c:pt>
                <c:pt idx="327">
                  <c:v>63.5</c:v>
                </c:pt>
                <c:pt idx="328">
                  <c:v>64</c:v>
                </c:pt>
                <c:pt idx="329">
                  <c:v>64.5</c:v>
                </c:pt>
                <c:pt idx="330">
                  <c:v>65</c:v>
                </c:pt>
                <c:pt idx="331">
                  <c:v>65.5</c:v>
                </c:pt>
                <c:pt idx="332">
                  <c:v>66</c:v>
                </c:pt>
                <c:pt idx="333">
                  <c:v>66.5</c:v>
                </c:pt>
                <c:pt idx="334">
                  <c:v>67</c:v>
                </c:pt>
                <c:pt idx="335">
                  <c:v>67.5</c:v>
                </c:pt>
                <c:pt idx="336">
                  <c:v>68</c:v>
                </c:pt>
                <c:pt idx="337">
                  <c:v>68.5</c:v>
                </c:pt>
                <c:pt idx="338">
                  <c:v>69</c:v>
                </c:pt>
                <c:pt idx="339">
                  <c:v>69.5</c:v>
                </c:pt>
                <c:pt idx="340">
                  <c:v>70</c:v>
                </c:pt>
                <c:pt idx="341">
                  <c:v>70.5</c:v>
                </c:pt>
                <c:pt idx="342">
                  <c:v>71</c:v>
                </c:pt>
                <c:pt idx="343">
                  <c:v>71.5</c:v>
                </c:pt>
                <c:pt idx="344">
                  <c:v>72</c:v>
                </c:pt>
                <c:pt idx="345">
                  <c:v>72.5</c:v>
                </c:pt>
                <c:pt idx="346">
                  <c:v>73</c:v>
                </c:pt>
                <c:pt idx="347">
                  <c:v>73.5</c:v>
                </c:pt>
                <c:pt idx="348">
                  <c:v>74</c:v>
                </c:pt>
                <c:pt idx="349">
                  <c:v>74.5</c:v>
                </c:pt>
                <c:pt idx="350">
                  <c:v>75</c:v>
                </c:pt>
                <c:pt idx="351">
                  <c:v>75.5</c:v>
                </c:pt>
                <c:pt idx="352">
                  <c:v>76</c:v>
                </c:pt>
                <c:pt idx="353">
                  <c:v>76.5</c:v>
                </c:pt>
                <c:pt idx="354">
                  <c:v>77</c:v>
                </c:pt>
                <c:pt idx="355">
                  <c:v>77.5</c:v>
                </c:pt>
                <c:pt idx="356">
                  <c:v>78</c:v>
                </c:pt>
                <c:pt idx="357">
                  <c:v>78.5</c:v>
                </c:pt>
                <c:pt idx="358">
                  <c:v>79</c:v>
                </c:pt>
                <c:pt idx="359">
                  <c:v>79.5</c:v>
                </c:pt>
                <c:pt idx="360">
                  <c:v>80</c:v>
                </c:pt>
                <c:pt idx="361">
                  <c:v>80.5</c:v>
                </c:pt>
                <c:pt idx="362">
                  <c:v>81</c:v>
                </c:pt>
                <c:pt idx="363">
                  <c:v>81.5</c:v>
                </c:pt>
                <c:pt idx="364">
                  <c:v>82</c:v>
                </c:pt>
                <c:pt idx="365">
                  <c:v>82.5</c:v>
                </c:pt>
                <c:pt idx="366">
                  <c:v>83</c:v>
                </c:pt>
                <c:pt idx="367">
                  <c:v>83.5</c:v>
                </c:pt>
                <c:pt idx="368">
                  <c:v>84</c:v>
                </c:pt>
                <c:pt idx="369">
                  <c:v>84.5</c:v>
                </c:pt>
                <c:pt idx="370">
                  <c:v>85</c:v>
                </c:pt>
                <c:pt idx="371">
                  <c:v>85.5</c:v>
                </c:pt>
                <c:pt idx="372">
                  <c:v>86</c:v>
                </c:pt>
                <c:pt idx="373">
                  <c:v>86.5</c:v>
                </c:pt>
                <c:pt idx="374">
                  <c:v>87</c:v>
                </c:pt>
                <c:pt idx="375">
                  <c:v>87.5</c:v>
                </c:pt>
                <c:pt idx="376">
                  <c:v>88</c:v>
                </c:pt>
                <c:pt idx="377">
                  <c:v>88.5</c:v>
                </c:pt>
                <c:pt idx="378">
                  <c:v>89</c:v>
                </c:pt>
                <c:pt idx="379">
                  <c:v>89.5</c:v>
                </c:pt>
                <c:pt idx="380">
                  <c:v>90</c:v>
                </c:pt>
                <c:pt idx="381">
                  <c:v>90.5</c:v>
                </c:pt>
                <c:pt idx="382">
                  <c:v>91</c:v>
                </c:pt>
                <c:pt idx="383">
                  <c:v>91.5</c:v>
                </c:pt>
                <c:pt idx="384">
                  <c:v>92</c:v>
                </c:pt>
                <c:pt idx="385">
                  <c:v>92.5</c:v>
                </c:pt>
                <c:pt idx="386">
                  <c:v>93</c:v>
                </c:pt>
                <c:pt idx="387">
                  <c:v>93.5</c:v>
                </c:pt>
                <c:pt idx="388">
                  <c:v>94</c:v>
                </c:pt>
                <c:pt idx="389">
                  <c:v>94.5</c:v>
                </c:pt>
                <c:pt idx="390">
                  <c:v>95</c:v>
                </c:pt>
                <c:pt idx="391">
                  <c:v>95.5</c:v>
                </c:pt>
                <c:pt idx="392">
                  <c:v>96</c:v>
                </c:pt>
                <c:pt idx="393">
                  <c:v>96.5</c:v>
                </c:pt>
                <c:pt idx="394">
                  <c:v>97</c:v>
                </c:pt>
                <c:pt idx="395">
                  <c:v>97.5</c:v>
                </c:pt>
                <c:pt idx="396">
                  <c:v>98</c:v>
                </c:pt>
                <c:pt idx="397">
                  <c:v>98.5</c:v>
                </c:pt>
                <c:pt idx="398">
                  <c:v>99</c:v>
                </c:pt>
                <c:pt idx="399">
                  <c:v>99.5</c:v>
                </c:pt>
                <c:pt idx="400">
                  <c:v>100</c:v>
                </c:pt>
              </c:numCache>
            </c:numRef>
          </c:xVal>
          <c:yVal>
            <c:numRef>
              <c:f>Sheet1!$E$2:$E$402</c:f>
              <c:numCache>
                <c:formatCode>General</c:formatCode>
                <c:ptCount val="401"/>
                <c:pt idx="0">
                  <c:v>0.15190969233292764</c:v>
                </c:pt>
                <c:pt idx="1">
                  <c:v>0.2573386039120365</c:v>
                </c:pt>
                <c:pt idx="2">
                  <c:v>0.29976205025590608</c:v>
                </c:pt>
                <c:pt idx="3">
                  <c:v>0.26879329213014097</c:v>
                </c:pt>
                <c:pt idx="4">
                  <c:v>0.17201456159712686</c:v>
                </c:pt>
                <c:pt idx="5">
                  <c:v>3.3120667167570846E-2</c:v>
                </c:pt>
                <c:pt idx="6">
                  <c:v>-0.1138823217082565</c:v>
                </c:pt>
                <c:pt idx="7">
                  <c:v>-0.23300294644508157</c:v>
                </c:pt>
                <c:pt idx="8">
                  <c:v>-0.29507632363030345</c:v>
                </c:pt>
                <c:pt idx="9">
                  <c:v>-0.28490472564426728</c:v>
                </c:pt>
                <c:pt idx="10">
                  <c:v>-0.20497851442083628</c:v>
                </c:pt>
                <c:pt idx="11">
                  <c:v>-7.4866413991573136E-2</c:v>
                </c:pt>
                <c:pt idx="12">
                  <c:v>7.3575595640296296E-2</c:v>
                </c:pt>
                <c:pt idx="13">
                  <c:v>0.20400373342081585</c:v>
                </c:pt>
                <c:pt idx="14">
                  <c:v>0.28448464238098414</c:v>
                </c:pt>
                <c:pt idx="15">
                  <c:v>0.29531378913752532</c:v>
                </c:pt>
                <c:pt idx="16">
                  <c:v>0.2338398208847414</c:v>
                </c:pt>
                <c:pt idx="17">
                  <c:v>0.11511370903050916</c:v>
                </c:pt>
                <c:pt idx="18">
                  <c:v>-3.1796253525347054E-2</c:v>
                </c:pt>
                <c:pt idx="19">
                  <c:v>-0.17092138428508891</c:v>
                </c:pt>
                <c:pt idx="20">
                  <c:v>-0.26819899908016737</c:v>
                </c:pt>
                <c:pt idx="21">
                  <c:v>-0.2998121451333251</c:v>
                </c:pt>
                <c:pt idx="22">
                  <c:v>-0.25802082174373597</c:v>
                </c:pt>
                <c:pt idx="23">
                  <c:v>-0.15305700240052891</c:v>
                </c:pt>
                <c:pt idx="24">
                  <c:v>-1.0619490820098203E-2</c:v>
                </c:pt>
                <c:pt idx="25">
                  <c:v>0.13441804248078273</c:v>
                </c:pt>
                <c:pt idx="26">
                  <c:v>0.24654535098924674</c:v>
                </c:pt>
                <c:pt idx="27">
                  <c:v>0.29830975900582585</c:v>
                </c:pt>
                <c:pt idx="28">
                  <c:v>0.2770375341012179</c:v>
                </c:pt>
                <c:pt idx="29">
                  <c:v>0.18793685882685079</c:v>
                </c:pt>
                <c:pt idx="30">
                  <c:v>5.2822685984576123E-2</c:v>
                </c:pt>
                <c:pt idx="31">
                  <c:v>-9.522432264230081E-2</c:v>
                </c:pt>
                <c:pt idx="32">
                  <c:v>-0.21995709602198765</c:v>
                </c:pt>
                <c:pt idx="33">
                  <c:v>-0.29083670102358444</c:v>
                </c:pt>
                <c:pt idx="34">
                  <c:v>-0.2905093383300556</c:v>
                </c:pt>
                <c:pt idx="35">
                  <c:v>-0.21905515774595005</c:v>
                </c:pt>
                <c:pt idx="36">
                  <c:v>-9.3968634729925546E-2</c:v>
                </c:pt>
                <c:pt idx="37">
                  <c:v>5.4124687338692641E-2</c:v>
                </c:pt>
                <c:pt idx="38">
                  <c:v>0.18896639828233616</c:v>
                </c:pt>
                <c:pt idx="39">
                  <c:v>0.27754254449292554</c:v>
                </c:pt>
                <c:pt idx="40">
                  <c:v>0.29816659617701258</c:v>
                </c:pt>
                <c:pt idx="41">
                  <c:v>0.24578906619338423</c:v>
                </c:pt>
                <c:pt idx="42">
                  <c:v>0.13323380061225251</c:v>
                </c:pt>
                <c:pt idx="43">
                  <c:v>-1.1941746050000897E-2</c:v>
                </c:pt>
                <c:pt idx="44">
                  <c:v>-0.15419353679626055</c:v>
                </c:pt>
                <c:pt idx="45">
                  <c:v>-0.25869337204719867</c:v>
                </c:pt>
                <c:pt idx="46">
                  <c:v>-0.29985604757421935</c:v>
                </c:pt>
                <c:pt idx="47">
                  <c:v>-0.26760350480981115</c:v>
                </c:pt>
                <c:pt idx="48">
                  <c:v>-0.16983229106945411</c:v>
                </c:pt>
                <c:pt idx="49">
                  <c:v>-3.0480209367074851E-2</c:v>
                </c:pt>
                <c:pt idx="50">
                  <c:v>0.11633449062282913</c:v>
                </c:pt>
                <c:pt idx="51">
                  <c:v>0.2346664500010627</c:v>
                </c:pt>
                <c:pt idx="52">
                  <c:v>0.29554387814047423</c:v>
                </c:pt>
                <c:pt idx="53">
                  <c:v>0.28406185745800427</c:v>
                </c:pt>
                <c:pt idx="54">
                  <c:v>0.20303158706619229</c:v>
                </c:pt>
                <c:pt idx="55">
                  <c:v>7.2292103186430326E-2</c:v>
                </c:pt>
                <c:pt idx="56">
                  <c:v>-7.6147008828610876E-2</c:v>
                </c:pt>
                <c:pt idx="57">
                  <c:v>-0.20594267736263266</c:v>
                </c:pt>
                <c:pt idx="58">
                  <c:v>-0.28531639597631236</c:v>
                </c:pt>
                <c:pt idx="59">
                  <c:v>-0.29483471009780782</c:v>
                </c:pt>
                <c:pt idx="60">
                  <c:v>-0.23216720446736672</c:v>
                </c:pt>
                <c:pt idx="61">
                  <c:v>-0.11265707006898751</c:v>
                </c:pt>
                <c:pt idx="62">
                  <c:v>3.4435444134956167E-2</c:v>
                </c:pt>
                <c:pt idx="63">
                  <c:v>0.1730969606365628</c:v>
                </c:pt>
                <c:pt idx="64">
                  <c:v>0.26937830420678738</c:v>
                </c:pt>
                <c:pt idx="65">
                  <c:v>0.29970644401039048</c:v>
                </c:pt>
                <c:pt idx="66">
                  <c:v>0.25665599369259667</c:v>
                </c:pt>
                <c:pt idx="67">
                  <c:v>0.15076720492814619</c:v>
                </c:pt>
                <c:pt idx="68">
                  <c:v>7.9653462071900376E-3</c:v>
                </c:pt>
                <c:pt idx="69">
                  <c:v>-0.13678670706644699</c:v>
                </c:pt>
                <c:pt idx="70">
                  <c:v>-0.24804860384703101</c:v>
                </c:pt>
                <c:pt idx="71">
                  <c:v>-0.29857955140836828</c:v>
                </c:pt>
                <c:pt idx="72">
                  <c:v>-0.27600781145903719</c:v>
                </c:pt>
                <c:pt idx="73">
                  <c:v>-0.18585973315558535</c:v>
                </c:pt>
                <c:pt idx="74">
                  <c:v>-5.0206710090842072E-2</c:v>
                </c:pt>
                <c:pt idx="75">
                  <c:v>9.7738666624368517E-2</c:v>
                </c:pt>
                <c:pt idx="76">
                  <c:v>0.22175420899476683</c:v>
                </c:pt>
                <c:pt idx="77">
                  <c:v>0.29147658705483276</c:v>
                </c:pt>
                <c:pt idx="78">
                  <c:v>0.28983533100251785</c:v>
                </c:pt>
                <c:pt idx="79">
                  <c:v>0.21723227756023486</c:v>
                </c:pt>
                <c:pt idx="80">
                  <c:v>9.1443186330665005E-2</c:v>
                </c:pt>
                <c:pt idx="81">
                  <c:v>-5.6734386105267452E-2</c:v>
                </c:pt>
                <c:pt idx="82">
                  <c:v>-0.19102140214174135</c:v>
                </c:pt>
                <c:pt idx="83">
                  <c:v>-0.27853971682961359</c:v>
                </c:pt>
                <c:pt idx="84">
                  <c:v>-0.29786179442536115</c:v>
                </c:pt>
                <c:pt idx="85">
                  <c:v>-0.24425691645253034</c:v>
                </c:pt>
                <c:pt idx="86">
                  <c:v>-0.13084942657434748</c:v>
                </c:pt>
                <c:pt idx="87">
                  <c:v>1.4594566462526179E-2</c:v>
                </c:pt>
                <c:pt idx="88">
                  <c:v>0.15646530062607356</c:v>
                </c:pt>
                <c:pt idx="89">
                  <c:v>0.26002787227822777</c:v>
                </c:pt>
                <c:pt idx="90">
                  <c:v>0.29992655200758594</c:v>
                </c:pt>
                <c:pt idx="91">
                  <c:v>0.26639275150129899</c:v>
                </c:pt>
                <c:pt idx="92">
                  <c:v>0.16763671465548488</c:v>
                </c:pt>
                <c:pt idx="93">
                  <c:v>2.7837363527192606E-2</c:v>
                </c:pt>
                <c:pt idx="94">
                  <c:v>-0.11877754505455024</c:v>
                </c:pt>
                <c:pt idx="95">
                  <c:v>-0.23631156809523537</c:v>
                </c:pt>
                <c:pt idx="96">
                  <c:v>-0.29598827761214558</c:v>
                </c:pt>
                <c:pt idx="97">
                  <c:v>-0.2831967338175358</c:v>
                </c:pt>
                <c:pt idx="98">
                  <c:v>-0.20106875275301242</c:v>
                </c:pt>
                <c:pt idx="99">
                  <c:v>-6.9712128496645362E-2</c:v>
                </c:pt>
                <c:pt idx="100">
                  <c:v>7.8712456111178622E-2</c:v>
                </c:pt>
                <c:pt idx="101">
                  <c:v>0.2078654862701087</c:v>
                </c:pt>
                <c:pt idx="102">
                  <c:v>0.28612579582784153</c:v>
                </c:pt>
                <c:pt idx="103">
                  <c:v>0.29433253158092909</c:v>
                </c:pt>
                <c:pt idx="104">
                  <c:v>0.23047639839710005</c:v>
                </c:pt>
                <c:pt idx="105">
                  <c:v>0.1101916047402574</c:v>
                </c:pt>
                <c:pt idx="106">
                  <c:v>-3.70719368235672E-2</c:v>
                </c:pt>
                <c:pt idx="107">
                  <c:v>-0.17525897532398568</c:v>
                </c:pt>
                <c:pt idx="108">
                  <c:v>-0.27053650429464277</c:v>
                </c:pt>
                <c:pt idx="109">
                  <c:v>-0.29957726172353111</c:v>
                </c:pt>
                <c:pt idx="110">
                  <c:v>-0.25527105736023553</c:v>
                </c:pt>
                <c:pt idx="111">
                  <c:v>-0.14846559526578842</c:v>
                </c:pt>
                <c:pt idx="112">
                  <c:v>-5.3105775316240732E-3</c:v>
                </c:pt>
                <c:pt idx="113">
                  <c:v>0.1391446547951482</c:v>
                </c:pt>
                <c:pt idx="114">
                  <c:v>0.24953242278857948</c:v>
                </c:pt>
                <c:pt idx="115">
                  <c:v>0.29882595093587822</c:v>
                </c:pt>
                <c:pt idx="116">
                  <c:v>0.27495646437469012</c:v>
                </c:pt>
                <c:pt idx="117">
                  <c:v>0.18376804589264092</c:v>
                </c:pt>
                <c:pt idx="118">
                  <c:v>4.7586800641412692E-2</c:v>
                </c:pt>
                <c:pt idx="119">
                  <c:v>-0.10024535305452616</c:v>
                </c:pt>
                <c:pt idx="120">
                  <c:v>-0.22353394814380464</c:v>
                </c:pt>
                <c:pt idx="121">
                  <c:v>-0.29209363670849342</c:v>
                </c:pt>
                <c:pt idx="122">
                  <c:v>-0.28913861588522632</c:v>
                </c:pt>
                <c:pt idx="123">
                  <c:v>-0.21539237783149323</c:v>
                </c:pt>
                <c:pt idx="124">
                  <c:v>-8.8910573612815597E-2</c:v>
                </c:pt>
                <c:pt idx="125">
                  <c:v>5.9339639890938677E-2</c:v>
                </c:pt>
                <c:pt idx="126">
                  <c:v>0.19306144000709985</c:v>
                </c:pt>
                <c:pt idx="127">
                  <c:v>0.27951506635641166</c:v>
                </c:pt>
                <c:pt idx="128">
                  <c:v>0.29753365603293475</c:v>
                </c:pt>
                <c:pt idx="129">
                  <c:v>0.24270562986357194</c:v>
                </c:pt>
                <c:pt idx="130">
                  <c:v>0.12845480084884531</c:v>
                </c:pt>
                <c:pt idx="131">
                  <c:v>-1.7246243431477369E-2</c:v>
                </c:pt>
                <c:pt idx="132">
                  <c:v>-0.15872480583600715</c:v>
                </c:pt>
                <c:pt idx="133">
                  <c:v>-0.26134200005075292</c:v>
                </c:pt>
                <c:pt idx="134">
                  <c:v>-0.29997355803218012</c:v>
                </c:pt>
                <c:pt idx="135">
                  <c:v>-0.26516112706374917</c:v>
                </c:pt>
                <c:pt idx="136">
                  <c:v>-0.16542800437250718</c:v>
                </c:pt>
                <c:pt idx="137">
                  <c:v>-2.5192336707524049E-2</c:v>
                </c:pt>
                <c:pt idx="138">
                  <c:v>0.1212112935969195</c:v>
                </c:pt>
                <c:pt idx="139">
                  <c:v>0.23793817183718552</c:v>
                </c:pt>
                <c:pt idx="140">
                  <c:v>0.29640948722785854</c:v>
                </c:pt>
                <c:pt idx="141">
                  <c:v>0.28230942250288604</c:v>
                </c:pt>
                <c:pt idx="142">
                  <c:v>0.19909016526389026</c:v>
                </c:pt>
                <c:pt idx="143">
                  <c:v>6.7126692056038925E-2</c:v>
                </c:pt>
                <c:pt idx="144">
                  <c:v>-8.1271736492360705E-2</c:v>
                </c:pt>
                <c:pt idx="145">
                  <c:v>-0.20977200949652933</c:v>
                </c:pt>
                <c:pt idx="146">
                  <c:v>-0.28691277852135089</c:v>
                </c:pt>
                <c:pt idx="147">
                  <c:v>-0.29380729293117508</c:v>
                </c:pt>
                <c:pt idx="148">
                  <c:v>-0.22876753514388079</c:v>
                </c:pt>
                <c:pt idx="149">
                  <c:v>-0.10771750620665048</c:v>
                </c:pt>
                <c:pt idx="150">
                  <c:v>3.970552502933191E-2</c:v>
                </c:pt>
                <c:pt idx="151">
                  <c:v>0.1774072589595373</c:v>
                </c:pt>
                <c:pt idx="152">
                  <c:v>0.27167350860198713</c:v>
                </c:pt>
                <c:pt idx="153">
                  <c:v>0.29942460839381885</c:v>
                </c:pt>
                <c:pt idx="154">
                  <c:v>0.2538661212525512</c:v>
                </c:pt>
                <c:pt idx="155">
                  <c:v>0.14615235373815286</c:v>
                </c:pt>
                <c:pt idx="156">
                  <c:v>2.6553927871211629E-3</c:v>
                </c:pt>
                <c:pt idx="157">
                  <c:v>-0.14149170092825883</c:v>
                </c:pt>
                <c:pt idx="158">
                  <c:v>-0.25099669156081683</c:v>
                </c:pt>
                <c:pt idx="159">
                  <c:v>-0.29904893828363976</c:v>
                </c:pt>
                <c:pt idx="160">
                  <c:v>-0.27388357521828827</c:v>
                </c:pt>
                <c:pt idx="161">
                  <c:v>-0.1816619609158803</c:v>
                </c:pt>
                <c:pt idx="162">
                  <c:v>-4.4963162898885703E-2</c:v>
                </c:pt>
                <c:pt idx="163">
                  <c:v>0.10274418554088376</c:v>
                </c:pt>
                <c:pt idx="164">
                  <c:v>0.22529617403150282</c:v>
                </c:pt>
                <c:pt idx="165">
                  <c:v>0.29268780164044728</c:v>
                </c:pt>
                <c:pt idx="166">
                  <c:v>0.28841924756386705</c:v>
                </c:pt>
                <c:pt idx="167">
                  <c:v>0.2135356027107369</c:v>
                </c:pt>
                <c:pt idx="168">
                  <c:v>8.6370994999519585E-2</c:v>
                </c:pt>
                <c:pt idx="169">
                  <c:v>-6.1940244581338975E-2</c:v>
                </c:pt>
                <c:pt idx="170">
                  <c:v>-0.19508635204713504</c:v>
                </c:pt>
                <c:pt idx="171">
                  <c:v>-0.28046851665740491</c:v>
                </c:pt>
                <c:pt idx="172">
                  <c:v>-0.29718220670846107</c:v>
                </c:pt>
                <c:pt idx="173">
                  <c:v>-0.24113532796548628</c:v>
                </c:pt>
                <c:pt idx="174">
                  <c:v>-0.12605011104799227</c:v>
                </c:pt>
                <c:pt idx="175">
                  <c:v>1.9896569205360204E-2</c:v>
                </c:pt>
                <c:pt idx="176">
                  <c:v>0.16097187540013047</c:v>
                </c:pt>
                <c:pt idx="177">
                  <c:v>0.26263565240652853</c:v>
                </c:pt>
                <c:pt idx="178">
                  <c:v>0.29999706196521103</c:v>
                </c:pt>
                <c:pt idx="179">
                  <c:v>0.263908727991501</c:v>
                </c:pt>
                <c:pt idx="180">
                  <c:v>0.16320633326681092</c:v>
                </c:pt>
                <c:pt idx="181">
                  <c:v>2.2545336138542791E-2</c:v>
                </c:pt>
                <c:pt idx="182">
                  <c:v>-0.12363554557252697</c:v>
                </c:pt>
                <c:pt idx="183">
                  <c:v>-0.23954613378704706</c:v>
                </c:pt>
                <c:pt idx="184">
                  <c:v>-0.29680747398701451</c:v>
                </c:pt>
                <c:pt idx="185">
                  <c:v>-0.28139999303242164</c:v>
                </c:pt>
                <c:pt idx="186">
                  <c:v>-0.19709597961563671</c:v>
                </c:pt>
                <c:pt idx="187">
                  <c:v>-6.4535996426344652E-2</c:v>
                </c:pt>
                <c:pt idx="188">
                  <c:v>8.3824649459677755E-2</c:v>
                </c:pt>
                <c:pt idx="189">
                  <c:v>0.21166209767111757</c:v>
                </c:pt>
                <c:pt idx="190">
                  <c:v>0.28767728239894153</c:v>
                </c:pt>
                <c:pt idx="191">
                  <c:v>0.29325903529952907</c:v>
                </c:pt>
                <c:pt idx="192">
                  <c:v>0.22704074859237844</c:v>
                </c:pt>
                <c:pt idx="193">
                  <c:v>0.10523496830688595</c:v>
                </c:pt>
                <c:pt idx="194">
                  <c:v>-4.2336002417960164E-2</c:v>
                </c:pt>
                <c:pt idx="195">
                  <c:v>-0.17954164323118696</c:v>
                </c:pt>
                <c:pt idx="196">
                  <c:v>-0.2727892280477045</c:v>
                </c:pt>
                <c:pt idx="197">
                  <c:v>-0.29924849598121633</c:v>
                </c:pt>
                <c:pt idx="198">
                  <c:v>-0.25244129544236893</c:v>
                </c:pt>
                <c:pt idx="199">
                  <c:v>-0.1438276615812609</c:v>
                </c:pt>
                <c:pt idx="200">
                  <c:v>0</c:v>
                </c:pt>
                <c:pt idx="201">
                  <c:v>0.1438276615812609</c:v>
                </c:pt>
                <c:pt idx="202">
                  <c:v>0.25244129544236893</c:v>
                </c:pt>
                <c:pt idx="203">
                  <c:v>0.29924849598121633</c:v>
                </c:pt>
                <c:pt idx="204">
                  <c:v>0.2727892280477045</c:v>
                </c:pt>
                <c:pt idx="205">
                  <c:v>0.17954164323118696</c:v>
                </c:pt>
                <c:pt idx="206">
                  <c:v>4.2336002417960164E-2</c:v>
                </c:pt>
                <c:pt idx="207">
                  <c:v>-0.10523496830688595</c:v>
                </c:pt>
                <c:pt idx="208">
                  <c:v>-0.22704074859237844</c:v>
                </c:pt>
                <c:pt idx="209">
                  <c:v>-0.29325903529952907</c:v>
                </c:pt>
                <c:pt idx="210">
                  <c:v>-0.28767728239894153</c:v>
                </c:pt>
                <c:pt idx="211">
                  <c:v>-0.21166209767111757</c:v>
                </c:pt>
                <c:pt idx="212">
                  <c:v>-8.3824649459677755E-2</c:v>
                </c:pt>
                <c:pt idx="213">
                  <c:v>6.4535996426344652E-2</c:v>
                </c:pt>
                <c:pt idx="214">
                  <c:v>0.19709597961563671</c:v>
                </c:pt>
                <c:pt idx="215">
                  <c:v>0.28139999303242164</c:v>
                </c:pt>
                <c:pt idx="216">
                  <c:v>0.29680747398701451</c:v>
                </c:pt>
                <c:pt idx="217">
                  <c:v>0.23954613378704706</c:v>
                </c:pt>
                <c:pt idx="218">
                  <c:v>0.12363554557252697</c:v>
                </c:pt>
                <c:pt idx="219">
                  <c:v>-2.2545336138542791E-2</c:v>
                </c:pt>
                <c:pt idx="220">
                  <c:v>-0.16320633326681092</c:v>
                </c:pt>
                <c:pt idx="221">
                  <c:v>-0.263908727991501</c:v>
                </c:pt>
                <c:pt idx="222">
                  <c:v>-0.29999706196521103</c:v>
                </c:pt>
                <c:pt idx="223">
                  <c:v>-0.26263565240652853</c:v>
                </c:pt>
                <c:pt idx="224">
                  <c:v>-0.16097187540013047</c:v>
                </c:pt>
                <c:pt idx="225">
                  <c:v>-1.9896569205360204E-2</c:v>
                </c:pt>
                <c:pt idx="226">
                  <c:v>0.12605011104799227</c:v>
                </c:pt>
                <c:pt idx="227">
                  <c:v>0.24113532796548628</c:v>
                </c:pt>
                <c:pt idx="228">
                  <c:v>0.29718220670846107</c:v>
                </c:pt>
                <c:pt idx="229">
                  <c:v>0.28046851665740491</c:v>
                </c:pt>
                <c:pt idx="230">
                  <c:v>0.19508635204713504</c:v>
                </c:pt>
                <c:pt idx="231">
                  <c:v>6.1940244581338975E-2</c:v>
                </c:pt>
                <c:pt idx="232">
                  <c:v>-8.6370994999519585E-2</c:v>
                </c:pt>
                <c:pt idx="233">
                  <c:v>-0.2135356027107369</c:v>
                </c:pt>
                <c:pt idx="234">
                  <c:v>-0.28841924756386705</c:v>
                </c:pt>
                <c:pt idx="235">
                  <c:v>-0.29268780164044728</c:v>
                </c:pt>
                <c:pt idx="236">
                  <c:v>-0.22529617403150282</c:v>
                </c:pt>
                <c:pt idx="237">
                  <c:v>-0.10274418554088376</c:v>
                </c:pt>
                <c:pt idx="238">
                  <c:v>4.4963162898885703E-2</c:v>
                </c:pt>
                <c:pt idx="239">
                  <c:v>0.1816619609158803</c:v>
                </c:pt>
                <c:pt idx="240">
                  <c:v>0.27388357521828827</c:v>
                </c:pt>
                <c:pt idx="241">
                  <c:v>0.29904893828363976</c:v>
                </c:pt>
                <c:pt idx="242">
                  <c:v>0.25099669156081683</c:v>
                </c:pt>
                <c:pt idx="243">
                  <c:v>0.14149170092825883</c:v>
                </c:pt>
                <c:pt idx="244">
                  <c:v>-2.6553927871211629E-3</c:v>
                </c:pt>
                <c:pt idx="245">
                  <c:v>-0.14615235373815286</c:v>
                </c:pt>
                <c:pt idx="246">
                  <c:v>-0.2538661212525512</c:v>
                </c:pt>
                <c:pt idx="247">
                  <c:v>-0.29942460839381885</c:v>
                </c:pt>
                <c:pt idx="248">
                  <c:v>-0.27167350860198713</c:v>
                </c:pt>
                <c:pt idx="249">
                  <c:v>-0.1774072589595373</c:v>
                </c:pt>
                <c:pt idx="250">
                  <c:v>-3.970552502933191E-2</c:v>
                </c:pt>
                <c:pt idx="251">
                  <c:v>0.10771750620665048</c:v>
                </c:pt>
                <c:pt idx="252">
                  <c:v>0.22876753514388079</c:v>
                </c:pt>
                <c:pt idx="253">
                  <c:v>0.29380729293117508</c:v>
                </c:pt>
                <c:pt idx="254">
                  <c:v>0.28691277852135089</c:v>
                </c:pt>
                <c:pt idx="255">
                  <c:v>0.20977200949652933</c:v>
                </c:pt>
                <c:pt idx="256">
                  <c:v>8.1271736492360705E-2</c:v>
                </c:pt>
                <c:pt idx="257">
                  <c:v>-6.7126692056038925E-2</c:v>
                </c:pt>
                <c:pt idx="258">
                  <c:v>-0.19909016526389026</c:v>
                </c:pt>
                <c:pt idx="259">
                  <c:v>-0.28230942250288604</c:v>
                </c:pt>
                <c:pt idx="260">
                  <c:v>-0.29640948722785854</c:v>
                </c:pt>
                <c:pt idx="261">
                  <c:v>-0.23793817183718552</c:v>
                </c:pt>
                <c:pt idx="262">
                  <c:v>-0.1212112935969195</c:v>
                </c:pt>
                <c:pt idx="263">
                  <c:v>2.5192336707524049E-2</c:v>
                </c:pt>
                <c:pt idx="264">
                  <c:v>0.16542800437250718</c:v>
                </c:pt>
                <c:pt idx="265">
                  <c:v>0.26516112706374917</c:v>
                </c:pt>
                <c:pt idx="266">
                  <c:v>0.29997355803218012</c:v>
                </c:pt>
                <c:pt idx="267">
                  <c:v>0.26134200005075292</c:v>
                </c:pt>
                <c:pt idx="268">
                  <c:v>0.15872480583600715</c:v>
                </c:pt>
                <c:pt idx="269">
                  <c:v>1.7246243431477369E-2</c:v>
                </c:pt>
                <c:pt idx="270">
                  <c:v>-0.12845480084884531</c:v>
                </c:pt>
                <c:pt idx="271">
                  <c:v>-0.24270562986357194</c:v>
                </c:pt>
                <c:pt idx="272">
                  <c:v>-0.29753365603293475</c:v>
                </c:pt>
                <c:pt idx="273">
                  <c:v>-0.27951506635641166</c:v>
                </c:pt>
                <c:pt idx="274">
                  <c:v>-0.19306144000709985</c:v>
                </c:pt>
                <c:pt idx="275">
                  <c:v>-5.9339639890938677E-2</c:v>
                </c:pt>
                <c:pt idx="276">
                  <c:v>8.8910573612815597E-2</c:v>
                </c:pt>
                <c:pt idx="277">
                  <c:v>0.21539237783149323</c:v>
                </c:pt>
                <c:pt idx="278">
                  <c:v>0.28913861588522632</c:v>
                </c:pt>
                <c:pt idx="279">
                  <c:v>0.29209363670849342</c:v>
                </c:pt>
                <c:pt idx="280">
                  <c:v>0.22353394814380464</c:v>
                </c:pt>
                <c:pt idx="281">
                  <c:v>0.10024535305452616</c:v>
                </c:pt>
                <c:pt idx="282">
                  <c:v>-4.7586800641412692E-2</c:v>
                </c:pt>
                <c:pt idx="283">
                  <c:v>-0.18376804589264092</c:v>
                </c:pt>
                <c:pt idx="284">
                  <c:v>-0.27495646437469012</c:v>
                </c:pt>
                <c:pt idx="285">
                  <c:v>-0.29882595093587822</c:v>
                </c:pt>
                <c:pt idx="286">
                  <c:v>-0.24953242278857948</c:v>
                </c:pt>
                <c:pt idx="287">
                  <c:v>-0.1391446547951482</c:v>
                </c:pt>
                <c:pt idx="288">
                  <c:v>5.3105775316240732E-3</c:v>
                </c:pt>
                <c:pt idx="289">
                  <c:v>0.14846559526578842</c:v>
                </c:pt>
                <c:pt idx="290">
                  <c:v>0.25527105736023553</c:v>
                </c:pt>
                <c:pt idx="291">
                  <c:v>0.29957726172353111</c:v>
                </c:pt>
                <c:pt idx="292">
                  <c:v>0.27053650429464277</c:v>
                </c:pt>
                <c:pt idx="293">
                  <c:v>0.17525897532398568</c:v>
                </c:pt>
                <c:pt idx="294">
                  <c:v>3.70719368235672E-2</c:v>
                </c:pt>
                <c:pt idx="295">
                  <c:v>-0.1101916047402574</c:v>
                </c:pt>
                <c:pt idx="296">
                  <c:v>-0.23047639839710005</c:v>
                </c:pt>
                <c:pt idx="297">
                  <c:v>-0.29433253158092909</c:v>
                </c:pt>
                <c:pt idx="298">
                  <c:v>-0.28612579582784153</c:v>
                </c:pt>
                <c:pt idx="299">
                  <c:v>-0.2078654862701087</c:v>
                </c:pt>
                <c:pt idx="300">
                  <c:v>-7.8712456111178622E-2</c:v>
                </c:pt>
                <c:pt idx="301">
                  <c:v>6.9712128496645362E-2</c:v>
                </c:pt>
                <c:pt idx="302">
                  <c:v>0.20106875275301242</c:v>
                </c:pt>
                <c:pt idx="303">
                  <c:v>0.2831967338175358</c:v>
                </c:pt>
                <c:pt idx="304">
                  <c:v>0.29598827761214558</c:v>
                </c:pt>
                <c:pt idx="305">
                  <c:v>0.23631156809523537</c:v>
                </c:pt>
                <c:pt idx="306">
                  <c:v>0.11877754505455024</c:v>
                </c:pt>
                <c:pt idx="307">
                  <c:v>-2.7837363527192606E-2</c:v>
                </c:pt>
                <c:pt idx="308">
                  <c:v>-0.16763671465548488</c:v>
                </c:pt>
                <c:pt idx="309">
                  <c:v>-0.26639275150129899</c:v>
                </c:pt>
                <c:pt idx="310">
                  <c:v>-0.29992655200758594</c:v>
                </c:pt>
                <c:pt idx="311">
                  <c:v>-0.26002787227822777</c:v>
                </c:pt>
                <c:pt idx="312">
                  <c:v>-0.15646530062607356</c:v>
                </c:pt>
                <c:pt idx="313">
                  <c:v>-1.4594566462526179E-2</c:v>
                </c:pt>
                <c:pt idx="314">
                  <c:v>0.13084942657434748</c:v>
                </c:pt>
                <c:pt idx="315">
                  <c:v>0.24425691645253034</c:v>
                </c:pt>
                <c:pt idx="316">
                  <c:v>0.29786179442536115</c:v>
                </c:pt>
                <c:pt idx="317">
                  <c:v>0.27853971682961359</c:v>
                </c:pt>
                <c:pt idx="318">
                  <c:v>0.19102140214174135</c:v>
                </c:pt>
                <c:pt idx="319">
                  <c:v>5.6734386105267452E-2</c:v>
                </c:pt>
                <c:pt idx="320">
                  <c:v>-9.1443186330665005E-2</c:v>
                </c:pt>
                <c:pt idx="321">
                  <c:v>-0.21723227756023486</c:v>
                </c:pt>
                <c:pt idx="322">
                  <c:v>-0.28983533100251785</c:v>
                </c:pt>
                <c:pt idx="323">
                  <c:v>-0.29147658705483276</c:v>
                </c:pt>
                <c:pt idx="324">
                  <c:v>-0.22175420899476683</c:v>
                </c:pt>
                <c:pt idx="325">
                  <c:v>-9.7738666624368517E-2</c:v>
                </c:pt>
                <c:pt idx="326">
                  <c:v>5.0206710090842072E-2</c:v>
                </c:pt>
                <c:pt idx="327">
                  <c:v>0.18585973315558535</c:v>
                </c:pt>
                <c:pt idx="328">
                  <c:v>0.27600781145903719</c:v>
                </c:pt>
                <c:pt idx="329">
                  <c:v>0.29857955140836828</c:v>
                </c:pt>
                <c:pt idx="330">
                  <c:v>0.24804860384703101</c:v>
                </c:pt>
                <c:pt idx="331">
                  <c:v>0.13678670706644699</c:v>
                </c:pt>
                <c:pt idx="332">
                  <c:v>-7.9653462071900376E-3</c:v>
                </c:pt>
                <c:pt idx="333">
                  <c:v>-0.15076720492814619</c:v>
                </c:pt>
                <c:pt idx="334">
                  <c:v>-0.25665599369259667</c:v>
                </c:pt>
                <c:pt idx="335">
                  <c:v>-0.29970644401039048</c:v>
                </c:pt>
                <c:pt idx="336">
                  <c:v>-0.26937830420678738</c:v>
                </c:pt>
                <c:pt idx="337">
                  <c:v>-0.1730969606365628</c:v>
                </c:pt>
                <c:pt idx="338">
                  <c:v>-3.4435444134956167E-2</c:v>
                </c:pt>
                <c:pt idx="339">
                  <c:v>0.11265707006898751</c:v>
                </c:pt>
                <c:pt idx="340">
                  <c:v>0.23216720446736672</c:v>
                </c:pt>
                <c:pt idx="341">
                  <c:v>0.29483471009780782</c:v>
                </c:pt>
                <c:pt idx="342">
                  <c:v>0.28531639597631236</c:v>
                </c:pt>
                <c:pt idx="343">
                  <c:v>0.20594267736263266</c:v>
                </c:pt>
                <c:pt idx="344">
                  <c:v>7.6147008828610876E-2</c:v>
                </c:pt>
                <c:pt idx="345">
                  <c:v>-7.2292103186430326E-2</c:v>
                </c:pt>
                <c:pt idx="346">
                  <c:v>-0.20303158706619229</c:v>
                </c:pt>
                <c:pt idx="347">
                  <c:v>-0.28406185745800427</c:v>
                </c:pt>
                <c:pt idx="348">
                  <c:v>-0.29554387814047423</c:v>
                </c:pt>
                <c:pt idx="349">
                  <c:v>-0.2346664500010627</c:v>
                </c:pt>
                <c:pt idx="350">
                  <c:v>-0.11633449062282913</c:v>
                </c:pt>
                <c:pt idx="351">
                  <c:v>3.0480209367074851E-2</c:v>
                </c:pt>
                <c:pt idx="352">
                  <c:v>0.16983229106945411</c:v>
                </c:pt>
                <c:pt idx="353">
                  <c:v>0.26760350480981115</c:v>
                </c:pt>
                <c:pt idx="354">
                  <c:v>0.29985604757421935</c:v>
                </c:pt>
                <c:pt idx="355">
                  <c:v>0.25869337204719867</c:v>
                </c:pt>
                <c:pt idx="356">
                  <c:v>0.15419353679626055</c:v>
                </c:pt>
                <c:pt idx="357">
                  <c:v>1.1941746050000897E-2</c:v>
                </c:pt>
                <c:pt idx="358">
                  <c:v>-0.13323380061225251</c:v>
                </c:pt>
                <c:pt idx="359">
                  <c:v>-0.24578906619338423</c:v>
                </c:pt>
                <c:pt idx="360">
                  <c:v>-0.29816659617701258</c:v>
                </c:pt>
                <c:pt idx="361">
                  <c:v>-0.27754254449292554</c:v>
                </c:pt>
                <c:pt idx="362">
                  <c:v>-0.18896639828233616</c:v>
                </c:pt>
                <c:pt idx="363">
                  <c:v>-5.4124687338692641E-2</c:v>
                </c:pt>
                <c:pt idx="364">
                  <c:v>9.3968634729925546E-2</c:v>
                </c:pt>
                <c:pt idx="365">
                  <c:v>0.21905515774595005</c:v>
                </c:pt>
                <c:pt idx="366">
                  <c:v>0.2905093383300556</c:v>
                </c:pt>
                <c:pt idx="367">
                  <c:v>0.29083670102358444</c:v>
                </c:pt>
                <c:pt idx="368">
                  <c:v>0.21995709602198765</c:v>
                </c:pt>
                <c:pt idx="369">
                  <c:v>9.522432264230081E-2</c:v>
                </c:pt>
                <c:pt idx="370">
                  <c:v>-5.2822685984576123E-2</c:v>
                </c:pt>
                <c:pt idx="371">
                  <c:v>-0.18793685882685079</c:v>
                </c:pt>
                <c:pt idx="372">
                  <c:v>-0.2770375341012179</c:v>
                </c:pt>
                <c:pt idx="373">
                  <c:v>-0.29830975900582585</c:v>
                </c:pt>
                <c:pt idx="374">
                  <c:v>-0.24654535098924674</c:v>
                </c:pt>
                <c:pt idx="375">
                  <c:v>-0.13441804248078273</c:v>
                </c:pt>
                <c:pt idx="376">
                  <c:v>1.0619490820098203E-2</c:v>
                </c:pt>
                <c:pt idx="377">
                  <c:v>0.15305700240052891</c:v>
                </c:pt>
                <c:pt idx="378">
                  <c:v>0.25802082174373597</c:v>
                </c:pt>
                <c:pt idx="379">
                  <c:v>0.2998121451333251</c:v>
                </c:pt>
                <c:pt idx="380">
                  <c:v>0.26819899908016737</c:v>
                </c:pt>
                <c:pt idx="381">
                  <c:v>0.17092138428508891</c:v>
                </c:pt>
                <c:pt idx="382">
                  <c:v>3.1796253525347054E-2</c:v>
                </c:pt>
                <c:pt idx="383">
                  <c:v>-0.11511370903050916</c:v>
                </c:pt>
                <c:pt idx="384">
                  <c:v>-0.2338398208847414</c:v>
                </c:pt>
                <c:pt idx="385">
                  <c:v>-0.29531378913752532</c:v>
                </c:pt>
                <c:pt idx="386">
                  <c:v>-0.28448464238098414</c:v>
                </c:pt>
                <c:pt idx="387">
                  <c:v>-0.20400373342081585</c:v>
                </c:pt>
                <c:pt idx="388">
                  <c:v>-7.3575595640296296E-2</c:v>
                </c:pt>
                <c:pt idx="389">
                  <c:v>7.4866413991573136E-2</c:v>
                </c:pt>
                <c:pt idx="390">
                  <c:v>0.20497851442083628</c:v>
                </c:pt>
                <c:pt idx="391">
                  <c:v>0.28490472564426728</c:v>
                </c:pt>
                <c:pt idx="392">
                  <c:v>0.29507632363030345</c:v>
                </c:pt>
                <c:pt idx="393">
                  <c:v>0.23300294644508157</c:v>
                </c:pt>
                <c:pt idx="394">
                  <c:v>0.1138823217082565</c:v>
                </c:pt>
                <c:pt idx="395">
                  <c:v>-3.3120667167570846E-2</c:v>
                </c:pt>
                <c:pt idx="396">
                  <c:v>-0.17201456159712686</c:v>
                </c:pt>
                <c:pt idx="397">
                  <c:v>-0.26879329213014097</c:v>
                </c:pt>
                <c:pt idx="398">
                  <c:v>-0.29976205025590608</c:v>
                </c:pt>
                <c:pt idx="399">
                  <c:v>-0.2573386039120365</c:v>
                </c:pt>
                <c:pt idx="400">
                  <c:v>-0.15190969233292764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43-474E-86DA-189FB17B2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5489056"/>
        <c:axId val="1665901456"/>
      </c:scatterChart>
      <c:valAx>
        <c:axId val="1665489056"/>
        <c:scaling>
          <c:orientation val="minMax"/>
          <c:max val="100"/>
          <c:min val="-10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crossAx val="1665901456"/>
        <c:crossesAt val="0"/>
        <c:crossBetween val="midCat"/>
        <c:majorUnit val="20"/>
      </c:valAx>
      <c:valAx>
        <c:axId val="1665901456"/>
        <c:scaling>
          <c:orientation val="minMax"/>
          <c:min val="-0.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665489056"/>
        <c:crosses val="autoZero"/>
        <c:crossBetween val="midCat"/>
        <c:majorUnit val="1"/>
        <c:minorUnit val="0.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43898315835520557"/>
          <c:y val="0.78971815438957982"/>
          <c:w val="0.13597698350274504"/>
          <c:h val="0.21028211151779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0"/>
          <c:tx>
            <c:strRef>
              <c:f>Sheet1!$D$1</c:f>
              <c:strCache>
                <c:ptCount val="1"/>
                <c:pt idx="0">
                  <c:v>T(t)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Sheet1!$C$2:$C$402</c:f>
              <c:numCache>
                <c:formatCode>0.0_ </c:formatCode>
                <c:ptCount val="401"/>
                <c:pt idx="0">
                  <c:v>-100</c:v>
                </c:pt>
                <c:pt idx="1">
                  <c:v>-99.5</c:v>
                </c:pt>
                <c:pt idx="2">
                  <c:v>-99</c:v>
                </c:pt>
                <c:pt idx="3">
                  <c:v>-98.5</c:v>
                </c:pt>
                <c:pt idx="4">
                  <c:v>-98</c:v>
                </c:pt>
                <c:pt idx="5">
                  <c:v>-97.5</c:v>
                </c:pt>
                <c:pt idx="6">
                  <c:v>-97</c:v>
                </c:pt>
                <c:pt idx="7">
                  <c:v>-96.5</c:v>
                </c:pt>
                <c:pt idx="8">
                  <c:v>-96</c:v>
                </c:pt>
                <c:pt idx="9">
                  <c:v>-95.5</c:v>
                </c:pt>
                <c:pt idx="10">
                  <c:v>-95</c:v>
                </c:pt>
                <c:pt idx="11">
                  <c:v>-94.5</c:v>
                </c:pt>
                <c:pt idx="12">
                  <c:v>-94</c:v>
                </c:pt>
                <c:pt idx="13">
                  <c:v>-93.5</c:v>
                </c:pt>
                <c:pt idx="14">
                  <c:v>-93</c:v>
                </c:pt>
                <c:pt idx="15">
                  <c:v>-92.5</c:v>
                </c:pt>
                <c:pt idx="16">
                  <c:v>-92</c:v>
                </c:pt>
                <c:pt idx="17">
                  <c:v>-91.5</c:v>
                </c:pt>
                <c:pt idx="18">
                  <c:v>-91</c:v>
                </c:pt>
                <c:pt idx="19">
                  <c:v>-90.5</c:v>
                </c:pt>
                <c:pt idx="20">
                  <c:v>-90</c:v>
                </c:pt>
                <c:pt idx="21">
                  <c:v>-89.5</c:v>
                </c:pt>
                <c:pt idx="22">
                  <c:v>-89</c:v>
                </c:pt>
                <c:pt idx="23">
                  <c:v>-88.5</c:v>
                </c:pt>
                <c:pt idx="24">
                  <c:v>-88</c:v>
                </c:pt>
                <c:pt idx="25">
                  <c:v>-87.5</c:v>
                </c:pt>
                <c:pt idx="26">
                  <c:v>-87</c:v>
                </c:pt>
                <c:pt idx="27">
                  <c:v>-86.5</c:v>
                </c:pt>
                <c:pt idx="28">
                  <c:v>-86</c:v>
                </c:pt>
                <c:pt idx="29">
                  <c:v>-85.5</c:v>
                </c:pt>
                <c:pt idx="30">
                  <c:v>-85</c:v>
                </c:pt>
                <c:pt idx="31">
                  <c:v>-84.5</c:v>
                </c:pt>
                <c:pt idx="32">
                  <c:v>-84</c:v>
                </c:pt>
                <c:pt idx="33">
                  <c:v>-83.5</c:v>
                </c:pt>
                <c:pt idx="34">
                  <c:v>-83</c:v>
                </c:pt>
                <c:pt idx="35">
                  <c:v>-82.5</c:v>
                </c:pt>
                <c:pt idx="36">
                  <c:v>-82</c:v>
                </c:pt>
                <c:pt idx="37">
                  <c:v>-81.5</c:v>
                </c:pt>
                <c:pt idx="38">
                  <c:v>-81</c:v>
                </c:pt>
                <c:pt idx="39">
                  <c:v>-80.5</c:v>
                </c:pt>
                <c:pt idx="40">
                  <c:v>-80</c:v>
                </c:pt>
                <c:pt idx="41">
                  <c:v>-79.5</c:v>
                </c:pt>
                <c:pt idx="42">
                  <c:v>-79</c:v>
                </c:pt>
                <c:pt idx="43">
                  <c:v>-78.5</c:v>
                </c:pt>
                <c:pt idx="44">
                  <c:v>-78</c:v>
                </c:pt>
                <c:pt idx="45">
                  <c:v>-77.5</c:v>
                </c:pt>
                <c:pt idx="46">
                  <c:v>-77</c:v>
                </c:pt>
                <c:pt idx="47">
                  <c:v>-76.5</c:v>
                </c:pt>
                <c:pt idx="48">
                  <c:v>-76</c:v>
                </c:pt>
                <c:pt idx="49">
                  <c:v>-75.5</c:v>
                </c:pt>
                <c:pt idx="50">
                  <c:v>-75</c:v>
                </c:pt>
                <c:pt idx="51">
                  <c:v>-74.5</c:v>
                </c:pt>
                <c:pt idx="52">
                  <c:v>-74</c:v>
                </c:pt>
                <c:pt idx="53">
                  <c:v>-73.5</c:v>
                </c:pt>
                <c:pt idx="54">
                  <c:v>-73</c:v>
                </c:pt>
                <c:pt idx="55">
                  <c:v>-72.5</c:v>
                </c:pt>
                <c:pt idx="56">
                  <c:v>-72</c:v>
                </c:pt>
                <c:pt idx="57">
                  <c:v>-71.5</c:v>
                </c:pt>
                <c:pt idx="58">
                  <c:v>-71</c:v>
                </c:pt>
                <c:pt idx="59">
                  <c:v>-70.5</c:v>
                </c:pt>
                <c:pt idx="60">
                  <c:v>-70</c:v>
                </c:pt>
                <c:pt idx="61">
                  <c:v>-69.5</c:v>
                </c:pt>
                <c:pt idx="62">
                  <c:v>-69</c:v>
                </c:pt>
                <c:pt idx="63">
                  <c:v>-68.5</c:v>
                </c:pt>
                <c:pt idx="64">
                  <c:v>-68</c:v>
                </c:pt>
                <c:pt idx="65">
                  <c:v>-67.5</c:v>
                </c:pt>
                <c:pt idx="66">
                  <c:v>-67</c:v>
                </c:pt>
                <c:pt idx="67">
                  <c:v>-66.5</c:v>
                </c:pt>
                <c:pt idx="68">
                  <c:v>-66</c:v>
                </c:pt>
                <c:pt idx="69">
                  <c:v>-65.5</c:v>
                </c:pt>
                <c:pt idx="70">
                  <c:v>-65</c:v>
                </c:pt>
                <c:pt idx="71">
                  <c:v>-64.5</c:v>
                </c:pt>
                <c:pt idx="72">
                  <c:v>-64</c:v>
                </c:pt>
                <c:pt idx="73">
                  <c:v>-63.5</c:v>
                </c:pt>
                <c:pt idx="74">
                  <c:v>-63</c:v>
                </c:pt>
                <c:pt idx="75">
                  <c:v>-62.5</c:v>
                </c:pt>
                <c:pt idx="76">
                  <c:v>-62</c:v>
                </c:pt>
                <c:pt idx="77">
                  <c:v>-61.5</c:v>
                </c:pt>
                <c:pt idx="78">
                  <c:v>-61</c:v>
                </c:pt>
                <c:pt idx="79">
                  <c:v>-60.5</c:v>
                </c:pt>
                <c:pt idx="80">
                  <c:v>-60</c:v>
                </c:pt>
                <c:pt idx="81">
                  <c:v>-59.5</c:v>
                </c:pt>
                <c:pt idx="82">
                  <c:v>-59</c:v>
                </c:pt>
                <c:pt idx="83">
                  <c:v>-58.5</c:v>
                </c:pt>
                <c:pt idx="84">
                  <c:v>-58</c:v>
                </c:pt>
                <c:pt idx="85">
                  <c:v>-57.5</c:v>
                </c:pt>
                <c:pt idx="86">
                  <c:v>-57</c:v>
                </c:pt>
                <c:pt idx="87">
                  <c:v>-56.5</c:v>
                </c:pt>
                <c:pt idx="88">
                  <c:v>-56</c:v>
                </c:pt>
                <c:pt idx="89">
                  <c:v>-55.5</c:v>
                </c:pt>
                <c:pt idx="90">
                  <c:v>-55</c:v>
                </c:pt>
                <c:pt idx="91">
                  <c:v>-54.5</c:v>
                </c:pt>
                <c:pt idx="92">
                  <c:v>-54</c:v>
                </c:pt>
                <c:pt idx="93">
                  <c:v>-53.5</c:v>
                </c:pt>
                <c:pt idx="94">
                  <c:v>-53</c:v>
                </c:pt>
                <c:pt idx="95">
                  <c:v>-52.5</c:v>
                </c:pt>
                <c:pt idx="96">
                  <c:v>-52</c:v>
                </c:pt>
                <c:pt idx="97">
                  <c:v>-51.5</c:v>
                </c:pt>
                <c:pt idx="98">
                  <c:v>-51</c:v>
                </c:pt>
                <c:pt idx="99">
                  <c:v>-50.5</c:v>
                </c:pt>
                <c:pt idx="100">
                  <c:v>-50</c:v>
                </c:pt>
                <c:pt idx="101">
                  <c:v>-49.5</c:v>
                </c:pt>
                <c:pt idx="102">
                  <c:v>-49</c:v>
                </c:pt>
                <c:pt idx="103">
                  <c:v>-48.5</c:v>
                </c:pt>
                <c:pt idx="104">
                  <c:v>-48</c:v>
                </c:pt>
                <c:pt idx="105">
                  <c:v>-47.5</c:v>
                </c:pt>
                <c:pt idx="106">
                  <c:v>-47</c:v>
                </c:pt>
                <c:pt idx="107">
                  <c:v>-46.5</c:v>
                </c:pt>
                <c:pt idx="108">
                  <c:v>-46</c:v>
                </c:pt>
                <c:pt idx="109">
                  <c:v>-45.5</c:v>
                </c:pt>
                <c:pt idx="110">
                  <c:v>-45</c:v>
                </c:pt>
                <c:pt idx="111">
                  <c:v>-44.5</c:v>
                </c:pt>
                <c:pt idx="112">
                  <c:v>-44</c:v>
                </c:pt>
                <c:pt idx="113">
                  <c:v>-43.5</c:v>
                </c:pt>
                <c:pt idx="114">
                  <c:v>-43</c:v>
                </c:pt>
                <c:pt idx="115">
                  <c:v>-42.5</c:v>
                </c:pt>
                <c:pt idx="116">
                  <c:v>-42</c:v>
                </c:pt>
                <c:pt idx="117">
                  <c:v>-41.5</c:v>
                </c:pt>
                <c:pt idx="118">
                  <c:v>-41</c:v>
                </c:pt>
                <c:pt idx="119">
                  <c:v>-40.5</c:v>
                </c:pt>
                <c:pt idx="120">
                  <c:v>-40</c:v>
                </c:pt>
                <c:pt idx="121">
                  <c:v>-39.5</c:v>
                </c:pt>
                <c:pt idx="122">
                  <c:v>-39</c:v>
                </c:pt>
                <c:pt idx="123">
                  <c:v>-38.5</c:v>
                </c:pt>
                <c:pt idx="124">
                  <c:v>-38</c:v>
                </c:pt>
                <c:pt idx="125">
                  <c:v>-37.5</c:v>
                </c:pt>
                <c:pt idx="126">
                  <c:v>-37</c:v>
                </c:pt>
                <c:pt idx="127">
                  <c:v>-36.5</c:v>
                </c:pt>
                <c:pt idx="128">
                  <c:v>-36</c:v>
                </c:pt>
                <c:pt idx="129">
                  <c:v>-35.5</c:v>
                </c:pt>
                <c:pt idx="130">
                  <c:v>-35</c:v>
                </c:pt>
                <c:pt idx="131">
                  <c:v>-34.5</c:v>
                </c:pt>
                <c:pt idx="132">
                  <c:v>-34</c:v>
                </c:pt>
                <c:pt idx="133">
                  <c:v>-33.5</c:v>
                </c:pt>
                <c:pt idx="134">
                  <c:v>-33</c:v>
                </c:pt>
                <c:pt idx="135">
                  <c:v>-32.5</c:v>
                </c:pt>
                <c:pt idx="136">
                  <c:v>-32</c:v>
                </c:pt>
                <c:pt idx="137">
                  <c:v>-31.5</c:v>
                </c:pt>
                <c:pt idx="138">
                  <c:v>-31</c:v>
                </c:pt>
                <c:pt idx="139">
                  <c:v>-30.5</c:v>
                </c:pt>
                <c:pt idx="140">
                  <c:v>-30</c:v>
                </c:pt>
                <c:pt idx="141">
                  <c:v>-29.5</c:v>
                </c:pt>
                <c:pt idx="142">
                  <c:v>-29</c:v>
                </c:pt>
                <c:pt idx="143">
                  <c:v>-28.5</c:v>
                </c:pt>
                <c:pt idx="144">
                  <c:v>-28</c:v>
                </c:pt>
                <c:pt idx="145">
                  <c:v>-27.5</c:v>
                </c:pt>
                <c:pt idx="146">
                  <c:v>-27</c:v>
                </c:pt>
                <c:pt idx="147">
                  <c:v>-26.5</c:v>
                </c:pt>
                <c:pt idx="148">
                  <c:v>-26</c:v>
                </c:pt>
                <c:pt idx="149">
                  <c:v>-25.5</c:v>
                </c:pt>
                <c:pt idx="150">
                  <c:v>-25</c:v>
                </c:pt>
                <c:pt idx="151">
                  <c:v>-24.5</c:v>
                </c:pt>
                <c:pt idx="152">
                  <c:v>-24</c:v>
                </c:pt>
                <c:pt idx="153">
                  <c:v>-23.5</c:v>
                </c:pt>
                <c:pt idx="154">
                  <c:v>-23</c:v>
                </c:pt>
                <c:pt idx="155">
                  <c:v>-22.5</c:v>
                </c:pt>
                <c:pt idx="156">
                  <c:v>-22</c:v>
                </c:pt>
                <c:pt idx="157">
                  <c:v>-21.5</c:v>
                </c:pt>
                <c:pt idx="158">
                  <c:v>-21</c:v>
                </c:pt>
                <c:pt idx="159">
                  <c:v>-20.5</c:v>
                </c:pt>
                <c:pt idx="160">
                  <c:v>-20</c:v>
                </c:pt>
                <c:pt idx="161">
                  <c:v>-19.5</c:v>
                </c:pt>
                <c:pt idx="162">
                  <c:v>-19</c:v>
                </c:pt>
                <c:pt idx="163">
                  <c:v>-18.5</c:v>
                </c:pt>
                <c:pt idx="164">
                  <c:v>-18</c:v>
                </c:pt>
                <c:pt idx="165">
                  <c:v>-17.5</c:v>
                </c:pt>
                <c:pt idx="166">
                  <c:v>-17</c:v>
                </c:pt>
                <c:pt idx="167">
                  <c:v>-16.5</c:v>
                </c:pt>
                <c:pt idx="168">
                  <c:v>-16</c:v>
                </c:pt>
                <c:pt idx="169">
                  <c:v>-15.5</c:v>
                </c:pt>
                <c:pt idx="170">
                  <c:v>-15</c:v>
                </c:pt>
                <c:pt idx="171">
                  <c:v>-14.5</c:v>
                </c:pt>
                <c:pt idx="172">
                  <c:v>-14</c:v>
                </c:pt>
                <c:pt idx="173">
                  <c:v>-13.5</c:v>
                </c:pt>
                <c:pt idx="174">
                  <c:v>-13</c:v>
                </c:pt>
                <c:pt idx="175">
                  <c:v>-12.5</c:v>
                </c:pt>
                <c:pt idx="176">
                  <c:v>-12</c:v>
                </c:pt>
                <c:pt idx="177">
                  <c:v>-11.5</c:v>
                </c:pt>
                <c:pt idx="178">
                  <c:v>-11</c:v>
                </c:pt>
                <c:pt idx="179">
                  <c:v>-10.5</c:v>
                </c:pt>
                <c:pt idx="180">
                  <c:v>-10</c:v>
                </c:pt>
                <c:pt idx="181">
                  <c:v>-9.5</c:v>
                </c:pt>
                <c:pt idx="182">
                  <c:v>-9</c:v>
                </c:pt>
                <c:pt idx="183">
                  <c:v>-8.5</c:v>
                </c:pt>
                <c:pt idx="184">
                  <c:v>-8</c:v>
                </c:pt>
                <c:pt idx="185">
                  <c:v>-7.5</c:v>
                </c:pt>
                <c:pt idx="186">
                  <c:v>-7</c:v>
                </c:pt>
                <c:pt idx="187">
                  <c:v>-6.5</c:v>
                </c:pt>
                <c:pt idx="188">
                  <c:v>-6</c:v>
                </c:pt>
                <c:pt idx="189">
                  <c:v>-5.5</c:v>
                </c:pt>
                <c:pt idx="190">
                  <c:v>-5</c:v>
                </c:pt>
                <c:pt idx="191">
                  <c:v>-4.5</c:v>
                </c:pt>
                <c:pt idx="192">
                  <c:v>-4</c:v>
                </c:pt>
                <c:pt idx="193">
                  <c:v>-3.5</c:v>
                </c:pt>
                <c:pt idx="194">
                  <c:v>-3</c:v>
                </c:pt>
                <c:pt idx="195">
                  <c:v>-2.5</c:v>
                </c:pt>
                <c:pt idx="196">
                  <c:v>-2</c:v>
                </c:pt>
                <c:pt idx="197">
                  <c:v>-1.5</c:v>
                </c:pt>
                <c:pt idx="198">
                  <c:v>-1</c:v>
                </c:pt>
                <c:pt idx="199">
                  <c:v>-0.5</c:v>
                </c:pt>
                <c:pt idx="200">
                  <c:v>0</c:v>
                </c:pt>
                <c:pt idx="201">
                  <c:v>0.5</c:v>
                </c:pt>
                <c:pt idx="202">
                  <c:v>1</c:v>
                </c:pt>
                <c:pt idx="203">
                  <c:v>1.5</c:v>
                </c:pt>
                <c:pt idx="204">
                  <c:v>2</c:v>
                </c:pt>
                <c:pt idx="205">
                  <c:v>2.5</c:v>
                </c:pt>
                <c:pt idx="206">
                  <c:v>3</c:v>
                </c:pt>
                <c:pt idx="207">
                  <c:v>3.5</c:v>
                </c:pt>
                <c:pt idx="208">
                  <c:v>4</c:v>
                </c:pt>
                <c:pt idx="209">
                  <c:v>4.5</c:v>
                </c:pt>
                <c:pt idx="210">
                  <c:v>5</c:v>
                </c:pt>
                <c:pt idx="211">
                  <c:v>5.5</c:v>
                </c:pt>
                <c:pt idx="212">
                  <c:v>6</c:v>
                </c:pt>
                <c:pt idx="213">
                  <c:v>6.5</c:v>
                </c:pt>
                <c:pt idx="214">
                  <c:v>7</c:v>
                </c:pt>
                <c:pt idx="215">
                  <c:v>7.5</c:v>
                </c:pt>
                <c:pt idx="216">
                  <c:v>8</c:v>
                </c:pt>
                <c:pt idx="217">
                  <c:v>8.5</c:v>
                </c:pt>
                <c:pt idx="218">
                  <c:v>9</c:v>
                </c:pt>
                <c:pt idx="219">
                  <c:v>9.5</c:v>
                </c:pt>
                <c:pt idx="220">
                  <c:v>10</c:v>
                </c:pt>
                <c:pt idx="221">
                  <c:v>10.5</c:v>
                </c:pt>
                <c:pt idx="222">
                  <c:v>11</c:v>
                </c:pt>
                <c:pt idx="223">
                  <c:v>11.5</c:v>
                </c:pt>
                <c:pt idx="224">
                  <c:v>12</c:v>
                </c:pt>
                <c:pt idx="225">
                  <c:v>12.5</c:v>
                </c:pt>
                <c:pt idx="226">
                  <c:v>13</c:v>
                </c:pt>
                <c:pt idx="227">
                  <c:v>13.5</c:v>
                </c:pt>
                <c:pt idx="228">
                  <c:v>14</c:v>
                </c:pt>
                <c:pt idx="229">
                  <c:v>14.5</c:v>
                </c:pt>
                <c:pt idx="230">
                  <c:v>15</c:v>
                </c:pt>
                <c:pt idx="231">
                  <c:v>15.5</c:v>
                </c:pt>
                <c:pt idx="232">
                  <c:v>16</c:v>
                </c:pt>
                <c:pt idx="233">
                  <c:v>16.5</c:v>
                </c:pt>
                <c:pt idx="234">
                  <c:v>17</c:v>
                </c:pt>
                <c:pt idx="235">
                  <c:v>17.5</c:v>
                </c:pt>
                <c:pt idx="236">
                  <c:v>18</c:v>
                </c:pt>
                <c:pt idx="237">
                  <c:v>18.5</c:v>
                </c:pt>
                <c:pt idx="238">
                  <c:v>19</c:v>
                </c:pt>
                <c:pt idx="239">
                  <c:v>19.5</c:v>
                </c:pt>
                <c:pt idx="240">
                  <c:v>20</c:v>
                </c:pt>
                <c:pt idx="241">
                  <c:v>20.5</c:v>
                </c:pt>
                <c:pt idx="242">
                  <c:v>21</c:v>
                </c:pt>
                <c:pt idx="243">
                  <c:v>21.5</c:v>
                </c:pt>
                <c:pt idx="244">
                  <c:v>22</c:v>
                </c:pt>
                <c:pt idx="245">
                  <c:v>22.5</c:v>
                </c:pt>
                <c:pt idx="246">
                  <c:v>23</c:v>
                </c:pt>
                <c:pt idx="247">
                  <c:v>23.5</c:v>
                </c:pt>
                <c:pt idx="248">
                  <c:v>24</c:v>
                </c:pt>
                <c:pt idx="249">
                  <c:v>24.5</c:v>
                </c:pt>
                <c:pt idx="250">
                  <c:v>25</c:v>
                </c:pt>
                <c:pt idx="251">
                  <c:v>25.5</c:v>
                </c:pt>
                <c:pt idx="252">
                  <c:v>26</c:v>
                </c:pt>
                <c:pt idx="253">
                  <c:v>26.5</c:v>
                </c:pt>
                <c:pt idx="254">
                  <c:v>27</c:v>
                </c:pt>
                <c:pt idx="255">
                  <c:v>27.5</c:v>
                </c:pt>
                <c:pt idx="256">
                  <c:v>28</c:v>
                </c:pt>
                <c:pt idx="257">
                  <c:v>28.5</c:v>
                </c:pt>
                <c:pt idx="258">
                  <c:v>29</c:v>
                </c:pt>
                <c:pt idx="259">
                  <c:v>29.5</c:v>
                </c:pt>
                <c:pt idx="260">
                  <c:v>30</c:v>
                </c:pt>
                <c:pt idx="261">
                  <c:v>30.5</c:v>
                </c:pt>
                <c:pt idx="262">
                  <c:v>31</c:v>
                </c:pt>
                <c:pt idx="263">
                  <c:v>31.5</c:v>
                </c:pt>
                <c:pt idx="264">
                  <c:v>32</c:v>
                </c:pt>
                <c:pt idx="265">
                  <c:v>32.5</c:v>
                </c:pt>
                <c:pt idx="266">
                  <c:v>33</c:v>
                </c:pt>
                <c:pt idx="267">
                  <c:v>33.5</c:v>
                </c:pt>
                <c:pt idx="268">
                  <c:v>34</c:v>
                </c:pt>
                <c:pt idx="269">
                  <c:v>34.5</c:v>
                </c:pt>
                <c:pt idx="270">
                  <c:v>35</c:v>
                </c:pt>
                <c:pt idx="271">
                  <c:v>35.5</c:v>
                </c:pt>
                <c:pt idx="272">
                  <c:v>36</c:v>
                </c:pt>
                <c:pt idx="273">
                  <c:v>36.5</c:v>
                </c:pt>
                <c:pt idx="274">
                  <c:v>37</c:v>
                </c:pt>
                <c:pt idx="275">
                  <c:v>37.5</c:v>
                </c:pt>
                <c:pt idx="276">
                  <c:v>38</c:v>
                </c:pt>
                <c:pt idx="277">
                  <c:v>38.5</c:v>
                </c:pt>
                <c:pt idx="278">
                  <c:v>39</c:v>
                </c:pt>
                <c:pt idx="279">
                  <c:v>39.5</c:v>
                </c:pt>
                <c:pt idx="280">
                  <c:v>40</c:v>
                </c:pt>
                <c:pt idx="281">
                  <c:v>40.5</c:v>
                </c:pt>
                <c:pt idx="282">
                  <c:v>41</c:v>
                </c:pt>
                <c:pt idx="283">
                  <c:v>41.5</c:v>
                </c:pt>
                <c:pt idx="284">
                  <c:v>42</c:v>
                </c:pt>
                <c:pt idx="285">
                  <c:v>42.5</c:v>
                </c:pt>
                <c:pt idx="286">
                  <c:v>43</c:v>
                </c:pt>
                <c:pt idx="287">
                  <c:v>43.5</c:v>
                </c:pt>
                <c:pt idx="288">
                  <c:v>44</c:v>
                </c:pt>
                <c:pt idx="289">
                  <c:v>44.5</c:v>
                </c:pt>
                <c:pt idx="290">
                  <c:v>45</c:v>
                </c:pt>
                <c:pt idx="291">
                  <c:v>45.5</c:v>
                </c:pt>
                <c:pt idx="292">
                  <c:v>46</c:v>
                </c:pt>
                <c:pt idx="293">
                  <c:v>46.5</c:v>
                </c:pt>
                <c:pt idx="294">
                  <c:v>47</c:v>
                </c:pt>
                <c:pt idx="295">
                  <c:v>47.5</c:v>
                </c:pt>
                <c:pt idx="296">
                  <c:v>48</c:v>
                </c:pt>
                <c:pt idx="297">
                  <c:v>48.5</c:v>
                </c:pt>
                <c:pt idx="298">
                  <c:v>49</c:v>
                </c:pt>
                <c:pt idx="299">
                  <c:v>49.5</c:v>
                </c:pt>
                <c:pt idx="300">
                  <c:v>50</c:v>
                </c:pt>
                <c:pt idx="301">
                  <c:v>50.5</c:v>
                </c:pt>
                <c:pt idx="302">
                  <c:v>51</c:v>
                </c:pt>
                <c:pt idx="303">
                  <c:v>51.5</c:v>
                </c:pt>
                <c:pt idx="304">
                  <c:v>52</c:v>
                </c:pt>
                <c:pt idx="305">
                  <c:v>52.5</c:v>
                </c:pt>
                <c:pt idx="306">
                  <c:v>53</c:v>
                </c:pt>
                <c:pt idx="307">
                  <c:v>53.5</c:v>
                </c:pt>
                <c:pt idx="308">
                  <c:v>54</c:v>
                </c:pt>
                <c:pt idx="309">
                  <c:v>54.5</c:v>
                </c:pt>
                <c:pt idx="310">
                  <c:v>55</c:v>
                </c:pt>
                <c:pt idx="311">
                  <c:v>55.5</c:v>
                </c:pt>
                <c:pt idx="312">
                  <c:v>56</c:v>
                </c:pt>
                <c:pt idx="313">
                  <c:v>56.5</c:v>
                </c:pt>
                <c:pt idx="314">
                  <c:v>57</c:v>
                </c:pt>
                <c:pt idx="315">
                  <c:v>57.5</c:v>
                </c:pt>
                <c:pt idx="316">
                  <c:v>58</c:v>
                </c:pt>
                <c:pt idx="317">
                  <c:v>58.5</c:v>
                </c:pt>
                <c:pt idx="318">
                  <c:v>59</c:v>
                </c:pt>
                <c:pt idx="319">
                  <c:v>59.5</c:v>
                </c:pt>
                <c:pt idx="320">
                  <c:v>60</c:v>
                </c:pt>
                <c:pt idx="321">
                  <c:v>60.5</c:v>
                </c:pt>
                <c:pt idx="322">
                  <c:v>61</c:v>
                </c:pt>
                <c:pt idx="323">
                  <c:v>61.5</c:v>
                </c:pt>
                <c:pt idx="324">
                  <c:v>62</c:v>
                </c:pt>
                <c:pt idx="325">
                  <c:v>62.5</c:v>
                </c:pt>
                <c:pt idx="326">
                  <c:v>63</c:v>
                </c:pt>
                <c:pt idx="327">
                  <c:v>63.5</c:v>
                </c:pt>
                <c:pt idx="328">
                  <c:v>64</c:v>
                </c:pt>
                <c:pt idx="329">
                  <c:v>64.5</c:v>
                </c:pt>
                <c:pt idx="330">
                  <c:v>65</c:v>
                </c:pt>
                <c:pt idx="331">
                  <c:v>65.5</c:v>
                </c:pt>
                <c:pt idx="332">
                  <c:v>66</c:v>
                </c:pt>
                <c:pt idx="333">
                  <c:v>66.5</c:v>
                </c:pt>
                <c:pt idx="334">
                  <c:v>67</c:v>
                </c:pt>
                <c:pt idx="335">
                  <c:v>67.5</c:v>
                </c:pt>
                <c:pt idx="336">
                  <c:v>68</c:v>
                </c:pt>
                <c:pt idx="337">
                  <c:v>68.5</c:v>
                </c:pt>
                <c:pt idx="338">
                  <c:v>69</c:v>
                </c:pt>
                <c:pt idx="339">
                  <c:v>69.5</c:v>
                </c:pt>
                <c:pt idx="340">
                  <c:v>70</c:v>
                </c:pt>
                <c:pt idx="341">
                  <c:v>70.5</c:v>
                </c:pt>
                <c:pt idx="342">
                  <c:v>71</c:v>
                </c:pt>
                <c:pt idx="343">
                  <c:v>71.5</c:v>
                </c:pt>
                <c:pt idx="344">
                  <c:v>72</c:v>
                </c:pt>
                <c:pt idx="345">
                  <c:v>72.5</c:v>
                </c:pt>
                <c:pt idx="346">
                  <c:v>73</c:v>
                </c:pt>
                <c:pt idx="347">
                  <c:v>73.5</c:v>
                </c:pt>
                <c:pt idx="348">
                  <c:v>74</c:v>
                </c:pt>
                <c:pt idx="349">
                  <c:v>74.5</c:v>
                </c:pt>
                <c:pt idx="350">
                  <c:v>75</c:v>
                </c:pt>
                <c:pt idx="351">
                  <c:v>75.5</c:v>
                </c:pt>
                <c:pt idx="352">
                  <c:v>76</c:v>
                </c:pt>
                <c:pt idx="353">
                  <c:v>76.5</c:v>
                </c:pt>
                <c:pt idx="354">
                  <c:v>77</c:v>
                </c:pt>
                <c:pt idx="355">
                  <c:v>77.5</c:v>
                </c:pt>
                <c:pt idx="356">
                  <c:v>78</c:v>
                </c:pt>
                <c:pt idx="357">
                  <c:v>78.5</c:v>
                </c:pt>
                <c:pt idx="358">
                  <c:v>79</c:v>
                </c:pt>
                <c:pt idx="359">
                  <c:v>79.5</c:v>
                </c:pt>
                <c:pt idx="360">
                  <c:v>80</c:v>
                </c:pt>
                <c:pt idx="361">
                  <c:v>80.5</c:v>
                </c:pt>
                <c:pt idx="362">
                  <c:v>81</c:v>
                </c:pt>
                <c:pt idx="363">
                  <c:v>81.5</c:v>
                </c:pt>
                <c:pt idx="364">
                  <c:v>82</c:v>
                </c:pt>
                <c:pt idx="365">
                  <c:v>82.5</c:v>
                </c:pt>
                <c:pt idx="366">
                  <c:v>83</c:v>
                </c:pt>
                <c:pt idx="367">
                  <c:v>83.5</c:v>
                </c:pt>
                <c:pt idx="368">
                  <c:v>84</c:v>
                </c:pt>
                <c:pt idx="369">
                  <c:v>84.5</c:v>
                </c:pt>
                <c:pt idx="370">
                  <c:v>85</c:v>
                </c:pt>
                <c:pt idx="371">
                  <c:v>85.5</c:v>
                </c:pt>
                <c:pt idx="372">
                  <c:v>86</c:v>
                </c:pt>
                <c:pt idx="373">
                  <c:v>86.5</c:v>
                </c:pt>
                <c:pt idx="374">
                  <c:v>87</c:v>
                </c:pt>
                <c:pt idx="375">
                  <c:v>87.5</c:v>
                </c:pt>
                <c:pt idx="376">
                  <c:v>88</c:v>
                </c:pt>
                <c:pt idx="377">
                  <c:v>88.5</c:v>
                </c:pt>
                <c:pt idx="378">
                  <c:v>89</c:v>
                </c:pt>
                <c:pt idx="379">
                  <c:v>89.5</c:v>
                </c:pt>
                <c:pt idx="380">
                  <c:v>90</c:v>
                </c:pt>
                <c:pt idx="381">
                  <c:v>90.5</c:v>
                </c:pt>
                <c:pt idx="382">
                  <c:v>91</c:v>
                </c:pt>
                <c:pt idx="383">
                  <c:v>91.5</c:v>
                </c:pt>
                <c:pt idx="384">
                  <c:v>92</c:v>
                </c:pt>
                <c:pt idx="385">
                  <c:v>92.5</c:v>
                </c:pt>
                <c:pt idx="386">
                  <c:v>93</c:v>
                </c:pt>
                <c:pt idx="387">
                  <c:v>93.5</c:v>
                </c:pt>
                <c:pt idx="388">
                  <c:v>94</c:v>
                </c:pt>
                <c:pt idx="389">
                  <c:v>94.5</c:v>
                </c:pt>
                <c:pt idx="390">
                  <c:v>95</c:v>
                </c:pt>
                <c:pt idx="391">
                  <c:v>95.5</c:v>
                </c:pt>
                <c:pt idx="392">
                  <c:v>96</c:v>
                </c:pt>
                <c:pt idx="393">
                  <c:v>96.5</c:v>
                </c:pt>
                <c:pt idx="394">
                  <c:v>97</c:v>
                </c:pt>
                <c:pt idx="395">
                  <c:v>97.5</c:v>
                </c:pt>
                <c:pt idx="396">
                  <c:v>98</c:v>
                </c:pt>
                <c:pt idx="397">
                  <c:v>98.5</c:v>
                </c:pt>
                <c:pt idx="398">
                  <c:v>99</c:v>
                </c:pt>
                <c:pt idx="399">
                  <c:v>99.5</c:v>
                </c:pt>
                <c:pt idx="400">
                  <c:v>100</c:v>
                </c:pt>
              </c:numCache>
            </c:numRef>
          </c:xVal>
          <c:yVal>
            <c:numRef>
              <c:f>Sheet1!$D$2:$D$402</c:f>
              <c:numCache>
                <c:formatCode>General</c:formatCode>
                <c:ptCount val="401"/>
                <c:pt idx="0">
                  <c:v>1.7285714285714286</c:v>
                </c:pt>
                <c:pt idx="1">
                  <c:v>1.7143214285714286</c:v>
                </c:pt>
                <c:pt idx="2">
                  <c:v>1.7001428571428572</c:v>
                </c:pt>
                <c:pt idx="3">
                  <c:v>1.6860357142857143</c:v>
                </c:pt>
                <c:pt idx="4">
                  <c:v>1.6720000000000002</c:v>
                </c:pt>
                <c:pt idx="5">
                  <c:v>1.6580357142857143</c:v>
                </c:pt>
                <c:pt idx="6">
                  <c:v>1.6441428571428571</c:v>
                </c:pt>
                <c:pt idx="7">
                  <c:v>1.6303214285714287</c:v>
                </c:pt>
                <c:pt idx="8">
                  <c:v>1.6165714285714285</c:v>
                </c:pt>
                <c:pt idx="9">
                  <c:v>1.6028928571428571</c:v>
                </c:pt>
                <c:pt idx="10">
                  <c:v>1.5892857142857144</c:v>
                </c:pt>
                <c:pt idx="11">
                  <c:v>1.57575</c:v>
                </c:pt>
                <c:pt idx="12">
                  <c:v>1.5622857142857143</c:v>
                </c:pt>
                <c:pt idx="13">
                  <c:v>1.5488928571428573</c:v>
                </c:pt>
                <c:pt idx="14">
                  <c:v>1.5355714285714286</c:v>
                </c:pt>
                <c:pt idx="15">
                  <c:v>1.5223214285714286</c:v>
                </c:pt>
                <c:pt idx="16">
                  <c:v>1.5091428571428571</c:v>
                </c:pt>
                <c:pt idx="17">
                  <c:v>1.4960357142857144</c:v>
                </c:pt>
                <c:pt idx="18">
                  <c:v>1.4830000000000001</c:v>
                </c:pt>
                <c:pt idx="19">
                  <c:v>1.4700357142857143</c:v>
                </c:pt>
                <c:pt idx="20">
                  <c:v>1.4571428571428573</c:v>
                </c:pt>
                <c:pt idx="21">
                  <c:v>1.4443214285714285</c:v>
                </c:pt>
                <c:pt idx="22">
                  <c:v>1.4315714285714287</c:v>
                </c:pt>
                <c:pt idx="23">
                  <c:v>1.4188928571428572</c:v>
                </c:pt>
                <c:pt idx="24">
                  <c:v>1.4062857142857144</c:v>
                </c:pt>
                <c:pt idx="25">
                  <c:v>1.39375</c:v>
                </c:pt>
                <c:pt idx="26">
                  <c:v>1.3812857142857142</c:v>
                </c:pt>
                <c:pt idx="27">
                  <c:v>1.3688928571428571</c:v>
                </c:pt>
                <c:pt idx="28">
                  <c:v>1.3565714285714285</c:v>
                </c:pt>
                <c:pt idx="29">
                  <c:v>1.3443214285714287</c:v>
                </c:pt>
                <c:pt idx="30">
                  <c:v>1.3321428571428573</c:v>
                </c:pt>
                <c:pt idx="31">
                  <c:v>1.3200357142857144</c:v>
                </c:pt>
                <c:pt idx="32">
                  <c:v>1.3080000000000001</c:v>
                </c:pt>
                <c:pt idx="33">
                  <c:v>1.2960357142857142</c:v>
                </c:pt>
                <c:pt idx="34">
                  <c:v>1.284142857142857</c:v>
                </c:pt>
                <c:pt idx="35">
                  <c:v>1.2723214285714286</c:v>
                </c:pt>
                <c:pt idx="36">
                  <c:v>1.2605714285714285</c:v>
                </c:pt>
                <c:pt idx="37">
                  <c:v>1.248892857142857</c:v>
                </c:pt>
                <c:pt idx="38">
                  <c:v>1.2372857142857143</c:v>
                </c:pt>
                <c:pt idx="39">
                  <c:v>1.2257499999999999</c:v>
                </c:pt>
                <c:pt idx="40">
                  <c:v>1.2142857142857142</c:v>
                </c:pt>
                <c:pt idx="41">
                  <c:v>1.2028928571428572</c:v>
                </c:pt>
                <c:pt idx="42">
                  <c:v>1.1915714285714285</c:v>
                </c:pt>
                <c:pt idx="43">
                  <c:v>1.1803214285714285</c:v>
                </c:pt>
                <c:pt idx="44">
                  <c:v>1.169142857142857</c:v>
                </c:pt>
                <c:pt idx="45">
                  <c:v>1.1580357142857143</c:v>
                </c:pt>
                <c:pt idx="46">
                  <c:v>1.147</c:v>
                </c:pt>
                <c:pt idx="47">
                  <c:v>1.1360357142857143</c:v>
                </c:pt>
                <c:pt idx="48">
                  <c:v>1.1251428571428572</c:v>
                </c:pt>
                <c:pt idx="49">
                  <c:v>1.1143214285714285</c:v>
                </c:pt>
                <c:pt idx="50">
                  <c:v>1.1035714285714286</c:v>
                </c:pt>
                <c:pt idx="51">
                  <c:v>1.0928928571428571</c:v>
                </c:pt>
                <c:pt idx="52">
                  <c:v>1.0822857142857143</c:v>
                </c:pt>
                <c:pt idx="53">
                  <c:v>1.07175</c:v>
                </c:pt>
                <c:pt idx="54">
                  <c:v>1.0612857142857142</c:v>
                </c:pt>
                <c:pt idx="55">
                  <c:v>1.0508928571428571</c:v>
                </c:pt>
                <c:pt idx="56">
                  <c:v>1.0405714285714285</c:v>
                </c:pt>
                <c:pt idx="57">
                  <c:v>1.0303214285714286</c:v>
                </c:pt>
                <c:pt idx="58">
                  <c:v>1.0201428571428572</c:v>
                </c:pt>
                <c:pt idx="59">
                  <c:v>1.0100357142857144</c:v>
                </c:pt>
                <c:pt idx="60">
                  <c:v>1</c:v>
                </c:pt>
                <c:pt idx="61">
                  <c:v>0.99003571428571435</c:v>
                </c:pt>
                <c:pt idx="62">
                  <c:v>0.9801428571428572</c:v>
                </c:pt>
                <c:pt idx="63">
                  <c:v>0.97032142857142856</c:v>
                </c:pt>
                <c:pt idx="64">
                  <c:v>0.96057142857142863</c:v>
                </c:pt>
                <c:pt idx="65">
                  <c:v>0.95089285714285721</c:v>
                </c:pt>
                <c:pt idx="66">
                  <c:v>0.94128571428571428</c:v>
                </c:pt>
                <c:pt idx="67">
                  <c:v>0.93175000000000008</c:v>
                </c:pt>
                <c:pt idx="68">
                  <c:v>0.92228571428571438</c:v>
                </c:pt>
                <c:pt idx="69">
                  <c:v>0.91289285714285717</c:v>
                </c:pt>
                <c:pt idx="70">
                  <c:v>0.90357142857142847</c:v>
                </c:pt>
                <c:pt idx="71">
                  <c:v>0.89432142857142849</c:v>
                </c:pt>
                <c:pt idx="72">
                  <c:v>0.88514285714285723</c:v>
                </c:pt>
                <c:pt idx="73">
                  <c:v>0.87603571428571425</c:v>
                </c:pt>
                <c:pt idx="74">
                  <c:v>0.86699999999999999</c:v>
                </c:pt>
                <c:pt idx="75">
                  <c:v>0.85803571428571423</c:v>
                </c:pt>
                <c:pt idx="76">
                  <c:v>0.8491428571428572</c:v>
                </c:pt>
                <c:pt idx="77">
                  <c:v>0.84032142857142866</c:v>
                </c:pt>
                <c:pt idx="78">
                  <c:v>0.83157142857142863</c:v>
                </c:pt>
                <c:pt idx="79">
                  <c:v>0.82289285714285709</c:v>
                </c:pt>
                <c:pt idx="80">
                  <c:v>0.81428571428571428</c:v>
                </c:pt>
                <c:pt idx="81">
                  <c:v>0.80574999999999997</c:v>
                </c:pt>
                <c:pt idx="82">
                  <c:v>0.79728571428571426</c:v>
                </c:pt>
                <c:pt idx="83">
                  <c:v>0.78889285714285706</c:v>
                </c:pt>
                <c:pt idx="84">
                  <c:v>0.78057142857142858</c:v>
                </c:pt>
                <c:pt idx="85">
                  <c:v>0.7723214285714286</c:v>
                </c:pt>
                <c:pt idx="86">
                  <c:v>0.76414285714285712</c:v>
                </c:pt>
                <c:pt idx="87">
                  <c:v>0.75603571428571426</c:v>
                </c:pt>
                <c:pt idx="88">
                  <c:v>0.748</c:v>
                </c:pt>
                <c:pt idx="89">
                  <c:v>0.74003571428571435</c:v>
                </c:pt>
                <c:pt idx="90">
                  <c:v>0.73214285714285721</c:v>
                </c:pt>
                <c:pt idx="91">
                  <c:v>0.72432142857142856</c:v>
                </c:pt>
                <c:pt idx="92">
                  <c:v>0.71657142857142864</c:v>
                </c:pt>
                <c:pt idx="93">
                  <c:v>0.70889285714285721</c:v>
                </c:pt>
                <c:pt idx="94">
                  <c:v>0.70128571428571429</c:v>
                </c:pt>
                <c:pt idx="95">
                  <c:v>0.69374999999999998</c:v>
                </c:pt>
                <c:pt idx="96">
                  <c:v>0.68628571428571428</c:v>
                </c:pt>
                <c:pt idx="97">
                  <c:v>0.67889285714285719</c:v>
                </c:pt>
                <c:pt idx="98">
                  <c:v>0.67157142857142849</c:v>
                </c:pt>
                <c:pt idx="99">
                  <c:v>0.66432142857142851</c:v>
                </c:pt>
                <c:pt idx="100">
                  <c:v>0.65714285714285714</c:v>
                </c:pt>
                <c:pt idx="101">
                  <c:v>0.65003571428571427</c:v>
                </c:pt>
                <c:pt idx="102">
                  <c:v>0.64300000000000002</c:v>
                </c:pt>
                <c:pt idx="103">
                  <c:v>0.63603571428571426</c:v>
                </c:pt>
                <c:pt idx="104">
                  <c:v>0.62914285714285711</c:v>
                </c:pt>
                <c:pt idx="105">
                  <c:v>0.62232142857142858</c:v>
                </c:pt>
                <c:pt idx="106">
                  <c:v>0.61557142857142855</c:v>
                </c:pt>
                <c:pt idx="107">
                  <c:v>0.60889285714285712</c:v>
                </c:pt>
                <c:pt idx="108">
                  <c:v>0.60228571428571431</c:v>
                </c:pt>
                <c:pt idx="109">
                  <c:v>0.59575</c:v>
                </c:pt>
                <c:pt idx="110">
                  <c:v>0.5892857142857143</c:v>
                </c:pt>
                <c:pt idx="111">
                  <c:v>0.5828928571428571</c:v>
                </c:pt>
                <c:pt idx="112">
                  <c:v>0.57657142857142851</c:v>
                </c:pt>
                <c:pt idx="113">
                  <c:v>0.57032142857142853</c:v>
                </c:pt>
                <c:pt idx="114">
                  <c:v>0.56414285714285706</c:v>
                </c:pt>
                <c:pt idx="115">
                  <c:v>0.5580357142857143</c:v>
                </c:pt>
                <c:pt idx="116">
                  <c:v>0.55200000000000005</c:v>
                </c:pt>
                <c:pt idx="117">
                  <c:v>0.54603571428571429</c:v>
                </c:pt>
                <c:pt idx="118">
                  <c:v>0.54014285714285715</c:v>
                </c:pt>
                <c:pt idx="119">
                  <c:v>0.53432142857142861</c:v>
                </c:pt>
                <c:pt idx="120">
                  <c:v>0.52857142857142858</c:v>
                </c:pt>
                <c:pt idx="121">
                  <c:v>0.52289285714285716</c:v>
                </c:pt>
                <c:pt idx="122">
                  <c:v>0.51728571428571424</c:v>
                </c:pt>
                <c:pt idx="123">
                  <c:v>0.51174999999999993</c:v>
                </c:pt>
                <c:pt idx="124">
                  <c:v>0.50628571428571423</c:v>
                </c:pt>
                <c:pt idx="125">
                  <c:v>0.50089285714285714</c:v>
                </c:pt>
                <c:pt idx="126">
                  <c:v>0.49557142857142855</c:v>
                </c:pt>
                <c:pt idx="127">
                  <c:v>0.49032142857142857</c:v>
                </c:pt>
                <c:pt idx="128">
                  <c:v>0.4851428571428571</c:v>
                </c:pt>
                <c:pt idx="129">
                  <c:v>0.48003571428571429</c:v>
                </c:pt>
                <c:pt idx="130">
                  <c:v>0.47499999999999998</c:v>
                </c:pt>
                <c:pt idx="131">
                  <c:v>0.47003571428571428</c:v>
                </c:pt>
                <c:pt idx="132">
                  <c:v>0.46514285714285714</c:v>
                </c:pt>
                <c:pt idx="133">
                  <c:v>0.46032142857142855</c:v>
                </c:pt>
                <c:pt idx="134">
                  <c:v>0.45557142857142857</c:v>
                </c:pt>
                <c:pt idx="135">
                  <c:v>0.4508928571428571</c:v>
                </c:pt>
                <c:pt idx="136">
                  <c:v>0.44628571428571429</c:v>
                </c:pt>
                <c:pt idx="137">
                  <c:v>0.44174999999999998</c:v>
                </c:pt>
                <c:pt idx="138">
                  <c:v>0.43728571428571428</c:v>
                </c:pt>
                <c:pt idx="139">
                  <c:v>0.43289285714285713</c:v>
                </c:pt>
                <c:pt idx="140">
                  <c:v>0.42857142857142855</c:v>
                </c:pt>
                <c:pt idx="141">
                  <c:v>0.42432142857142857</c:v>
                </c:pt>
                <c:pt idx="142">
                  <c:v>0.42014285714285715</c:v>
                </c:pt>
                <c:pt idx="143">
                  <c:v>0.41603571428571429</c:v>
                </c:pt>
                <c:pt idx="144">
                  <c:v>0.41199999999999998</c:v>
                </c:pt>
                <c:pt idx="145">
                  <c:v>0.40803571428571428</c:v>
                </c:pt>
                <c:pt idx="146">
                  <c:v>0.40414285714285714</c:v>
                </c:pt>
                <c:pt idx="147">
                  <c:v>0.40032142857142855</c:v>
                </c:pt>
                <c:pt idx="148">
                  <c:v>0.39657142857142857</c:v>
                </c:pt>
                <c:pt idx="149">
                  <c:v>0.39289285714285715</c:v>
                </c:pt>
                <c:pt idx="150">
                  <c:v>0.38928571428571429</c:v>
                </c:pt>
                <c:pt idx="151">
                  <c:v>0.38574999999999998</c:v>
                </c:pt>
                <c:pt idx="152">
                  <c:v>0.38228571428571428</c:v>
                </c:pt>
                <c:pt idx="153">
                  <c:v>0.37889285714285714</c:v>
                </c:pt>
                <c:pt idx="154">
                  <c:v>0.37557142857142856</c:v>
                </c:pt>
                <c:pt idx="155">
                  <c:v>0.37232142857142858</c:v>
                </c:pt>
                <c:pt idx="156">
                  <c:v>0.36914285714285711</c:v>
                </c:pt>
                <c:pt idx="157">
                  <c:v>0.36603571428571424</c:v>
                </c:pt>
                <c:pt idx="158">
                  <c:v>0.36299999999999999</c:v>
                </c:pt>
                <c:pt idx="159">
                  <c:v>0.36003571428571429</c:v>
                </c:pt>
                <c:pt idx="160">
                  <c:v>0.35714285714285715</c:v>
                </c:pt>
                <c:pt idx="161">
                  <c:v>0.35432142857142856</c:v>
                </c:pt>
                <c:pt idx="162">
                  <c:v>0.35157142857142853</c:v>
                </c:pt>
                <c:pt idx="163">
                  <c:v>0.34889285714285712</c:v>
                </c:pt>
                <c:pt idx="164">
                  <c:v>0.34628571428571425</c:v>
                </c:pt>
                <c:pt idx="165">
                  <c:v>0.34375</c:v>
                </c:pt>
                <c:pt idx="166">
                  <c:v>0.3412857142857143</c:v>
                </c:pt>
                <c:pt idx="167">
                  <c:v>0.33889285714285711</c:v>
                </c:pt>
                <c:pt idx="168">
                  <c:v>0.33657142857142858</c:v>
                </c:pt>
                <c:pt idx="169">
                  <c:v>0.33432142857142855</c:v>
                </c:pt>
                <c:pt idx="170">
                  <c:v>0.33214285714285713</c:v>
                </c:pt>
                <c:pt idx="171">
                  <c:v>0.33003571428571427</c:v>
                </c:pt>
                <c:pt idx="172">
                  <c:v>0.32800000000000001</c:v>
                </c:pt>
                <c:pt idx="173">
                  <c:v>0.32603571428571426</c:v>
                </c:pt>
                <c:pt idx="174">
                  <c:v>0.32414285714285712</c:v>
                </c:pt>
                <c:pt idx="175">
                  <c:v>0.32232142857142854</c:v>
                </c:pt>
                <c:pt idx="176">
                  <c:v>0.32057142857142856</c:v>
                </c:pt>
                <c:pt idx="177">
                  <c:v>0.31889285714285714</c:v>
                </c:pt>
                <c:pt idx="178">
                  <c:v>0.31728571428571428</c:v>
                </c:pt>
                <c:pt idx="179">
                  <c:v>0.31574999999999998</c:v>
                </c:pt>
                <c:pt idx="180">
                  <c:v>0.31428571428571428</c:v>
                </c:pt>
                <c:pt idx="181">
                  <c:v>0.31289285714285714</c:v>
                </c:pt>
                <c:pt idx="182">
                  <c:v>0.31157142857142855</c:v>
                </c:pt>
                <c:pt idx="183">
                  <c:v>0.31032142857142858</c:v>
                </c:pt>
                <c:pt idx="184">
                  <c:v>0.30914285714285711</c:v>
                </c:pt>
                <c:pt idx="185">
                  <c:v>0.3080357142857143</c:v>
                </c:pt>
                <c:pt idx="186">
                  <c:v>0.307</c:v>
                </c:pt>
                <c:pt idx="187">
                  <c:v>0.3060357142857143</c:v>
                </c:pt>
                <c:pt idx="188">
                  <c:v>0.3051428571428571</c:v>
                </c:pt>
                <c:pt idx="189">
                  <c:v>0.30432142857142858</c:v>
                </c:pt>
                <c:pt idx="190">
                  <c:v>0.30357142857142855</c:v>
                </c:pt>
                <c:pt idx="191">
                  <c:v>0.30289285714285713</c:v>
                </c:pt>
                <c:pt idx="192">
                  <c:v>0.30228571428571427</c:v>
                </c:pt>
                <c:pt idx="193">
                  <c:v>0.30174999999999996</c:v>
                </c:pt>
                <c:pt idx="194">
                  <c:v>0.30128571428571427</c:v>
                </c:pt>
                <c:pt idx="195">
                  <c:v>0.30089285714285713</c:v>
                </c:pt>
                <c:pt idx="196">
                  <c:v>0.30057142857142854</c:v>
                </c:pt>
                <c:pt idx="197">
                  <c:v>0.30032142857142857</c:v>
                </c:pt>
                <c:pt idx="198">
                  <c:v>0.30014285714285716</c:v>
                </c:pt>
                <c:pt idx="199">
                  <c:v>0.30003571428571429</c:v>
                </c:pt>
                <c:pt idx="200">
                  <c:v>0.3</c:v>
                </c:pt>
                <c:pt idx="201">
                  <c:v>0.30003571428571429</c:v>
                </c:pt>
                <c:pt idx="202">
                  <c:v>0.30014285714285716</c:v>
                </c:pt>
                <c:pt idx="203">
                  <c:v>0.30032142857142857</c:v>
                </c:pt>
                <c:pt idx="204">
                  <c:v>0.30057142857142854</c:v>
                </c:pt>
                <c:pt idx="205">
                  <c:v>0.30089285714285713</c:v>
                </c:pt>
                <c:pt idx="206">
                  <c:v>0.30128571428571427</c:v>
                </c:pt>
                <c:pt idx="207">
                  <c:v>0.30174999999999996</c:v>
                </c:pt>
                <c:pt idx="208">
                  <c:v>0.30228571428571427</c:v>
                </c:pt>
                <c:pt idx="209">
                  <c:v>0.30289285714285713</c:v>
                </c:pt>
                <c:pt idx="210">
                  <c:v>0.30357142857142855</c:v>
                </c:pt>
                <c:pt idx="211">
                  <c:v>0.30432142857142858</c:v>
                </c:pt>
                <c:pt idx="212">
                  <c:v>0.3051428571428571</c:v>
                </c:pt>
                <c:pt idx="213">
                  <c:v>0.3060357142857143</c:v>
                </c:pt>
                <c:pt idx="214">
                  <c:v>0.307</c:v>
                </c:pt>
                <c:pt idx="215">
                  <c:v>0.3080357142857143</c:v>
                </c:pt>
                <c:pt idx="216">
                  <c:v>0.30914285714285711</c:v>
                </c:pt>
                <c:pt idx="217">
                  <c:v>0.31032142857142858</c:v>
                </c:pt>
                <c:pt idx="218">
                  <c:v>0.31157142857142855</c:v>
                </c:pt>
                <c:pt idx="219">
                  <c:v>0.31289285714285714</c:v>
                </c:pt>
                <c:pt idx="220">
                  <c:v>0.31428571428571428</c:v>
                </c:pt>
                <c:pt idx="221">
                  <c:v>0.31574999999999998</c:v>
                </c:pt>
                <c:pt idx="222">
                  <c:v>0.31728571428571428</c:v>
                </c:pt>
                <c:pt idx="223">
                  <c:v>0.31889285714285714</c:v>
                </c:pt>
                <c:pt idx="224">
                  <c:v>0.32057142857142856</c:v>
                </c:pt>
                <c:pt idx="225">
                  <c:v>0.32232142857142854</c:v>
                </c:pt>
                <c:pt idx="226">
                  <c:v>0.32414285714285712</c:v>
                </c:pt>
                <c:pt idx="227">
                  <c:v>0.32603571428571426</c:v>
                </c:pt>
                <c:pt idx="228">
                  <c:v>0.32800000000000001</c:v>
                </c:pt>
                <c:pt idx="229">
                  <c:v>0.33003571428571427</c:v>
                </c:pt>
                <c:pt idx="230">
                  <c:v>0.33214285714285713</c:v>
                </c:pt>
                <c:pt idx="231">
                  <c:v>0.33432142857142855</c:v>
                </c:pt>
                <c:pt idx="232">
                  <c:v>0.33657142857142858</c:v>
                </c:pt>
                <c:pt idx="233">
                  <c:v>0.33889285714285711</c:v>
                </c:pt>
                <c:pt idx="234">
                  <c:v>0.3412857142857143</c:v>
                </c:pt>
                <c:pt idx="235">
                  <c:v>0.34375</c:v>
                </c:pt>
                <c:pt idx="236">
                  <c:v>0.34628571428571425</c:v>
                </c:pt>
                <c:pt idx="237">
                  <c:v>0.34889285714285712</c:v>
                </c:pt>
                <c:pt idx="238">
                  <c:v>0.35157142857142853</c:v>
                </c:pt>
                <c:pt idx="239">
                  <c:v>0.35432142857142856</c:v>
                </c:pt>
                <c:pt idx="240">
                  <c:v>0.35714285714285715</c:v>
                </c:pt>
                <c:pt idx="241">
                  <c:v>0.36003571428571429</c:v>
                </c:pt>
                <c:pt idx="242">
                  <c:v>0.36299999999999999</c:v>
                </c:pt>
                <c:pt idx="243">
                  <c:v>0.36603571428571424</c:v>
                </c:pt>
                <c:pt idx="244">
                  <c:v>0.36914285714285711</c:v>
                </c:pt>
                <c:pt idx="245">
                  <c:v>0.37232142857142858</c:v>
                </c:pt>
                <c:pt idx="246">
                  <c:v>0.37557142857142856</c:v>
                </c:pt>
                <c:pt idx="247">
                  <c:v>0.37889285714285714</c:v>
                </c:pt>
                <c:pt idx="248">
                  <c:v>0.38228571428571428</c:v>
                </c:pt>
                <c:pt idx="249">
                  <c:v>0.38574999999999998</c:v>
                </c:pt>
                <c:pt idx="250">
                  <c:v>0.38928571428571429</c:v>
                </c:pt>
                <c:pt idx="251">
                  <c:v>0.39289285714285715</c:v>
                </c:pt>
                <c:pt idx="252">
                  <c:v>0.39657142857142857</c:v>
                </c:pt>
                <c:pt idx="253">
                  <c:v>0.40032142857142855</c:v>
                </c:pt>
                <c:pt idx="254">
                  <c:v>0.40414285714285714</c:v>
                </c:pt>
                <c:pt idx="255">
                  <c:v>0.40803571428571428</c:v>
                </c:pt>
                <c:pt idx="256">
                  <c:v>0.41199999999999998</c:v>
                </c:pt>
                <c:pt idx="257">
                  <c:v>0.41603571428571429</c:v>
                </c:pt>
                <c:pt idx="258">
                  <c:v>0.42014285714285715</c:v>
                </c:pt>
                <c:pt idx="259">
                  <c:v>0.42432142857142857</c:v>
                </c:pt>
                <c:pt idx="260">
                  <c:v>0.42857142857142855</c:v>
                </c:pt>
                <c:pt idx="261">
                  <c:v>0.43289285714285713</c:v>
                </c:pt>
                <c:pt idx="262">
                  <c:v>0.43728571428571428</c:v>
                </c:pt>
                <c:pt idx="263">
                  <c:v>0.44174999999999998</c:v>
                </c:pt>
                <c:pt idx="264">
                  <c:v>0.44628571428571429</c:v>
                </c:pt>
                <c:pt idx="265">
                  <c:v>0.4508928571428571</c:v>
                </c:pt>
                <c:pt idx="266">
                  <c:v>0.45557142857142857</c:v>
                </c:pt>
                <c:pt idx="267">
                  <c:v>0.46032142857142855</c:v>
                </c:pt>
                <c:pt idx="268">
                  <c:v>0.46514285714285714</c:v>
                </c:pt>
                <c:pt idx="269">
                  <c:v>0.47003571428571428</c:v>
                </c:pt>
                <c:pt idx="270">
                  <c:v>0.47499999999999998</c:v>
                </c:pt>
                <c:pt idx="271">
                  <c:v>0.48003571428571429</c:v>
                </c:pt>
                <c:pt idx="272">
                  <c:v>0.4851428571428571</c:v>
                </c:pt>
                <c:pt idx="273">
                  <c:v>0.49032142857142857</c:v>
                </c:pt>
                <c:pt idx="274">
                  <c:v>0.49557142857142855</c:v>
                </c:pt>
                <c:pt idx="275">
                  <c:v>0.50089285714285714</c:v>
                </c:pt>
                <c:pt idx="276">
                  <c:v>0.50628571428571423</c:v>
                </c:pt>
                <c:pt idx="277">
                  <c:v>0.51174999999999993</c:v>
                </c:pt>
                <c:pt idx="278">
                  <c:v>0.51728571428571424</c:v>
                </c:pt>
                <c:pt idx="279">
                  <c:v>0.52289285714285716</c:v>
                </c:pt>
                <c:pt idx="280">
                  <c:v>0.52857142857142858</c:v>
                </c:pt>
                <c:pt idx="281">
                  <c:v>0.53432142857142861</c:v>
                </c:pt>
                <c:pt idx="282">
                  <c:v>0.54014285714285715</c:v>
                </c:pt>
                <c:pt idx="283">
                  <c:v>0.54603571428571429</c:v>
                </c:pt>
                <c:pt idx="284">
                  <c:v>0.55200000000000005</c:v>
                </c:pt>
                <c:pt idx="285">
                  <c:v>0.5580357142857143</c:v>
                </c:pt>
                <c:pt idx="286">
                  <c:v>0.56414285714285706</c:v>
                </c:pt>
                <c:pt idx="287">
                  <c:v>0.57032142857142853</c:v>
                </c:pt>
                <c:pt idx="288">
                  <c:v>0.57657142857142851</c:v>
                </c:pt>
                <c:pt idx="289">
                  <c:v>0.5828928571428571</c:v>
                </c:pt>
                <c:pt idx="290">
                  <c:v>0.5892857142857143</c:v>
                </c:pt>
                <c:pt idx="291">
                  <c:v>0.59575</c:v>
                </c:pt>
                <c:pt idx="292">
                  <c:v>0.60228571428571431</c:v>
                </c:pt>
                <c:pt idx="293">
                  <c:v>0.60889285714285712</c:v>
                </c:pt>
                <c:pt idx="294">
                  <c:v>0.61557142857142855</c:v>
                </c:pt>
                <c:pt idx="295">
                  <c:v>0.62232142857142858</c:v>
                </c:pt>
                <c:pt idx="296">
                  <c:v>0.62914285714285711</c:v>
                </c:pt>
                <c:pt idx="297">
                  <c:v>0.63603571428571426</c:v>
                </c:pt>
                <c:pt idx="298">
                  <c:v>0.64300000000000002</c:v>
                </c:pt>
                <c:pt idx="299">
                  <c:v>0.65003571428571427</c:v>
                </c:pt>
                <c:pt idx="300">
                  <c:v>0.65714285714285714</c:v>
                </c:pt>
                <c:pt idx="301">
                  <c:v>0.66432142857142851</c:v>
                </c:pt>
                <c:pt idx="302">
                  <c:v>0.67157142857142849</c:v>
                </c:pt>
                <c:pt idx="303">
                  <c:v>0.67889285714285719</c:v>
                </c:pt>
                <c:pt idx="304">
                  <c:v>0.68628571428571428</c:v>
                </c:pt>
                <c:pt idx="305">
                  <c:v>0.69374999999999998</c:v>
                </c:pt>
                <c:pt idx="306">
                  <c:v>0.70128571428571429</c:v>
                </c:pt>
                <c:pt idx="307">
                  <c:v>0.70889285714285721</c:v>
                </c:pt>
                <c:pt idx="308">
                  <c:v>0.71657142857142864</c:v>
                </c:pt>
                <c:pt idx="309">
                  <c:v>0.72432142857142856</c:v>
                </c:pt>
                <c:pt idx="310">
                  <c:v>0.73214285714285721</c:v>
                </c:pt>
                <c:pt idx="311">
                  <c:v>0.74003571428571435</c:v>
                </c:pt>
                <c:pt idx="312">
                  <c:v>0.748</c:v>
                </c:pt>
                <c:pt idx="313">
                  <c:v>0.75603571428571426</c:v>
                </c:pt>
                <c:pt idx="314">
                  <c:v>0.76414285714285712</c:v>
                </c:pt>
                <c:pt idx="315">
                  <c:v>0.7723214285714286</c:v>
                </c:pt>
                <c:pt idx="316">
                  <c:v>0.78057142857142858</c:v>
                </c:pt>
                <c:pt idx="317">
                  <c:v>0.78889285714285706</c:v>
                </c:pt>
                <c:pt idx="318">
                  <c:v>0.79728571428571426</c:v>
                </c:pt>
                <c:pt idx="319">
                  <c:v>0.80574999999999997</c:v>
                </c:pt>
                <c:pt idx="320">
                  <c:v>0.81428571428571428</c:v>
                </c:pt>
                <c:pt idx="321">
                  <c:v>0.82289285714285709</c:v>
                </c:pt>
                <c:pt idx="322">
                  <c:v>0.83157142857142863</c:v>
                </c:pt>
                <c:pt idx="323">
                  <c:v>0.84032142857142866</c:v>
                </c:pt>
                <c:pt idx="324">
                  <c:v>0.8491428571428572</c:v>
                </c:pt>
                <c:pt idx="325">
                  <c:v>0.85803571428571423</c:v>
                </c:pt>
                <c:pt idx="326">
                  <c:v>0.86699999999999999</c:v>
                </c:pt>
                <c:pt idx="327">
                  <c:v>0.87603571428571425</c:v>
                </c:pt>
                <c:pt idx="328">
                  <c:v>0.88514285714285723</c:v>
                </c:pt>
                <c:pt idx="329">
                  <c:v>0.89432142857142849</c:v>
                </c:pt>
                <c:pt idx="330">
                  <c:v>0.90357142857142847</c:v>
                </c:pt>
                <c:pt idx="331">
                  <c:v>0.91289285714285717</c:v>
                </c:pt>
                <c:pt idx="332">
                  <c:v>0.92228571428571438</c:v>
                </c:pt>
                <c:pt idx="333">
                  <c:v>0.93175000000000008</c:v>
                </c:pt>
                <c:pt idx="334">
                  <c:v>0.94128571428571428</c:v>
                </c:pt>
                <c:pt idx="335">
                  <c:v>0.95089285714285721</c:v>
                </c:pt>
                <c:pt idx="336">
                  <c:v>0.96057142857142863</c:v>
                </c:pt>
                <c:pt idx="337">
                  <c:v>0.97032142857142856</c:v>
                </c:pt>
                <c:pt idx="338">
                  <c:v>0.9801428571428572</c:v>
                </c:pt>
                <c:pt idx="339">
                  <c:v>0.99003571428571435</c:v>
                </c:pt>
                <c:pt idx="340">
                  <c:v>1</c:v>
                </c:pt>
                <c:pt idx="341">
                  <c:v>1.0100357142857144</c:v>
                </c:pt>
                <c:pt idx="342">
                  <c:v>1.0201428571428572</c:v>
                </c:pt>
                <c:pt idx="343">
                  <c:v>1.0303214285714286</c:v>
                </c:pt>
                <c:pt idx="344">
                  <c:v>1.0405714285714285</c:v>
                </c:pt>
                <c:pt idx="345">
                  <c:v>1.0508928571428571</c:v>
                </c:pt>
                <c:pt idx="346">
                  <c:v>1.0612857142857142</c:v>
                </c:pt>
                <c:pt idx="347">
                  <c:v>1.07175</c:v>
                </c:pt>
                <c:pt idx="348">
                  <c:v>1.0822857142857143</c:v>
                </c:pt>
                <c:pt idx="349">
                  <c:v>1.0928928571428571</c:v>
                </c:pt>
                <c:pt idx="350">
                  <c:v>1.1035714285714286</c:v>
                </c:pt>
                <c:pt idx="351">
                  <c:v>1.1143214285714285</c:v>
                </c:pt>
                <c:pt idx="352">
                  <c:v>1.1251428571428572</c:v>
                </c:pt>
                <c:pt idx="353">
                  <c:v>1.1360357142857143</c:v>
                </c:pt>
                <c:pt idx="354">
                  <c:v>1.147</c:v>
                </c:pt>
                <c:pt idx="355">
                  <c:v>1.1580357142857143</c:v>
                </c:pt>
                <c:pt idx="356">
                  <c:v>1.169142857142857</c:v>
                </c:pt>
                <c:pt idx="357">
                  <c:v>1.1803214285714285</c:v>
                </c:pt>
                <c:pt idx="358">
                  <c:v>1.1915714285714285</c:v>
                </c:pt>
                <c:pt idx="359">
                  <c:v>1.2028928571428572</c:v>
                </c:pt>
                <c:pt idx="360">
                  <c:v>1.2142857142857142</c:v>
                </c:pt>
                <c:pt idx="361">
                  <c:v>1.2257499999999999</c:v>
                </c:pt>
                <c:pt idx="362">
                  <c:v>1.2372857142857143</c:v>
                </c:pt>
                <c:pt idx="363">
                  <c:v>1.248892857142857</c:v>
                </c:pt>
                <c:pt idx="364">
                  <c:v>1.2605714285714285</c:v>
                </c:pt>
                <c:pt idx="365">
                  <c:v>1.2723214285714286</c:v>
                </c:pt>
                <c:pt idx="366">
                  <c:v>1.284142857142857</c:v>
                </c:pt>
                <c:pt idx="367">
                  <c:v>1.2960357142857142</c:v>
                </c:pt>
                <c:pt idx="368">
                  <c:v>1.3080000000000001</c:v>
                </c:pt>
                <c:pt idx="369">
                  <c:v>1.3200357142857144</c:v>
                </c:pt>
                <c:pt idx="370">
                  <c:v>1.3321428571428573</c:v>
                </c:pt>
                <c:pt idx="371">
                  <c:v>1.3443214285714287</c:v>
                </c:pt>
                <c:pt idx="372">
                  <c:v>1.3565714285714285</c:v>
                </c:pt>
                <c:pt idx="373">
                  <c:v>1.3688928571428571</c:v>
                </c:pt>
                <c:pt idx="374">
                  <c:v>1.3812857142857142</c:v>
                </c:pt>
                <c:pt idx="375">
                  <c:v>1.39375</c:v>
                </c:pt>
                <c:pt idx="376">
                  <c:v>1.4062857142857144</c:v>
                </c:pt>
                <c:pt idx="377">
                  <c:v>1.4188928571428572</c:v>
                </c:pt>
                <c:pt idx="378">
                  <c:v>1.4315714285714287</c:v>
                </c:pt>
                <c:pt idx="379">
                  <c:v>1.4443214285714285</c:v>
                </c:pt>
                <c:pt idx="380">
                  <c:v>1.4571428571428573</c:v>
                </c:pt>
                <c:pt idx="381">
                  <c:v>1.4700357142857143</c:v>
                </c:pt>
                <c:pt idx="382">
                  <c:v>1.4830000000000001</c:v>
                </c:pt>
                <c:pt idx="383">
                  <c:v>1.4960357142857144</c:v>
                </c:pt>
                <c:pt idx="384">
                  <c:v>1.5091428571428571</c:v>
                </c:pt>
                <c:pt idx="385">
                  <c:v>1.5223214285714286</c:v>
                </c:pt>
                <c:pt idx="386">
                  <c:v>1.5355714285714286</c:v>
                </c:pt>
                <c:pt idx="387">
                  <c:v>1.5488928571428573</c:v>
                </c:pt>
                <c:pt idx="388">
                  <c:v>1.5622857142857143</c:v>
                </c:pt>
                <c:pt idx="389">
                  <c:v>1.57575</c:v>
                </c:pt>
                <c:pt idx="390">
                  <c:v>1.5892857142857144</c:v>
                </c:pt>
                <c:pt idx="391">
                  <c:v>1.6028928571428571</c:v>
                </c:pt>
                <c:pt idx="392">
                  <c:v>1.6165714285714285</c:v>
                </c:pt>
                <c:pt idx="393">
                  <c:v>1.6303214285714287</c:v>
                </c:pt>
                <c:pt idx="394">
                  <c:v>1.6441428571428571</c:v>
                </c:pt>
                <c:pt idx="395">
                  <c:v>1.6580357142857143</c:v>
                </c:pt>
                <c:pt idx="396">
                  <c:v>1.6720000000000002</c:v>
                </c:pt>
                <c:pt idx="397">
                  <c:v>1.6860357142857143</c:v>
                </c:pt>
                <c:pt idx="398">
                  <c:v>1.7001428571428572</c:v>
                </c:pt>
                <c:pt idx="399">
                  <c:v>1.7143214285714286</c:v>
                </c:pt>
                <c:pt idx="400">
                  <c:v>1.7285714285714286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1C4-4B90-97ED-49FD61235A76}"/>
            </c:ext>
          </c:extLst>
        </c:ser>
        <c:ser>
          <c:idx val="0"/>
          <c:order val="1"/>
          <c:tx>
            <c:strRef>
              <c:f>Sheet1!$G$1</c:f>
              <c:strCache>
                <c:ptCount val="1"/>
                <c:pt idx="0">
                  <c:v>T(t)*S(t)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Sheet1!$C$2:$C$402</c:f>
              <c:numCache>
                <c:formatCode>0.0_ </c:formatCode>
                <c:ptCount val="401"/>
                <c:pt idx="0">
                  <c:v>-100</c:v>
                </c:pt>
                <c:pt idx="1">
                  <c:v>-99.5</c:v>
                </c:pt>
                <c:pt idx="2">
                  <c:v>-99</c:v>
                </c:pt>
                <c:pt idx="3">
                  <c:v>-98.5</c:v>
                </c:pt>
                <c:pt idx="4">
                  <c:v>-98</c:v>
                </c:pt>
                <c:pt idx="5">
                  <c:v>-97.5</c:v>
                </c:pt>
                <c:pt idx="6">
                  <c:v>-97</c:v>
                </c:pt>
                <c:pt idx="7">
                  <c:v>-96.5</c:v>
                </c:pt>
                <c:pt idx="8">
                  <c:v>-96</c:v>
                </c:pt>
                <c:pt idx="9">
                  <c:v>-95.5</c:v>
                </c:pt>
                <c:pt idx="10">
                  <c:v>-95</c:v>
                </c:pt>
                <c:pt idx="11">
                  <c:v>-94.5</c:v>
                </c:pt>
                <c:pt idx="12">
                  <c:v>-94</c:v>
                </c:pt>
                <c:pt idx="13">
                  <c:v>-93.5</c:v>
                </c:pt>
                <c:pt idx="14">
                  <c:v>-93</c:v>
                </c:pt>
                <c:pt idx="15">
                  <c:v>-92.5</c:v>
                </c:pt>
                <c:pt idx="16">
                  <c:v>-92</c:v>
                </c:pt>
                <c:pt idx="17">
                  <c:v>-91.5</c:v>
                </c:pt>
                <c:pt idx="18">
                  <c:v>-91</c:v>
                </c:pt>
                <c:pt idx="19">
                  <c:v>-90.5</c:v>
                </c:pt>
                <c:pt idx="20">
                  <c:v>-90</c:v>
                </c:pt>
                <c:pt idx="21">
                  <c:v>-89.5</c:v>
                </c:pt>
                <c:pt idx="22">
                  <c:v>-89</c:v>
                </c:pt>
                <c:pt idx="23">
                  <c:v>-88.5</c:v>
                </c:pt>
                <c:pt idx="24">
                  <c:v>-88</c:v>
                </c:pt>
                <c:pt idx="25">
                  <c:v>-87.5</c:v>
                </c:pt>
                <c:pt idx="26">
                  <c:v>-87</c:v>
                </c:pt>
                <c:pt idx="27">
                  <c:v>-86.5</c:v>
                </c:pt>
                <c:pt idx="28">
                  <c:v>-86</c:v>
                </c:pt>
                <c:pt idx="29">
                  <c:v>-85.5</c:v>
                </c:pt>
                <c:pt idx="30">
                  <c:v>-85</c:v>
                </c:pt>
                <c:pt idx="31">
                  <c:v>-84.5</c:v>
                </c:pt>
                <c:pt idx="32">
                  <c:v>-84</c:v>
                </c:pt>
                <c:pt idx="33">
                  <c:v>-83.5</c:v>
                </c:pt>
                <c:pt idx="34">
                  <c:v>-83</c:v>
                </c:pt>
                <c:pt idx="35">
                  <c:v>-82.5</c:v>
                </c:pt>
                <c:pt idx="36">
                  <c:v>-82</c:v>
                </c:pt>
                <c:pt idx="37">
                  <c:v>-81.5</c:v>
                </c:pt>
                <c:pt idx="38">
                  <c:v>-81</c:v>
                </c:pt>
                <c:pt idx="39">
                  <c:v>-80.5</c:v>
                </c:pt>
                <c:pt idx="40">
                  <c:v>-80</c:v>
                </c:pt>
                <c:pt idx="41">
                  <c:v>-79.5</c:v>
                </c:pt>
                <c:pt idx="42">
                  <c:v>-79</c:v>
                </c:pt>
                <c:pt idx="43">
                  <c:v>-78.5</c:v>
                </c:pt>
                <c:pt idx="44">
                  <c:v>-78</c:v>
                </c:pt>
                <c:pt idx="45">
                  <c:v>-77.5</c:v>
                </c:pt>
                <c:pt idx="46">
                  <c:v>-77</c:v>
                </c:pt>
                <c:pt idx="47">
                  <c:v>-76.5</c:v>
                </c:pt>
                <c:pt idx="48">
                  <c:v>-76</c:v>
                </c:pt>
                <c:pt idx="49">
                  <c:v>-75.5</c:v>
                </c:pt>
                <c:pt idx="50">
                  <c:v>-75</c:v>
                </c:pt>
                <c:pt idx="51">
                  <c:v>-74.5</c:v>
                </c:pt>
                <c:pt idx="52">
                  <c:v>-74</c:v>
                </c:pt>
                <c:pt idx="53">
                  <c:v>-73.5</c:v>
                </c:pt>
                <c:pt idx="54">
                  <c:v>-73</c:v>
                </c:pt>
                <c:pt idx="55">
                  <c:v>-72.5</c:v>
                </c:pt>
                <c:pt idx="56">
                  <c:v>-72</c:v>
                </c:pt>
                <c:pt idx="57">
                  <c:v>-71.5</c:v>
                </c:pt>
                <c:pt idx="58">
                  <c:v>-71</c:v>
                </c:pt>
                <c:pt idx="59">
                  <c:v>-70.5</c:v>
                </c:pt>
                <c:pt idx="60">
                  <c:v>-70</c:v>
                </c:pt>
                <c:pt idx="61">
                  <c:v>-69.5</c:v>
                </c:pt>
                <c:pt idx="62">
                  <c:v>-69</c:v>
                </c:pt>
                <c:pt idx="63">
                  <c:v>-68.5</c:v>
                </c:pt>
                <c:pt idx="64">
                  <c:v>-68</c:v>
                </c:pt>
                <c:pt idx="65">
                  <c:v>-67.5</c:v>
                </c:pt>
                <c:pt idx="66">
                  <c:v>-67</c:v>
                </c:pt>
                <c:pt idx="67">
                  <c:v>-66.5</c:v>
                </c:pt>
                <c:pt idx="68">
                  <c:v>-66</c:v>
                </c:pt>
                <c:pt idx="69">
                  <c:v>-65.5</c:v>
                </c:pt>
                <c:pt idx="70">
                  <c:v>-65</c:v>
                </c:pt>
                <c:pt idx="71">
                  <c:v>-64.5</c:v>
                </c:pt>
                <c:pt idx="72">
                  <c:v>-64</c:v>
                </c:pt>
                <c:pt idx="73">
                  <c:v>-63.5</c:v>
                </c:pt>
                <c:pt idx="74">
                  <c:v>-63</c:v>
                </c:pt>
                <c:pt idx="75">
                  <c:v>-62.5</c:v>
                </c:pt>
                <c:pt idx="76">
                  <c:v>-62</c:v>
                </c:pt>
                <c:pt idx="77">
                  <c:v>-61.5</c:v>
                </c:pt>
                <c:pt idx="78">
                  <c:v>-61</c:v>
                </c:pt>
                <c:pt idx="79">
                  <c:v>-60.5</c:v>
                </c:pt>
                <c:pt idx="80">
                  <c:v>-60</c:v>
                </c:pt>
                <c:pt idx="81">
                  <c:v>-59.5</c:v>
                </c:pt>
                <c:pt idx="82">
                  <c:v>-59</c:v>
                </c:pt>
                <c:pt idx="83">
                  <c:v>-58.5</c:v>
                </c:pt>
                <c:pt idx="84">
                  <c:v>-58</c:v>
                </c:pt>
                <c:pt idx="85">
                  <c:v>-57.5</c:v>
                </c:pt>
                <c:pt idx="86">
                  <c:v>-57</c:v>
                </c:pt>
                <c:pt idx="87">
                  <c:v>-56.5</c:v>
                </c:pt>
                <c:pt idx="88">
                  <c:v>-56</c:v>
                </c:pt>
                <c:pt idx="89">
                  <c:v>-55.5</c:v>
                </c:pt>
                <c:pt idx="90">
                  <c:v>-55</c:v>
                </c:pt>
                <c:pt idx="91">
                  <c:v>-54.5</c:v>
                </c:pt>
                <c:pt idx="92">
                  <c:v>-54</c:v>
                </c:pt>
                <c:pt idx="93">
                  <c:v>-53.5</c:v>
                </c:pt>
                <c:pt idx="94">
                  <c:v>-53</c:v>
                </c:pt>
                <c:pt idx="95">
                  <c:v>-52.5</c:v>
                </c:pt>
                <c:pt idx="96">
                  <c:v>-52</c:v>
                </c:pt>
                <c:pt idx="97">
                  <c:v>-51.5</c:v>
                </c:pt>
                <c:pt idx="98">
                  <c:v>-51</c:v>
                </c:pt>
                <c:pt idx="99">
                  <c:v>-50.5</c:v>
                </c:pt>
                <c:pt idx="100">
                  <c:v>-50</c:v>
                </c:pt>
                <c:pt idx="101">
                  <c:v>-49.5</c:v>
                </c:pt>
                <c:pt idx="102">
                  <c:v>-49</c:v>
                </c:pt>
                <c:pt idx="103">
                  <c:v>-48.5</c:v>
                </c:pt>
                <c:pt idx="104">
                  <c:v>-48</c:v>
                </c:pt>
                <c:pt idx="105">
                  <c:v>-47.5</c:v>
                </c:pt>
                <c:pt idx="106">
                  <c:v>-47</c:v>
                </c:pt>
                <c:pt idx="107">
                  <c:v>-46.5</c:v>
                </c:pt>
                <c:pt idx="108">
                  <c:v>-46</c:v>
                </c:pt>
                <c:pt idx="109">
                  <c:v>-45.5</c:v>
                </c:pt>
                <c:pt idx="110">
                  <c:v>-45</c:v>
                </c:pt>
                <c:pt idx="111">
                  <c:v>-44.5</c:v>
                </c:pt>
                <c:pt idx="112">
                  <c:v>-44</c:v>
                </c:pt>
                <c:pt idx="113">
                  <c:v>-43.5</c:v>
                </c:pt>
                <c:pt idx="114">
                  <c:v>-43</c:v>
                </c:pt>
                <c:pt idx="115">
                  <c:v>-42.5</c:v>
                </c:pt>
                <c:pt idx="116">
                  <c:v>-42</c:v>
                </c:pt>
                <c:pt idx="117">
                  <c:v>-41.5</c:v>
                </c:pt>
                <c:pt idx="118">
                  <c:v>-41</c:v>
                </c:pt>
                <c:pt idx="119">
                  <c:v>-40.5</c:v>
                </c:pt>
                <c:pt idx="120">
                  <c:v>-40</c:v>
                </c:pt>
                <c:pt idx="121">
                  <c:v>-39.5</c:v>
                </c:pt>
                <c:pt idx="122">
                  <c:v>-39</c:v>
                </c:pt>
                <c:pt idx="123">
                  <c:v>-38.5</c:v>
                </c:pt>
                <c:pt idx="124">
                  <c:v>-38</c:v>
                </c:pt>
                <c:pt idx="125">
                  <c:v>-37.5</c:v>
                </c:pt>
                <c:pt idx="126">
                  <c:v>-37</c:v>
                </c:pt>
                <c:pt idx="127">
                  <c:v>-36.5</c:v>
                </c:pt>
                <c:pt idx="128">
                  <c:v>-36</c:v>
                </c:pt>
                <c:pt idx="129">
                  <c:v>-35.5</c:v>
                </c:pt>
                <c:pt idx="130">
                  <c:v>-35</c:v>
                </c:pt>
                <c:pt idx="131">
                  <c:v>-34.5</c:v>
                </c:pt>
                <c:pt idx="132">
                  <c:v>-34</c:v>
                </c:pt>
                <c:pt idx="133">
                  <c:v>-33.5</c:v>
                </c:pt>
                <c:pt idx="134">
                  <c:v>-33</c:v>
                </c:pt>
                <c:pt idx="135">
                  <c:v>-32.5</c:v>
                </c:pt>
                <c:pt idx="136">
                  <c:v>-32</c:v>
                </c:pt>
                <c:pt idx="137">
                  <c:v>-31.5</c:v>
                </c:pt>
                <c:pt idx="138">
                  <c:v>-31</c:v>
                </c:pt>
                <c:pt idx="139">
                  <c:v>-30.5</c:v>
                </c:pt>
                <c:pt idx="140">
                  <c:v>-30</c:v>
                </c:pt>
                <c:pt idx="141">
                  <c:v>-29.5</c:v>
                </c:pt>
                <c:pt idx="142">
                  <c:v>-29</c:v>
                </c:pt>
                <c:pt idx="143">
                  <c:v>-28.5</c:v>
                </c:pt>
                <c:pt idx="144">
                  <c:v>-28</c:v>
                </c:pt>
                <c:pt idx="145">
                  <c:v>-27.5</c:v>
                </c:pt>
                <c:pt idx="146">
                  <c:v>-27</c:v>
                </c:pt>
                <c:pt idx="147">
                  <c:v>-26.5</c:v>
                </c:pt>
                <c:pt idx="148">
                  <c:v>-26</c:v>
                </c:pt>
                <c:pt idx="149">
                  <c:v>-25.5</c:v>
                </c:pt>
                <c:pt idx="150">
                  <c:v>-25</c:v>
                </c:pt>
                <c:pt idx="151">
                  <c:v>-24.5</c:v>
                </c:pt>
                <c:pt idx="152">
                  <c:v>-24</c:v>
                </c:pt>
                <c:pt idx="153">
                  <c:v>-23.5</c:v>
                </c:pt>
                <c:pt idx="154">
                  <c:v>-23</c:v>
                </c:pt>
                <c:pt idx="155">
                  <c:v>-22.5</c:v>
                </c:pt>
                <c:pt idx="156">
                  <c:v>-22</c:v>
                </c:pt>
                <c:pt idx="157">
                  <c:v>-21.5</c:v>
                </c:pt>
                <c:pt idx="158">
                  <c:v>-21</c:v>
                </c:pt>
                <c:pt idx="159">
                  <c:v>-20.5</c:v>
                </c:pt>
                <c:pt idx="160">
                  <c:v>-20</c:v>
                </c:pt>
                <c:pt idx="161">
                  <c:v>-19.5</c:v>
                </c:pt>
                <c:pt idx="162">
                  <c:v>-19</c:v>
                </c:pt>
                <c:pt idx="163">
                  <c:v>-18.5</c:v>
                </c:pt>
                <c:pt idx="164">
                  <c:v>-18</c:v>
                </c:pt>
                <c:pt idx="165">
                  <c:v>-17.5</c:v>
                </c:pt>
                <c:pt idx="166">
                  <c:v>-17</c:v>
                </c:pt>
                <c:pt idx="167">
                  <c:v>-16.5</c:v>
                </c:pt>
                <c:pt idx="168">
                  <c:v>-16</c:v>
                </c:pt>
                <c:pt idx="169">
                  <c:v>-15.5</c:v>
                </c:pt>
                <c:pt idx="170">
                  <c:v>-15</c:v>
                </c:pt>
                <c:pt idx="171">
                  <c:v>-14.5</c:v>
                </c:pt>
                <c:pt idx="172">
                  <c:v>-14</c:v>
                </c:pt>
                <c:pt idx="173">
                  <c:v>-13.5</c:v>
                </c:pt>
                <c:pt idx="174">
                  <c:v>-13</c:v>
                </c:pt>
                <c:pt idx="175">
                  <c:v>-12.5</c:v>
                </c:pt>
                <c:pt idx="176">
                  <c:v>-12</c:v>
                </c:pt>
                <c:pt idx="177">
                  <c:v>-11.5</c:v>
                </c:pt>
                <c:pt idx="178">
                  <c:v>-11</c:v>
                </c:pt>
                <c:pt idx="179">
                  <c:v>-10.5</c:v>
                </c:pt>
                <c:pt idx="180">
                  <c:v>-10</c:v>
                </c:pt>
                <c:pt idx="181">
                  <c:v>-9.5</c:v>
                </c:pt>
                <c:pt idx="182">
                  <c:v>-9</c:v>
                </c:pt>
                <c:pt idx="183">
                  <c:v>-8.5</c:v>
                </c:pt>
                <c:pt idx="184">
                  <c:v>-8</c:v>
                </c:pt>
                <c:pt idx="185">
                  <c:v>-7.5</c:v>
                </c:pt>
                <c:pt idx="186">
                  <c:v>-7</c:v>
                </c:pt>
                <c:pt idx="187">
                  <c:v>-6.5</c:v>
                </c:pt>
                <c:pt idx="188">
                  <c:v>-6</c:v>
                </c:pt>
                <c:pt idx="189">
                  <c:v>-5.5</c:v>
                </c:pt>
                <c:pt idx="190">
                  <c:v>-5</c:v>
                </c:pt>
                <c:pt idx="191">
                  <c:v>-4.5</c:v>
                </c:pt>
                <c:pt idx="192">
                  <c:v>-4</c:v>
                </c:pt>
                <c:pt idx="193">
                  <c:v>-3.5</c:v>
                </c:pt>
                <c:pt idx="194">
                  <c:v>-3</c:v>
                </c:pt>
                <c:pt idx="195">
                  <c:v>-2.5</c:v>
                </c:pt>
                <c:pt idx="196">
                  <c:v>-2</c:v>
                </c:pt>
                <c:pt idx="197">
                  <c:v>-1.5</c:v>
                </c:pt>
                <c:pt idx="198">
                  <c:v>-1</c:v>
                </c:pt>
                <c:pt idx="199">
                  <c:v>-0.5</c:v>
                </c:pt>
                <c:pt idx="200">
                  <c:v>0</c:v>
                </c:pt>
                <c:pt idx="201">
                  <c:v>0.5</c:v>
                </c:pt>
                <c:pt idx="202">
                  <c:v>1</c:v>
                </c:pt>
                <c:pt idx="203">
                  <c:v>1.5</c:v>
                </c:pt>
                <c:pt idx="204">
                  <c:v>2</c:v>
                </c:pt>
                <c:pt idx="205">
                  <c:v>2.5</c:v>
                </c:pt>
                <c:pt idx="206">
                  <c:v>3</c:v>
                </c:pt>
                <c:pt idx="207">
                  <c:v>3.5</c:v>
                </c:pt>
                <c:pt idx="208">
                  <c:v>4</c:v>
                </c:pt>
                <c:pt idx="209">
                  <c:v>4.5</c:v>
                </c:pt>
                <c:pt idx="210">
                  <c:v>5</c:v>
                </c:pt>
                <c:pt idx="211">
                  <c:v>5.5</c:v>
                </c:pt>
                <c:pt idx="212">
                  <c:v>6</c:v>
                </c:pt>
                <c:pt idx="213">
                  <c:v>6.5</c:v>
                </c:pt>
                <c:pt idx="214">
                  <c:v>7</c:v>
                </c:pt>
                <c:pt idx="215">
                  <c:v>7.5</c:v>
                </c:pt>
                <c:pt idx="216">
                  <c:v>8</c:v>
                </c:pt>
                <c:pt idx="217">
                  <c:v>8.5</c:v>
                </c:pt>
                <c:pt idx="218">
                  <c:v>9</c:v>
                </c:pt>
                <c:pt idx="219">
                  <c:v>9.5</c:v>
                </c:pt>
                <c:pt idx="220">
                  <c:v>10</c:v>
                </c:pt>
                <c:pt idx="221">
                  <c:v>10.5</c:v>
                </c:pt>
                <c:pt idx="222">
                  <c:v>11</c:v>
                </c:pt>
                <c:pt idx="223">
                  <c:v>11.5</c:v>
                </c:pt>
                <c:pt idx="224">
                  <c:v>12</c:v>
                </c:pt>
                <c:pt idx="225">
                  <c:v>12.5</c:v>
                </c:pt>
                <c:pt idx="226">
                  <c:v>13</c:v>
                </c:pt>
                <c:pt idx="227">
                  <c:v>13.5</c:v>
                </c:pt>
                <c:pt idx="228">
                  <c:v>14</c:v>
                </c:pt>
                <c:pt idx="229">
                  <c:v>14.5</c:v>
                </c:pt>
                <c:pt idx="230">
                  <c:v>15</c:v>
                </c:pt>
                <c:pt idx="231">
                  <c:v>15.5</c:v>
                </c:pt>
                <c:pt idx="232">
                  <c:v>16</c:v>
                </c:pt>
                <c:pt idx="233">
                  <c:v>16.5</c:v>
                </c:pt>
                <c:pt idx="234">
                  <c:v>17</c:v>
                </c:pt>
                <c:pt idx="235">
                  <c:v>17.5</c:v>
                </c:pt>
                <c:pt idx="236">
                  <c:v>18</c:v>
                </c:pt>
                <c:pt idx="237">
                  <c:v>18.5</c:v>
                </c:pt>
                <c:pt idx="238">
                  <c:v>19</c:v>
                </c:pt>
                <c:pt idx="239">
                  <c:v>19.5</c:v>
                </c:pt>
                <c:pt idx="240">
                  <c:v>20</c:v>
                </c:pt>
                <c:pt idx="241">
                  <c:v>20.5</c:v>
                </c:pt>
                <c:pt idx="242">
                  <c:v>21</c:v>
                </c:pt>
                <c:pt idx="243">
                  <c:v>21.5</c:v>
                </c:pt>
                <c:pt idx="244">
                  <c:v>22</c:v>
                </c:pt>
                <c:pt idx="245">
                  <c:v>22.5</c:v>
                </c:pt>
                <c:pt idx="246">
                  <c:v>23</c:v>
                </c:pt>
                <c:pt idx="247">
                  <c:v>23.5</c:v>
                </c:pt>
                <c:pt idx="248">
                  <c:v>24</c:v>
                </c:pt>
                <c:pt idx="249">
                  <c:v>24.5</c:v>
                </c:pt>
                <c:pt idx="250">
                  <c:v>25</c:v>
                </c:pt>
                <c:pt idx="251">
                  <c:v>25.5</c:v>
                </c:pt>
                <c:pt idx="252">
                  <c:v>26</c:v>
                </c:pt>
                <c:pt idx="253">
                  <c:v>26.5</c:v>
                </c:pt>
                <c:pt idx="254">
                  <c:v>27</c:v>
                </c:pt>
                <c:pt idx="255">
                  <c:v>27.5</c:v>
                </c:pt>
                <c:pt idx="256">
                  <c:v>28</c:v>
                </c:pt>
                <c:pt idx="257">
                  <c:v>28.5</c:v>
                </c:pt>
                <c:pt idx="258">
                  <c:v>29</c:v>
                </c:pt>
                <c:pt idx="259">
                  <c:v>29.5</c:v>
                </c:pt>
                <c:pt idx="260">
                  <c:v>30</c:v>
                </c:pt>
                <c:pt idx="261">
                  <c:v>30.5</c:v>
                </c:pt>
                <c:pt idx="262">
                  <c:v>31</c:v>
                </c:pt>
                <c:pt idx="263">
                  <c:v>31.5</c:v>
                </c:pt>
                <c:pt idx="264">
                  <c:v>32</c:v>
                </c:pt>
                <c:pt idx="265">
                  <c:v>32.5</c:v>
                </c:pt>
                <c:pt idx="266">
                  <c:v>33</c:v>
                </c:pt>
                <c:pt idx="267">
                  <c:v>33.5</c:v>
                </c:pt>
                <c:pt idx="268">
                  <c:v>34</c:v>
                </c:pt>
                <c:pt idx="269">
                  <c:v>34.5</c:v>
                </c:pt>
                <c:pt idx="270">
                  <c:v>35</c:v>
                </c:pt>
                <c:pt idx="271">
                  <c:v>35.5</c:v>
                </c:pt>
                <c:pt idx="272">
                  <c:v>36</c:v>
                </c:pt>
                <c:pt idx="273">
                  <c:v>36.5</c:v>
                </c:pt>
                <c:pt idx="274">
                  <c:v>37</c:v>
                </c:pt>
                <c:pt idx="275">
                  <c:v>37.5</c:v>
                </c:pt>
                <c:pt idx="276">
                  <c:v>38</c:v>
                </c:pt>
                <c:pt idx="277">
                  <c:v>38.5</c:v>
                </c:pt>
                <c:pt idx="278">
                  <c:v>39</c:v>
                </c:pt>
                <c:pt idx="279">
                  <c:v>39.5</c:v>
                </c:pt>
                <c:pt idx="280">
                  <c:v>40</c:v>
                </c:pt>
                <c:pt idx="281">
                  <c:v>40.5</c:v>
                </c:pt>
                <c:pt idx="282">
                  <c:v>41</c:v>
                </c:pt>
                <c:pt idx="283">
                  <c:v>41.5</c:v>
                </c:pt>
                <c:pt idx="284">
                  <c:v>42</c:v>
                </c:pt>
                <c:pt idx="285">
                  <c:v>42.5</c:v>
                </c:pt>
                <c:pt idx="286">
                  <c:v>43</c:v>
                </c:pt>
                <c:pt idx="287">
                  <c:v>43.5</c:v>
                </c:pt>
                <c:pt idx="288">
                  <c:v>44</c:v>
                </c:pt>
                <c:pt idx="289">
                  <c:v>44.5</c:v>
                </c:pt>
                <c:pt idx="290">
                  <c:v>45</c:v>
                </c:pt>
                <c:pt idx="291">
                  <c:v>45.5</c:v>
                </c:pt>
                <c:pt idx="292">
                  <c:v>46</c:v>
                </c:pt>
                <c:pt idx="293">
                  <c:v>46.5</c:v>
                </c:pt>
                <c:pt idx="294">
                  <c:v>47</c:v>
                </c:pt>
                <c:pt idx="295">
                  <c:v>47.5</c:v>
                </c:pt>
                <c:pt idx="296">
                  <c:v>48</c:v>
                </c:pt>
                <c:pt idx="297">
                  <c:v>48.5</c:v>
                </c:pt>
                <c:pt idx="298">
                  <c:v>49</c:v>
                </c:pt>
                <c:pt idx="299">
                  <c:v>49.5</c:v>
                </c:pt>
                <c:pt idx="300">
                  <c:v>50</c:v>
                </c:pt>
                <c:pt idx="301">
                  <c:v>50.5</c:v>
                </c:pt>
                <c:pt idx="302">
                  <c:v>51</c:v>
                </c:pt>
                <c:pt idx="303">
                  <c:v>51.5</c:v>
                </c:pt>
                <c:pt idx="304">
                  <c:v>52</c:v>
                </c:pt>
                <c:pt idx="305">
                  <c:v>52.5</c:v>
                </c:pt>
                <c:pt idx="306">
                  <c:v>53</c:v>
                </c:pt>
                <c:pt idx="307">
                  <c:v>53.5</c:v>
                </c:pt>
                <c:pt idx="308">
                  <c:v>54</c:v>
                </c:pt>
                <c:pt idx="309">
                  <c:v>54.5</c:v>
                </c:pt>
                <c:pt idx="310">
                  <c:v>55</c:v>
                </c:pt>
                <c:pt idx="311">
                  <c:v>55.5</c:v>
                </c:pt>
                <c:pt idx="312">
                  <c:v>56</c:v>
                </c:pt>
                <c:pt idx="313">
                  <c:v>56.5</c:v>
                </c:pt>
                <c:pt idx="314">
                  <c:v>57</c:v>
                </c:pt>
                <c:pt idx="315">
                  <c:v>57.5</c:v>
                </c:pt>
                <c:pt idx="316">
                  <c:v>58</c:v>
                </c:pt>
                <c:pt idx="317">
                  <c:v>58.5</c:v>
                </c:pt>
                <c:pt idx="318">
                  <c:v>59</c:v>
                </c:pt>
                <c:pt idx="319">
                  <c:v>59.5</c:v>
                </c:pt>
                <c:pt idx="320">
                  <c:v>60</c:v>
                </c:pt>
                <c:pt idx="321">
                  <c:v>60.5</c:v>
                </c:pt>
                <c:pt idx="322">
                  <c:v>61</c:v>
                </c:pt>
                <c:pt idx="323">
                  <c:v>61.5</c:v>
                </c:pt>
                <c:pt idx="324">
                  <c:v>62</c:v>
                </c:pt>
                <c:pt idx="325">
                  <c:v>62.5</c:v>
                </c:pt>
                <c:pt idx="326">
                  <c:v>63</c:v>
                </c:pt>
                <c:pt idx="327">
                  <c:v>63.5</c:v>
                </c:pt>
                <c:pt idx="328">
                  <c:v>64</c:v>
                </c:pt>
                <c:pt idx="329">
                  <c:v>64.5</c:v>
                </c:pt>
                <c:pt idx="330">
                  <c:v>65</c:v>
                </c:pt>
                <c:pt idx="331">
                  <c:v>65.5</c:v>
                </c:pt>
                <c:pt idx="332">
                  <c:v>66</c:v>
                </c:pt>
                <c:pt idx="333">
                  <c:v>66.5</c:v>
                </c:pt>
                <c:pt idx="334">
                  <c:v>67</c:v>
                </c:pt>
                <c:pt idx="335">
                  <c:v>67.5</c:v>
                </c:pt>
                <c:pt idx="336">
                  <c:v>68</c:v>
                </c:pt>
                <c:pt idx="337">
                  <c:v>68.5</c:v>
                </c:pt>
                <c:pt idx="338">
                  <c:v>69</c:v>
                </c:pt>
                <c:pt idx="339">
                  <c:v>69.5</c:v>
                </c:pt>
                <c:pt idx="340">
                  <c:v>70</c:v>
                </c:pt>
                <c:pt idx="341">
                  <c:v>70.5</c:v>
                </c:pt>
                <c:pt idx="342">
                  <c:v>71</c:v>
                </c:pt>
                <c:pt idx="343">
                  <c:v>71.5</c:v>
                </c:pt>
                <c:pt idx="344">
                  <c:v>72</c:v>
                </c:pt>
                <c:pt idx="345">
                  <c:v>72.5</c:v>
                </c:pt>
                <c:pt idx="346">
                  <c:v>73</c:v>
                </c:pt>
                <c:pt idx="347">
                  <c:v>73.5</c:v>
                </c:pt>
                <c:pt idx="348">
                  <c:v>74</c:v>
                </c:pt>
                <c:pt idx="349">
                  <c:v>74.5</c:v>
                </c:pt>
                <c:pt idx="350">
                  <c:v>75</c:v>
                </c:pt>
                <c:pt idx="351">
                  <c:v>75.5</c:v>
                </c:pt>
                <c:pt idx="352">
                  <c:v>76</c:v>
                </c:pt>
                <c:pt idx="353">
                  <c:v>76.5</c:v>
                </c:pt>
                <c:pt idx="354">
                  <c:v>77</c:v>
                </c:pt>
                <c:pt idx="355">
                  <c:v>77.5</c:v>
                </c:pt>
                <c:pt idx="356">
                  <c:v>78</c:v>
                </c:pt>
                <c:pt idx="357">
                  <c:v>78.5</c:v>
                </c:pt>
                <c:pt idx="358">
                  <c:v>79</c:v>
                </c:pt>
                <c:pt idx="359">
                  <c:v>79.5</c:v>
                </c:pt>
                <c:pt idx="360">
                  <c:v>80</c:v>
                </c:pt>
                <c:pt idx="361">
                  <c:v>80.5</c:v>
                </c:pt>
                <c:pt idx="362">
                  <c:v>81</c:v>
                </c:pt>
                <c:pt idx="363">
                  <c:v>81.5</c:v>
                </c:pt>
                <c:pt idx="364">
                  <c:v>82</c:v>
                </c:pt>
                <c:pt idx="365">
                  <c:v>82.5</c:v>
                </c:pt>
                <c:pt idx="366">
                  <c:v>83</c:v>
                </c:pt>
                <c:pt idx="367">
                  <c:v>83.5</c:v>
                </c:pt>
                <c:pt idx="368">
                  <c:v>84</c:v>
                </c:pt>
                <c:pt idx="369">
                  <c:v>84.5</c:v>
                </c:pt>
                <c:pt idx="370">
                  <c:v>85</c:v>
                </c:pt>
                <c:pt idx="371">
                  <c:v>85.5</c:v>
                </c:pt>
                <c:pt idx="372">
                  <c:v>86</c:v>
                </c:pt>
                <c:pt idx="373">
                  <c:v>86.5</c:v>
                </c:pt>
                <c:pt idx="374">
                  <c:v>87</c:v>
                </c:pt>
                <c:pt idx="375">
                  <c:v>87.5</c:v>
                </c:pt>
                <c:pt idx="376">
                  <c:v>88</c:v>
                </c:pt>
                <c:pt idx="377">
                  <c:v>88.5</c:v>
                </c:pt>
                <c:pt idx="378">
                  <c:v>89</c:v>
                </c:pt>
                <c:pt idx="379">
                  <c:v>89.5</c:v>
                </c:pt>
                <c:pt idx="380">
                  <c:v>90</c:v>
                </c:pt>
                <c:pt idx="381">
                  <c:v>90.5</c:v>
                </c:pt>
                <c:pt idx="382">
                  <c:v>91</c:v>
                </c:pt>
                <c:pt idx="383">
                  <c:v>91.5</c:v>
                </c:pt>
                <c:pt idx="384">
                  <c:v>92</c:v>
                </c:pt>
                <c:pt idx="385">
                  <c:v>92.5</c:v>
                </c:pt>
                <c:pt idx="386">
                  <c:v>93</c:v>
                </c:pt>
                <c:pt idx="387">
                  <c:v>93.5</c:v>
                </c:pt>
                <c:pt idx="388">
                  <c:v>94</c:v>
                </c:pt>
                <c:pt idx="389">
                  <c:v>94.5</c:v>
                </c:pt>
                <c:pt idx="390">
                  <c:v>95</c:v>
                </c:pt>
                <c:pt idx="391">
                  <c:v>95.5</c:v>
                </c:pt>
                <c:pt idx="392">
                  <c:v>96</c:v>
                </c:pt>
                <c:pt idx="393">
                  <c:v>96.5</c:v>
                </c:pt>
                <c:pt idx="394">
                  <c:v>97</c:v>
                </c:pt>
                <c:pt idx="395">
                  <c:v>97.5</c:v>
                </c:pt>
                <c:pt idx="396">
                  <c:v>98</c:v>
                </c:pt>
                <c:pt idx="397">
                  <c:v>98.5</c:v>
                </c:pt>
                <c:pt idx="398">
                  <c:v>99</c:v>
                </c:pt>
                <c:pt idx="399">
                  <c:v>99.5</c:v>
                </c:pt>
                <c:pt idx="400">
                  <c:v>100</c:v>
                </c:pt>
              </c:numCache>
            </c:numRef>
          </c:xVal>
          <c:yVal>
            <c:numRef>
              <c:f>Sheet1!$G$2:$G$402</c:f>
              <c:numCache>
                <c:formatCode>General</c:formatCode>
                <c:ptCount val="401"/>
                <c:pt idx="0">
                  <c:v>1.9911581824612037</c:v>
                </c:pt>
                <c:pt idx="1">
                  <c:v>2.155482511656488</c:v>
                </c:pt>
                <c:pt idx="2">
                  <c:v>2.209781165727934</c:v>
                </c:pt>
                <c:pt idx="3">
                  <c:v>2.1392308045775654</c:v>
                </c:pt>
                <c:pt idx="4">
                  <c:v>1.9596083469903964</c:v>
                </c:pt>
                <c:pt idx="5">
                  <c:v>1.7129509633305169</c:v>
                </c:pt>
                <c:pt idx="6">
                  <c:v>1.4569040513513822</c:v>
                </c:pt>
                <c:pt idx="7">
                  <c:v>1.2504517320617312</c:v>
                </c:pt>
                <c:pt idx="8">
                  <c:v>1.1395594745427837</c:v>
                </c:pt>
                <c:pt idx="9">
                  <c:v>1.1462211074414157</c:v>
                </c:pt>
                <c:pt idx="10">
                  <c:v>1.2635162895811711</c:v>
                </c:pt>
                <c:pt idx="11">
                  <c:v>1.4577792481527787</c:v>
                </c:pt>
                <c:pt idx="12">
                  <c:v>1.6772318162746116</c:v>
                </c:pt>
                <c:pt idx="13">
                  <c:v>1.8648727826688345</c:v>
                </c:pt>
                <c:pt idx="14">
                  <c:v>1.9724179172790284</c:v>
                </c:pt>
                <c:pt idx="15">
                  <c:v>1.9718839379281077</c:v>
                </c:pt>
                <c:pt idx="16">
                  <c:v>1.8620405525466297</c:v>
                </c:pt>
                <c:pt idx="17">
                  <c:v>1.6682499341992501</c:v>
                </c:pt>
                <c:pt idx="18">
                  <c:v>1.4358461560219105</c:v>
                </c:pt>
                <c:pt idx="19">
                  <c:v>1.2187751750514806</c:v>
                </c:pt>
                <c:pt idx="20">
                  <c:v>1.0663386013403275</c:v>
                </c:pt>
                <c:pt idx="21">
                  <c:v>1.0112963228093999</c:v>
                </c:pt>
                <c:pt idx="22">
                  <c:v>1.0621961921865746</c:v>
                </c:pt>
                <c:pt idx="23">
                  <c:v>1.2017213697010496</c:v>
                </c:pt>
                <c:pt idx="24">
                  <c:v>1.391351676052422</c:v>
                </c:pt>
                <c:pt idx="25">
                  <c:v>1.5810951467075911</c:v>
                </c:pt>
                <c:pt idx="26">
                  <c:v>1.7218352855307182</c:v>
                </c:pt>
                <c:pt idx="27">
                  <c:v>1.7772469554619392</c:v>
                </c:pt>
                <c:pt idx="28">
                  <c:v>1.7323926319750236</c:v>
                </c:pt>
                <c:pt idx="29">
                  <c:v>1.5969689751107676</c:v>
                </c:pt>
                <c:pt idx="30">
                  <c:v>1.4025102209723106</c:v>
                </c:pt>
                <c:pt idx="31">
                  <c:v>1.1943362075292114</c:v>
                </c:pt>
                <c:pt idx="32">
                  <c:v>1.0202961184032402</c:v>
                </c:pt>
                <c:pt idx="33">
                  <c:v>0.91910096273411224</c:v>
                </c:pt>
                <c:pt idx="34">
                  <c:v>0.91108736539301849</c:v>
                </c:pt>
                <c:pt idx="35">
                  <c:v>0.99361285733216176</c:v>
                </c:pt>
                <c:pt idx="36">
                  <c:v>1.1421172524490195</c:v>
                </c:pt>
                <c:pt idx="37">
                  <c:v>1.3164887925552407</c:v>
                </c:pt>
                <c:pt idx="38">
                  <c:v>1.4710911393604735</c:v>
                </c:pt>
                <c:pt idx="39">
                  <c:v>1.5659477739122034</c:v>
                </c:pt>
                <c:pt idx="40">
                  <c:v>1.576345152500658</c:v>
                </c:pt>
                <c:pt idx="41">
                  <c:v>1.4985507692306919</c:v>
                </c:pt>
                <c:pt idx="42">
                  <c:v>1.3503290187009711</c:v>
                </c:pt>
                <c:pt idx="43">
                  <c:v>1.1662263298140543</c:v>
                </c:pt>
                <c:pt idx="44">
                  <c:v>0.9888685849799147</c:v>
                </c:pt>
                <c:pt idx="45">
                  <c:v>0.85845955040605659</c:v>
                </c:pt>
                <c:pt idx="46">
                  <c:v>0.80306511343237041</c:v>
                </c:pt>
                <c:pt idx="47">
                  <c:v>0.83202857555373999</c:v>
                </c:pt>
                <c:pt idx="48">
                  <c:v>0.93405726793385435</c:v>
                </c:pt>
                <c:pt idx="49">
                  <c:v>1.0803566781263534</c:v>
                </c:pt>
                <c:pt idx="50">
                  <c:v>1.2319548485801937</c:v>
                </c:pt>
                <c:pt idx="51">
                  <c:v>1.3493581441600899</c:v>
                </c:pt>
                <c:pt idx="52">
                  <c:v>1.4021486315417475</c:v>
                </c:pt>
                <c:pt idx="53">
                  <c:v>1.376193295730616</c:v>
                </c:pt>
                <c:pt idx="54">
                  <c:v>1.2767602371878202</c:v>
                </c:pt>
                <c:pt idx="55">
                  <c:v>1.126864112009311</c:v>
                </c:pt>
                <c:pt idx="56">
                  <c:v>0.9613350268131996</c:v>
                </c:pt>
                <c:pt idx="57">
                  <c:v>0.81813427502733604</c:v>
                </c:pt>
                <c:pt idx="58">
                  <c:v>0.72907937376187915</c:v>
                </c:pt>
                <c:pt idx="59">
                  <c:v>0.71224212727585356</c:v>
                </c:pt>
                <c:pt idx="60">
                  <c:v>0.76783279553263328</c:v>
                </c:pt>
                <c:pt idx="61">
                  <c:v>0.87850119145062855</c:v>
                </c:pt>
                <c:pt idx="62">
                  <c:v>1.0138945117442764</c:v>
                </c:pt>
                <c:pt idx="63">
                  <c:v>1.1382811186976707</c:v>
                </c:pt>
                <c:pt idx="64">
                  <c:v>1.2193285310694912</c:v>
                </c:pt>
                <c:pt idx="65">
                  <c:v>1.2358815739920233</c:v>
                </c:pt>
                <c:pt idx="66">
                  <c:v>1.1828723346343599</c:v>
                </c:pt>
                <c:pt idx="67">
                  <c:v>1.0722273431918001</c:v>
                </c:pt>
                <c:pt idx="68">
                  <c:v>0.9296320393019456</c:v>
                </c:pt>
                <c:pt idx="69">
                  <c:v>0.78802124930980533</c:v>
                </c:pt>
                <c:pt idx="70">
                  <c:v>0.6794417972382184</c:v>
                </c:pt>
                <c:pt idx="71">
                  <c:v>0.62729533761368039</c:v>
                </c:pt>
                <c:pt idx="72">
                  <c:v>0.64083651431425803</c:v>
                </c:pt>
                <c:pt idx="73">
                  <c:v>0.71321595019380879</c:v>
                </c:pt>
                <c:pt idx="74">
                  <c:v>0.82347078235123994</c:v>
                </c:pt>
                <c:pt idx="75">
                  <c:v>0.94189898091608759</c:v>
                </c:pt>
                <c:pt idx="76">
                  <c:v>1.0374438597521278</c:v>
                </c:pt>
                <c:pt idx="77">
                  <c:v>1.0852554506004701</c:v>
                </c:pt>
                <c:pt idx="78">
                  <c:v>1.0725902088236654</c:v>
                </c:pt>
                <c:pt idx="79">
                  <c:v>1.001651746688049</c:v>
                </c:pt>
                <c:pt idx="80">
                  <c:v>0.88874659458354155</c:v>
                </c:pt>
                <c:pt idx="81">
                  <c:v>0.76003626839568073</c:v>
                </c:pt>
                <c:pt idx="82">
                  <c:v>0.64498707923527732</c:v>
                </c:pt>
                <c:pt idx="83">
                  <c:v>0.56915486410538085</c:v>
                </c:pt>
                <c:pt idx="84">
                  <c:v>0.54806902217997522</c:v>
                </c:pt>
                <c:pt idx="85">
                  <c:v>0.58367657791835825</c:v>
                </c:pt>
                <c:pt idx="86">
                  <c:v>0.66415520246483073</c:v>
                </c:pt>
                <c:pt idx="87">
                  <c:v>0.76706972776590054</c:v>
                </c:pt>
                <c:pt idx="88">
                  <c:v>0.8650360448683031</c:v>
                </c:pt>
                <c:pt idx="89">
                  <c:v>0.93246562648132725</c:v>
                </c:pt>
                <c:pt idx="90">
                  <c:v>0.951731939862697</c:v>
                </c:pt>
                <c:pt idx="91">
                  <c:v>0.91727540689992293</c:v>
                </c:pt>
                <c:pt idx="92">
                  <c:v>0.83669510867313035</c:v>
                </c:pt>
                <c:pt idx="93">
                  <c:v>0.72862656530897318</c:v>
                </c:pt>
                <c:pt idx="94">
                  <c:v>0.61798871876103034</c:v>
                </c:pt>
                <c:pt idx="95">
                  <c:v>0.52980884963393049</c:v>
                </c:pt>
                <c:pt idx="96">
                  <c:v>0.48315318776446464</c:v>
                </c:pt>
                <c:pt idx="97">
                  <c:v>0.48663261738794505</c:v>
                </c:pt>
                <c:pt idx="98">
                  <c:v>0.5365393990440126</c:v>
                </c:pt>
                <c:pt idx="99">
                  <c:v>0.61801016777978213</c:v>
                </c:pt>
                <c:pt idx="100">
                  <c:v>0.70886818544448882</c:v>
                </c:pt>
                <c:pt idx="101">
                  <c:v>0.78515570412865165</c:v>
                </c:pt>
                <c:pt idx="102">
                  <c:v>0.82697888671730213</c:v>
                </c:pt>
                <c:pt idx="103">
                  <c:v>0.82324171624731302</c:v>
                </c:pt>
                <c:pt idx="104">
                  <c:v>0.77414543693440407</c:v>
                </c:pt>
                <c:pt idx="105">
                  <c:v>0.69089602544996376</c:v>
                </c:pt>
                <c:pt idx="106">
                  <c:v>0.59275100346103549</c:v>
                </c:pt>
                <c:pt idx="107">
                  <c:v>0.502178918917906</c:v>
                </c:pt>
                <c:pt idx="108">
                  <c:v>0.43934544255625513</c:v>
                </c:pt>
                <c:pt idx="109">
                  <c:v>0.41727684632820639</c:v>
                </c:pt>
                <c:pt idx="110">
                  <c:v>0.43885812691271842</c:v>
                </c:pt>
                <c:pt idx="111">
                  <c:v>0.49635332213096667</c:v>
                </c:pt>
                <c:pt idx="112">
                  <c:v>0.57350950129748068</c:v>
                </c:pt>
                <c:pt idx="113">
                  <c:v>0.64967860687227574</c:v>
                </c:pt>
                <c:pt idx="114">
                  <c:v>0.70491479108458566</c:v>
                </c:pt>
                <c:pt idx="115">
                  <c:v>0.72479126726332488</c:v>
                </c:pt>
                <c:pt idx="116">
                  <c:v>0.70377596833482903</c:v>
                </c:pt>
                <c:pt idx="117">
                  <c:v>0.64637963048759239</c:v>
                </c:pt>
                <c:pt idx="118">
                  <c:v>0.56584652760359733</c:v>
                </c:pt>
                <c:pt idx="119">
                  <c:v>0.48075818831968697</c:v>
                </c:pt>
                <c:pt idx="120">
                  <c:v>0.41041777026684612</c:v>
                </c:pt>
                <c:pt idx="121">
                  <c:v>0.37015918089110528</c:v>
                </c:pt>
                <c:pt idx="122">
                  <c:v>0.36771843883994221</c:v>
                </c:pt>
                <c:pt idx="123">
                  <c:v>0.40152295064473326</c:v>
                </c:pt>
                <c:pt idx="124">
                  <c:v>0.46127156101659728</c:v>
                </c:pt>
                <c:pt idx="125">
                  <c:v>0.53061565890965767</c:v>
                </c:pt>
                <c:pt idx="126">
                  <c:v>0.59124716219780415</c:v>
                </c:pt>
                <c:pt idx="127">
                  <c:v>0.62737365521454203</c:v>
                </c:pt>
                <c:pt idx="128">
                  <c:v>0.62948918512683516</c:v>
                </c:pt>
                <c:pt idx="129">
                  <c:v>0.5965430846784382</c:v>
                </c:pt>
                <c:pt idx="130">
                  <c:v>0.53601603040320145</c:v>
                </c:pt>
                <c:pt idx="131">
                  <c:v>0.46192936393565448</c:v>
                </c:pt>
                <c:pt idx="132">
                  <c:v>0.39131314745685153</c:v>
                </c:pt>
                <c:pt idx="133">
                  <c:v>0.34002010576235159</c:v>
                </c:pt>
                <c:pt idx="134">
                  <c:v>0.31891204620505398</c:v>
                </c:pt>
                <c:pt idx="135">
                  <c:v>0.33133359895786307</c:v>
                </c:pt>
                <c:pt idx="136">
                  <c:v>0.37245755919146967</c:v>
                </c:pt>
                <c:pt idx="137">
                  <c:v>0.4306212852594512</c:v>
                </c:pt>
                <c:pt idx="138">
                  <c:v>0.49028968138573858</c:v>
                </c:pt>
                <c:pt idx="139">
                  <c:v>0.53589459217280455</c:v>
                </c:pt>
                <c:pt idx="140">
                  <c:v>0.5556040659547965</c:v>
                </c:pt>
                <c:pt idx="141">
                  <c:v>0.54411136602702825</c:v>
                </c:pt>
                <c:pt idx="142">
                  <c:v>0.5037891680058717</c:v>
                </c:pt>
                <c:pt idx="143">
                  <c:v>0.44396281556288564</c:v>
                </c:pt>
                <c:pt idx="144">
                  <c:v>0.37851604456514737</c:v>
                </c:pt>
                <c:pt idx="145">
                  <c:v>0.32244124255364831</c:v>
                </c:pt>
                <c:pt idx="146">
                  <c:v>0.2881891070804426</c:v>
                </c:pt>
                <c:pt idx="147">
                  <c:v>0.28270407334051639</c:v>
                </c:pt>
                <c:pt idx="148">
                  <c:v>0.30584876034865527</c:v>
                </c:pt>
                <c:pt idx="149">
                  <c:v>0.35057141836502281</c:v>
                </c:pt>
                <c:pt idx="150">
                  <c:v>0.40474250795784705</c:v>
                </c:pt>
                <c:pt idx="151">
                  <c:v>0.45418485014364146</c:v>
                </c:pt>
                <c:pt idx="152">
                  <c:v>0.48614261557413102</c:v>
                </c:pt>
                <c:pt idx="153">
                  <c:v>0.49234270251607226</c:v>
                </c:pt>
                <c:pt idx="154">
                  <c:v>0.47091629039613675</c:v>
                </c:pt>
                <c:pt idx="155">
                  <c:v>0.42673708170429442</c:v>
                </c:pt>
                <c:pt idx="156">
                  <c:v>0.37012307642313153</c:v>
                </c:pt>
                <c:pt idx="157">
                  <c:v>0.31424469847093839</c:v>
                </c:pt>
                <c:pt idx="158">
                  <c:v>0.27188820096342348</c:v>
                </c:pt>
                <c:pt idx="159">
                  <c:v>0.25236741618437958</c:v>
                </c:pt>
                <c:pt idx="160">
                  <c:v>0.25932729456489706</c:v>
                </c:pt>
                <c:pt idx="161">
                  <c:v>0.28995470306262683</c:v>
                </c:pt>
                <c:pt idx="162">
                  <c:v>0.33576366515797745</c:v>
                </c:pt>
                <c:pt idx="163">
                  <c:v>0.38473956959103184</c:v>
                </c:pt>
                <c:pt idx="164">
                  <c:v>0.42430256083605178</c:v>
                </c:pt>
                <c:pt idx="165">
                  <c:v>0.44436143181390375</c:v>
                </c:pt>
                <c:pt idx="166">
                  <c:v>0.43971908320429692</c:v>
                </c:pt>
                <c:pt idx="167">
                  <c:v>0.41125854764722075</c:v>
                </c:pt>
                <c:pt idx="168">
                  <c:v>0.36564143774555258</c:v>
                </c:pt>
                <c:pt idx="169">
                  <c:v>0.31361347751693164</c:v>
                </c:pt>
                <c:pt idx="170">
                  <c:v>0.26734631878434439</c:v>
                </c:pt>
                <c:pt idx="171">
                  <c:v>0.2374710870560329</c:v>
                </c:pt>
                <c:pt idx="172">
                  <c:v>0.23052423619962478</c:v>
                </c:pt>
                <c:pt idx="173">
                  <c:v>0.24741698539296697</c:v>
                </c:pt>
                <c:pt idx="174">
                  <c:v>0.28328461400458649</c:v>
                </c:pt>
                <c:pt idx="175">
                  <c:v>0.32873451918137059</c:v>
                </c:pt>
                <c:pt idx="176">
                  <c:v>0.37217441262827045</c:v>
                </c:pt>
                <c:pt idx="177">
                  <c:v>0.40264549072635331</c:v>
                </c:pt>
                <c:pt idx="178">
                  <c:v>0.41247049637496197</c:v>
                </c:pt>
                <c:pt idx="179">
                  <c:v>0.39907918086331645</c:v>
                </c:pt>
                <c:pt idx="180">
                  <c:v>0.36557913331242631</c:v>
                </c:pt>
                <c:pt idx="181">
                  <c:v>0.3199471317824919</c:v>
                </c:pt>
                <c:pt idx="182">
                  <c:v>0.27305012501518838</c:v>
                </c:pt>
                <c:pt idx="183">
                  <c:v>0.23598513012586958</c:v>
                </c:pt>
                <c:pt idx="184">
                  <c:v>0.21738694661315719</c:v>
                </c:pt>
                <c:pt idx="185">
                  <c:v>0.22135446643197729</c:v>
                </c:pt>
                <c:pt idx="186">
                  <c:v>0.24649153425799952</c:v>
                </c:pt>
                <c:pt idx="187">
                  <c:v>0.28628539452223761</c:v>
                </c:pt>
                <c:pt idx="188">
                  <c:v>0.3307213501779816</c:v>
                </c:pt>
                <c:pt idx="189">
                  <c:v>0.36873474050912836</c:v>
                </c:pt>
                <c:pt idx="190">
                  <c:v>0.39090203215682151</c:v>
                </c:pt>
                <c:pt idx="191">
                  <c:v>0.39171892422768945</c:v>
                </c:pt>
                <c:pt idx="192">
                  <c:v>0.37091688914592469</c:v>
                </c:pt>
                <c:pt idx="193">
                  <c:v>0.33350465168660282</c:v>
                </c:pt>
                <c:pt idx="194">
                  <c:v>0.28853048155721739</c:v>
                </c:pt>
                <c:pt idx="195">
                  <c:v>0.24687005913490179</c:v>
                </c:pt>
                <c:pt idx="196">
                  <c:v>0.21857878059823282</c:v>
                </c:pt>
                <c:pt idx="197">
                  <c:v>0.2104506927604983</c:v>
                </c:pt>
                <c:pt idx="198">
                  <c:v>0.22437440546794041</c:v>
                </c:pt>
                <c:pt idx="199">
                  <c:v>0.25688227910913669</c:v>
                </c:pt>
                <c:pt idx="200">
                  <c:v>0.3</c:v>
                </c:pt>
                <c:pt idx="201">
                  <c:v>0.34318914946229184</c:v>
                </c:pt>
                <c:pt idx="202">
                  <c:v>0.3759113088177739</c:v>
                </c:pt>
                <c:pt idx="203">
                  <c:v>0.39019216438235887</c:v>
                </c:pt>
                <c:pt idx="204">
                  <c:v>0.38256407654462427</c:v>
                </c:pt>
                <c:pt idx="205">
                  <c:v>0.35491565515081247</c:v>
                </c:pt>
                <c:pt idx="206">
                  <c:v>0.31404094701421115</c:v>
                </c:pt>
                <c:pt idx="207">
                  <c:v>0.26999534831339711</c:v>
                </c:pt>
                <c:pt idx="208">
                  <c:v>0.23365453942550388</c:v>
                </c:pt>
                <c:pt idx="209">
                  <c:v>0.21406679005802479</c:v>
                </c:pt>
                <c:pt idx="210">
                  <c:v>0.21624082498603558</c:v>
                </c:pt>
                <c:pt idx="211">
                  <c:v>0.23990811663372885</c:v>
                </c:pt>
                <c:pt idx="212">
                  <c:v>0.27956436410773261</c:v>
                </c:pt>
                <c:pt idx="213">
                  <c:v>0.32578603404919099</c:v>
                </c:pt>
                <c:pt idx="214">
                  <c:v>0.36750846574200041</c:v>
                </c:pt>
                <c:pt idx="215">
                  <c:v>0.39471696213945129</c:v>
                </c:pt>
                <c:pt idx="216">
                  <c:v>0.40089876767255705</c:v>
                </c:pt>
                <c:pt idx="217">
                  <c:v>0.38465772701698758</c:v>
                </c:pt>
                <c:pt idx="218">
                  <c:v>0.35009273212766873</c:v>
                </c:pt>
                <c:pt idx="219">
                  <c:v>0.30583858250322238</c:v>
                </c:pt>
                <c:pt idx="220">
                  <c:v>0.26299229525900231</c:v>
                </c:pt>
                <c:pt idx="221">
                  <c:v>0.23242081913668355</c:v>
                </c:pt>
                <c:pt idx="222">
                  <c:v>0.22210093219646662</c:v>
                </c:pt>
                <c:pt idx="223">
                  <c:v>0.23514022355936096</c:v>
                </c:pt>
                <c:pt idx="224">
                  <c:v>0.26896844451458674</c:v>
                </c:pt>
                <c:pt idx="225">
                  <c:v>0.31590833796148654</c:v>
                </c:pt>
                <c:pt idx="226">
                  <c:v>0.36500110028112781</c:v>
                </c:pt>
                <c:pt idx="227">
                  <c:v>0.4046544431784615</c:v>
                </c:pt>
                <c:pt idx="228">
                  <c:v>0.42547576380037527</c:v>
                </c:pt>
                <c:pt idx="229">
                  <c:v>0.42260034151539561</c:v>
                </c:pt>
                <c:pt idx="230">
                  <c:v>0.39693939550136986</c:v>
                </c:pt>
                <c:pt idx="231">
                  <c:v>0.35502937962592551</c:v>
                </c:pt>
                <c:pt idx="232">
                  <c:v>0.30750141939730452</c:v>
                </c:pt>
                <c:pt idx="233">
                  <c:v>0.26652716663849346</c:v>
                </c:pt>
                <c:pt idx="234">
                  <c:v>0.24285234536713168</c:v>
                </c:pt>
                <c:pt idx="235">
                  <c:v>0.24313856818609625</c:v>
                </c:pt>
                <c:pt idx="236">
                  <c:v>0.26826886773537673</c:v>
                </c:pt>
                <c:pt idx="237">
                  <c:v>0.31304614469468239</c:v>
                </c:pt>
                <c:pt idx="238">
                  <c:v>0.36737919198487967</c:v>
                </c:pt>
                <c:pt idx="239">
                  <c:v>0.4186881540802303</c:v>
                </c:pt>
                <c:pt idx="240">
                  <c:v>0.45495841972081724</c:v>
                </c:pt>
                <c:pt idx="241">
                  <c:v>0.46770401238704901</c:v>
                </c:pt>
                <c:pt idx="242">
                  <c:v>0.4541117990365765</c:v>
                </c:pt>
                <c:pt idx="243">
                  <c:v>0.4178267301004901</c:v>
                </c:pt>
                <c:pt idx="244">
                  <c:v>0.36816263786258269</c:v>
                </c:pt>
                <c:pt idx="245">
                  <c:v>0.31790577543856274</c:v>
                </c:pt>
                <c:pt idx="246">
                  <c:v>0.28022656674672036</c:v>
                </c:pt>
                <c:pt idx="247">
                  <c:v>0.26544301176964202</c:v>
                </c:pt>
                <c:pt idx="248">
                  <c:v>0.27842881299729749</c:v>
                </c:pt>
                <c:pt idx="249">
                  <c:v>0.3173151498563585</c:v>
                </c:pt>
                <c:pt idx="250">
                  <c:v>0.37382892061358153</c:v>
                </c:pt>
                <c:pt idx="251">
                  <c:v>0.4352142959206915</c:v>
                </c:pt>
                <c:pt idx="252">
                  <c:v>0.48729409679420183</c:v>
                </c:pt>
                <c:pt idx="253">
                  <c:v>0.51793878380234071</c:v>
                </c:pt>
                <c:pt idx="254">
                  <c:v>0.52009660720527173</c:v>
                </c:pt>
                <c:pt idx="255">
                  <c:v>0.4936301860177803</c:v>
                </c:pt>
                <c:pt idx="256">
                  <c:v>0.44548395543485259</c:v>
                </c:pt>
                <c:pt idx="257">
                  <c:v>0.38810861300854294</c:v>
                </c:pt>
                <c:pt idx="258">
                  <c:v>0.33649654627984271</c:v>
                </c:pt>
                <c:pt idx="259">
                  <c:v>0.30453149111582895</c:v>
                </c:pt>
                <c:pt idx="260">
                  <c:v>0.3015387911880606</c:v>
                </c:pt>
                <c:pt idx="261">
                  <c:v>0.32989112211290977</c:v>
                </c:pt>
                <c:pt idx="262">
                  <c:v>0.38428174718568991</c:v>
                </c:pt>
                <c:pt idx="263">
                  <c:v>0.45287871474054869</c:v>
                </c:pt>
                <c:pt idx="264">
                  <c:v>0.52011386937995896</c:v>
                </c:pt>
                <c:pt idx="265">
                  <c:v>0.57045211532785123</c:v>
                </c:pt>
                <c:pt idx="266">
                  <c:v>0.59223081093780316</c:v>
                </c:pt>
                <c:pt idx="267">
                  <c:v>0.58062275138050545</c:v>
                </c:pt>
                <c:pt idx="268">
                  <c:v>0.53897256682886274</c:v>
                </c:pt>
                <c:pt idx="269">
                  <c:v>0.47814206463577402</c:v>
                </c:pt>
                <c:pt idx="270">
                  <c:v>0.41398396959679845</c:v>
                </c:pt>
                <c:pt idx="271">
                  <c:v>0.36352834389299038</c:v>
                </c:pt>
                <c:pt idx="272">
                  <c:v>0.34079652915887909</c:v>
                </c:pt>
                <c:pt idx="273">
                  <c:v>0.35326920192831518</c:v>
                </c:pt>
                <c:pt idx="274">
                  <c:v>0.39989569494505295</c:v>
                </c:pt>
                <c:pt idx="275">
                  <c:v>0.47117005537605661</c:v>
                </c:pt>
                <c:pt idx="276">
                  <c:v>0.55129986755483107</c:v>
                </c:pt>
                <c:pt idx="277">
                  <c:v>0.62197704935526654</c:v>
                </c:pt>
                <c:pt idx="278">
                  <c:v>0.66685298973148632</c:v>
                </c:pt>
                <c:pt idx="279">
                  <c:v>0.67562653339460899</c:v>
                </c:pt>
                <c:pt idx="280">
                  <c:v>0.64672508687601105</c:v>
                </c:pt>
                <c:pt idx="281">
                  <c:v>0.58788466882317025</c:v>
                </c:pt>
                <c:pt idx="282">
                  <c:v>0.51443918668211697</c:v>
                </c:pt>
                <c:pt idx="283">
                  <c:v>0.44569179808383619</c:v>
                </c:pt>
                <c:pt idx="284">
                  <c:v>0.40022403166517106</c:v>
                </c:pt>
                <c:pt idx="285">
                  <c:v>0.39128016130810372</c:v>
                </c:pt>
                <c:pt idx="286">
                  <c:v>0.42337092320112846</c:v>
                </c:pt>
                <c:pt idx="287">
                  <c:v>0.49096425027058133</c:v>
                </c:pt>
                <c:pt idx="288">
                  <c:v>0.57963335584537634</c:v>
                </c:pt>
                <c:pt idx="289">
                  <c:v>0.66943239215474759</c:v>
                </c:pt>
                <c:pt idx="290">
                  <c:v>0.73971330165871019</c:v>
                </c:pt>
                <c:pt idx="291">
                  <c:v>0.77422315367179362</c:v>
                </c:pt>
                <c:pt idx="292">
                  <c:v>0.76522598601517344</c:v>
                </c:pt>
                <c:pt idx="293">
                  <c:v>0.71560679536780825</c:v>
                </c:pt>
                <c:pt idx="294">
                  <c:v>0.63839185368182161</c:v>
                </c:pt>
                <c:pt idx="295">
                  <c:v>0.5537468316928934</c:v>
                </c:pt>
                <c:pt idx="296">
                  <c:v>0.48414027735131016</c:v>
                </c:pt>
                <c:pt idx="297">
                  <c:v>0.44882971232411545</c:v>
                </c:pt>
                <c:pt idx="298">
                  <c:v>0.45902111328269785</c:v>
                </c:pt>
                <c:pt idx="299">
                  <c:v>0.51491572444277678</c:v>
                </c:pt>
                <c:pt idx="300">
                  <c:v>0.60541752884122546</c:v>
                </c:pt>
                <c:pt idx="301">
                  <c:v>0.71063268936307489</c:v>
                </c:pt>
                <c:pt idx="302">
                  <c:v>0.80660345809884437</c:v>
                </c:pt>
                <c:pt idx="303">
                  <c:v>0.87115309689776932</c:v>
                </c:pt>
                <c:pt idx="304">
                  <c:v>0.88941824080696397</c:v>
                </c:pt>
                <c:pt idx="305">
                  <c:v>0.85769115036606958</c:v>
                </c:pt>
                <c:pt idx="306">
                  <c:v>0.78458270981039824</c:v>
                </c:pt>
                <c:pt idx="307">
                  <c:v>0.68915914897674135</c:v>
                </c:pt>
                <c:pt idx="308">
                  <c:v>0.59644774846972692</c:v>
                </c:pt>
                <c:pt idx="309">
                  <c:v>0.53136745024293419</c:v>
                </c:pt>
                <c:pt idx="310">
                  <c:v>0.51255377442301742</c:v>
                </c:pt>
                <c:pt idx="311">
                  <c:v>0.54760580209010157</c:v>
                </c:pt>
                <c:pt idx="312">
                  <c:v>0.63096395513169701</c:v>
                </c:pt>
                <c:pt idx="313">
                  <c:v>0.74500170080552797</c:v>
                </c:pt>
                <c:pt idx="314">
                  <c:v>0.86413051182088341</c:v>
                </c:pt>
                <c:pt idx="315">
                  <c:v>0.96096627922449895</c:v>
                </c:pt>
                <c:pt idx="316">
                  <c:v>1.0130738349628821</c:v>
                </c:pt>
                <c:pt idx="317">
                  <c:v>1.0086308501803332</c:v>
                </c:pt>
                <c:pt idx="318">
                  <c:v>0.94958434933615121</c:v>
                </c:pt>
                <c:pt idx="319">
                  <c:v>0.85146373160431921</c:v>
                </c:pt>
                <c:pt idx="320">
                  <c:v>0.73982483398788701</c:v>
                </c:pt>
                <c:pt idx="321">
                  <c:v>0.64413396759766528</c:v>
                </c:pt>
                <c:pt idx="322">
                  <c:v>0.59055264831919196</c:v>
                </c:pt>
                <c:pt idx="323">
                  <c:v>0.5953874065423872</c:v>
                </c:pt>
                <c:pt idx="324">
                  <c:v>0.66084185453358657</c:v>
                </c:pt>
                <c:pt idx="325">
                  <c:v>0.77417244765534088</c:v>
                </c:pt>
                <c:pt idx="326">
                  <c:v>0.91052921764876005</c:v>
                </c:pt>
                <c:pt idx="327">
                  <c:v>1.0388554783776196</c:v>
                </c:pt>
                <c:pt idx="328">
                  <c:v>1.1294491999714564</c:v>
                </c:pt>
                <c:pt idx="329">
                  <c:v>1.1613475195291767</c:v>
                </c:pt>
                <c:pt idx="330">
                  <c:v>1.1277010599046386</c:v>
                </c:pt>
                <c:pt idx="331">
                  <c:v>1.037764464975909</c:v>
                </c:pt>
                <c:pt idx="332">
                  <c:v>0.91493938926948315</c:v>
                </c:pt>
                <c:pt idx="333">
                  <c:v>0.7912726568081998</c:v>
                </c:pt>
                <c:pt idx="334">
                  <c:v>0.69969909393706864</c:v>
                </c:pt>
                <c:pt idx="335">
                  <c:v>0.66590414029369127</c:v>
                </c:pt>
                <c:pt idx="336">
                  <c:v>0.70181432607336591</c:v>
                </c:pt>
                <c:pt idx="337">
                  <c:v>0.80236173844518666</c:v>
                </c:pt>
                <c:pt idx="338">
                  <c:v>0.94639120254143805</c:v>
                </c:pt>
                <c:pt idx="339">
                  <c:v>1.1015702371208003</c:v>
                </c:pt>
                <c:pt idx="340">
                  <c:v>1.2321672044673666</c:v>
                </c:pt>
                <c:pt idx="341">
                  <c:v>1.3078293012955753</c:v>
                </c:pt>
                <c:pt idx="342">
                  <c:v>1.3112063405238352</c:v>
                </c:pt>
                <c:pt idx="343">
                  <c:v>1.2425085821155211</c:v>
                </c:pt>
                <c:pt idx="344">
                  <c:v>1.1198078303296572</c:v>
                </c:pt>
                <c:pt idx="345">
                  <c:v>0.97492160227640312</c:v>
                </c:pt>
                <c:pt idx="346">
                  <c:v>0.84581119138360816</c:v>
                </c:pt>
                <c:pt idx="347">
                  <c:v>0.76730670426938385</c:v>
                </c:pt>
                <c:pt idx="348">
                  <c:v>0.76242279702968108</c:v>
                </c:pt>
                <c:pt idx="349">
                  <c:v>0.8364275701256243</c:v>
                </c:pt>
                <c:pt idx="350">
                  <c:v>0.97518800856266352</c:v>
                </c:pt>
                <c:pt idx="351">
                  <c:v>1.1482861790165035</c:v>
                </c:pt>
                <c:pt idx="352">
                  <c:v>1.3162284463518601</c:v>
                </c:pt>
                <c:pt idx="353">
                  <c:v>1.4400428530176885</c:v>
                </c:pt>
                <c:pt idx="354">
                  <c:v>1.4909348865676295</c:v>
                </c:pt>
                <c:pt idx="355">
                  <c:v>1.457611878165372</c:v>
                </c:pt>
                <c:pt idx="356">
                  <c:v>1.3494171293057995</c:v>
                </c:pt>
                <c:pt idx="357">
                  <c:v>1.1944165273288028</c:v>
                </c:pt>
                <c:pt idx="358">
                  <c:v>1.0328138384418859</c:v>
                </c:pt>
                <c:pt idx="359">
                  <c:v>0.90723494505502233</c:v>
                </c:pt>
                <c:pt idx="360">
                  <c:v>0.85222627607077039</c:v>
                </c:pt>
                <c:pt idx="361">
                  <c:v>0.88555222608779638</c:v>
                </c:pt>
                <c:pt idx="362">
                  <c:v>1.0034802892109551</c:v>
                </c:pt>
                <c:pt idx="363">
                  <c:v>1.1812969217304734</c:v>
                </c:pt>
                <c:pt idx="364">
                  <c:v>1.3790256046938374</c:v>
                </c:pt>
                <c:pt idx="365">
                  <c:v>1.5510299998106956</c:v>
                </c:pt>
                <c:pt idx="366">
                  <c:v>1.6571983488926956</c:v>
                </c:pt>
                <c:pt idx="367">
                  <c:v>1.6729704658373161</c:v>
                </c:pt>
                <c:pt idx="368">
                  <c:v>1.5957038815967599</c:v>
                </c:pt>
                <c:pt idx="369">
                  <c:v>1.4457352210422174</c:v>
                </c:pt>
                <c:pt idx="370">
                  <c:v>1.261775493313404</c:v>
                </c:pt>
                <c:pt idx="371">
                  <c:v>1.0916738820320897</c:v>
                </c:pt>
                <c:pt idx="372">
                  <c:v>0.9807502251678335</c:v>
                </c:pt>
                <c:pt idx="373">
                  <c:v>0.96053875882377493</c:v>
                </c:pt>
                <c:pt idx="374">
                  <c:v>1.0407361430407103</c:v>
                </c:pt>
                <c:pt idx="375">
                  <c:v>1.2064048532924092</c:v>
                </c:pt>
                <c:pt idx="376">
                  <c:v>1.4212197525190069</c:v>
                </c:pt>
                <c:pt idx="377">
                  <c:v>1.6360643445846648</c:v>
                </c:pt>
                <c:pt idx="378">
                  <c:v>1.8009466649562826</c:v>
                </c:pt>
                <c:pt idx="379">
                  <c:v>1.8773465343334572</c:v>
                </c:pt>
                <c:pt idx="380">
                  <c:v>1.847947112945387</c:v>
                </c:pt>
                <c:pt idx="381">
                  <c:v>1.7212962535199481</c:v>
                </c:pt>
                <c:pt idx="382">
                  <c:v>1.5301538439780897</c:v>
                </c:pt>
                <c:pt idx="383">
                  <c:v>1.3238214943721787</c:v>
                </c:pt>
                <c:pt idx="384">
                  <c:v>1.1562451617390845</c:v>
                </c:pt>
                <c:pt idx="385">
                  <c:v>1.0727589192147495</c:v>
                </c:pt>
                <c:pt idx="386">
                  <c:v>1.0987249398638288</c:v>
                </c:pt>
                <c:pt idx="387">
                  <c:v>1.2329129316168801</c:v>
                </c:pt>
                <c:pt idx="388">
                  <c:v>1.4473396122968172</c:v>
                </c:pt>
                <c:pt idx="389">
                  <c:v>1.6937207518472213</c:v>
                </c:pt>
                <c:pt idx="390">
                  <c:v>1.9150551389902577</c:v>
                </c:pt>
                <c:pt idx="391">
                  <c:v>2.0595646068442988</c:v>
                </c:pt>
                <c:pt idx="392">
                  <c:v>2.0935833826000732</c:v>
                </c:pt>
                <c:pt idx="393">
                  <c:v>2.0101911250811262</c:v>
                </c:pt>
                <c:pt idx="394">
                  <c:v>1.831381662934332</c:v>
                </c:pt>
                <c:pt idx="395">
                  <c:v>1.6031204652409115</c:v>
                </c:pt>
                <c:pt idx="396">
                  <c:v>1.3843916530096039</c:v>
                </c:pt>
                <c:pt idx="397">
                  <c:v>1.2328406239938634</c:v>
                </c:pt>
                <c:pt idx="398">
                  <c:v>1.1905045485577803</c:v>
                </c:pt>
                <c:pt idx="399">
                  <c:v>1.2731603454863691</c:v>
                </c:pt>
                <c:pt idx="400">
                  <c:v>1.4659846746816538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C4-4B90-97ED-49FD61235A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257536"/>
        <c:axId val="1789595952"/>
      </c:scatterChart>
      <c:valAx>
        <c:axId val="1783257536"/>
        <c:scaling>
          <c:orientation val="minMax"/>
          <c:max val="100"/>
          <c:min val="-10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out"/>
        <c:minorTickMark val="none"/>
        <c:tickLblPos val="nextTo"/>
        <c:crossAx val="1789595952"/>
        <c:crosses val="autoZero"/>
        <c:crossBetween val="midCat"/>
        <c:majorUnit val="20"/>
      </c:valAx>
      <c:valAx>
        <c:axId val="1789595952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7832575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55555555555555E-2"/>
          <c:y val="0.14666666666666667"/>
          <c:w val="0.93888888888888888"/>
          <c:h val="0.637303701523290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S(t)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Sheet1!$C$2:$C$402</c:f>
              <c:numCache>
                <c:formatCode>0.0_ </c:formatCode>
                <c:ptCount val="401"/>
                <c:pt idx="0">
                  <c:v>-100</c:v>
                </c:pt>
                <c:pt idx="1">
                  <c:v>-99.5</c:v>
                </c:pt>
                <c:pt idx="2">
                  <c:v>-99</c:v>
                </c:pt>
                <c:pt idx="3">
                  <c:v>-98.5</c:v>
                </c:pt>
                <c:pt idx="4">
                  <c:v>-98</c:v>
                </c:pt>
                <c:pt idx="5">
                  <c:v>-97.5</c:v>
                </c:pt>
                <c:pt idx="6">
                  <c:v>-97</c:v>
                </c:pt>
                <c:pt idx="7">
                  <c:v>-96.5</c:v>
                </c:pt>
                <c:pt idx="8">
                  <c:v>-96</c:v>
                </c:pt>
                <c:pt idx="9">
                  <c:v>-95.5</c:v>
                </c:pt>
                <c:pt idx="10">
                  <c:v>-95</c:v>
                </c:pt>
                <c:pt idx="11">
                  <c:v>-94.5</c:v>
                </c:pt>
                <c:pt idx="12">
                  <c:v>-94</c:v>
                </c:pt>
                <c:pt idx="13">
                  <c:v>-93.5</c:v>
                </c:pt>
                <c:pt idx="14">
                  <c:v>-93</c:v>
                </c:pt>
                <c:pt idx="15">
                  <c:v>-92.5</c:v>
                </c:pt>
                <c:pt idx="16">
                  <c:v>-92</c:v>
                </c:pt>
                <c:pt idx="17">
                  <c:v>-91.5</c:v>
                </c:pt>
                <c:pt idx="18">
                  <c:v>-91</c:v>
                </c:pt>
                <c:pt idx="19">
                  <c:v>-90.5</c:v>
                </c:pt>
                <c:pt idx="20">
                  <c:v>-90</c:v>
                </c:pt>
                <c:pt idx="21">
                  <c:v>-89.5</c:v>
                </c:pt>
                <c:pt idx="22">
                  <c:v>-89</c:v>
                </c:pt>
                <c:pt idx="23">
                  <c:v>-88.5</c:v>
                </c:pt>
                <c:pt idx="24">
                  <c:v>-88</c:v>
                </c:pt>
                <c:pt idx="25">
                  <c:v>-87.5</c:v>
                </c:pt>
                <c:pt idx="26">
                  <c:v>-87</c:v>
                </c:pt>
                <c:pt idx="27">
                  <c:v>-86.5</c:v>
                </c:pt>
                <c:pt idx="28">
                  <c:v>-86</c:v>
                </c:pt>
                <c:pt idx="29">
                  <c:v>-85.5</c:v>
                </c:pt>
                <c:pt idx="30">
                  <c:v>-85</c:v>
                </c:pt>
                <c:pt idx="31">
                  <c:v>-84.5</c:v>
                </c:pt>
                <c:pt idx="32">
                  <c:v>-84</c:v>
                </c:pt>
                <c:pt idx="33">
                  <c:v>-83.5</c:v>
                </c:pt>
                <c:pt idx="34">
                  <c:v>-83</c:v>
                </c:pt>
                <c:pt idx="35">
                  <c:v>-82.5</c:v>
                </c:pt>
                <c:pt idx="36">
                  <c:v>-82</c:v>
                </c:pt>
                <c:pt idx="37">
                  <c:v>-81.5</c:v>
                </c:pt>
                <c:pt idx="38">
                  <c:v>-81</c:v>
                </c:pt>
                <c:pt idx="39">
                  <c:v>-80.5</c:v>
                </c:pt>
                <c:pt idx="40">
                  <c:v>-80</c:v>
                </c:pt>
                <c:pt idx="41">
                  <c:v>-79.5</c:v>
                </c:pt>
                <c:pt idx="42">
                  <c:v>-79</c:v>
                </c:pt>
                <c:pt idx="43">
                  <c:v>-78.5</c:v>
                </c:pt>
                <c:pt idx="44">
                  <c:v>-78</c:v>
                </c:pt>
                <c:pt idx="45">
                  <c:v>-77.5</c:v>
                </c:pt>
                <c:pt idx="46">
                  <c:v>-77</c:v>
                </c:pt>
                <c:pt idx="47">
                  <c:v>-76.5</c:v>
                </c:pt>
                <c:pt idx="48">
                  <c:v>-76</c:v>
                </c:pt>
                <c:pt idx="49">
                  <c:v>-75.5</c:v>
                </c:pt>
                <c:pt idx="50">
                  <c:v>-75</c:v>
                </c:pt>
                <c:pt idx="51">
                  <c:v>-74.5</c:v>
                </c:pt>
                <c:pt idx="52">
                  <c:v>-74</c:v>
                </c:pt>
                <c:pt idx="53">
                  <c:v>-73.5</c:v>
                </c:pt>
                <c:pt idx="54">
                  <c:v>-73</c:v>
                </c:pt>
                <c:pt idx="55">
                  <c:v>-72.5</c:v>
                </c:pt>
                <c:pt idx="56">
                  <c:v>-72</c:v>
                </c:pt>
                <c:pt idx="57">
                  <c:v>-71.5</c:v>
                </c:pt>
                <c:pt idx="58">
                  <c:v>-71</c:v>
                </c:pt>
                <c:pt idx="59">
                  <c:v>-70.5</c:v>
                </c:pt>
                <c:pt idx="60">
                  <c:v>-70</c:v>
                </c:pt>
                <c:pt idx="61">
                  <c:v>-69.5</c:v>
                </c:pt>
                <c:pt idx="62">
                  <c:v>-69</c:v>
                </c:pt>
                <c:pt idx="63">
                  <c:v>-68.5</c:v>
                </c:pt>
                <c:pt idx="64">
                  <c:v>-68</c:v>
                </c:pt>
                <c:pt idx="65">
                  <c:v>-67.5</c:v>
                </c:pt>
                <c:pt idx="66">
                  <c:v>-67</c:v>
                </c:pt>
                <c:pt idx="67">
                  <c:v>-66.5</c:v>
                </c:pt>
                <c:pt idx="68">
                  <c:v>-66</c:v>
                </c:pt>
                <c:pt idx="69">
                  <c:v>-65.5</c:v>
                </c:pt>
                <c:pt idx="70">
                  <c:v>-65</c:v>
                </c:pt>
                <c:pt idx="71">
                  <c:v>-64.5</c:v>
                </c:pt>
                <c:pt idx="72">
                  <c:v>-64</c:v>
                </c:pt>
                <c:pt idx="73">
                  <c:v>-63.5</c:v>
                </c:pt>
                <c:pt idx="74">
                  <c:v>-63</c:v>
                </c:pt>
                <c:pt idx="75">
                  <c:v>-62.5</c:v>
                </c:pt>
                <c:pt idx="76">
                  <c:v>-62</c:v>
                </c:pt>
                <c:pt idx="77">
                  <c:v>-61.5</c:v>
                </c:pt>
                <c:pt idx="78">
                  <c:v>-61</c:v>
                </c:pt>
                <c:pt idx="79">
                  <c:v>-60.5</c:v>
                </c:pt>
                <c:pt idx="80">
                  <c:v>-60</c:v>
                </c:pt>
                <c:pt idx="81">
                  <c:v>-59.5</c:v>
                </c:pt>
                <c:pt idx="82">
                  <c:v>-59</c:v>
                </c:pt>
                <c:pt idx="83">
                  <c:v>-58.5</c:v>
                </c:pt>
                <c:pt idx="84">
                  <c:v>-58</c:v>
                </c:pt>
                <c:pt idx="85">
                  <c:v>-57.5</c:v>
                </c:pt>
                <c:pt idx="86">
                  <c:v>-57</c:v>
                </c:pt>
                <c:pt idx="87">
                  <c:v>-56.5</c:v>
                </c:pt>
                <c:pt idx="88">
                  <c:v>-56</c:v>
                </c:pt>
                <c:pt idx="89">
                  <c:v>-55.5</c:v>
                </c:pt>
                <c:pt idx="90">
                  <c:v>-55</c:v>
                </c:pt>
                <c:pt idx="91">
                  <c:v>-54.5</c:v>
                </c:pt>
                <c:pt idx="92">
                  <c:v>-54</c:v>
                </c:pt>
                <c:pt idx="93">
                  <c:v>-53.5</c:v>
                </c:pt>
                <c:pt idx="94">
                  <c:v>-53</c:v>
                </c:pt>
                <c:pt idx="95">
                  <c:v>-52.5</c:v>
                </c:pt>
                <c:pt idx="96">
                  <c:v>-52</c:v>
                </c:pt>
                <c:pt idx="97">
                  <c:v>-51.5</c:v>
                </c:pt>
                <c:pt idx="98">
                  <c:v>-51</c:v>
                </c:pt>
                <c:pt idx="99">
                  <c:v>-50.5</c:v>
                </c:pt>
                <c:pt idx="100">
                  <c:v>-50</c:v>
                </c:pt>
                <c:pt idx="101">
                  <c:v>-49.5</c:v>
                </c:pt>
                <c:pt idx="102">
                  <c:v>-49</c:v>
                </c:pt>
                <c:pt idx="103">
                  <c:v>-48.5</c:v>
                </c:pt>
                <c:pt idx="104">
                  <c:v>-48</c:v>
                </c:pt>
                <c:pt idx="105">
                  <c:v>-47.5</c:v>
                </c:pt>
                <c:pt idx="106">
                  <c:v>-47</c:v>
                </c:pt>
                <c:pt idx="107">
                  <c:v>-46.5</c:v>
                </c:pt>
                <c:pt idx="108">
                  <c:v>-46</c:v>
                </c:pt>
                <c:pt idx="109">
                  <c:v>-45.5</c:v>
                </c:pt>
                <c:pt idx="110">
                  <c:v>-45</c:v>
                </c:pt>
                <c:pt idx="111">
                  <c:v>-44.5</c:v>
                </c:pt>
                <c:pt idx="112">
                  <c:v>-44</c:v>
                </c:pt>
                <c:pt idx="113">
                  <c:v>-43.5</c:v>
                </c:pt>
                <c:pt idx="114">
                  <c:v>-43</c:v>
                </c:pt>
                <c:pt idx="115">
                  <c:v>-42.5</c:v>
                </c:pt>
                <c:pt idx="116">
                  <c:v>-42</c:v>
                </c:pt>
                <c:pt idx="117">
                  <c:v>-41.5</c:v>
                </c:pt>
                <c:pt idx="118">
                  <c:v>-41</c:v>
                </c:pt>
                <c:pt idx="119">
                  <c:v>-40.5</c:v>
                </c:pt>
                <c:pt idx="120">
                  <c:v>-40</c:v>
                </c:pt>
                <c:pt idx="121">
                  <c:v>-39.5</c:v>
                </c:pt>
                <c:pt idx="122">
                  <c:v>-39</c:v>
                </c:pt>
                <c:pt idx="123">
                  <c:v>-38.5</c:v>
                </c:pt>
                <c:pt idx="124">
                  <c:v>-38</c:v>
                </c:pt>
                <c:pt idx="125">
                  <c:v>-37.5</c:v>
                </c:pt>
                <c:pt idx="126">
                  <c:v>-37</c:v>
                </c:pt>
                <c:pt idx="127">
                  <c:v>-36.5</c:v>
                </c:pt>
                <c:pt idx="128">
                  <c:v>-36</c:v>
                </c:pt>
                <c:pt idx="129">
                  <c:v>-35.5</c:v>
                </c:pt>
                <c:pt idx="130">
                  <c:v>-35</c:v>
                </c:pt>
                <c:pt idx="131">
                  <c:v>-34.5</c:v>
                </c:pt>
                <c:pt idx="132">
                  <c:v>-34</c:v>
                </c:pt>
                <c:pt idx="133">
                  <c:v>-33.5</c:v>
                </c:pt>
                <c:pt idx="134">
                  <c:v>-33</c:v>
                </c:pt>
                <c:pt idx="135">
                  <c:v>-32.5</c:v>
                </c:pt>
                <c:pt idx="136">
                  <c:v>-32</c:v>
                </c:pt>
                <c:pt idx="137">
                  <c:v>-31.5</c:v>
                </c:pt>
                <c:pt idx="138">
                  <c:v>-31</c:v>
                </c:pt>
                <c:pt idx="139">
                  <c:v>-30.5</c:v>
                </c:pt>
                <c:pt idx="140">
                  <c:v>-30</c:v>
                </c:pt>
                <c:pt idx="141">
                  <c:v>-29.5</c:v>
                </c:pt>
                <c:pt idx="142">
                  <c:v>-29</c:v>
                </c:pt>
                <c:pt idx="143">
                  <c:v>-28.5</c:v>
                </c:pt>
                <c:pt idx="144">
                  <c:v>-28</c:v>
                </c:pt>
                <c:pt idx="145">
                  <c:v>-27.5</c:v>
                </c:pt>
                <c:pt idx="146">
                  <c:v>-27</c:v>
                </c:pt>
                <c:pt idx="147">
                  <c:v>-26.5</c:v>
                </c:pt>
                <c:pt idx="148">
                  <c:v>-26</c:v>
                </c:pt>
                <c:pt idx="149">
                  <c:v>-25.5</c:v>
                </c:pt>
                <c:pt idx="150">
                  <c:v>-25</c:v>
                </c:pt>
                <c:pt idx="151">
                  <c:v>-24.5</c:v>
                </c:pt>
                <c:pt idx="152">
                  <c:v>-24</c:v>
                </c:pt>
                <c:pt idx="153">
                  <c:v>-23.5</c:v>
                </c:pt>
                <c:pt idx="154">
                  <c:v>-23</c:v>
                </c:pt>
                <c:pt idx="155">
                  <c:v>-22.5</c:v>
                </c:pt>
                <c:pt idx="156">
                  <c:v>-22</c:v>
                </c:pt>
                <c:pt idx="157">
                  <c:v>-21.5</c:v>
                </c:pt>
                <c:pt idx="158">
                  <c:v>-21</c:v>
                </c:pt>
                <c:pt idx="159">
                  <c:v>-20.5</c:v>
                </c:pt>
                <c:pt idx="160">
                  <c:v>-20</c:v>
                </c:pt>
                <c:pt idx="161">
                  <c:v>-19.5</c:v>
                </c:pt>
                <c:pt idx="162">
                  <c:v>-19</c:v>
                </c:pt>
                <c:pt idx="163">
                  <c:v>-18.5</c:v>
                </c:pt>
                <c:pt idx="164">
                  <c:v>-18</c:v>
                </c:pt>
                <c:pt idx="165">
                  <c:v>-17.5</c:v>
                </c:pt>
                <c:pt idx="166">
                  <c:v>-17</c:v>
                </c:pt>
                <c:pt idx="167">
                  <c:v>-16.5</c:v>
                </c:pt>
                <c:pt idx="168">
                  <c:v>-16</c:v>
                </c:pt>
                <c:pt idx="169">
                  <c:v>-15.5</c:v>
                </c:pt>
                <c:pt idx="170">
                  <c:v>-15</c:v>
                </c:pt>
                <c:pt idx="171">
                  <c:v>-14.5</c:v>
                </c:pt>
                <c:pt idx="172">
                  <c:v>-14</c:v>
                </c:pt>
                <c:pt idx="173">
                  <c:v>-13.5</c:v>
                </c:pt>
                <c:pt idx="174">
                  <c:v>-13</c:v>
                </c:pt>
                <c:pt idx="175">
                  <c:v>-12.5</c:v>
                </c:pt>
                <c:pt idx="176">
                  <c:v>-12</c:v>
                </c:pt>
                <c:pt idx="177">
                  <c:v>-11.5</c:v>
                </c:pt>
                <c:pt idx="178">
                  <c:v>-11</c:v>
                </c:pt>
                <c:pt idx="179">
                  <c:v>-10.5</c:v>
                </c:pt>
                <c:pt idx="180">
                  <c:v>-10</c:v>
                </c:pt>
                <c:pt idx="181">
                  <c:v>-9.5</c:v>
                </c:pt>
                <c:pt idx="182">
                  <c:v>-9</c:v>
                </c:pt>
                <c:pt idx="183">
                  <c:v>-8.5</c:v>
                </c:pt>
                <c:pt idx="184">
                  <c:v>-8</c:v>
                </c:pt>
                <c:pt idx="185">
                  <c:v>-7.5</c:v>
                </c:pt>
                <c:pt idx="186">
                  <c:v>-7</c:v>
                </c:pt>
                <c:pt idx="187">
                  <c:v>-6.5</c:v>
                </c:pt>
                <c:pt idx="188">
                  <c:v>-6</c:v>
                </c:pt>
                <c:pt idx="189">
                  <c:v>-5.5</c:v>
                </c:pt>
                <c:pt idx="190">
                  <c:v>-5</c:v>
                </c:pt>
                <c:pt idx="191">
                  <c:v>-4.5</c:v>
                </c:pt>
                <c:pt idx="192">
                  <c:v>-4</c:v>
                </c:pt>
                <c:pt idx="193">
                  <c:v>-3.5</c:v>
                </c:pt>
                <c:pt idx="194">
                  <c:v>-3</c:v>
                </c:pt>
                <c:pt idx="195">
                  <c:v>-2.5</c:v>
                </c:pt>
                <c:pt idx="196">
                  <c:v>-2</c:v>
                </c:pt>
                <c:pt idx="197">
                  <c:v>-1.5</c:v>
                </c:pt>
                <c:pt idx="198">
                  <c:v>-1</c:v>
                </c:pt>
                <c:pt idx="199">
                  <c:v>-0.5</c:v>
                </c:pt>
                <c:pt idx="200">
                  <c:v>0</c:v>
                </c:pt>
                <c:pt idx="201">
                  <c:v>0.5</c:v>
                </c:pt>
                <c:pt idx="202">
                  <c:v>1</c:v>
                </c:pt>
                <c:pt idx="203">
                  <c:v>1.5</c:v>
                </c:pt>
                <c:pt idx="204">
                  <c:v>2</c:v>
                </c:pt>
                <c:pt idx="205">
                  <c:v>2.5</c:v>
                </c:pt>
                <c:pt idx="206">
                  <c:v>3</c:v>
                </c:pt>
                <c:pt idx="207">
                  <c:v>3.5</c:v>
                </c:pt>
                <c:pt idx="208">
                  <c:v>4</c:v>
                </c:pt>
                <c:pt idx="209">
                  <c:v>4.5</c:v>
                </c:pt>
                <c:pt idx="210">
                  <c:v>5</c:v>
                </c:pt>
                <c:pt idx="211">
                  <c:v>5.5</c:v>
                </c:pt>
                <c:pt idx="212">
                  <c:v>6</c:v>
                </c:pt>
                <c:pt idx="213">
                  <c:v>6.5</c:v>
                </c:pt>
                <c:pt idx="214">
                  <c:v>7</c:v>
                </c:pt>
                <c:pt idx="215">
                  <c:v>7.5</c:v>
                </c:pt>
                <c:pt idx="216">
                  <c:v>8</c:v>
                </c:pt>
                <c:pt idx="217">
                  <c:v>8.5</c:v>
                </c:pt>
                <c:pt idx="218">
                  <c:v>9</c:v>
                </c:pt>
                <c:pt idx="219">
                  <c:v>9.5</c:v>
                </c:pt>
                <c:pt idx="220">
                  <c:v>10</c:v>
                </c:pt>
                <c:pt idx="221">
                  <c:v>10.5</c:v>
                </c:pt>
                <c:pt idx="222">
                  <c:v>11</c:v>
                </c:pt>
                <c:pt idx="223">
                  <c:v>11.5</c:v>
                </c:pt>
                <c:pt idx="224">
                  <c:v>12</c:v>
                </c:pt>
                <c:pt idx="225">
                  <c:v>12.5</c:v>
                </c:pt>
                <c:pt idx="226">
                  <c:v>13</c:v>
                </c:pt>
                <c:pt idx="227">
                  <c:v>13.5</c:v>
                </c:pt>
                <c:pt idx="228">
                  <c:v>14</c:v>
                </c:pt>
                <c:pt idx="229">
                  <c:v>14.5</c:v>
                </c:pt>
                <c:pt idx="230">
                  <c:v>15</c:v>
                </c:pt>
                <c:pt idx="231">
                  <c:v>15.5</c:v>
                </c:pt>
                <c:pt idx="232">
                  <c:v>16</c:v>
                </c:pt>
                <c:pt idx="233">
                  <c:v>16.5</c:v>
                </c:pt>
                <c:pt idx="234">
                  <c:v>17</c:v>
                </c:pt>
                <c:pt idx="235">
                  <c:v>17.5</c:v>
                </c:pt>
                <c:pt idx="236">
                  <c:v>18</c:v>
                </c:pt>
                <c:pt idx="237">
                  <c:v>18.5</c:v>
                </c:pt>
                <c:pt idx="238">
                  <c:v>19</c:v>
                </c:pt>
                <c:pt idx="239">
                  <c:v>19.5</c:v>
                </c:pt>
                <c:pt idx="240">
                  <c:v>20</c:v>
                </c:pt>
                <c:pt idx="241">
                  <c:v>20.5</c:v>
                </c:pt>
                <c:pt idx="242">
                  <c:v>21</c:v>
                </c:pt>
                <c:pt idx="243">
                  <c:v>21.5</c:v>
                </c:pt>
                <c:pt idx="244">
                  <c:v>22</c:v>
                </c:pt>
                <c:pt idx="245">
                  <c:v>22.5</c:v>
                </c:pt>
                <c:pt idx="246">
                  <c:v>23</c:v>
                </c:pt>
                <c:pt idx="247">
                  <c:v>23.5</c:v>
                </c:pt>
                <c:pt idx="248">
                  <c:v>24</c:v>
                </c:pt>
                <c:pt idx="249">
                  <c:v>24.5</c:v>
                </c:pt>
                <c:pt idx="250">
                  <c:v>25</c:v>
                </c:pt>
                <c:pt idx="251">
                  <c:v>25.5</c:v>
                </c:pt>
                <c:pt idx="252">
                  <c:v>26</c:v>
                </c:pt>
                <c:pt idx="253">
                  <c:v>26.5</c:v>
                </c:pt>
                <c:pt idx="254">
                  <c:v>27</c:v>
                </c:pt>
                <c:pt idx="255">
                  <c:v>27.5</c:v>
                </c:pt>
                <c:pt idx="256">
                  <c:v>28</c:v>
                </c:pt>
                <c:pt idx="257">
                  <c:v>28.5</c:v>
                </c:pt>
                <c:pt idx="258">
                  <c:v>29</c:v>
                </c:pt>
                <c:pt idx="259">
                  <c:v>29.5</c:v>
                </c:pt>
                <c:pt idx="260">
                  <c:v>30</c:v>
                </c:pt>
                <c:pt idx="261">
                  <c:v>30.5</c:v>
                </c:pt>
                <c:pt idx="262">
                  <c:v>31</c:v>
                </c:pt>
                <c:pt idx="263">
                  <c:v>31.5</c:v>
                </c:pt>
                <c:pt idx="264">
                  <c:v>32</c:v>
                </c:pt>
                <c:pt idx="265">
                  <c:v>32.5</c:v>
                </c:pt>
                <c:pt idx="266">
                  <c:v>33</c:v>
                </c:pt>
                <c:pt idx="267">
                  <c:v>33.5</c:v>
                </c:pt>
                <c:pt idx="268">
                  <c:v>34</c:v>
                </c:pt>
                <c:pt idx="269">
                  <c:v>34.5</c:v>
                </c:pt>
                <c:pt idx="270">
                  <c:v>35</c:v>
                </c:pt>
                <c:pt idx="271">
                  <c:v>35.5</c:v>
                </c:pt>
                <c:pt idx="272">
                  <c:v>36</c:v>
                </c:pt>
                <c:pt idx="273">
                  <c:v>36.5</c:v>
                </c:pt>
                <c:pt idx="274">
                  <c:v>37</c:v>
                </c:pt>
                <c:pt idx="275">
                  <c:v>37.5</c:v>
                </c:pt>
                <c:pt idx="276">
                  <c:v>38</c:v>
                </c:pt>
                <c:pt idx="277">
                  <c:v>38.5</c:v>
                </c:pt>
                <c:pt idx="278">
                  <c:v>39</c:v>
                </c:pt>
                <c:pt idx="279">
                  <c:v>39.5</c:v>
                </c:pt>
                <c:pt idx="280">
                  <c:v>40</c:v>
                </c:pt>
                <c:pt idx="281">
                  <c:v>40.5</c:v>
                </c:pt>
                <c:pt idx="282">
                  <c:v>41</c:v>
                </c:pt>
                <c:pt idx="283">
                  <c:v>41.5</c:v>
                </c:pt>
                <c:pt idx="284">
                  <c:v>42</c:v>
                </c:pt>
                <c:pt idx="285">
                  <c:v>42.5</c:v>
                </c:pt>
                <c:pt idx="286">
                  <c:v>43</c:v>
                </c:pt>
                <c:pt idx="287">
                  <c:v>43.5</c:v>
                </c:pt>
                <c:pt idx="288">
                  <c:v>44</c:v>
                </c:pt>
                <c:pt idx="289">
                  <c:v>44.5</c:v>
                </c:pt>
                <c:pt idx="290">
                  <c:v>45</c:v>
                </c:pt>
                <c:pt idx="291">
                  <c:v>45.5</c:v>
                </c:pt>
                <c:pt idx="292">
                  <c:v>46</c:v>
                </c:pt>
                <c:pt idx="293">
                  <c:v>46.5</c:v>
                </c:pt>
                <c:pt idx="294">
                  <c:v>47</c:v>
                </c:pt>
                <c:pt idx="295">
                  <c:v>47.5</c:v>
                </c:pt>
                <c:pt idx="296">
                  <c:v>48</c:v>
                </c:pt>
                <c:pt idx="297">
                  <c:v>48.5</c:v>
                </c:pt>
                <c:pt idx="298">
                  <c:v>49</c:v>
                </c:pt>
                <c:pt idx="299">
                  <c:v>49.5</c:v>
                </c:pt>
                <c:pt idx="300">
                  <c:v>50</c:v>
                </c:pt>
                <c:pt idx="301">
                  <c:v>50.5</c:v>
                </c:pt>
                <c:pt idx="302">
                  <c:v>51</c:v>
                </c:pt>
                <c:pt idx="303">
                  <c:v>51.5</c:v>
                </c:pt>
                <c:pt idx="304">
                  <c:v>52</c:v>
                </c:pt>
                <c:pt idx="305">
                  <c:v>52.5</c:v>
                </c:pt>
                <c:pt idx="306">
                  <c:v>53</c:v>
                </c:pt>
                <c:pt idx="307">
                  <c:v>53.5</c:v>
                </c:pt>
                <c:pt idx="308">
                  <c:v>54</c:v>
                </c:pt>
                <c:pt idx="309">
                  <c:v>54.5</c:v>
                </c:pt>
                <c:pt idx="310">
                  <c:v>55</c:v>
                </c:pt>
                <c:pt idx="311">
                  <c:v>55.5</c:v>
                </c:pt>
                <c:pt idx="312">
                  <c:v>56</c:v>
                </c:pt>
                <c:pt idx="313">
                  <c:v>56.5</c:v>
                </c:pt>
                <c:pt idx="314">
                  <c:v>57</c:v>
                </c:pt>
                <c:pt idx="315">
                  <c:v>57.5</c:v>
                </c:pt>
                <c:pt idx="316">
                  <c:v>58</c:v>
                </c:pt>
                <c:pt idx="317">
                  <c:v>58.5</c:v>
                </c:pt>
                <c:pt idx="318">
                  <c:v>59</c:v>
                </c:pt>
                <c:pt idx="319">
                  <c:v>59.5</c:v>
                </c:pt>
                <c:pt idx="320">
                  <c:v>60</c:v>
                </c:pt>
                <c:pt idx="321">
                  <c:v>60.5</c:v>
                </c:pt>
                <c:pt idx="322">
                  <c:v>61</c:v>
                </c:pt>
                <c:pt idx="323">
                  <c:v>61.5</c:v>
                </c:pt>
                <c:pt idx="324">
                  <c:v>62</c:v>
                </c:pt>
                <c:pt idx="325">
                  <c:v>62.5</c:v>
                </c:pt>
                <c:pt idx="326">
                  <c:v>63</c:v>
                </c:pt>
                <c:pt idx="327">
                  <c:v>63.5</c:v>
                </c:pt>
                <c:pt idx="328">
                  <c:v>64</c:v>
                </c:pt>
                <c:pt idx="329">
                  <c:v>64.5</c:v>
                </c:pt>
                <c:pt idx="330">
                  <c:v>65</c:v>
                </c:pt>
                <c:pt idx="331">
                  <c:v>65.5</c:v>
                </c:pt>
                <c:pt idx="332">
                  <c:v>66</c:v>
                </c:pt>
                <c:pt idx="333">
                  <c:v>66.5</c:v>
                </c:pt>
                <c:pt idx="334">
                  <c:v>67</c:v>
                </c:pt>
                <c:pt idx="335">
                  <c:v>67.5</c:v>
                </c:pt>
                <c:pt idx="336">
                  <c:v>68</c:v>
                </c:pt>
                <c:pt idx="337">
                  <c:v>68.5</c:v>
                </c:pt>
                <c:pt idx="338">
                  <c:v>69</c:v>
                </c:pt>
                <c:pt idx="339">
                  <c:v>69.5</c:v>
                </c:pt>
                <c:pt idx="340">
                  <c:v>70</c:v>
                </c:pt>
                <c:pt idx="341">
                  <c:v>70.5</c:v>
                </c:pt>
                <c:pt idx="342">
                  <c:v>71</c:v>
                </c:pt>
                <c:pt idx="343">
                  <c:v>71.5</c:v>
                </c:pt>
                <c:pt idx="344">
                  <c:v>72</c:v>
                </c:pt>
                <c:pt idx="345">
                  <c:v>72.5</c:v>
                </c:pt>
                <c:pt idx="346">
                  <c:v>73</c:v>
                </c:pt>
                <c:pt idx="347">
                  <c:v>73.5</c:v>
                </c:pt>
                <c:pt idx="348">
                  <c:v>74</c:v>
                </c:pt>
                <c:pt idx="349">
                  <c:v>74.5</c:v>
                </c:pt>
                <c:pt idx="350">
                  <c:v>75</c:v>
                </c:pt>
                <c:pt idx="351">
                  <c:v>75.5</c:v>
                </c:pt>
                <c:pt idx="352">
                  <c:v>76</c:v>
                </c:pt>
                <c:pt idx="353">
                  <c:v>76.5</c:v>
                </c:pt>
                <c:pt idx="354">
                  <c:v>77</c:v>
                </c:pt>
                <c:pt idx="355">
                  <c:v>77.5</c:v>
                </c:pt>
                <c:pt idx="356">
                  <c:v>78</c:v>
                </c:pt>
                <c:pt idx="357">
                  <c:v>78.5</c:v>
                </c:pt>
                <c:pt idx="358">
                  <c:v>79</c:v>
                </c:pt>
                <c:pt idx="359">
                  <c:v>79.5</c:v>
                </c:pt>
                <c:pt idx="360">
                  <c:v>80</c:v>
                </c:pt>
                <c:pt idx="361">
                  <c:v>80.5</c:v>
                </c:pt>
                <c:pt idx="362">
                  <c:v>81</c:v>
                </c:pt>
                <c:pt idx="363">
                  <c:v>81.5</c:v>
                </c:pt>
                <c:pt idx="364">
                  <c:v>82</c:v>
                </c:pt>
                <c:pt idx="365">
                  <c:v>82.5</c:v>
                </c:pt>
                <c:pt idx="366">
                  <c:v>83</c:v>
                </c:pt>
                <c:pt idx="367">
                  <c:v>83.5</c:v>
                </c:pt>
                <c:pt idx="368">
                  <c:v>84</c:v>
                </c:pt>
                <c:pt idx="369">
                  <c:v>84.5</c:v>
                </c:pt>
                <c:pt idx="370">
                  <c:v>85</c:v>
                </c:pt>
                <c:pt idx="371">
                  <c:v>85.5</c:v>
                </c:pt>
                <c:pt idx="372">
                  <c:v>86</c:v>
                </c:pt>
                <c:pt idx="373">
                  <c:v>86.5</c:v>
                </c:pt>
                <c:pt idx="374">
                  <c:v>87</c:v>
                </c:pt>
                <c:pt idx="375">
                  <c:v>87.5</c:v>
                </c:pt>
                <c:pt idx="376">
                  <c:v>88</c:v>
                </c:pt>
                <c:pt idx="377">
                  <c:v>88.5</c:v>
                </c:pt>
                <c:pt idx="378">
                  <c:v>89</c:v>
                </c:pt>
                <c:pt idx="379">
                  <c:v>89.5</c:v>
                </c:pt>
                <c:pt idx="380">
                  <c:v>90</c:v>
                </c:pt>
                <c:pt idx="381">
                  <c:v>90.5</c:v>
                </c:pt>
                <c:pt idx="382">
                  <c:v>91</c:v>
                </c:pt>
                <c:pt idx="383">
                  <c:v>91.5</c:v>
                </c:pt>
                <c:pt idx="384">
                  <c:v>92</c:v>
                </c:pt>
                <c:pt idx="385">
                  <c:v>92.5</c:v>
                </c:pt>
                <c:pt idx="386">
                  <c:v>93</c:v>
                </c:pt>
                <c:pt idx="387">
                  <c:v>93.5</c:v>
                </c:pt>
                <c:pt idx="388">
                  <c:v>94</c:v>
                </c:pt>
                <c:pt idx="389">
                  <c:v>94.5</c:v>
                </c:pt>
                <c:pt idx="390">
                  <c:v>95</c:v>
                </c:pt>
                <c:pt idx="391">
                  <c:v>95.5</c:v>
                </c:pt>
                <c:pt idx="392">
                  <c:v>96</c:v>
                </c:pt>
                <c:pt idx="393">
                  <c:v>96.5</c:v>
                </c:pt>
                <c:pt idx="394">
                  <c:v>97</c:v>
                </c:pt>
                <c:pt idx="395">
                  <c:v>97.5</c:v>
                </c:pt>
                <c:pt idx="396">
                  <c:v>98</c:v>
                </c:pt>
                <c:pt idx="397">
                  <c:v>98.5</c:v>
                </c:pt>
                <c:pt idx="398">
                  <c:v>99</c:v>
                </c:pt>
                <c:pt idx="399">
                  <c:v>99.5</c:v>
                </c:pt>
                <c:pt idx="400">
                  <c:v>100</c:v>
                </c:pt>
              </c:numCache>
            </c:numRef>
          </c:xVal>
          <c:yVal>
            <c:numRef>
              <c:f>Sheet1!$E$2:$E$402</c:f>
              <c:numCache>
                <c:formatCode>General</c:formatCode>
                <c:ptCount val="401"/>
                <c:pt idx="0">
                  <c:v>0.15190969233292764</c:v>
                </c:pt>
                <c:pt idx="1">
                  <c:v>0.2573386039120365</c:v>
                </c:pt>
                <c:pt idx="2">
                  <c:v>0.29976205025590608</c:v>
                </c:pt>
                <c:pt idx="3">
                  <c:v>0.26879329213014097</c:v>
                </c:pt>
                <c:pt idx="4">
                  <c:v>0.17201456159712686</c:v>
                </c:pt>
                <c:pt idx="5">
                  <c:v>3.3120667167570846E-2</c:v>
                </c:pt>
                <c:pt idx="6">
                  <c:v>-0.1138823217082565</c:v>
                </c:pt>
                <c:pt idx="7">
                  <c:v>-0.23300294644508157</c:v>
                </c:pt>
                <c:pt idx="8">
                  <c:v>-0.29507632363030345</c:v>
                </c:pt>
                <c:pt idx="9">
                  <c:v>-0.28490472564426728</c:v>
                </c:pt>
                <c:pt idx="10">
                  <c:v>-0.20497851442083628</c:v>
                </c:pt>
                <c:pt idx="11">
                  <c:v>-7.4866413991573136E-2</c:v>
                </c:pt>
                <c:pt idx="12">
                  <c:v>7.3575595640296296E-2</c:v>
                </c:pt>
                <c:pt idx="13">
                  <c:v>0.20400373342081585</c:v>
                </c:pt>
                <c:pt idx="14">
                  <c:v>0.28448464238098414</c:v>
                </c:pt>
                <c:pt idx="15">
                  <c:v>0.29531378913752532</c:v>
                </c:pt>
                <c:pt idx="16">
                  <c:v>0.2338398208847414</c:v>
                </c:pt>
                <c:pt idx="17">
                  <c:v>0.11511370903050916</c:v>
                </c:pt>
                <c:pt idx="18">
                  <c:v>-3.1796253525347054E-2</c:v>
                </c:pt>
                <c:pt idx="19">
                  <c:v>-0.17092138428508891</c:v>
                </c:pt>
                <c:pt idx="20">
                  <c:v>-0.26819899908016737</c:v>
                </c:pt>
                <c:pt idx="21">
                  <c:v>-0.2998121451333251</c:v>
                </c:pt>
                <c:pt idx="22">
                  <c:v>-0.25802082174373597</c:v>
                </c:pt>
                <c:pt idx="23">
                  <c:v>-0.15305700240052891</c:v>
                </c:pt>
                <c:pt idx="24">
                  <c:v>-1.0619490820098203E-2</c:v>
                </c:pt>
                <c:pt idx="25">
                  <c:v>0.13441804248078273</c:v>
                </c:pt>
                <c:pt idx="26">
                  <c:v>0.24654535098924674</c:v>
                </c:pt>
                <c:pt idx="27">
                  <c:v>0.29830975900582585</c:v>
                </c:pt>
                <c:pt idx="28">
                  <c:v>0.2770375341012179</c:v>
                </c:pt>
                <c:pt idx="29">
                  <c:v>0.18793685882685079</c:v>
                </c:pt>
                <c:pt idx="30">
                  <c:v>5.2822685984576123E-2</c:v>
                </c:pt>
                <c:pt idx="31">
                  <c:v>-9.522432264230081E-2</c:v>
                </c:pt>
                <c:pt idx="32">
                  <c:v>-0.21995709602198765</c:v>
                </c:pt>
                <c:pt idx="33">
                  <c:v>-0.29083670102358444</c:v>
                </c:pt>
                <c:pt idx="34">
                  <c:v>-0.2905093383300556</c:v>
                </c:pt>
                <c:pt idx="35">
                  <c:v>-0.21905515774595005</c:v>
                </c:pt>
                <c:pt idx="36">
                  <c:v>-9.3968634729925546E-2</c:v>
                </c:pt>
                <c:pt idx="37">
                  <c:v>5.4124687338692641E-2</c:v>
                </c:pt>
                <c:pt idx="38">
                  <c:v>0.18896639828233616</c:v>
                </c:pt>
                <c:pt idx="39">
                  <c:v>0.27754254449292554</c:v>
                </c:pt>
                <c:pt idx="40">
                  <c:v>0.29816659617701258</c:v>
                </c:pt>
                <c:pt idx="41">
                  <c:v>0.24578906619338423</c:v>
                </c:pt>
                <c:pt idx="42">
                  <c:v>0.13323380061225251</c:v>
                </c:pt>
                <c:pt idx="43">
                  <c:v>-1.1941746050000897E-2</c:v>
                </c:pt>
                <c:pt idx="44">
                  <c:v>-0.15419353679626055</c:v>
                </c:pt>
                <c:pt idx="45">
                  <c:v>-0.25869337204719867</c:v>
                </c:pt>
                <c:pt idx="46">
                  <c:v>-0.29985604757421935</c:v>
                </c:pt>
                <c:pt idx="47">
                  <c:v>-0.26760350480981115</c:v>
                </c:pt>
                <c:pt idx="48">
                  <c:v>-0.16983229106945411</c:v>
                </c:pt>
                <c:pt idx="49">
                  <c:v>-3.0480209367074851E-2</c:v>
                </c:pt>
                <c:pt idx="50">
                  <c:v>0.11633449062282913</c:v>
                </c:pt>
                <c:pt idx="51">
                  <c:v>0.2346664500010627</c:v>
                </c:pt>
                <c:pt idx="52">
                  <c:v>0.29554387814047423</c:v>
                </c:pt>
                <c:pt idx="53">
                  <c:v>0.28406185745800427</c:v>
                </c:pt>
                <c:pt idx="54">
                  <c:v>0.20303158706619229</c:v>
                </c:pt>
                <c:pt idx="55">
                  <c:v>7.2292103186430326E-2</c:v>
                </c:pt>
                <c:pt idx="56">
                  <c:v>-7.6147008828610876E-2</c:v>
                </c:pt>
                <c:pt idx="57">
                  <c:v>-0.20594267736263266</c:v>
                </c:pt>
                <c:pt idx="58">
                  <c:v>-0.28531639597631236</c:v>
                </c:pt>
                <c:pt idx="59">
                  <c:v>-0.29483471009780782</c:v>
                </c:pt>
                <c:pt idx="60">
                  <c:v>-0.23216720446736672</c:v>
                </c:pt>
                <c:pt idx="61">
                  <c:v>-0.11265707006898751</c:v>
                </c:pt>
                <c:pt idx="62">
                  <c:v>3.4435444134956167E-2</c:v>
                </c:pt>
                <c:pt idx="63">
                  <c:v>0.1730969606365628</c:v>
                </c:pt>
                <c:pt idx="64">
                  <c:v>0.26937830420678738</c:v>
                </c:pt>
                <c:pt idx="65">
                  <c:v>0.29970644401039048</c:v>
                </c:pt>
                <c:pt idx="66">
                  <c:v>0.25665599369259667</c:v>
                </c:pt>
                <c:pt idx="67">
                  <c:v>0.15076720492814619</c:v>
                </c:pt>
                <c:pt idx="68">
                  <c:v>7.9653462071900376E-3</c:v>
                </c:pt>
                <c:pt idx="69">
                  <c:v>-0.13678670706644699</c:v>
                </c:pt>
                <c:pt idx="70">
                  <c:v>-0.24804860384703101</c:v>
                </c:pt>
                <c:pt idx="71">
                  <c:v>-0.29857955140836828</c:v>
                </c:pt>
                <c:pt idx="72">
                  <c:v>-0.27600781145903719</c:v>
                </c:pt>
                <c:pt idx="73">
                  <c:v>-0.18585973315558535</c:v>
                </c:pt>
                <c:pt idx="74">
                  <c:v>-5.0206710090842072E-2</c:v>
                </c:pt>
                <c:pt idx="75">
                  <c:v>9.7738666624368517E-2</c:v>
                </c:pt>
                <c:pt idx="76">
                  <c:v>0.22175420899476683</c:v>
                </c:pt>
                <c:pt idx="77">
                  <c:v>0.29147658705483276</c:v>
                </c:pt>
                <c:pt idx="78">
                  <c:v>0.28983533100251785</c:v>
                </c:pt>
                <c:pt idx="79">
                  <c:v>0.21723227756023486</c:v>
                </c:pt>
                <c:pt idx="80">
                  <c:v>9.1443186330665005E-2</c:v>
                </c:pt>
                <c:pt idx="81">
                  <c:v>-5.6734386105267452E-2</c:v>
                </c:pt>
                <c:pt idx="82">
                  <c:v>-0.19102140214174135</c:v>
                </c:pt>
                <c:pt idx="83">
                  <c:v>-0.27853971682961359</c:v>
                </c:pt>
                <c:pt idx="84">
                  <c:v>-0.29786179442536115</c:v>
                </c:pt>
                <c:pt idx="85">
                  <c:v>-0.24425691645253034</c:v>
                </c:pt>
                <c:pt idx="86">
                  <c:v>-0.13084942657434748</c:v>
                </c:pt>
                <c:pt idx="87">
                  <c:v>1.4594566462526179E-2</c:v>
                </c:pt>
                <c:pt idx="88">
                  <c:v>0.15646530062607356</c:v>
                </c:pt>
                <c:pt idx="89">
                  <c:v>0.26002787227822777</c:v>
                </c:pt>
                <c:pt idx="90">
                  <c:v>0.29992655200758594</c:v>
                </c:pt>
                <c:pt idx="91">
                  <c:v>0.26639275150129899</c:v>
                </c:pt>
                <c:pt idx="92">
                  <c:v>0.16763671465548488</c:v>
                </c:pt>
                <c:pt idx="93">
                  <c:v>2.7837363527192606E-2</c:v>
                </c:pt>
                <c:pt idx="94">
                  <c:v>-0.11877754505455024</c:v>
                </c:pt>
                <c:pt idx="95">
                  <c:v>-0.23631156809523537</c:v>
                </c:pt>
                <c:pt idx="96">
                  <c:v>-0.29598827761214558</c:v>
                </c:pt>
                <c:pt idx="97">
                  <c:v>-0.2831967338175358</c:v>
                </c:pt>
                <c:pt idx="98">
                  <c:v>-0.20106875275301242</c:v>
                </c:pt>
                <c:pt idx="99">
                  <c:v>-6.9712128496645362E-2</c:v>
                </c:pt>
                <c:pt idx="100">
                  <c:v>7.8712456111178622E-2</c:v>
                </c:pt>
                <c:pt idx="101">
                  <c:v>0.2078654862701087</c:v>
                </c:pt>
                <c:pt idx="102">
                  <c:v>0.28612579582784153</c:v>
                </c:pt>
                <c:pt idx="103">
                  <c:v>0.29433253158092909</c:v>
                </c:pt>
                <c:pt idx="104">
                  <c:v>0.23047639839710005</c:v>
                </c:pt>
                <c:pt idx="105">
                  <c:v>0.1101916047402574</c:v>
                </c:pt>
                <c:pt idx="106">
                  <c:v>-3.70719368235672E-2</c:v>
                </c:pt>
                <c:pt idx="107">
                  <c:v>-0.17525897532398568</c:v>
                </c:pt>
                <c:pt idx="108">
                  <c:v>-0.27053650429464277</c:v>
                </c:pt>
                <c:pt idx="109">
                  <c:v>-0.29957726172353111</c:v>
                </c:pt>
                <c:pt idx="110">
                  <c:v>-0.25527105736023553</c:v>
                </c:pt>
                <c:pt idx="111">
                  <c:v>-0.14846559526578842</c:v>
                </c:pt>
                <c:pt idx="112">
                  <c:v>-5.3105775316240732E-3</c:v>
                </c:pt>
                <c:pt idx="113">
                  <c:v>0.1391446547951482</c:v>
                </c:pt>
                <c:pt idx="114">
                  <c:v>0.24953242278857948</c:v>
                </c:pt>
                <c:pt idx="115">
                  <c:v>0.29882595093587822</c:v>
                </c:pt>
                <c:pt idx="116">
                  <c:v>0.27495646437469012</c:v>
                </c:pt>
                <c:pt idx="117">
                  <c:v>0.18376804589264092</c:v>
                </c:pt>
                <c:pt idx="118">
                  <c:v>4.7586800641412692E-2</c:v>
                </c:pt>
                <c:pt idx="119">
                  <c:v>-0.10024535305452616</c:v>
                </c:pt>
                <c:pt idx="120">
                  <c:v>-0.22353394814380464</c:v>
                </c:pt>
                <c:pt idx="121">
                  <c:v>-0.29209363670849342</c:v>
                </c:pt>
                <c:pt idx="122">
                  <c:v>-0.28913861588522632</c:v>
                </c:pt>
                <c:pt idx="123">
                  <c:v>-0.21539237783149323</c:v>
                </c:pt>
                <c:pt idx="124">
                  <c:v>-8.8910573612815597E-2</c:v>
                </c:pt>
                <c:pt idx="125">
                  <c:v>5.9339639890938677E-2</c:v>
                </c:pt>
                <c:pt idx="126">
                  <c:v>0.19306144000709985</c:v>
                </c:pt>
                <c:pt idx="127">
                  <c:v>0.27951506635641166</c:v>
                </c:pt>
                <c:pt idx="128">
                  <c:v>0.29753365603293475</c:v>
                </c:pt>
                <c:pt idx="129">
                  <c:v>0.24270562986357194</c:v>
                </c:pt>
                <c:pt idx="130">
                  <c:v>0.12845480084884531</c:v>
                </c:pt>
                <c:pt idx="131">
                  <c:v>-1.7246243431477369E-2</c:v>
                </c:pt>
                <c:pt idx="132">
                  <c:v>-0.15872480583600715</c:v>
                </c:pt>
                <c:pt idx="133">
                  <c:v>-0.26134200005075292</c:v>
                </c:pt>
                <c:pt idx="134">
                  <c:v>-0.29997355803218012</c:v>
                </c:pt>
                <c:pt idx="135">
                  <c:v>-0.26516112706374917</c:v>
                </c:pt>
                <c:pt idx="136">
                  <c:v>-0.16542800437250718</c:v>
                </c:pt>
                <c:pt idx="137">
                  <c:v>-2.5192336707524049E-2</c:v>
                </c:pt>
                <c:pt idx="138">
                  <c:v>0.1212112935969195</c:v>
                </c:pt>
                <c:pt idx="139">
                  <c:v>0.23793817183718552</c:v>
                </c:pt>
                <c:pt idx="140">
                  <c:v>0.29640948722785854</c:v>
                </c:pt>
                <c:pt idx="141">
                  <c:v>0.28230942250288604</c:v>
                </c:pt>
                <c:pt idx="142">
                  <c:v>0.19909016526389026</c:v>
                </c:pt>
                <c:pt idx="143">
                  <c:v>6.7126692056038925E-2</c:v>
                </c:pt>
                <c:pt idx="144">
                  <c:v>-8.1271736492360705E-2</c:v>
                </c:pt>
                <c:pt idx="145">
                  <c:v>-0.20977200949652933</c:v>
                </c:pt>
                <c:pt idx="146">
                  <c:v>-0.28691277852135089</c:v>
                </c:pt>
                <c:pt idx="147">
                  <c:v>-0.29380729293117508</c:v>
                </c:pt>
                <c:pt idx="148">
                  <c:v>-0.22876753514388079</c:v>
                </c:pt>
                <c:pt idx="149">
                  <c:v>-0.10771750620665048</c:v>
                </c:pt>
                <c:pt idx="150">
                  <c:v>3.970552502933191E-2</c:v>
                </c:pt>
                <c:pt idx="151">
                  <c:v>0.1774072589595373</c:v>
                </c:pt>
                <c:pt idx="152">
                  <c:v>0.27167350860198713</c:v>
                </c:pt>
                <c:pt idx="153">
                  <c:v>0.29942460839381885</c:v>
                </c:pt>
                <c:pt idx="154">
                  <c:v>0.2538661212525512</c:v>
                </c:pt>
                <c:pt idx="155">
                  <c:v>0.14615235373815286</c:v>
                </c:pt>
                <c:pt idx="156">
                  <c:v>2.6553927871211629E-3</c:v>
                </c:pt>
                <c:pt idx="157">
                  <c:v>-0.14149170092825883</c:v>
                </c:pt>
                <c:pt idx="158">
                  <c:v>-0.25099669156081683</c:v>
                </c:pt>
                <c:pt idx="159">
                  <c:v>-0.29904893828363976</c:v>
                </c:pt>
                <c:pt idx="160">
                  <c:v>-0.27388357521828827</c:v>
                </c:pt>
                <c:pt idx="161">
                  <c:v>-0.1816619609158803</c:v>
                </c:pt>
                <c:pt idx="162">
                  <c:v>-4.4963162898885703E-2</c:v>
                </c:pt>
                <c:pt idx="163">
                  <c:v>0.10274418554088376</c:v>
                </c:pt>
                <c:pt idx="164">
                  <c:v>0.22529617403150282</c:v>
                </c:pt>
                <c:pt idx="165">
                  <c:v>0.29268780164044728</c:v>
                </c:pt>
                <c:pt idx="166">
                  <c:v>0.28841924756386705</c:v>
                </c:pt>
                <c:pt idx="167">
                  <c:v>0.2135356027107369</c:v>
                </c:pt>
                <c:pt idx="168">
                  <c:v>8.6370994999519585E-2</c:v>
                </c:pt>
                <c:pt idx="169">
                  <c:v>-6.1940244581338975E-2</c:v>
                </c:pt>
                <c:pt idx="170">
                  <c:v>-0.19508635204713504</c:v>
                </c:pt>
                <c:pt idx="171">
                  <c:v>-0.28046851665740491</c:v>
                </c:pt>
                <c:pt idx="172">
                  <c:v>-0.29718220670846107</c:v>
                </c:pt>
                <c:pt idx="173">
                  <c:v>-0.24113532796548628</c:v>
                </c:pt>
                <c:pt idx="174">
                  <c:v>-0.12605011104799227</c:v>
                </c:pt>
                <c:pt idx="175">
                  <c:v>1.9896569205360204E-2</c:v>
                </c:pt>
                <c:pt idx="176">
                  <c:v>0.16097187540013047</c:v>
                </c:pt>
                <c:pt idx="177">
                  <c:v>0.26263565240652853</c:v>
                </c:pt>
                <c:pt idx="178">
                  <c:v>0.29999706196521103</c:v>
                </c:pt>
                <c:pt idx="179">
                  <c:v>0.263908727991501</c:v>
                </c:pt>
                <c:pt idx="180">
                  <c:v>0.16320633326681092</c:v>
                </c:pt>
                <c:pt idx="181">
                  <c:v>2.2545336138542791E-2</c:v>
                </c:pt>
                <c:pt idx="182">
                  <c:v>-0.12363554557252697</c:v>
                </c:pt>
                <c:pt idx="183">
                  <c:v>-0.23954613378704706</c:v>
                </c:pt>
                <c:pt idx="184">
                  <c:v>-0.29680747398701451</c:v>
                </c:pt>
                <c:pt idx="185">
                  <c:v>-0.28139999303242164</c:v>
                </c:pt>
                <c:pt idx="186">
                  <c:v>-0.19709597961563671</c:v>
                </c:pt>
                <c:pt idx="187">
                  <c:v>-6.4535996426344652E-2</c:v>
                </c:pt>
                <c:pt idx="188">
                  <c:v>8.3824649459677755E-2</c:v>
                </c:pt>
                <c:pt idx="189">
                  <c:v>0.21166209767111757</c:v>
                </c:pt>
                <c:pt idx="190">
                  <c:v>0.28767728239894153</c:v>
                </c:pt>
                <c:pt idx="191">
                  <c:v>0.29325903529952907</c:v>
                </c:pt>
                <c:pt idx="192">
                  <c:v>0.22704074859237844</c:v>
                </c:pt>
                <c:pt idx="193">
                  <c:v>0.10523496830688595</c:v>
                </c:pt>
                <c:pt idx="194">
                  <c:v>-4.2336002417960164E-2</c:v>
                </c:pt>
                <c:pt idx="195">
                  <c:v>-0.17954164323118696</c:v>
                </c:pt>
                <c:pt idx="196">
                  <c:v>-0.2727892280477045</c:v>
                </c:pt>
                <c:pt idx="197">
                  <c:v>-0.29924849598121633</c:v>
                </c:pt>
                <c:pt idx="198">
                  <c:v>-0.25244129544236893</c:v>
                </c:pt>
                <c:pt idx="199">
                  <c:v>-0.1438276615812609</c:v>
                </c:pt>
                <c:pt idx="200">
                  <c:v>0</c:v>
                </c:pt>
                <c:pt idx="201">
                  <c:v>0.1438276615812609</c:v>
                </c:pt>
                <c:pt idx="202">
                  <c:v>0.25244129544236893</c:v>
                </c:pt>
                <c:pt idx="203">
                  <c:v>0.29924849598121633</c:v>
                </c:pt>
                <c:pt idx="204">
                  <c:v>0.2727892280477045</c:v>
                </c:pt>
                <c:pt idx="205">
                  <c:v>0.17954164323118696</c:v>
                </c:pt>
                <c:pt idx="206">
                  <c:v>4.2336002417960164E-2</c:v>
                </c:pt>
                <c:pt idx="207">
                  <c:v>-0.10523496830688595</c:v>
                </c:pt>
                <c:pt idx="208">
                  <c:v>-0.22704074859237844</c:v>
                </c:pt>
                <c:pt idx="209">
                  <c:v>-0.29325903529952907</c:v>
                </c:pt>
                <c:pt idx="210">
                  <c:v>-0.28767728239894153</c:v>
                </c:pt>
                <c:pt idx="211">
                  <c:v>-0.21166209767111757</c:v>
                </c:pt>
                <c:pt idx="212">
                  <c:v>-8.3824649459677755E-2</c:v>
                </c:pt>
                <c:pt idx="213">
                  <c:v>6.4535996426344652E-2</c:v>
                </c:pt>
                <c:pt idx="214">
                  <c:v>0.19709597961563671</c:v>
                </c:pt>
                <c:pt idx="215">
                  <c:v>0.28139999303242164</c:v>
                </c:pt>
                <c:pt idx="216">
                  <c:v>0.29680747398701451</c:v>
                </c:pt>
                <c:pt idx="217">
                  <c:v>0.23954613378704706</c:v>
                </c:pt>
                <c:pt idx="218">
                  <c:v>0.12363554557252697</c:v>
                </c:pt>
                <c:pt idx="219">
                  <c:v>-2.2545336138542791E-2</c:v>
                </c:pt>
                <c:pt idx="220">
                  <c:v>-0.16320633326681092</c:v>
                </c:pt>
                <c:pt idx="221">
                  <c:v>-0.263908727991501</c:v>
                </c:pt>
                <c:pt idx="222">
                  <c:v>-0.29999706196521103</c:v>
                </c:pt>
                <c:pt idx="223">
                  <c:v>-0.26263565240652853</c:v>
                </c:pt>
                <c:pt idx="224">
                  <c:v>-0.16097187540013047</c:v>
                </c:pt>
                <c:pt idx="225">
                  <c:v>-1.9896569205360204E-2</c:v>
                </c:pt>
                <c:pt idx="226">
                  <c:v>0.12605011104799227</c:v>
                </c:pt>
                <c:pt idx="227">
                  <c:v>0.24113532796548628</c:v>
                </c:pt>
                <c:pt idx="228">
                  <c:v>0.29718220670846107</c:v>
                </c:pt>
                <c:pt idx="229">
                  <c:v>0.28046851665740491</c:v>
                </c:pt>
                <c:pt idx="230">
                  <c:v>0.19508635204713504</c:v>
                </c:pt>
                <c:pt idx="231">
                  <c:v>6.1940244581338975E-2</c:v>
                </c:pt>
                <c:pt idx="232">
                  <c:v>-8.6370994999519585E-2</c:v>
                </c:pt>
                <c:pt idx="233">
                  <c:v>-0.2135356027107369</c:v>
                </c:pt>
                <c:pt idx="234">
                  <c:v>-0.28841924756386705</c:v>
                </c:pt>
                <c:pt idx="235">
                  <c:v>-0.29268780164044728</c:v>
                </c:pt>
                <c:pt idx="236">
                  <c:v>-0.22529617403150282</c:v>
                </c:pt>
                <c:pt idx="237">
                  <c:v>-0.10274418554088376</c:v>
                </c:pt>
                <c:pt idx="238">
                  <c:v>4.4963162898885703E-2</c:v>
                </c:pt>
                <c:pt idx="239">
                  <c:v>0.1816619609158803</c:v>
                </c:pt>
                <c:pt idx="240">
                  <c:v>0.27388357521828827</c:v>
                </c:pt>
                <c:pt idx="241">
                  <c:v>0.29904893828363976</c:v>
                </c:pt>
                <c:pt idx="242">
                  <c:v>0.25099669156081683</c:v>
                </c:pt>
                <c:pt idx="243">
                  <c:v>0.14149170092825883</c:v>
                </c:pt>
                <c:pt idx="244">
                  <c:v>-2.6553927871211629E-3</c:v>
                </c:pt>
                <c:pt idx="245">
                  <c:v>-0.14615235373815286</c:v>
                </c:pt>
                <c:pt idx="246">
                  <c:v>-0.2538661212525512</c:v>
                </c:pt>
                <c:pt idx="247">
                  <c:v>-0.29942460839381885</c:v>
                </c:pt>
                <c:pt idx="248">
                  <c:v>-0.27167350860198713</c:v>
                </c:pt>
                <c:pt idx="249">
                  <c:v>-0.1774072589595373</c:v>
                </c:pt>
                <c:pt idx="250">
                  <c:v>-3.970552502933191E-2</c:v>
                </c:pt>
                <c:pt idx="251">
                  <c:v>0.10771750620665048</c:v>
                </c:pt>
                <c:pt idx="252">
                  <c:v>0.22876753514388079</c:v>
                </c:pt>
                <c:pt idx="253">
                  <c:v>0.29380729293117508</c:v>
                </c:pt>
                <c:pt idx="254">
                  <c:v>0.28691277852135089</c:v>
                </c:pt>
                <c:pt idx="255">
                  <c:v>0.20977200949652933</c:v>
                </c:pt>
                <c:pt idx="256">
                  <c:v>8.1271736492360705E-2</c:v>
                </c:pt>
                <c:pt idx="257">
                  <c:v>-6.7126692056038925E-2</c:v>
                </c:pt>
                <c:pt idx="258">
                  <c:v>-0.19909016526389026</c:v>
                </c:pt>
                <c:pt idx="259">
                  <c:v>-0.28230942250288604</c:v>
                </c:pt>
                <c:pt idx="260">
                  <c:v>-0.29640948722785854</c:v>
                </c:pt>
                <c:pt idx="261">
                  <c:v>-0.23793817183718552</c:v>
                </c:pt>
                <c:pt idx="262">
                  <c:v>-0.1212112935969195</c:v>
                </c:pt>
                <c:pt idx="263">
                  <c:v>2.5192336707524049E-2</c:v>
                </c:pt>
                <c:pt idx="264">
                  <c:v>0.16542800437250718</c:v>
                </c:pt>
                <c:pt idx="265">
                  <c:v>0.26516112706374917</c:v>
                </c:pt>
                <c:pt idx="266">
                  <c:v>0.29997355803218012</c:v>
                </c:pt>
                <c:pt idx="267">
                  <c:v>0.26134200005075292</c:v>
                </c:pt>
                <c:pt idx="268">
                  <c:v>0.15872480583600715</c:v>
                </c:pt>
                <c:pt idx="269">
                  <c:v>1.7246243431477369E-2</c:v>
                </c:pt>
                <c:pt idx="270">
                  <c:v>-0.12845480084884531</c:v>
                </c:pt>
                <c:pt idx="271">
                  <c:v>-0.24270562986357194</c:v>
                </c:pt>
                <c:pt idx="272">
                  <c:v>-0.29753365603293475</c:v>
                </c:pt>
                <c:pt idx="273">
                  <c:v>-0.27951506635641166</c:v>
                </c:pt>
                <c:pt idx="274">
                  <c:v>-0.19306144000709985</c:v>
                </c:pt>
                <c:pt idx="275">
                  <c:v>-5.9339639890938677E-2</c:v>
                </c:pt>
                <c:pt idx="276">
                  <c:v>8.8910573612815597E-2</c:v>
                </c:pt>
                <c:pt idx="277">
                  <c:v>0.21539237783149323</c:v>
                </c:pt>
                <c:pt idx="278">
                  <c:v>0.28913861588522632</c:v>
                </c:pt>
                <c:pt idx="279">
                  <c:v>0.29209363670849342</c:v>
                </c:pt>
                <c:pt idx="280">
                  <c:v>0.22353394814380464</c:v>
                </c:pt>
                <c:pt idx="281">
                  <c:v>0.10024535305452616</c:v>
                </c:pt>
                <c:pt idx="282">
                  <c:v>-4.7586800641412692E-2</c:v>
                </c:pt>
                <c:pt idx="283">
                  <c:v>-0.18376804589264092</c:v>
                </c:pt>
                <c:pt idx="284">
                  <c:v>-0.27495646437469012</c:v>
                </c:pt>
                <c:pt idx="285">
                  <c:v>-0.29882595093587822</c:v>
                </c:pt>
                <c:pt idx="286">
                  <c:v>-0.24953242278857948</c:v>
                </c:pt>
                <c:pt idx="287">
                  <c:v>-0.1391446547951482</c:v>
                </c:pt>
                <c:pt idx="288">
                  <c:v>5.3105775316240732E-3</c:v>
                </c:pt>
                <c:pt idx="289">
                  <c:v>0.14846559526578842</c:v>
                </c:pt>
                <c:pt idx="290">
                  <c:v>0.25527105736023553</c:v>
                </c:pt>
                <c:pt idx="291">
                  <c:v>0.29957726172353111</c:v>
                </c:pt>
                <c:pt idx="292">
                  <c:v>0.27053650429464277</c:v>
                </c:pt>
                <c:pt idx="293">
                  <c:v>0.17525897532398568</c:v>
                </c:pt>
                <c:pt idx="294">
                  <c:v>3.70719368235672E-2</c:v>
                </c:pt>
                <c:pt idx="295">
                  <c:v>-0.1101916047402574</c:v>
                </c:pt>
                <c:pt idx="296">
                  <c:v>-0.23047639839710005</c:v>
                </c:pt>
                <c:pt idx="297">
                  <c:v>-0.29433253158092909</c:v>
                </c:pt>
                <c:pt idx="298">
                  <c:v>-0.28612579582784153</c:v>
                </c:pt>
                <c:pt idx="299">
                  <c:v>-0.2078654862701087</c:v>
                </c:pt>
                <c:pt idx="300">
                  <c:v>-7.8712456111178622E-2</c:v>
                </c:pt>
                <c:pt idx="301">
                  <c:v>6.9712128496645362E-2</c:v>
                </c:pt>
                <c:pt idx="302">
                  <c:v>0.20106875275301242</c:v>
                </c:pt>
                <c:pt idx="303">
                  <c:v>0.2831967338175358</c:v>
                </c:pt>
                <c:pt idx="304">
                  <c:v>0.29598827761214558</c:v>
                </c:pt>
                <c:pt idx="305">
                  <c:v>0.23631156809523537</c:v>
                </c:pt>
                <c:pt idx="306">
                  <c:v>0.11877754505455024</c:v>
                </c:pt>
                <c:pt idx="307">
                  <c:v>-2.7837363527192606E-2</c:v>
                </c:pt>
                <c:pt idx="308">
                  <c:v>-0.16763671465548488</c:v>
                </c:pt>
                <c:pt idx="309">
                  <c:v>-0.26639275150129899</c:v>
                </c:pt>
                <c:pt idx="310">
                  <c:v>-0.29992655200758594</c:v>
                </c:pt>
                <c:pt idx="311">
                  <c:v>-0.26002787227822777</c:v>
                </c:pt>
                <c:pt idx="312">
                  <c:v>-0.15646530062607356</c:v>
                </c:pt>
                <c:pt idx="313">
                  <c:v>-1.4594566462526179E-2</c:v>
                </c:pt>
                <c:pt idx="314">
                  <c:v>0.13084942657434748</c:v>
                </c:pt>
                <c:pt idx="315">
                  <c:v>0.24425691645253034</c:v>
                </c:pt>
                <c:pt idx="316">
                  <c:v>0.29786179442536115</c:v>
                </c:pt>
                <c:pt idx="317">
                  <c:v>0.27853971682961359</c:v>
                </c:pt>
                <c:pt idx="318">
                  <c:v>0.19102140214174135</c:v>
                </c:pt>
                <c:pt idx="319">
                  <c:v>5.6734386105267452E-2</c:v>
                </c:pt>
                <c:pt idx="320">
                  <c:v>-9.1443186330665005E-2</c:v>
                </c:pt>
                <c:pt idx="321">
                  <c:v>-0.21723227756023486</c:v>
                </c:pt>
                <c:pt idx="322">
                  <c:v>-0.28983533100251785</c:v>
                </c:pt>
                <c:pt idx="323">
                  <c:v>-0.29147658705483276</c:v>
                </c:pt>
                <c:pt idx="324">
                  <c:v>-0.22175420899476683</c:v>
                </c:pt>
                <c:pt idx="325">
                  <c:v>-9.7738666624368517E-2</c:v>
                </c:pt>
                <c:pt idx="326">
                  <c:v>5.0206710090842072E-2</c:v>
                </c:pt>
                <c:pt idx="327">
                  <c:v>0.18585973315558535</c:v>
                </c:pt>
                <c:pt idx="328">
                  <c:v>0.27600781145903719</c:v>
                </c:pt>
                <c:pt idx="329">
                  <c:v>0.29857955140836828</c:v>
                </c:pt>
                <c:pt idx="330">
                  <c:v>0.24804860384703101</c:v>
                </c:pt>
                <c:pt idx="331">
                  <c:v>0.13678670706644699</c:v>
                </c:pt>
                <c:pt idx="332">
                  <c:v>-7.9653462071900376E-3</c:v>
                </c:pt>
                <c:pt idx="333">
                  <c:v>-0.15076720492814619</c:v>
                </c:pt>
                <c:pt idx="334">
                  <c:v>-0.25665599369259667</c:v>
                </c:pt>
                <c:pt idx="335">
                  <c:v>-0.29970644401039048</c:v>
                </c:pt>
                <c:pt idx="336">
                  <c:v>-0.26937830420678738</c:v>
                </c:pt>
                <c:pt idx="337">
                  <c:v>-0.1730969606365628</c:v>
                </c:pt>
                <c:pt idx="338">
                  <c:v>-3.4435444134956167E-2</c:v>
                </c:pt>
                <c:pt idx="339">
                  <c:v>0.11265707006898751</c:v>
                </c:pt>
                <c:pt idx="340">
                  <c:v>0.23216720446736672</c:v>
                </c:pt>
                <c:pt idx="341">
                  <c:v>0.29483471009780782</c:v>
                </c:pt>
                <c:pt idx="342">
                  <c:v>0.28531639597631236</c:v>
                </c:pt>
                <c:pt idx="343">
                  <c:v>0.20594267736263266</c:v>
                </c:pt>
                <c:pt idx="344">
                  <c:v>7.6147008828610876E-2</c:v>
                </c:pt>
                <c:pt idx="345">
                  <c:v>-7.2292103186430326E-2</c:v>
                </c:pt>
                <c:pt idx="346">
                  <c:v>-0.20303158706619229</c:v>
                </c:pt>
                <c:pt idx="347">
                  <c:v>-0.28406185745800427</c:v>
                </c:pt>
                <c:pt idx="348">
                  <c:v>-0.29554387814047423</c:v>
                </c:pt>
                <c:pt idx="349">
                  <c:v>-0.2346664500010627</c:v>
                </c:pt>
                <c:pt idx="350">
                  <c:v>-0.11633449062282913</c:v>
                </c:pt>
                <c:pt idx="351">
                  <c:v>3.0480209367074851E-2</c:v>
                </c:pt>
                <c:pt idx="352">
                  <c:v>0.16983229106945411</c:v>
                </c:pt>
                <c:pt idx="353">
                  <c:v>0.26760350480981115</c:v>
                </c:pt>
                <c:pt idx="354">
                  <c:v>0.29985604757421935</c:v>
                </c:pt>
                <c:pt idx="355">
                  <c:v>0.25869337204719867</c:v>
                </c:pt>
                <c:pt idx="356">
                  <c:v>0.15419353679626055</c:v>
                </c:pt>
                <c:pt idx="357">
                  <c:v>1.1941746050000897E-2</c:v>
                </c:pt>
                <c:pt idx="358">
                  <c:v>-0.13323380061225251</c:v>
                </c:pt>
                <c:pt idx="359">
                  <c:v>-0.24578906619338423</c:v>
                </c:pt>
                <c:pt idx="360">
                  <c:v>-0.29816659617701258</c:v>
                </c:pt>
                <c:pt idx="361">
                  <c:v>-0.27754254449292554</c:v>
                </c:pt>
                <c:pt idx="362">
                  <c:v>-0.18896639828233616</c:v>
                </c:pt>
                <c:pt idx="363">
                  <c:v>-5.4124687338692641E-2</c:v>
                </c:pt>
                <c:pt idx="364">
                  <c:v>9.3968634729925546E-2</c:v>
                </c:pt>
                <c:pt idx="365">
                  <c:v>0.21905515774595005</c:v>
                </c:pt>
                <c:pt idx="366">
                  <c:v>0.2905093383300556</c:v>
                </c:pt>
                <c:pt idx="367">
                  <c:v>0.29083670102358444</c:v>
                </c:pt>
                <c:pt idx="368">
                  <c:v>0.21995709602198765</c:v>
                </c:pt>
                <c:pt idx="369">
                  <c:v>9.522432264230081E-2</c:v>
                </c:pt>
                <c:pt idx="370">
                  <c:v>-5.2822685984576123E-2</c:v>
                </c:pt>
                <c:pt idx="371">
                  <c:v>-0.18793685882685079</c:v>
                </c:pt>
                <c:pt idx="372">
                  <c:v>-0.2770375341012179</c:v>
                </c:pt>
                <c:pt idx="373">
                  <c:v>-0.29830975900582585</c:v>
                </c:pt>
                <c:pt idx="374">
                  <c:v>-0.24654535098924674</c:v>
                </c:pt>
                <c:pt idx="375">
                  <c:v>-0.13441804248078273</c:v>
                </c:pt>
                <c:pt idx="376">
                  <c:v>1.0619490820098203E-2</c:v>
                </c:pt>
                <c:pt idx="377">
                  <c:v>0.15305700240052891</c:v>
                </c:pt>
                <c:pt idx="378">
                  <c:v>0.25802082174373597</c:v>
                </c:pt>
                <c:pt idx="379">
                  <c:v>0.2998121451333251</c:v>
                </c:pt>
                <c:pt idx="380">
                  <c:v>0.26819899908016737</c:v>
                </c:pt>
                <c:pt idx="381">
                  <c:v>0.17092138428508891</c:v>
                </c:pt>
                <c:pt idx="382">
                  <c:v>3.1796253525347054E-2</c:v>
                </c:pt>
                <c:pt idx="383">
                  <c:v>-0.11511370903050916</c:v>
                </c:pt>
                <c:pt idx="384">
                  <c:v>-0.2338398208847414</c:v>
                </c:pt>
                <c:pt idx="385">
                  <c:v>-0.29531378913752532</c:v>
                </c:pt>
                <c:pt idx="386">
                  <c:v>-0.28448464238098414</c:v>
                </c:pt>
                <c:pt idx="387">
                  <c:v>-0.20400373342081585</c:v>
                </c:pt>
                <c:pt idx="388">
                  <c:v>-7.3575595640296296E-2</c:v>
                </c:pt>
                <c:pt idx="389">
                  <c:v>7.4866413991573136E-2</c:v>
                </c:pt>
                <c:pt idx="390">
                  <c:v>0.20497851442083628</c:v>
                </c:pt>
                <c:pt idx="391">
                  <c:v>0.28490472564426728</c:v>
                </c:pt>
                <c:pt idx="392">
                  <c:v>0.29507632363030345</c:v>
                </c:pt>
                <c:pt idx="393">
                  <c:v>0.23300294644508157</c:v>
                </c:pt>
                <c:pt idx="394">
                  <c:v>0.1138823217082565</c:v>
                </c:pt>
                <c:pt idx="395">
                  <c:v>-3.3120667167570846E-2</c:v>
                </c:pt>
                <c:pt idx="396">
                  <c:v>-0.17201456159712686</c:v>
                </c:pt>
                <c:pt idx="397">
                  <c:v>-0.26879329213014097</c:v>
                </c:pt>
                <c:pt idx="398">
                  <c:v>-0.29976205025590608</c:v>
                </c:pt>
                <c:pt idx="399">
                  <c:v>-0.2573386039120365</c:v>
                </c:pt>
                <c:pt idx="400">
                  <c:v>-0.15190969233292764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CB9-4113-BBA3-2A7DC1886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5489056"/>
        <c:axId val="1665901456"/>
      </c:scatterChart>
      <c:valAx>
        <c:axId val="1665489056"/>
        <c:scaling>
          <c:orientation val="minMax"/>
          <c:max val="100"/>
          <c:min val="-10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crossAx val="1665901456"/>
        <c:crossesAt val="0"/>
        <c:crossBetween val="midCat"/>
        <c:majorUnit val="20"/>
      </c:valAx>
      <c:valAx>
        <c:axId val="1665901456"/>
        <c:scaling>
          <c:orientation val="minMax"/>
          <c:min val="-0.5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665489056"/>
        <c:crosses val="autoZero"/>
        <c:crossBetween val="midCat"/>
        <c:majorUnit val="1"/>
        <c:minorUnit val="0.5"/>
      </c:valAx>
    </c:plotArea>
    <c:legend>
      <c:legendPos val="b"/>
      <c:layout>
        <c:manualLayout>
          <c:xMode val="edge"/>
          <c:yMode val="edge"/>
          <c:x val="0.43898315835520557"/>
          <c:y val="0.78971815438957982"/>
          <c:w val="0.12203346456692914"/>
          <c:h val="0.210281845610420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'発展-成長率'!$B$1:$B$22</c:f>
              <c:numCache>
                <c:formatCode>m/d/yyyy</c:formatCode>
                <c:ptCount val="22"/>
                <c:pt idx="1">
                  <c:v>29221</c:v>
                </c:pt>
                <c:pt idx="2">
                  <c:v>29587</c:v>
                </c:pt>
                <c:pt idx="3">
                  <c:v>29952</c:v>
                </c:pt>
                <c:pt idx="4">
                  <c:v>30317</c:v>
                </c:pt>
                <c:pt idx="5">
                  <c:v>30682</c:v>
                </c:pt>
                <c:pt idx="6">
                  <c:v>31048</c:v>
                </c:pt>
                <c:pt idx="7">
                  <c:v>31413</c:v>
                </c:pt>
                <c:pt idx="8">
                  <c:v>31778</c:v>
                </c:pt>
                <c:pt idx="9">
                  <c:v>32143</c:v>
                </c:pt>
                <c:pt idx="10">
                  <c:v>32509</c:v>
                </c:pt>
                <c:pt idx="11">
                  <c:v>32874</c:v>
                </c:pt>
                <c:pt idx="12">
                  <c:v>33239</c:v>
                </c:pt>
                <c:pt idx="13">
                  <c:v>33604</c:v>
                </c:pt>
                <c:pt idx="14">
                  <c:v>33970</c:v>
                </c:pt>
                <c:pt idx="15">
                  <c:v>34335</c:v>
                </c:pt>
                <c:pt idx="16">
                  <c:v>34700</c:v>
                </c:pt>
                <c:pt idx="17">
                  <c:v>35065</c:v>
                </c:pt>
                <c:pt idx="18">
                  <c:v>35431</c:v>
                </c:pt>
                <c:pt idx="19">
                  <c:v>35796</c:v>
                </c:pt>
                <c:pt idx="20">
                  <c:v>36161</c:v>
                </c:pt>
                <c:pt idx="21">
                  <c:v>36526</c:v>
                </c:pt>
              </c:numCache>
            </c:numRef>
          </c:cat>
          <c:val>
            <c:numRef>
              <c:f>'発展-成長率'!$D$1:$D$22</c:f>
              <c:numCache>
                <c:formatCode>0_);[Red]\(0\)</c:formatCode>
                <c:ptCount val="22"/>
                <c:pt idx="1">
                  <c:v>248042.18021169305</c:v>
                </c:pt>
                <c:pt idx="2">
                  <c:v>260226.00150679052</c:v>
                </c:pt>
                <c:pt idx="3">
                  <c:v>274984.93310779333</c:v>
                </c:pt>
                <c:pt idx="4">
                  <c:v>291925.56740084291</c:v>
                </c:pt>
                <c:pt idx="5">
                  <c:v>310625.16197086871</c:v>
                </c:pt>
                <c:pt idx="6">
                  <c:v>330717.31483580172</c:v>
                </c:pt>
                <c:pt idx="7">
                  <c:v>351668.52470128238</c:v>
                </c:pt>
                <c:pt idx="8">
                  <c:v>373109.30940018594</c:v>
                </c:pt>
                <c:pt idx="9">
                  <c:v>394616.92651741207</c:v>
                </c:pt>
                <c:pt idx="10">
                  <c:v>415825.70698265731</c:v>
                </c:pt>
                <c:pt idx="11">
                  <c:v>436196.04771140218</c:v>
                </c:pt>
                <c:pt idx="12">
                  <c:v>455363.83541488647</c:v>
                </c:pt>
                <c:pt idx="13">
                  <c:v>472906.32767809927</c:v>
                </c:pt>
                <c:pt idx="14">
                  <c:v>488440.03177414834</c:v>
                </c:pt>
                <c:pt idx="15">
                  <c:v>501456.35596480966</c:v>
                </c:pt>
                <c:pt idx="16">
                  <c:v>511577.99927163124</c:v>
                </c:pt>
                <c:pt idx="17">
                  <c:v>518382.21927948296</c:v>
                </c:pt>
                <c:pt idx="18">
                  <c:v>521449.14303685725</c:v>
                </c:pt>
                <c:pt idx="19">
                  <c:v>520338.30328822136</c:v>
                </c:pt>
                <c:pt idx="20">
                  <c:v>514640.65479707718</c:v>
                </c:pt>
                <c:pt idx="21">
                  <c:v>503933.45514836907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D3-4B0B-BC37-62097EF31CA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'発展-成長率'!$B$1:$B$22</c:f>
              <c:numCache>
                <c:formatCode>m/d/yyyy</c:formatCode>
                <c:ptCount val="22"/>
                <c:pt idx="1">
                  <c:v>29221</c:v>
                </c:pt>
                <c:pt idx="2">
                  <c:v>29587</c:v>
                </c:pt>
                <c:pt idx="3">
                  <c:v>29952</c:v>
                </c:pt>
                <c:pt idx="4">
                  <c:v>30317</c:v>
                </c:pt>
                <c:pt idx="5">
                  <c:v>30682</c:v>
                </c:pt>
                <c:pt idx="6">
                  <c:v>31048</c:v>
                </c:pt>
                <c:pt idx="7">
                  <c:v>31413</c:v>
                </c:pt>
                <c:pt idx="8">
                  <c:v>31778</c:v>
                </c:pt>
                <c:pt idx="9">
                  <c:v>32143</c:v>
                </c:pt>
                <c:pt idx="10">
                  <c:v>32509</c:v>
                </c:pt>
                <c:pt idx="11">
                  <c:v>32874</c:v>
                </c:pt>
                <c:pt idx="12">
                  <c:v>33239</c:v>
                </c:pt>
                <c:pt idx="13">
                  <c:v>33604</c:v>
                </c:pt>
                <c:pt idx="14">
                  <c:v>33970</c:v>
                </c:pt>
                <c:pt idx="15">
                  <c:v>34335</c:v>
                </c:pt>
                <c:pt idx="16">
                  <c:v>34700</c:v>
                </c:pt>
                <c:pt idx="17">
                  <c:v>35065</c:v>
                </c:pt>
                <c:pt idx="18">
                  <c:v>35431</c:v>
                </c:pt>
                <c:pt idx="19">
                  <c:v>35796</c:v>
                </c:pt>
                <c:pt idx="20">
                  <c:v>36161</c:v>
                </c:pt>
                <c:pt idx="21">
                  <c:v>36526</c:v>
                </c:pt>
              </c:numCache>
            </c:numRef>
          </c:cat>
          <c:val>
            <c:numRef>
              <c:f>'発展-成長率'!$E$1:$E$22</c:f>
              <c:numCache>
                <c:formatCode>0_);[Red]\(0\)</c:formatCode>
                <c:ptCount val="22"/>
                <c:pt idx="1">
                  <c:v>271229.04452223581</c:v>
                </c:pt>
                <c:pt idx="2">
                  <c:v>282146.15513177251</c:v>
                </c:pt>
                <c:pt idx="3">
                  <c:v>293471.04182844301</c:v>
                </c:pt>
                <c:pt idx="4">
                  <c:v>305250.49101465911</c:v>
                </c:pt>
                <c:pt idx="5">
                  <c:v>317502.74808769824</c:v>
                </c:pt>
                <c:pt idx="6">
                  <c:v>330282.39941822138</c:v>
                </c:pt>
                <c:pt idx="7">
                  <c:v>343539.39648617333</c:v>
                </c:pt>
                <c:pt idx="8">
                  <c:v>357328.50780414056</c:v>
                </c:pt>
                <c:pt idx="9">
                  <c:v>371671.09157063661</c:v>
                </c:pt>
                <c:pt idx="10">
                  <c:v>386631.04699941829</c:v>
                </c:pt>
                <c:pt idx="11">
                  <c:v>402149.78691858734</c:v>
                </c:pt>
                <c:pt idx="12">
                  <c:v>418291.42375860084</c:v>
                </c:pt>
                <c:pt idx="13">
                  <c:v>435080.95958638034</c:v>
                </c:pt>
                <c:pt idx="14">
                  <c:v>452593.19529946335</c:v>
                </c:pt>
                <c:pt idx="15">
                  <c:v>470759.54831624165</c:v>
                </c:pt>
                <c:pt idx="16">
                  <c:v>489655.0691273167</c:v>
                </c:pt>
                <c:pt idx="17">
                  <c:v>509309.0253392217</c:v>
                </c:pt>
                <c:pt idx="18">
                  <c:v>529808.97944206407</c:v>
                </c:pt>
                <c:pt idx="19">
                  <c:v>551074.64815286919</c:v>
                </c:pt>
                <c:pt idx="20">
                  <c:v>573193.886137255</c:v>
                </c:pt>
                <c:pt idx="21">
                  <c:v>596200.9542743226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D3-4B0B-BC37-62097EF31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5965424"/>
        <c:axId val="1325966672"/>
      </c:lineChart>
      <c:dateAx>
        <c:axId val="1325965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5966672"/>
        <c:crosses val="autoZero"/>
        <c:auto val="1"/>
        <c:lblOffset val="100"/>
        <c:baseTimeUnit val="years"/>
      </c:dateAx>
      <c:valAx>
        <c:axId val="1325966672"/>
        <c:scaling>
          <c:orientation val="minMax"/>
          <c:min val="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5965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'発展-成長率'!$B$1:$B$22</c:f>
              <c:numCache>
                <c:formatCode>m/d/yyyy</c:formatCode>
                <c:ptCount val="22"/>
                <c:pt idx="1">
                  <c:v>29221</c:v>
                </c:pt>
                <c:pt idx="2">
                  <c:v>29587</c:v>
                </c:pt>
                <c:pt idx="3">
                  <c:v>29952</c:v>
                </c:pt>
                <c:pt idx="4">
                  <c:v>30317</c:v>
                </c:pt>
                <c:pt idx="5">
                  <c:v>30682</c:v>
                </c:pt>
                <c:pt idx="6">
                  <c:v>31048</c:v>
                </c:pt>
                <c:pt idx="7">
                  <c:v>31413</c:v>
                </c:pt>
                <c:pt idx="8">
                  <c:v>31778</c:v>
                </c:pt>
                <c:pt idx="9">
                  <c:v>32143</c:v>
                </c:pt>
                <c:pt idx="10">
                  <c:v>32509</c:v>
                </c:pt>
                <c:pt idx="11">
                  <c:v>32874</c:v>
                </c:pt>
                <c:pt idx="12">
                  <c:v>33239</c:v>
                </c:pt>
                <c:pt idx="13">
                  <c:v>33604</c:v>
                </c:pt>
                <c:pt idx="14">
                  <c:v>33970</c:v>
                </c:pt>
                <c:pt idx="15">
                  <c:v>34335</c:v>
                </c:pt>
                <c:pt idx="16">
                  <c:v>34700</c:v>
                </c:pt>
                <c:pt idx="17">
                  <c:v>35065</c:v>
                </c:pt>
                <c:pt idx="18">
                  <c:v>35431</c:v>
                </c:pt>
                <c:pt idx="19">
                  <c:v>35796</c:v>
                </c:pt>
                <c:pt idx="20">
                  <c:v>36161</c:v>
                </c:pt>
                <c:pt idx="21">
                  <c:v>36526</c:v>
                </c:pt>
              </c:numCache>
            </c:numRef>
          </c:cat>
          <c:val>
            <c:numRef>
              <c:f>'発展-成長率'!$F$1:$F$22</c:f>
              <c:numCache>
                <c:formatCode>0_);[Red]\(0\)</c:formatCode>
                <c:ptCount val="22"/>
                <c:pt idx="1">
                  <c:v>-23186.864310542762</c:v>
                </c:pt>
                <c:pt idx="2">
                  <c:v>-21920.153624981991</c:v>
                </c:pt>
                <c:pt idx="3">
                  <c:v>-18486.108720649674</c:v>
                </c:pt>
                <c:pt idx="4">
                  <c:v>-13324.923613816209</c:v>
                </c:pt>
                <c:pt idx="5">
                  <c:v>-6877.5861168295378</c:v>
                </c:pt>
                <c:pt idx="6">
                  <c:v>434.91541758034145</c:v>
                </c:pt>
                <c:pt idx="7">
                  <c:v>8129.1282151090563</c:v>
                </c:pt>
                <c:pt idx="8">
                  <c:v>15780.801596045378</c:v>
                </c:pt>
                <c:pt idx="9">
                  <c:v>22945.83494677546</c:v>
                </c:pt>
                <c:pt idx="10">
                  <c:v>29194.65998323902</c:v>
                </c:pt>
                <c:pt idx="11">
                  <c:v>34046.260792814835</c:v>
                </c:pt>
                <c:pt idx="12">
                  <c:v>37072.411656285636</c:v>
                </c:pt>
                <c:pt idx="13">
                  <c:v>37825.368091718934</c:v>
                </c:pt>
                <c:pt idx="14">
                  <c:v>35846.836474684998</c:v>
                </c:pt>
                <c:pt idx="15">
                  <c:v>30696.807648568007</c:v>
                </c:pt>
                <c:pt idx="16">
                  <c:v>21922.930144314538</c:v>
                </c:pt>
                <c:pt idx="17">
                  <c:v>9073.1939402612625</c:v>
                </c:pt>
                <c:pt idx="18">
                  <c:v>-8359.8364052068209</c:v>
                </c:pt>
                <c:pt idx="19">
                  <c:v>-30736.344864647835</c:v>
                </c:pt>
                <c:pt idx="20">
                  <c:v>-58553.231340177823</c:v>
                </c:pt>
                <c:pt idx="21">
                  <c:v>-92267.499125953531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4A-4315-BC72-4E1EE4AE4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5993296"/>
        <c:axId val="1325990800"/>
      </c:lineChart>
      <c:dateAx>
        <c:axId val="1325993296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5990800"/>
        <c:crosses val="autoZero"/>
        <c:auto val="1"/>
        <c:lblOffset val="100"/>
        <c:baseTimeUnit val="years"/>
      </c:dateAx>
      <c:valAx>
        <c:axId val="132599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599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'発展-成長率'!$V$1</c:f>
              <c:strCache>
                <c:ptCount val="1"/>
                <c:pt idx="0">
                  <c:v>T+C+S+I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'発展-成長率'!$O$2:$O$219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'発展-成長率'!$V$2:$V$219</c:f>
              <c:numCache>
                <c:formatCode>0_);[Red]\(0\)</c:formatCode>
                <c:ptCount val="218"/>
                <c:pt idx="0">
                  <c:v>237864.75278540078</c:v>
                </c:pt>
                <c:pt idx="1">
                  <c:v>243232.83457092615</c:v>
                </c:pt>
                <c:pt idx="2">
                  <c:v>270416.22627827903</c:v>
                </c:pt>
                <c:pt idx="3">
                  <c:v>272038.05151957041</c:v>
                </c:pt>
                <c:pt idx="4">
                  <c:v>278475.09745281382</c:v>
                </c:pt>
                <c:pt idx="5">
                  <c:v>290264.39626025298</c:v>
                </c:pt>
                <c:pt idx="6">
                  <c:v>276049.63906158268</c:v>
                </c:pt>
                <c:pt idx="7">
                  <c:v>249662.39281808783</c:v>
                </c:pt>
                <c:pt idx="8">
                  <c:v>237849.64105915211</c:v>
                </c:pt>
                <c:pt idx="9">
                  <c:v>239646.20003150075</c:v>
                </c:pt>
                <c:pt idx="10">
                  <c:v>250647.56361561638</c:v>
                </c:pt>
                <c:pt idx="11">
                  <c:v>264290.02043036767</c:v>
                </c:pt>
                <c:pt idx="12">
                  <c:v>283102.60063482996</c:v>
                </c:pt>
                <c:pt idx="13">
                  <c:v>301633.94364417117</c:v>
                </c:pt>
                <c:pt idx="14">
                  <c:v>304366.60202033573</c:v>
                </c:pt>
                <c:pt idx="15">
                  <c:v>320556.20953828073</c:v>
                </c:pt>
                <c:pt idx="16">
                  <c:v>318572.54237437184</c:v>
                </c:pt>
                <c:pt idx="17">
                  <c:v>319014.77773619932</c:v>
                </c:pt>
                <c:pt idx="18">
                  <c:v>313398.71381750761</c:v>
                </c:pt>
                <c:pt idx="19">
                  <c:v>296821.02959301864</c:v>
                </c:pt>
                <c:pt idx="20">
                  <c:v>260846.65896337939</c:v>
                </c:pt>
                <c:pt idx="21">
                  <c:v>274620.66183003742</c:v>
                </c:pt>
                <c:pt idx="22">
                  <c:v>275676.89272622159</c:v>
                </c:pt>
                <c:pt idx="23">
                  <c:v>293404.14987555915</c:v>
                </c:pt>
                <c:pt idx="24">
                  <c:v>305771.95793237089</c:v>
                </c:pt>
                <c:pt idx="25">
                  <c:v>327365.63899461454</c:v>
                </c:pt>
                <c:pt idx="26">
                  <c:v>327124.05522530898</c:v>
                </c:pt>
                <c:pt idx="27">
                  <c:v>346689.03963429446</c:v>
                </c:pt>
                <c:pt idx="28">
                  <c:v>345191.61820254364</c:v>
                </c:pt>
                <c:pt idx="29">
                  <c:v>344856.33138782281</c:v>
                </c:pt>
                <c:pt idx="30">
                  <c:v>333529.8883210214</c:v>
                </c:pt>
                <c:pt idx="31">
                  <c:v>295092.95440045389</c:v>
                </c:pt>
                <c:pt idx="32">
                  <c:v>285370.03206734761</c:v>
                </c:pt>
                <c:pt idx="33">
                  <c:v>283809.74163812387</c:v>
                </c:pt>
                <c:pt idx="34">
                  <c:v>298472.23231990368</c:v>
                </c:pt>
                <c:pt idx="35">
                  <c:v>317757.90631461842</c:v>
                </c:pt>
                <c:pt idx="36">
                  <c:v>329811.57699078432</c:v>
                </c:pt>
                <c:pt idx="37">
                  <c:v>311162.93876833143</c:v>
                </c:pt>
                <c:pt idx="38">
                  <c:v>337150.59716648923</c:v>
                </c:pt>
                <c:pt idx="39">
                  <c:v>358269.70085872943</c:v>
                </c:pt>
                <c:pt idx="40">
                  <c:v>351493.19052773615</c:v>
                </c:pt>
                <c:pt idx="41">
                  <c:v>351104.97808103409</c:v>
                </c:pt>
                <c:pt idx="42">
                  <c:v>336116.80072625139</c:v>
                </c:pt>
                <c:pt idx="43">
                  <c:v>331190.65292262292</c:v>
                </c:pt>
                <c:pt idx="44">
                  <c:v>304129.52599136264</c:v>
                </c:pt>
                <c:pt idx="45">
                  <c:v>297194.09105149226</c:v>
                </c:pt>
                <c:pt idx="46">
                  <c:v>314811.56408838654</c:v>
                </c:pt>
                <c:pt idx="47">
                  <c:v>321602.19643346965</c:v>
                </c:pt>
                <c:pt idx="48">
                  <c:v>338682.52250513935</c:v>
                </c:pt>
                <c:pt idx="49">
                  <c:v>347599.4535777627</c:v>
                </c:pt>
                <c:pt idx="50">
                  <c:v>345820.73603832192</c:v>
                </c:pt>
                <c:pt idx="51">
                  <c:v>358901.2266155539</c:v>
                </c:pt>
                <c:pt idx="52">
                  <c:v>378082.06215459749</c:v>
                </c:pt>
                <c:pt idx="53">
                  <c:v>369524.76010104635</c:v>
                </c:pt>
                <c:pt idx="54">
                  <c:v>361489.07342251629</c:v>
                </c:pt>
                <c:pt idx="55">
                  <c:v>316203.51114569471</c:v>
                </c:pt>
                <c:pt idx="56">
                  <c:v>311346.86061860982</c:v>
                </c:pt>
                <c:pt idx="57">
                  <c:v>307678.29193232243</c:v>
                </c:pt>
                <c:pt idx="58">
                  <c:v>318529.22848473419</c:v>
                </c:pt>
                <c:pt idx="59">
                  <c:v>343768.31568329054</c:v>
                </c:pt>
                <c:pt idx="60">
                  <c:v>337802.83028388926</c:v>
                </c:pt>
                <c:pt idx="61">
                  <c:v>345034.51296415832</c:v>
                </c:pt>
                <c:pt idx="62">
                  <c:v>359294.75950162724</c:v>
                </c:pt>
                <c:pt idx="63">
                  <c:v>356042.24753561226</c:v>
                </c:pt>
                <c:pt idx="64">
                  <c:v>377171.80923455476</c:v>
                </c:pt>
                <c:pt idx="65">
                  <c:v>368940.39420928311</c:v>
                </c:pt>
                <c:pt idx="66">
                  <c:v>357766.17352221778</c:v>
                </c:pt>
                <c:pt idx="67">
                  <c:v>332007.67000262963</c:v>
                </c:pt>
                <c:pt idx="68">
                  <c:v>312486.61454692995</c:v>
                </c:pt>
                <c:pt idx="69">
                  <c:v>321088.16628606501</c:v>
                </c:pt>
                <c:pt idx="70">
                  <c:v>338986.34983465075</c:v>
                </c:pt>
                <c:pt idx="71">
                  <c:v>339500.57712330524</c:v>
                </c:pt>
                <c:pt idx="72">
                  <c:v>351946.80341963167</c:v>
                </c:pt>
                <c:pt idx="73">
                  <c:v>353258.76742547995</c:v>
                </c:pt>
                <c:pt idx="74">
                  <c:v>361273.42494454596</c:v>
                </c:pt>
                <c:pt idx="75">
                  <c:v>375427.60215157893</c:v>
                </c:pt>
                <c:pt idx="76">
                  <c:v>380742.92892350513</c:v>
                </c:pt>
                <c:pt idx="77">
                  <c:v>361409.47762553167</c:v>
                </c:pt>
                <c:pt idx="78">
                  <c:v>356914.99685274193</c:v>
                </c:pt>
                <c:pt idx="79">
                  <c:v>337650.19270726957</c:v>
                </c:pt>
                <c:pt idx="80">
                  <c:v>335829.33357666567</c:v>
                </c:pt>
                <c:pt idx="81">
                  <c:v>307316.95510869351</c:v>
                </c:pt>
                <c:pt idx="82">
                  <c:v>317713.16188849666</c:v>
                </c:pt>
                <c:pt idx="83">
                  <c:v>345050.82833273557</c:v>
                </c:pt>
                <c:pt idx="84">
                  <c:v>348100.97919222555</c:v>
                </c:pt>
                <c:pt idx="85">
                  <c:v>360147.89891958848</c:v>
                </c:pt>
                <c:pt idx="86">
                  <c:v>365630.53381771321</c:v>
                </c:pt>
                <c:pt idx="87">
                  <c:v>388855.51083062805</c:v>
                </c:pt>
                <c:pt idx="88">
                  <c:v>387741.51751547545</c:v>
                </c:pt>
                <c:pt idx="89">
                  <c:v>377302.41134822654</c:v>
                </c:pt>
                <c:pt idx="90">
                  <c:v>357808.15880336054</c:v>
                </c:pt>
                <c:pt idx="91">
                  <c:v>345783.89491605078</c:v>
                </c:pt>
                <c:pt idx="92">
                  <c:v>318270.71730227472</c:v>
                </c:pt>
                <c:pt idx="93">
                  <c:v>325039.54915002856</c:v>
                </c:pt>
                <c:pt idx="94">
                  <c:v>326457.26645454852</c:v>
                </c:pt>
                <c:pt idx="95">
                  <c:v>335160.48484199244</c:v>
                </c:pt>
                <c:pt idx="96">
                  <c:v>355571.24764524266</c:v>
                </c:pt>
                <c:pt idx="97">
                  <c:v>366194.81738244009</c:v>
                </c:pt>
                <c:pt idx="98">
                  <c:v>364260.78541256534</c:v>
                </c:pt>
                <c:pt idx="99">
                  <c:v>395744.86113117542</c:v>
                </c:pt>
                <c:pt idx="100">
                  <c:v>396415.34080550482</c:v>
                </c:pt>
                <c:pt idx="101">
                  <c:v>376295.38486582955</c:v>
                </c:pt>
                <c:pt idx="102">
                  <c:v>371210.73424314748</c:v>
                </c:pt>
                <c:pt idx="103">
                  <c:v>332693.87798203138</c:v>
                </c:pt>
                <c:pt idx="104">
                  <c:v>325015.48408626864</c:v>
                </c:pt>
                <c:pt idx="105">
                  <c:v>327903.37455130822</c:v>
                </c:pt>
                <c:pt idx="106">
                  <c:v>334466.96756690467</c:v>
                </c:pt>
                <c:pt idx="107">
                  <c:v>333967.44369211729</c:v>
                </c:pt>
                <c:pt idx="108">
                  <c:v>350104.45463366446</c:v>
                </c:pt>
                <c:pt idx="109">
                  <c:v>363514.21331478324</c:v>
                </c:pt>
                <c:pt idx="110">
                  <c:v>370508.12759352598</c:v>
                </c:pt>
                <c:pt idx="111">
                  <c:v>396590.99137117312</c:v>
                </c:pt>
                <c:pt idx="112">
                  <c:v>390052.09296651062</c:v>
                </c:pt>
                <c:pt idx="113">
                  <c:v>374572.95152983465</c:v>
                </c:pt>
                <c:pt idx="114">
                  <c:v>371808.12434448971</c:v>
                </c:pt>
                <c:pt idx="115">
                  <c:v>352275.66954236594</c:v>
                </c:pt>
                <c:pt idx="116">
                  <c:v>336028.68959219806</c:v>
                </c:pt>
                <c:pt idx="117">
                  <c:v>339435.74242763984</c:v>
                </c:pt>
                <c:pt idx="118">
                  <c:v>351036.37419528438</c:v>
                </c:pt>
                <c:pt idx="119">
                  <c:v>358201.47967658885</c:v>
                </c:pt>
                <c:pt idx="120">
                  <c:v>372308.9276335559</c:v>
                </c:pt>
                <c:pt idx="121">
                  <c:v>379736.4369252607</c:v>
                </c:pt>
                <c:pt idx="122">
                  <c:v>385122.78241878602</c:v>
                </c:pt>
                <c:pt idx="123">
                  <c:v>394039.84635270311</c:v>
                </c:pt>
                <c:pt idx="124">
                  <c:v>411241.61587972229</c:v>
                </c:pt>
                <c:pt idx="125">
                  <c:v>399207.56530567346</c:v>
                </c:pt>
                <c:pt idx="126">
                  <c:v>382398.71008715429</c:v>
                </c:pt>
                <c:pt idx="127">
                  <c:v>362487.53474126913</c:v>
                </c:pt>
                <c:pt idx="128">
                  <c:v>334400.05729715363</c:v>
                </c:pt>
                <c:pt idx="129">
                  <c:v>345131.61732402403</c:v>
                </c:pt>
                <c:pt idx="130">
                  <c:v>364236.51007377647</c:v>
                </c:pt>
                <c:pt idx="131">
                  <c:v>379551.62455878209</c:v>
                </c:pt>
                <c:pt idx="132">
                  <c:v>379694.62122820463</c:v>
                </c:pt>
                <c:pt idx="133">
                  <c:v>393157.09607055661</c:v>
                </c:pt>
                <c:pt idx="134">
                  <c:v>398817.29727593256</c:v>
                </c:pt>
                <c:pt idx="135">
                  <c:v>413213.63897319644</c:v>
                </c:pt>
                <c:pt idx="136">
                  <c:v>406137.64239764953</c:v>
                </c:pt>
                <c:pt idx="137">
                  <c:v>408565.9510189399</c:v>
                </c:pt>
                <c:pt idx="138">
                  <c:v>398897.57357871585</c:v>
                </c:pt>
                <c:pt idx="139">
                  <c:v>370394.05963263946</c:v>
                </c:pt>
                <c:pt idx="140">
                  <c:v>353766.93683042563</c:v>
                </c:pt>
                <c:pt idx="141">
                  <c:v>370150.31556585606</c:v>
                </c:pt>
                <c:pt idx="142">
                  <c:v>378973.43189738668</c:v>
                </c:pt>
                <c:pt idx="143">
                  <c:v>386640.41694817378</c:v>
                </c:pt>
                <c:pt idx="144">
                  <c:v>393493.88944027072</c:v>
                </c:pt>
                <c:pt idx="145">
                  <c:v>394804.55759209068</c:v>
                </c:pt>
                <c:pt idx="146">
                  <c:v>412458.21233765542</c:v>
                </c:pt>
                <c:pt idx="147">
                  <c:v>423484.23400031292</c:v>
                </c:pt>
                <c:pt idx="148">
                  <c:v>428722.01746160013</c:v>
                </c:pt>
                <c:pt idx="149">
                  <c:v>423499.05088203883</c:v>
                </c:pt>
                <c:pt idx="150">
                  <c:v>423573.82888109144</c:v>
                </c:pt>
                <c:pt idx="151">
                  <c:v>398086.65995515237</c:v>
                </c:pt>
                <c:pt idx="152">
                  <c:v>374824.80825356307</c:v>
                </c:pt>
                <c:pt idx="153">
                  <c:v>376220.87043547654</c:v>
                </c:pt>
                <c:pt idx="154">
                  <c:v>397268.38378983235</c:v>
                </c:pt>
                <c:pt idx="155">
                  <c:v>405721.72116825235</c:v>
                </c:pt>
                <c:pt idx="156">
                  <c:v>417695.68901042984</c:v>
                </c:pt>
                <c:pt idx="157">
                  <c:v>424971.74394699495</c:v>
                </c:pt>
                <c:pt idx="158">
                  <c:v>443303.96099776716</c:v>
                </c:pt>
                <c:pt idx="159">
                  <c:v>453764.77317779133</c:v>
                </c:pt>
                <c:pt idx="160">
                  <c:v>449153.87942961883</c:v>
                </c:pt>
                <c:pt idx="161">
                  <c:v>461179.06997188175</c:v>
                </c:pt>
                <c:pt idx="162">
                  <c:v>417626.8534307502</c:v>
                </c:pt>
                <c:pt idx="163">
                  <c:v>422594.94029335101</c:v>
                </c:pt>
                <c:pt idx="164">
                  <c:v>394461.08726991637</c:v>
                </c:pt>
                <c:pt idx="165">
                  <c:v>407466.92901175388</c:v>
                </c:pt>
                <c:pt idx="166">
                  <c:v>413259.76866483595</c:v>
                </c:pt>
                <c:pt idx="167">
                  <c:v>430871.67984927149</c:v>
                </c:pt>
                <c:pt idx="168">
                  <c:v>447896.93074637983</c:v>
                </c:pt>
                <c:pt idx="169">
                  <c:v>439327.68042361143</c:v>
                </c:pt>
                <c:pt idx="170">
                  <c:v>463939.01509589684</c:v>
                </c:pt>
                <c:pt idx="171">
                  <c:v>473628.20016718586</c:v>
                </c:pt>
                <c:pt idx="172">
                  <c:v>489411.29812360316</c:v>
                </c:pt>
                <c:pt idx="173">
                  <c:v>475378.89916629775</c:v>
                </c:pt>
                <c:pt idx="174">
                  <c:v>466524.67826044047</c:v>
                </c:pt>
                <c:pt idx="175">
                  <c:v>451209.14875512017</c:v>
                </c:pt>
                <c:pt idx="176">
                  <c:v>428285.51891159179</c:v>
                </c:pt>
                <c:pt idx="177">
                  <c:v>420915.93887200783</c:v>
                </c:pt>
                <c:pt idx="178">
                  <c:v>439260.97014113271</c:v>
                </c:pt>
                <c:pt idx="179">
                  <c:v>452286.31226203073</c:v>
                </c:pt>
                <c:pt idx="180">
                  <c:v>473206.8226123869</c:v>
                </c:pt>
                <c:pt idx="181">
                  <c:v>490713.28932429088</c:v>
                </c:pt>
                <c:pt idx="182">
                  <c:v>483822.40370028466</c:v>
                </c:pt>
                <c:pt idx="183">
                  <c:v>509785.11312463635</c:v>
                </c:pt>
                <c:pt idx="184">
                  <c:v>504997.29457988334</c:v>
                </c:pt>
                <c:pt idx="185">
                  <c:v>500389.44873014675</c:v>
                </c:pt>
                <c:pt idx="186">
                  <c:v>499645.1216818291</c:v>
                </c:pt>
                <c:pt idx="187">
                  <c:v>468873.15580179071</c:v>
                </c:pt>
                <c:pt idx="188">
                  <c:v>479538.21728709608</c:v>
                </c:pt>
                <c:pt idx="189">
                  <c:v>459825.58423243201</c:v>
                </c:pt>
                <c:pt idx="190">
                  <c:v>478496.78293983784</c:v>
                </c:pt>
                <c:pt idx="191">
                  <c:v>484741.46777965885</c:v>
                </c:pt>
                <c:pt idx="192">
                  <c:v>493895.51162299147</c:v>
                </c:pt>
                <c:pt idx="193">
                  <c:v>507602.86448304268</c:v>
                </c:pt>
                <c:pt idx="194">
                  <c:v>518077.4375462035</c:v>
                </c:pt>
                <c:pt idx="195">
                  <c:v>545257.89170136105</c:v>
                </c:pt>
                <c:pt idx="196">
                  <c:v>554184.37245083391</c:v>
                </c:pt>
                <c:pt idx="197">
                  <c:v>549940.51675785868</c:v>
                </c:pt>
                <c:pt idx="198">
                  <c:v>522075.71274657024</c:v>
                </c:pt>
                <c:pt idx="199">
                  <c:v>526624.78711279912</c:v>
                </c:pt>
                <c:pt idx="200">
                  <c:v>492604.30300529912</c:v>
                </c:pt>
                <c:pt idx="201">
                  <c:v>494540.41600348993</c:v>
                </c:pt>
                <c:pt idx="202">
                  <c:v>512744.64471012767</c:v>
                </c:pt>
                <c:pt idx="203">
                  <c:v>524385.15446857328</c:v>
                </c:pt>
                <c:pt idx="204">
                  <c:v>540874.71867954789</c:v>
                </c:pt>
                <c:pt idx="205">
                  <c:v>554176.60332919483</c:v>
                </c:pt>
                <c:pt idx="206">
                  <c:v>557606.31650279439</c:v>
                </c:pt>
                <c:pt idx="207">
                  <c:v>581609.32207077253</c:v>
                </c:pt>
                <c:pt idx="208">
                  <c:v>594002.57898886828</c:v>
                </c:pt>
                <c:pt idx="209">
                  <c:v>578271.82207687513</c:v>
                </c:pt>
                <c:pt idx="210">
                  <c:v>571402.31025989831</c:v>
                </c:pt>
                <c:pt idx="211">
                  <c:v>546251.04012809519</c:v>
                </c:pt>
                <c:pt idx="212">
                  <c:v>530691.97408388415</c:v>
                </c:pt>
                <c:pt idx="213">
                  <c:v>535855.83456211118</c:v>
                </c:pt>
                <c:pt idx="214">
                  <c:v>553564.31793428014</c:v>
                </c:pt>
                <c:pt idx="215">
                  <c:v>569818.86312526092</c:v>
                </c:pt>
                <c:pt idx="216">
                  <c:v>582442.364255241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E32-49FE-8D94-80F58B0F0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crossAx val="1326003280"/>
        <c:crosses val="autoZero"/>
        <c:crossBetween val="midCat"/>
      </c:valAx>
      <c:valAx>
        <c:axId val="1326003280"/>
        <c:scaling>
          <c:orientation val="minMax"/>
          <c:min val="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'発展-成長率'!$Q$1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'発展-成長率'!$O$2:$O$219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'発展-成長率'!$Q$2:$Q$219</c:f>
              <c:numCache>
                <c:formatCode>0_);[Red]\(0\)</c:formatCode>
                <c:ptCount val="218"/>
                <c:pt idx="0">
                  <c:v>271229.04452223581</c:v>
                </c:pt>
                <c:pt idx="1">
                  <c:v>272137.10998624656</c:v>
                </c:pt>
                <c:pt idx="2">
                  <c:v>272989.34267233248</c:v>
                </c:pt>
                <c:pt idx="3">
                  <c:v>273903.30155369191</c:v>
                </c:pt>
                <c:pt idx="4">
                  <c:v>274790.69122066704</c:v>
                </c:pt>
                <c:pt idx="5">
                  <c:v>275710.68095468887</c:v>
                </c:pt>
                <c:pt idx="6">
                  <c:v>276603.92615460441</c:v>
                </c:pt>
                <c:pt idx="7">
                  <c:v>277529.9865364976</c:v>
                </c:pt>
                <c:pt idx="8">
                  <c:v>278459.14733653265</c:v>
                </c:pt>
                <c:pt idx="9">
                  <c:v>279361.29699526064</c:v>
                </c:pt>
                <c:pt idx="10">
                  <c:v>280296.58895939926</c:v>
                </c:pt>
                <c:pt idx="11">
                  <c:v>281204.6915464073</c:v>
                </c:pt>
                <c:pt idx="12">
                  <c:v>282146.15513177251</c:v>
                </c:pt>
                <c:pt idx="13">
                  <c:v>283090.77070467232</c:v>
                </c:pt>
                <c:pt idx="14">
                  <c:v>283946.68984482484</c:v>
                </c:pt>
                <c:pt idx="15">
                  <c:v>284897.33354569506</c:v>
                </c:pt>
                <c:pt idx="16">
                  <c:v>285820.3415872312</c:v>
                </c:pt>
                <c:pt idx="17">
                  <c:v>286777.25820935832</c:v>
                </c:pt>
                <c:pt idx="18">
                  <c:v>287706.35681538115</c:v>
                </c:pt>
                <c:pt idx="19">
                  <c:v>288669.58775128791</c:v>
                </c:pt>
                <c:pt idx="20">
                  <c:v>289636.04355106689</c:v>
                </c:pt>
                <c:pt idx="21">
                  <c:v>290574.40402636235</c:v>
                </c:pt>
                <c:pt idx="22">
                  <c:v>291547.23708517611</c:v>
                </c:pt>
                <c:pt idx="23">
                  <c:v>292491.78942958743</c:v>
                </c:pt>
                <c:pt idx="24">
                  <c:v>293471.04182844301</c:v>
                </c:pt>
                <c:pt idx="25">
                  <c:v>294453.57273047429</c:v>
                </c:pt>
                <c:pt idx="26">
                  <c:v>295343.84706954565</c:v>
                </c:pt>
                <c:pt idx="27">
                  <c:v>296332.64805877721</c:v>
                </c:pt>
                <c:pt idx="28">
                  <c:v>297292.70413836115</c:v>
                </c:pt>
                <c:pt idx="29">
                  <c:v>298288.02983368188</c:v>
                </c:pt>
                <c:pt idx="30">
                  <c:v>299254.42094308179</c:v>
                </c:pt>
                <c:pt idx="31">
                  <c:v>300256.31439844391</c:v>
                </c:pt>
                <c:pt idx="32">
                  <c:v>301261.56215845613</c:v>
                </c:pt>
                <c:pt idx="33">
                  <c:v>302237.58689346211</c:v>
                </c:pt>
                <c:pt idx="34">
                  <c:v>303249.46788529074</c:v>
                </c:pt>
                <c:pt idx="35">
                  <c:v>304231.93302094506</c:v>
                </c:pt>
                <c:pt idx="36">
                  <c:v>305250.49101465911</c:v>
                </c:pt>
                <c:pt idx="37">
                  <c:v>306272.45910532156</c:v>
                </c:pt>
                <c:pt idx="38">
                  <c:v>307198.4676049886</c:v>
                </c:pt>
                <c:pt idx="39">
                  <c:v>308226.95745392912</c:v>
                </c:pt>
                <c:pt idx="40">
                  <c:v>309225.54861941142</c:v>
                </c:pt>
                <c:pt idx="41">
                  <c:v>310260.82506550715</c:v>
                </c:pt>
                <c:pt idx="42">
                  <c:v>311266.00553857448</c:v>
                </c:pt>
                <c:pt idx="43">
                  <c:v>312308.11336389201</c:v>
                </c:pt>
                <c:pt idx="44">
                  <c:v>313353.71013018041</c:v>
                </c:pt>
                <c:pt idx="45">
                  <c:v>314368.9109068804</c:v>
                </c:pt>
                <c:pt idx="46">
                  <c:v>315421.40715209593</c:v>
                </c:pt>
                <c:pt idx="47">
                  <c:v>316443.30683662626</c:v>
                </c:pt>
                <c:pt idx="48">
                  <c:v>317502.74808769824</c:v>
                </c:pt>
                <c:pt idx="49">
                  <c:v>318565.73631145078</c:v>
                </c:pt>
                <c:pt idx="50">
                  <c:v>319563.36626778182</c:v>
                </c:pt>
                <c:pt idx="51">
                  <c:v>320633.25336996122</c:v>
                </c:pt>
                <c:pt idx="52">
                  <c:v>321672.03835106653</c:v>
                </c:pt>
                <c:pt idx="53">
                  <c:v>322748.98521447828</c:v>
                </c:pt>
                <c:pt idx="54">
                  <c:v>323794.62472623878</c:v>
                </c:pt>
                <c:pt idx="55">
                  <c:v>324878.67793545162</c:v>
                </c:pt>
                <c:pt idx="56">
                  <c:v>325966.36051733053</c:v>
                </c:pt>
                <c:pt idx="57">
                  <c:v>327022.42365517491</c:v>
                </c:pt>
                <c:pt idx="58">
                  <c:v>328117.28342360893</c:v>
                </c:pt>
                <c:pt idx="59">
                  <c:v>329180.31510382087</c:v>
                </c:pt>
                <c:pt idx="60">
                  <c:v>330282.39941822138</c:v>
                </c:pt>
                <c:pt idx="61">
                  <c:v>331388.17347280477</c:v>
                </c:pt>
                <c:pt idx="62">
                  <c:v>332390.11881983781</c:v>
                </c:pt>
                <c:pt idx="63">
                  <c:v>333502.94944610936</c:v>
                </c:pt>
                <c:pt idx="64">
                  <c:v>334583.42956287129</c:v>
                </c:pt>
                <c:pt idx="65">
                  <c:v>335703.60331768182</c:v>
                </c:pt>
                <c:pt idx="66">
                  <c:v>336791.21309478424</c:v>
                </c:pt>
                <c:pt idx="67">
                  <c:v>337918.77843253181</c:v>
                </c:pt>
                <c:pt idx="68">
                  <c:v>339050.11882004741</c:v>
                </c:pt>
                <c:pt idx="69">
                  <c:v>340148.57061059156</c:v>
                </c:pt>
                <c:pt idx="70">
                  <c:v>341287.37626522937</c:v>
                </c:pt>
                <c:pt idx="71">
                  <c:v>342393.07630407118</c:v>
                </c:pt>
                <c:pt idx="72">
                  <c:v>343539.39648617333</c:v>
                </c:pt>
                <c:pt idx="73">
                  <c:v>344689.55450861342</c:v>
                </c:pt>
                <c:pt idx="74">
                  <c:v>345731.71630844951</c:v>
                </c:pt>
                <c:pt idx="75">
                  <c:v>346889.21414186136</c:v>
                </c:pt>
                <c:pt idx="76">
                  <c:v>348013.06296905148</c:v>
                </c:pt>
                <c:pt idx="77">
                  <c:v>349178.19867221068</c:v>
                </c:pt>
                <c:pt idx="78">
                  <c:v>350309.46333268483</c:v>
                </c:pt>
                <c:pt idx="79">
                  <c:v>351482.28730486933</c:v>
                </c:pt>
                <c:pt idx="80">
                  <c:v>352659.03785116534</c:v>
                </c:pt>
                <c:pt idx="81">
                  <c:v>353801.57970582548</c:v>
                </c:pt>
                <c:pt idx="82">
                  <c:v>354986.09516289626</c:v>
                </c:pt>
                <c:pt idx="83">
                  <c:v>356136.17619872425</c:v>
                </c:pt>
                <c:pt idx="84">
                  <c:v>357328.50780414056</c:v>
                </c:pt>
                <c:pt idx="85">
                  <c:v>358524.83129455004</c:v>
                </c:pt>
                <c:pt idx="86">
                  <c:v>359608.82377004152</c:v>
                </c:pt>
                <c:pt idx="87">
                  <c:v>360812.78167946934</c:v>
                </c:pt>
                <c:pt idx="88">
                  <c:v>361981.73996642209</c:v>
                </c:pt>
                <c:pt idx="89">
                  <c:v>363193.64231723727</c:v>
                </c:pt>
                <c:pt idx="90">
                  <c:v>364370.31409693242</c:v>
                </c:pt>
                <c:pt idx="91">
                  <c:v>365590.21331135766</c:v>
                </c:pt>
                <c:pt idx="92">
                  <c:v>366814.1967061786</c:v>
                </c:pt>
                <c:pt idx="93">
                  <c:v>368002.59832824901</c:v>
                </c:pt>
                <c:pt idx="94">
                  <c:v>369234.65830470383</c:v>
                </c:pt>
                <c:pt idx="95">
                  <c:v>370430.90171838336</c:v>
                </c:pt>
                <c:pt idx="96">
                  <c:v>371671.09157063661</c:v>
                </c:pt>
                <c:pt idx="97">
                  <c:v>372915.43353563815</c:v>
                </c:pt>
                <c:pt idx="98">
                  <c:v>374083.26662397076</c:v>
                </c:pt>
                <c:pt idx="99">
                  <c:v>375335.68446765607</c:v>
                </c:pt>
                <c:pt idx="100">
                  <c:v>376551.69393579441</c:v>
                </c:pt>
                <c:pt idx="101">
                  <c:v>377812.37598878081</c:v>
                </c:pt>
                <c:pt idx="102">
                  <c:v>379036.40942176973</c:v>
                </c:pt>
                <c:pt idx="103">
                  <c:v>380305.41021629988</c:v>
                </c:pt>
                <c:pt idx="104">
                  <c:v>381578.65958161827</c:v>
                </c:pt>
                <c:pt idx="105">
                  <c:v>382814.89498926111</c:v>
                </c:pt>
                <c:pt idx="106">
                  <c:v>384096.54602284043</c:v>
                </c:pt>
                <c:pt idx="107">
                  <c:v>385340.93885829765</c:v>
                </c:pt>
                <c:pt idx="108">
                  <c:v>386631.04699941829</c:v>
                </c:pt>
                <c:pt idx="109">
                  <c:v>387925.47437799396</c:v>
                </c:pt>
                <c:pt idx="110">
                  <c:v>389098.35909495648</c:v>
                </c:pt>
                <c:pt idx="111">
                  <c:v>390401.04694912699</c:v>
                </c:pt>
                <c:pt idx="112">
                  <c:v>391665.86505491025</c:v>
                </c:pt>
                <c:pt idx="113">
                  <c:v>392977.148830269</c:v>
                </c:pt>
                <c:pt idx="114">
                  <c:v>394250.31296977156</c:v>
                </c:pt>
                <c:pt idx="115">
                  <c:v>395570.24938739859</c:v>
                </c:pt>
                <c:pt idx="116">
                  <c:v>396894.60490651918</c:v>
                </c:pt>
                <c:pt idx="117">
                  <c:v>398180.46078804519</c:v>
                </c:pt>
                <c:pt idx="118">
                  <c:v>399513.55520469305</c:v>
                </c:pt>
                <c:pt idx="119">
                  <c:v>400807.89593988803</c:v>
                </c:pt>
                <c:pt idx="120">
                  <c:v>402149.78691858734</c:v>
                </c:pt>
                <c:pt idx="121">
                  <c:v>403496.17050189094</c:v>
                </c:pt>
                <c:pt idx="122">
                  <c:v>404716.13289929205</c:v>
                </c:pt>
                <c:pt idx="123">
                  <c:v>406071.10852021415</c:v>
                </c:pt>
                <c:pt idx="124">
                  <c:v>407386.69436278695</c:v>
                </c:pt>
                <c:pt idx="125">
                  <c:v>408750.61093116173</c:v>
                </c:pt>
                <c:pt idx="126">
                  <c:v>410074.87780364038</c:v>
                </c:pt>
                <c:pt idx="127">
                  <c:v>411447.79431723739</c:v>
                </c:pt>
                <c:pt idx="128">
                  <c:v>412825.30730785755</c:v>
                </c:pt>
                <c:pt idx="129">
                  <c:v>414162.77534819447</c:v>
                </c:pt>
                <c:pt idx="130">
                  <c:v>415549.37800144276</c:v>
                </c:pt>
                <c:pt idx="131">
                  <c:v>416895.67146364163</c:v>
                </c:pt>
                <c:pt idx="132">
                  <c:v>418291.42375860084</c:v>
                </c:pt>
                <c:pt idx="133">
                  <c:v>419691.84898398974</c:v>
                </c:pt>
                <c:pt idx="134">
                  <c:v>420960.77868317062</c:v>
                </c:pt>
                <c:pt idx="135">
                  <c:v>422370.14081656089</c:v>
                </c:pt>
                <c:pt idx="136">
                  <c:v>423738.53213011345</c:v>
                </c:pt>
                <c:pt idx="137">
                  <c:v>425157.19408600964</c:v>
                </c:pt>
                <c:pt idx="138">
                  <c:v>426534.61487185699</c:v>
                </c:pt>
                <c:pt idx="139">
                  <c:v>427962.63801610505</c:v>
                </c:pt>
                <c:pt idx="140">
                  <c:v>429395.44213247061</c:v>
                </c:pt>
                <c:pt idx="141">
                  <c:v>430786.59395953204</c:v>
                </c:pt>
                <c:pt idx="142">
                  <c:v>432228.85258276435</c:v>
                </c:pt>
                <c:pt idx="143">
                  <c:v>433629.18406973436</c:v>
                </c:pt>
                <c:pt idx="144">
                  <c:v>435080.95958638034</c:v>
                </c:pt>
                <c:pt idx="145">
                  <c:v>436537.59559726471</c:v>
                </c:pt>
                <c:pt idx="146">
                  <c:v>437904.66974489694</c:v>
                </c:pt>
                <c:pt idx="147">
                  <c:v>439370.75943976943</c:v>
                </c:pt>
                <c:pt idx="148">
                  <c:v>440794.22921792191</c:v>
                </c:pt>
                <c:pt idx="149">
                  <c:v>442269.99305801175</c:v>
                </c:pt>
                <c:pt idx="150">
                  <c:v>443702.85574943095</c:v>
                </c:pt>
                <c:pt idx="151">
                  <c:v>445188.35757058917</c:v>
                </c:pt>
                <c:pt idx="152">
                  <c:v>446678.83280048805</c:v>
                </c:pt>
                <c:pt idx="153">
                  <c:v>448125.97921469784</c:v>
                </c:pt>
                <c:pt idx="154">
                  <c:v>449626.28950029961</c:v>
                </c:pt>
                <c:pt idx="155">
                  <c:v>451082.98506052064</c:v>
                </c:pt>
                <c:pt idx="156">
                  <c:v>452593.19529946335</c:v>
                </c:pt>
                <c:pt idx="157">
                  <c:v>454108.46167007514</c:v>
                </c:pt>
                <c:pt idx="158">
                  <c:v>455481.44929196441</c:v>
                </c:pt>
                <c:pt idx="159">
                  <c:v>457006.38543708832</c:v>
                </c:pt>
                <c:pt idx="160">
                  <c:v>458486.99097151641</c:v>
                </c:pt>
                <c:pt idx="161">
                  <c:v>460021.98956627533</c:v>
                </c:pt>
                <c:pt idx="162">
                  <c:v>461512.36503019586</c:v>
                </c:pt>
                <c:pt idx="163">
                  <c:v>463057.49247270869</c:v>
                </c:pt>
                <c:pt idx="164">
                  <c:v>464607.79294847941</c:v>
                </c:pt>
                <c:pt idx="165">
                  <c:v>466113.02546053723</c:v>
                </c:pt>
                <c:pt idx="166">
                  <c:v>467673.55575511482</c:v>
                </c:pt>
                <c:pt idx="167">
                  <c:v>469188.72070033639</c:v>
                </c:pt>
                <c:pt idx="168">
                  <c:v>470759.54831624165</c:v>
                </c:pt>
                <c:pt idx="169">
                  <c:v>472335.6350086985</c:v>
                </c:pt>
                <c:pt idx="170">
                  <c:v>473763.7321154098</c:v>
                </c:pt>
                <c:pt idx="171">
                  <c:v>475349.87671136344</c:v>
                </c:pt>
                <c:pt idx="172">
                  <c:v>476889.91133817815</c:v>
                </c:pt>
                <c:pt idx="173">
                  <c:v>478486.52227409085</c:v>
                </c:pt>
                <c:pt idx="174">
                  <c:v>480036.71897944034</c:v>
                </c:pt>
                <c:pt idx="175">
                  <c:v>481643.86531854229</c:v>
                </c:pt>
                <c:pt idx="176">
                  <c:v>483256.39232802542</c:v>
                </c:pt>
                <c:pt idx="177">
                  <c:v>484822.04241920373</c:v>
                </c:pt>
                <c:pt idx="178">
                  <c:v>486445.20985574165</c:v>
                </c:pt>
                <c:pt idx="179">
                  <c:v>488021.19105175929</c:v>
                </c:pt>
                <c:pt idx="180">
                  <c:v>489655.0691273167</c:v>
                </c:pt>
                <c:pt idx="181">
                  <c:v>491294.41737018473</c:v>
                </c:pt>
                <c:pt idx="182">
                  <c:v>492779.83596659632</c:v>
                </c:pt>
                <c:pt idx="183">
                  <c:v>494429.64582081058</c:v>
                </c:pt>
                <c:pt idx="184">
                  <c:v>496031.49492689577</c:v>
                </c:pt>
                <c:pt idx="185">
                  <c:v>497692.1912228922</c:v>
                </c:pt>
                <c:pt idx="186">
                  <c:v>499304.6102967778</c:v>
                </c:pt>
                <c:pt idx="187">
                  <c:v>500976.264869873</c:v>
                </c:pt>
                <c:pt idx="188">
                  <c:v>502653.51608468493</c:v>
                </c:pt>
                <c:pt idx="189">
                  <c:v>504282.00881811342</c:v>
                </c:pt>
                <c:pt idx="190">
                  <c:v>505970.32754937728</c:v>
                </c:pt>
                <c:pt idx="191">
                  <c:v>507609.56606135017</c:v>
                </c:pt>
                <c:pt idx="192">
                  <c:v>509309.0253392217</c:v>
                </c:pt>
                <c:pt idx="193">
                  <c:v>511014.17434800201</c:v>
                </c:pt>
                <c:pt idx="194">
                  <c:v>512614.48156980862</c:v>
                </c:pt>
                <c:pt idx="195">
                  <c:v>514330.69713177031</c:v>
                </c:pt>
                <c:pt idx="196">
                  <c:v>515997.02150045865</c:v>
                </c:pt>
                <c:pt idx="197">
                  <c:v>517724.56168916548</c:v>
                </c:pt>
                <c:pt idx="198">
                  <c:v>519401.8814723742</c:v>
                </c:pt>
                <c:pt idx="199">
                  <c:v>521140.82101455366</c:v>
                </c:pt>
                <c:pt idx="200">
                  <c:v>522885.58246619999</c:v>
                </c:pt>
                <c:pt idx="201">
                  <c:v>524579.62288213789</c:v>
                </c:pt>
                <c:pt idx="202">
                  <c:v>526335.89732355007</c:v>
                </c:pt>
                <c:pt idx="203">
                  <c:v>528041.11604122748</c:v>
                </c:pt>
                <c:pt idx="204">
                  <c:v>529808.97944206407</c:v>
                </c:pt>
                <c:pt idx="205">
                  <c:v>531582.76158844633</c:v>
                </c:pt>
                <c:pt idx="206">
                  <c:v>533189.99116744706</c:v>
                </c:pt>
                <c:pt idx="207">
                  <c:v>534975.09282419609</c:v>
                </c:pt>
                <c:pt idx="208">
                  <c:v>536708.3007365081</c:v>
                </c:pt>
                <c:pt idx="209">
                  <c:v>538505.1815720587</c:v>
                </c:pt>
                <c:pt idx="210">
                  <c:v>540249.82623690565</c:v>
                </c:pt>
                <c:pt idx="211">
                  <c:v>542058.56397739239</c:v>
                </c:pt>
                <c:pt idx="212">
                  <c:v>543873.35730930092</c:v>
                </c:pt>
                <c:pt idx="213">
                  <c:v>545635.39374581585</c:v>
                </c:pt>
                <c:pt idx="214">
                  <c:v>547462.16218013025</c:v>
                </c:pt>
                <c:pt idx="215">
                  <c:v>549235.82559719309</c:v>
                </c:pt>
                <c:pt idx="216">
                  <c:v>551074.64815286919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21-4CC8-8D3B-492110C7E7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crossAx val="1326003280"/>
        <c:crosses val="autoZero"/>
        <c:crossBetween val="midCat"/>
      </c:valAx>
      <c:valAx>
        <c:axId val="1326003280"/>
        <c:scaling>
          <c:orientation val="minMax"/>
          <c:min val="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'発展-成長率'!$R$1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'発展-成長率'!$O$2:$O$219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'発展-成長率'!$R$2:$R$218</c:f>
              <c:numCache>
                <c:formatCode>0_);[Red]\(0\)</c:formatCode>
                <c:ptCount val="217"/>
                <c:pt idx="0">
                  <c:v>-32014.778015375137</c:v>
                </c:pt>
                <c:pt idx="1">
                  <c:v>-29047.955391407013</c:v>
                </c:pt>
                <c:pt idx="2">
                  <c:v>-26368.544521093369</c:v>
                </c:pt>
                <c:pt idx="3">
                  <c:v>-23605.310224056244</c:v>
                </c:pt>
                <c:pt idx="4">
                  <c:v>-21028.941474437714</c:v>
                </c:pt>
                <c:pt idx="5">
                  <c:v>-18465.994772195816</c:v>
                </c:pt>
                <c:pt idx="6">
                  <c:v>-16080.218624353409</c:v>
                </c:pt>
                <c:pt idx="7">
                  <c:v>-13710.897819042206</c:v>
                </c:pt>
                <c:pt idx="8">
                  <c:v>-11437.452280759811</c:v>
                </c:pt>
                <c:pt idx="9">
                  <c:v>-9327.0414006710052</c:v>
                </c:pt>
                <c:pt idx="10">
                  <c:v>-7237.3410029411316</c:v>
                </c:pt>
                <c:pt idx="11">
                  <c:v>-5301.6206665039063</c:v>
                </c:pt>
                <c:pt idx="12">
                  <c:v>-3389.2243654727936</c:v>
                </c:pt>
                <c:pt idx="13">
                  <c:v>-1564.4932107925415</c:v>
                </c:pt>
                <c:pt idx="14">
                  <c:v>9.6564061641693115</c:v>
                </c:pt>
                <c:pt idx="15">
                  <c:v>1672.0325176715851</c:v>
                </c:pt>
                <c:pt idx="16">
                  <c:v>3201.7715466022491</c:v>
                </c:pt>
                <c:pt idx="17">
                  <c:v>4702.4093577861786</c:v>
                </c:pt>
                <c:pt idx="18">
                  <c:v>6078.6068434715271</c:v>
                </c:pt>
                <c:pt idx="19">
                  <c:v>7423.6416509151459</c:v>
                </c:pt>
                <c:pt idx="20">
                  <c:v>8691.9225673675537</c:v>
                </c:pt>
                <c:pt idx="21">
                  <c:v>9847.6715362071991</c:v>
                </c:pt>
                <c:pt idx="22">
                  <c:v>10969.436286687851</c:v>
                </c:pt>
                <c:pt idx="23">
                  <c:v>11986.268041133881</c:v>
                </c:pt>
                <c:pt idx="24">
                  <c:v>12967.431267023087</c:v>
                </c:pt>
                <c:pt idx="25">
                  <c:v>13879.379740715027</c:v>
                </c:pt>
                <c:pt idx="26">
                  <c:v>14644.825908184052</c:v>
                </c:pt>
                <c:pt idx="27">
                  <c:v>15429.159006357193</c:v>
                </c:pt>
                <c:pt idx="28">
                  <c:v>16126.37181186676</c:v>
                </c:pt>
                <c:pt idx="29">
                  <c:v>16784.366121292114</c:v>
                </c:pt>
                <c:pt idx="30">
                  <c:v>17362.040263652802</c:v>
                </c:pt>
                <c:pt idx="31">
                  <c:v>17899.304678678513</c:v>
                </c:pt>
                <c:pt idx="32">
                  <c:v>18377.335867881775</c:v>
                </c:pt>
                <c:pt idx="33">
                  <c:v>18784.880994319916</c:v>
                </c:pt>
                <c:pt idx="34">
                  <c:v>19150.475209474564</c:v>
                </c:pt>
                <c:pt idx="35">
                  <c:v>19451.8282725811</c:v>
                </c:pt>
                <c:pt idx="36">
                  <c:v>19710.37375164032</c:v>
                </c:pt>
                <c:pt idx="37">
                  <c:v>19916.55416226387</c:v>
                </c:pt>
                <c:pt idx="38">
                  <c:v>20058.901982784271</c:v>
                </c:pt>
                <c:pt idx="39">
                  <c:v>20169.160173892975</c:v>
                </c:pt>
                <c:pt idx="40">
                  <c:v>20229.711157798767</c:v>
                </c:pt>
                <c:pt idx="41">
                  <c:v>20245.880287885666</c:v>
                </c:pt>
                <c:pt idx="42">
                  <c:v>20217.847311973572</c:v>
                </c:pt>
                <c:pt idx="43">
                  <c:v>20145.009873390198</c:v>
                </c:pt>
                <c:pt idx="44">
                  <c:v>20028.859166622162</c:v>
                </c:pt>
                <c:pt idx="45">
                  <c:v>19876.41942191124</c:v>
                </c:pt>
                <c:pt idx="46">
                  <c:v>19678.761147975922</c:v>
                </c:pt>
                <c:pt idx="47">
                  <c:v>19449.806314229965</c:v>
                </c:pt>
                <c:pt idx="48">
                  <c:v>19175.502309799194</c:v>
                </c:pt>
                <c:pt idx="49">
                  <c:v>18864.082211017609</c:v>
                </c:pt>
                <c:pt idx="50">
                  <c:v>18540.234374761581</c:v>
                </c:pt>
                <c:pt idx="51">
                  <c:v>18160.436104297638</c:v>
                </c:pt>
                <c:pt idx="52">
                  <c:v>17760.920200586319</c:v>
                </c:pt>
                <c:pt idx="53">
                  <c:v>17316.208212137222</c:v>
                </c:pt>
                <c:pt idx="54">
                  <c:v>16856.087144136429</c:v>
                </c:pt>
                <c:pt idx="55">
                  <c:v>16351.016085624695</c:v>
                </c:pt>
                <c:pt idx="56">
                  <c:v>15816.988037824631</c:v>
                </c:pt>
                <c:pt idx="57">
                  <c:v>15273.691554307938</c:v>
                </c:pt>
                <c:pt idx="58">
                  <c:v>14686.007345438004</c:v>
                </c:pt>
                <c:pt idx="59">
                  <c:v>14092.89333820343</c:v>
                </c:pt>
                <c:pt idx="60">
                  <c:v>13455.886960029602</c:v>
                </c:pt>
                <c:pt idx="61">
                  <c:v>12795.447946310043</c:v>
                </c:pt>
                <c:pt idx="62">
                  <c:v>12179.684304952621</c:v>
                </c:pt>
                <c:pt idx="63">
                  <c:v>11477.635801315308</c:v>
                </c:pt>
                <c:pt idx="64">
                  <c:v>10778.881212949753</c:v>
                </c:pt>
                <c:pt idx="65">
                  <c:v>10037.86052274704</c:v>
                </c:pt>
                <c:pt idx="66">
                  <c:v>9303.3507661819458</c:v>
                </c:pt>
                <c:pt idx="67">
                  <c:v>8527.3861343860626</c:v>
                </c:pt>
                <c:pt idx="68">
                  <c:v>7735.1786653995514</c:v>
                </c:pt>
                <c:pt idx="69">
                  <c:v>6954.0086436271667</c:v>
                </c:pt>
                <c:pt idx="70">
                  <c:v>6132.7662243843079</c:v>
                </c:pt>
                <c:pt idx="71">
                  <c:v>5325.3509464263916</c:v>
                </c:pt>
                <c:pt idx="72">
                  <c:v>4478.8811662197113</c:v>
                </c:pt>
                <c:pt idx="73">
                  <c:v>3621.0219204425812</c:v>
                </c:pt>
                <c:pt idx="74">
                  <c:v>2837.1815083026886</c:v>
                </c:pt>
                <c:pt idx="75">
                  <c:v>1960.2580456733704</c:v>
                </c:pt>
                <c:pt idx="76">
                  <c:v>1103.3619170188904</c:v>
                </c:pt>
                <c:pt idx="77">
                  <c:v>210.25801491737366</c:v>
                </c:pt>
                <c:pt idx="78">
                  <c:v>-660.5914626121521</c:v>
                </c:pt>
                <c:pt idx="79">
                  <c:v>-1566.373960018158</c:v>
                </c:pt>
                <c:pt idx="80">
                  <c:v>-2477.2858533859253</c:v>
                </c:pt>
                <c:pt idx="81">
                  <c:v>-3362.8776967525482</c:v>
                </c:pt>
                <c:pt idx="82">
                  <c:v>-4281.3531134128571</c:v>
                </c:pt>
                <c:pt idx="83">
                  <c:v>-5172.6661243438721</c:v>
                </c:pt>
                <c:pt idx="84">
                  <c:v>-6095.4238755702972</c:v>
                </c:pt>
                <c:pt idx="85">
                  <c:v>-7019.1286327838898</c:v>
                </c:pt>
                <c:pt idx="86">
                  <c:v>-7853.5799765586853</c:v>
                </c:pt>
                <c:pt idx="87">
                  <c:v>-8776.8501892089844</c:v>
                </c:pt>
                <c:pt idx="88">
                  <c:v>-9669.0298092365265</c:v>
                </c:pt>
                <c:pt idx="89">
                  <c:v>-10588.838497400284</c:v>
                </c:pt>
                <c:pt idx="90">
                  <c:v>-11476.217825651169</c:v>
                </c:pt>
                <c:pt idx="91">
                  <c:v>-12389.589547395706</c:v>
                </c:pt>
                <c:pt idx="92">
                  <c:v>-13298.577931642532</c:v>
                </c:pt>
                <c:pt idx="93">
                  <c:v>-14173.378978967667</c:v>
                </c:pt>
                <c:pt idx="94">
                  <c:v>-15071.609243154526</c:v>
                </c:pt>
                <c:pt idx="95">
                  <c:v>-15934.655544996262</c:v>
                </c:pt>
                <c:pt idx="96">
                  <c:v>-16819.372903108597</c:v>
                </c:pt>
                <c:pt idx="97">
                  <c:v>-17696.195516347885</c:v>
                </c:pt>
                <c:pt idx="98">
                  <c:v>-18508.701711893082</c:v>
                </c:pt>
                <c:pt idx="99">
                  <c:v>-19368.330635786057</c:v>
                </c:pt>
                <c:pt idx="100">
                  <c:v>-20190.857853651047</c:v>
                </c:pt>
                <c:pt idx="101">
                  <c:v>-21030.492214202881</c:v>
                </c:pt>
                <c:pt idx="102">
                  <c:v>-21832.474833965302</c:v>
                </c:pt>
                <c:pt idx="103">
                  <c:v>-22649.667035341263</c:v>
                </c:pt>
                <c:pt idx="104">
                  <c:v>-23454.544398546219</c:v>
                </c:pt>
                <c:pt idx="105">
                  <c:v>-24221.169401407242</c:v>
                </c:pt>
                <c:pt idx="106">
                  <c:v>-25000.07954287529</c:v>
                </c:pt>
                <c:pt idx="107">
                  <c:v>-25740.486725091934</c:v>
                </c:pt>
                <c:pt idx="108">
                  <c:v>-26491.202705144882</c:v>
                </c:pt>
                <c:pt idx="109">
                  <c:v>-27226.765260457993</c:v>
                </c:pt>
                <c:pt idx="110">
                  <c:v>-27877.669524908066</c:v>
                </c:pt>
                <c:pt idx="111">
                  <c:v>-28582.907005310059</c:v>
                </c:pt>
                <c:pt idx="112">
                  <c:v>-29249.507301092148</c:v>
                </c:pt>
                <c:pt idx="113">
                  <c:v>-29921.416451215744</c:v>
                </c:pt>
                <c:pt idx="114">
                  <c:v>-30554.823214054108</c:v>
                </c:pt>
                <c:pt idx="115">
                  <c:v>-31191.482839584351</c:v>
                </c:pt>
                <c:pt idx="116">
                  <c:v>-31809.520699501038</c:v>
                </c:pt>
                <c:pt idx="117">
                  <c:v>-32389.456296443939</c:v>
                </c:pt>
                <c:pt idx="118">
                  <c:v>-32969.513488531113</c:v>
                </c:pt>
                <c:pt idx="119">
                  <c:v>-33511.860057592392</c:v>
                </c:pt>
                <c:pt idx="120">
                  <c:v>-34052.236042499542</c:v>
                </c:pt>
                <c:pt idx="121">
                  <c:v>-34571.822657346725</c:v>
                </c:pt>
                <c:pt idx="122">
                  <c:v>-35022.920747041702</c:v>
                </c:pt>
                <c:pt idx="123">
                  <c:v>-35501.831408262253</c:v>
                </c:pt>
                <c:pt idx="124">
                  <c:v>-35944.413989305496</c:v>
                </c:pt>
                <c:pt idx="125">
                  <c:v>-36379.81233716011</c:v>
                </c:pt>
                <c:pt idx="126">
                  <c:v>-36779.600628137589</c:v>
                </c:pt>
                <c:pt idx="127">
                  <c:v>-37170.091868638992</c:v>
                </c:pt>
                <c:pt idx="128">
                  <c:v>-37537.255125761032</c:v>
                </c:pt>
                <c:pt idx="129">
                  <c:v>-37870.055954217911</c:v>
                </c:pt>
                <c:pt idx="130">
                  <c:v>-38190.37487912178</c:v>
                </c:pt>
                <c:pt idx="131">
                  <c:v>-38477.263652086258</c:v>
                </c:pt>
                <c:pt idx="132">
                  <c:v>-38749.564109563828</c:v>
                </c:pt>
                <c:pt idx="133">
                  <c:v>-38997.039960622787</c:v>
                </c:pt>
                <c:pt idx="134">
                  <c:v>-39199.005299091339</c:v>
                </c:pt>
                <c:pt idx="135">
                  <c:v>-39398.500829458237</c:v>
                </c:pt>
                <c:pt idx="136">
                  <c:v>-39567.214000940323</c:v>
                </c:pt>
                <c:pt idx="137">
                  <c:v>-39716.163017511368</c:v>
                </c:pt>
                <c:pt idx="138">
                  <c:v>-39835.529319047928</c:v>
                </c:pt>
                <c:pt idx="139">
                  <c:v>-39933.063431024551</c:v>
                </c:pt>
                <c:pt idx="140">
                  <c:v>-40004.164051294327</c:v>
                </c:pt>
                <c:pt idx="141">
                  <c:v>-40047.623843431473</c:v>
                </c:pt>
                <c:pt idx="142">
                  <c:v>-40066.166251897812</c:v>
                </c:pt>
                <c:pt idx="143">
                  <c:v>-40058.439138650894</c:v>
                </c:pt>
                <c:pt idx="144">
                  <c:v>-40023.775601148605</c:v>
                </c:pt>
                <c:pt idx="145">
                  <c:v>-39961.852932214737</c:v>
                </c:pt>
                <c:pt idx="146">
                  <c:v>-39879.129394292831</c:v>
                </c:pt>
                <c:pt idx="147">
                  <c:v>-39764.079464673996</c:v>
                </c:pt>
                <c:pt idx="148">
                  <c:v>-39626.44699048996</c:v>
                </c:pt>
                <c:pt idx="149">
                  <c:v>-39456.959815263748</c:v>
                </c:pt>
                <c:pt idx="150">
                  <c:v>-39266.470654249191</c:v>
                </c:pt>
                <c:pt idx="151">
                  <c:v>-39042.205685853958</c:v>
                </c:pt>
                <c:pt idx="152">
                  <c:v>-38790.000503540039</c:v>
                </c:pt>
                <c:pt idx="153">
                  <c:v>-38519.277514219284</c:v>
                </c:pt>
                <c:pt idx="154">
                  <c:v>-38211.94732427597</c:v>
                </c:pt>
                <c:pt idx="155">
                  <c:v>-37887.808842897415</c:v>
                </c:pt>
                <c:pt idx="156">
                  <c:v>-37525.233757734299</c:v>
                </c:pt>
                <c:pt idx="157">
                  <c:v>-37134.565639257431</c:v>
                </c:pt>
                <c:pt idx="158">
                  <c:v>-36757.560067415237</c:v>
                </c:pt>
                <c:pt idx="159">
                  <c:v>-36313.443294763565</c:v>
                </c:pt>
                <c:pt idx="160">
                  <c:v>-35856.943719625473</c:v>
                </c:pt>
                <c:pt idx="161">
                  <c:v>-35357.663697481155</c:v>
                </c:pt>
                <c:pt idx="162">
                  <c:v>-34847.859562158585</c:v>
                </c:pt>
                <c:pt idx="163">
                  <c:v>-34293.6021463871</c:v>
                </c:pt>
                <c:pt idx="164">
                  <c:v>-33711.504812002182</c:v>
                </c:pt>
                <c:pt idx="165">
                  <c:v>-33121.754900693893</c:v>
                </c:pt>
                <c:pt idx="166">
                  <c:v>-32485.12687587738</c:v>
                </c:pt>
                <c:pt idx="167">
                  <c:v>-31842.791328668594</c:v>
                </c:pt>
                <c:pt idx="168">
                  <c:v>-31152.039127588272</c:v>
                </c:pt>
                <c:pt idx="169">
                  <c:v>-30433.965172052383</c:v>
                </c:pt>
                <c:pt idx="170">
                  <c:v>-29762.014212846756</c:v>
                </c:pt>
                <c:pt idx="171">
                  <c:v>-28992.335119009018</c:v>
                </c:pt>
                <c:pt idx="172">
                  <c:v>-28221.88400387764</c:v>
                </c:pt>
                <c:pt idx="173">
                  <c:v>-27399.465440034866</c:v>
                </c:pt>
                <c:pt idx="174">
                  <c:v>-26578.310068368912</c:v>
                </c:pt>
                <c:pt idx="175">
                  <c:v>-25703.864293336868</c:v>
                </c:pt>
                <c:pt idx="176">
                  <c:v>-24803.27960562706</c:v>
                </c:pt>
                <c:pt idx="177">
                  <c:v>-23907.063762903214</c:v>
                </c:pt>
                <c:pt idx="178">
                  <c:v>-22955.692485570908</c:v>
                </c:pt>
                <c:pt idx="179">
                  <c:v>-22010.769039392471</c:v>
                </c:pt>
                <c:pt idx="180">
                  <c:v>-21009.544088125229</c:v>
                </c:pt>
                <c:pt idx="181">
                  <c:v>-19983.369370698929</c:v>
                </c:pt>
                <c:pt idx="182">
                  <c:v>-19035.285710573196</c:v>
                </c:pt>
                <c:pt idx="183">
                  <c:v>-17962.395881891251</c:v>
                </c:pt>
                <c:pt idx="184">
                  <c:v>-16901.147883176804</c:v>
                </c:pt>
                <c:pt idx="185">
                  <c:v>-15781.092148065567</c:v>
                </c:pt>
                <c:pt idx="186">
                  <c:v>-14674.788375139236</c:v>
                </c:pt>
                <c:pt idx="187">
                  <c:v>-13508.805395364761</c:v>
                </c:pt>
                <c:pt idx="188">
                  <c:v>-12319.985218286514</c:v>
                </c:pt>
                <c:pt idx="189">
                  <c:v>-11148.103528738022</c:v>
                </c:pt>
                <c:pt idx="190">
                  <c:v>-9915.3906466960907</c:v>
                </c:pt>
                <c:pt idx="191">
                  <c:v>-8701.7275655269623</c:v>
                </c:pt>
                <c:pt idx="192">
                  <c:v>-7426.5812938213348</c:v>
                </c:pt>
                <c:pt idx="193">
                  <c:v>-6130.457955121994</c:v>
                </c:pt>
                <c:pt idx="194">
                  <c:v>-4899.3288447856903</c:v>
                </c:pt>
                <c:pt idx="195">
                  <c:v>-3563.7829654216766</c:v>
                </c:pt>
                <c:pt idx="196">
                  <c:v>-2252.5221245288849</c:v>
                </c:pt>
                <c:pt idx="197">
                  <c:v>-878.56191277503967</c:v>
                </c:pt>
                <c:pt idx="198">
                  <c:v>469.03002858161926</c:v>
                </c:pt>
                <c:pt idx="199">
                  <c:v>1879.6380684375763</c:v>
                </c:pt>
                <c:pt idx="200">
                  <c:v>3308.1652481555939</c:v>
                </c:pt>
                <c:pt idx="201">
                  <c:v>4707.2104108333588</c:v>
                </c:pt>
                <c:pt idx="202">
                  <c:v>6169.5547845363617</c:v>
                </c:pt>
                <c:pt idx="203">
                  <c:v>7600.375435590744</c:v>
                </c:pt>
                <c:pt idx="204">
                  <c:v>9094.5498440265656</c:v>
                </c:pt>
                <c:pt idx="205">
                  <c:v>10604.110442399979</c:v>
                </c:pt>
                <c:pt idx="206">
                  <c:v>11980.354133844376</c:v>
                </c:pt>
                <c:pt idx="207">
                  <c:v>13517.675979375839</c:v>
                </c:pt>
                <c:pt idx="208">
                  <c:v>15018.518673181534</c:v>
                </c:pt>
                <c:pt idx="209">
                  <c:v>16582.373090982437</c:v>
                </c:pt>
                <c:pt idx="210">
                  <c:v>18107.793695688248</c:v>
                </c:pt>
                <c:pt idx="211">
                  <c:v>19695.887778997421</c:v>
                </c:pt>
                <c:pt idx="212">
                  <c:v>21295.393481969833</c:v>
                </c:pt>
                <c:pt idx="213">
                  <c:v>22853.577653646469</c:v>
                </c:pt>
                <c:pt idx="214">
                  <c:v>24473.698470830917</c:v>
                </c:pt>
                <c:pt idx="215">
                  <c:v>26050.62721323967</c:v>
                </c:pt>
                <c:pt idx="216">
                  <c:v>27688.849582433701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88-4C25-8322-82A742E18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crossAx val="1326003280"/>
        <c:crosses val="autoZero"/>
        <c:crossBetween val="midCat"/>
      </c:valAx>
      <c:valAx>
        <c:axId val="1326003280"/>
        <c:scaling>
          <c:orientation val="minMax"/>
          <c:max val="200000"/>
          <c:min val="-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'発展-成長率'!$S$1</c:f>
              <c:strCache>
                <c:ptCount val="1"/>
                <c:pt idx="0">
                  <c:v>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'発展-成長率'!$O$2:$O$219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'発展-成長率'!$S$2:$S$219</c:f>
              <c:numCache>
                <c:formatCode>0_);[Red]\(0\)</c:formatCode>
                <c:ptCount val="218"/>
                <c:pt idx="0">
                  <c:v>588.98337502532581</c:v>
                </c:pt>
                <c:pt idx="1">
                  <c:v>7225.4655458402231</c:v>
                </c:pt>
                <c:pt idx="2">
                  <c:v>14702.969673403668</c:v>
                </c:pt>
                <c:pt idx="3">
                  <c:v>26366.176148156963</c:v>
                </c:pt>
                <c:pt idx="4">
                  <c:v>30760.891800879039</c:v>
                </c:pt>
                <c:pt idx="5">
                  <c:v>24135.461905402834</c:v>
                </c:pt>
                <c:pt idx="6">
                  <c:v>9035.5089355065847</c:v>
                </c:pt>
                <c:pt idx="7">
                  <c:v>-11512.115043864824</c:v>
                </c:pt>
                <c:pt idx="8">
                  <c:v>-29942.575873501661</c:v>
                </c:pt>
                <c:pt idx="9">
                  <c:v>-31807.738034068618</c:v>
                </c:pt>
                <c:pt idx="10">
                  <c:v>-19849.338384994844</c:v>
                </c:pt>
                <c:pt idx="11">
                  <c:v>-8556.4728300846164</c:v>
                </c:pt>
                <c:pt idx="12">
                  <c:v>588.98337502532581</c:v>
                </c:pt>
                <c:pt idx="13">
                  <c:v>7225.4655458402231</c:v>
                </c:pt>
                <c:pt idx="14">
                  <c:v>14702.969673403668</c:v>
                </c:pt>
                <c:pt idx="15">
                  <c:v>26366.176148156963</c:v>
                </c:pt>
                <c:pt idx="16">
                  <c:v>30760.891800879039</c:v>
                </c:pt>
                <c:pt idx="17">
                  <c:v>24135.461905402834</c:v>
                </c:pt>
                <c:pt idx="18">
                  <c:v>9035.5089355065847</c:v>
                </c:pt>
                <c:pt idx="19">
                  <c:v>-11512.115043864824</c:v>
                </c:pt>
                <c:pt idx="20">
                  <c:v>-29942.575873501661</c:v>
                </c:pt>
                <c:pt idx="21">
                  <c:v>-31807.738034068618</c:v>
                </c:pt>
                <c:pt idx="22">
                  <c:v>-19849.338384994844</c:v>
                </c:pt>
                <c:pt idx="23">
                  <c:v>-8556.4728300846164</c:v>
                </c:pt>
                <c:pt idx="24">
                  <c:v>588.98337502532581</c:v>
                </c:pt>
                <c:pt idx="25">
                  <c:v>7225.4655458402231</c:v>
                </c:pt>
                <c:pt idx="26">
                  <c:v>14702.969673403668</c:v>
                </c:pt>
                <c:pt idx="27">
                  <c:v>26366.176148156963</c:v>
                </c:pt>
                <c:pt idx="28">
                  <c:v>30760.891800879039</c:v>
                </c:pt>
                <c:pt idx="29">
                  <c:v>24135.461905402834</c:v>
                </c:pt>
                <c:pt idx="30">
                  <c:v>9035.5089355065847</c:v>
                </c:pt>
                <c:pt idx="31">
                  <c:v>-11512.115043864824</c:v>
                </c:pt>
                <c:pt idx="32">
                  <c:v>-29942.575873501661</c:v>
                </c:pt>
                <c:pt idx="33">
                  <c:v>-31807.738034068618</c:v>
                </c:pt>
                <c:pt idx="34">
                  <c:v>-19849.338384994844</c:v>
                </c:pt>
                <c:pt idx="35">
                  <c:v>-8556.4728300846164</c:v>
                </c:pt>
                <c:pt idx="36">
                  <c:v>588.98337502532581</c:v>
                </c:pt>
                <c:pt idx="37">
                  <c:v>7225.4655458402231</c:v>
                </c:pt>
                <c:pt idx="38">
                  <c:v>14702.969673403668</c:v>
                </c:pt>
                <c:pt idx="39">
                  <c:v>26366.176148156963</c:v>
                </c:pt>
                <c:pt idx="40">
                  <c:v>30760.891800879039</c:v>
                </c:pt>
                <c:pt idx="41">
                  <c:v>24135.461905402834</c:v>
                </c:pt>
                <c:pt idx="42">
                  <c:v>9035.5089355065847</c:v>
                </c:pt>
                <c:pt idx="43">
                  <c:v>-11512.115043864824</c:v>
                </c:pt>
                <c:pt idx="44">
                  <c:v>-29942.575873501661</c:v>
                </c:pt>
                <c:pt idx="45">
                  <c:v>-31807.738034068618</c:v>
                </c:pt>
                <c:pt idx="46">
                  <c:v>-19849.338384994844</c:v>
                </c:pt>
                <c:pt idx="47">
                  <c:v>-8556.4728300846164</c:v>
                </c:pt>
                <c:pt idx="48">
                  <c:v>588.98337502532581</c:v>
                </c:pt>
                <c:pt idx="49">
                  <c:v>7225.4655458402231</c:v>
                </c:pt>
                <c:pt idx="50">
                  <c:v>14702.969673403668</c:v>
                </c:pt>
                <c:pt idx="51">
                  <c:v>26366.176148156963</c:v>
                </c:pt>
                <c:pt idx="52">
                  <c:v>30760.891800879039</c:v>
                </c:pt>
                <c:pt idx="53">
                  <c:v>24135.461905402834</c:v>
                </c:pt>
                <c:pt idx="54">
                  <c:v>9035.5089355065847</c:v>
                </c:pt>
                <c:pt idx="55">
                  <c:v>-11512.115043864824</c:v>
                </c:pt>
                <c:pt idx="56">
                  <c:v>-29942.575873501661</c:v>
                </c:pt>
                <c:pt idx="57">
                  <c:v>-31807.738034068618</c:v>
                </c:pt>
                <c:pt idx="58">
                  <c:v>-19849.338384994844</c:v>
                </c:pt>
                <c:pt idx="59">
                  <c:v>-8556.4728300846164</c:v>
                </c:pt>
                <c:pt idx="60">
                  <c:v>588.98337502532581</c:v>
                </c:pt>
                <c:pt idx="61">
                  <c:v>7225.4655458402231</c:v>
                </c:pt>
                <c:pt idx="62">
                  <c:v>14702.969673403668</c:v>
                </c:pt>
                <c:pt idx="63">
                  <c:v>26366.176148156963</c:v>
                </c:pt>
                <c:pt idx="64">
                  <c:v>30760.891800879039</c:v>
                </c:pt>
                <c:pt idx="65">
                  <c:v>24135.461905402834</c:v>
                </c:pt>
                <c:pt idx="66">
                  <c:v>9035.5089355065847</c:v>
                </c:pt>
                <c:pt idx="67">
                  <c:v>-11512.115043864824</c:v>
                </c:pt>
                <c:pt idx="68">
                  <c:v>-29942.575873501661</c:v>
                </c:pt>
                <c:pt idx="69">
                  <c:v>-31807.738034068618</c:v>
                </c:pt>
                <c:pt idx="70">
                  <c:v>-19849.338384994844</c:v>
                </c:pt>
                <c:pt idx="71">
                  <c:v>-8556.4728300846164</c:v>
                </c:pt>
                <c:pt idx="72">
                  <c:v>588.98337502532581</c:v>
                </c:pt>
                <c:pt idx="73">
                  <c:v>7225.4655458402231</c:v>
                </c:pt>
                <c:pt idx="74">
                  <c:v>14702.969673403668</c:v>
                </c:pt>
                <c:pt idx="75">
                  <c:v>26366.176148156963</c:v>
                </c:pt>
                <c:pt idx="76">
                  <c:v>30760.891800879039</c:v>
                </c:pt>
                <c:pt idx="77">
                  <c:v>24135.461905402834</c:v>
                </c:pt>
                <c:pt idx="78">
                  <c:v>9035.5089355065847</c:v>
                </c:pt>
                <c:pt idx="79">
                  <c:v>-11512.115043864824</c:v>
                </c:pt>
                <c:pt idx="80">
                  <c:v>-29942.575873501661</c:v>
                </c:pt>
                <c:pt idx="81">
                  <c:v>-31807.738034068618</c:v>
                </c:pt>
                <c:pt idx="82">
                  <c:v>-19849.338384994844</c:v>
                </c:pt>
                <c:pt idx="83">
                  <c:v>-8556.4728300846164</c:v>
                </c:pt>
                <c:pt idx="84">
                  <c:v>588.98337502532581</c:v>
                </c:pt>
                <c:pt idx="85">
                  <c:v>7225.4655458402231</c:v>
                </c:pt>
                <c:pt idx="86">
                  <c:v>14702.969673403668</c:v>
                </c:pt>
                <c:pt idx="87">
                  <c:v>26366.176148156963</c:v>
                </c:pt>
                <c:pt idx="88">
                  <c:v>30760.891800879039</c:v>
                </c:pt>
                <c:pt idx="89">
                  <c:v>24135.461905402834</c:v>
                </c:pt>
                <c:pt idx="90">
                  <c:v>9035.5089355065847</c:v>
                </c:pt>
                <c:pt idx="91">
                  <c:v>-11512.115043864824</c:v>
                </c:pt>
                <c:pt idx="92">
                  <c:v>-29942.575873501661</c:v>
                </c:pt>
                <c:pt idx="93">
                  <c:v>-31807.738034068618</c:v>
                </c:pt>
                <c:pt idx="94">
                  <c:v>-19849.338384994844</c:v>
                </c:pt>
                <c:pt idx="95">
                  <c:v>-8556.4728300846164</c:v>
                </c:pt>
                <c:pt idx="96">
                  <c:v>588.98337502532581</c:v>
                </c:pt>
                <c:pt idx="97">
                  <c:v>7225.4655458402231</c:v>
                </c:pt>
                <c:pt idx="98">
                  <c:v>14702.969673403668</c:v>
                </c:pt>
                <c:pt idx="99">
                  <c:v>26366.176148156963</c:v>
                </c:pt>
                <c:pt idx="100">
                  <c:v>30760.891800879039</c:v>
                </c:pt>
                <c:pt idx="101">
                  <c:v>24135.461905402834</c:v>
                </c:pt>
                <c:pt idx="102">
                  <c:v>9035.5089355065847</c:v>
                </c:pt>
                <c:pt idx="103">
                  <c:v>-11512.115043864824</c:v>
                </c:pt>
                <c:pt idx="104">
                  <c:v>-29942.575873501661</c:v>
                </c:pt>
                <c:pt idx="105">
                  <c:v>-31807.738034068618</c:v>
                </c:pt>
                <c:pt idx="106">
                  <c:v>-19849.338384994844</c:v>
                </c:pt>
                <c:pt idx="107">
                  <c:v>-8556.4728300846164</c:v>
                </c:pt>
                <c:pt idx="108">
                  <c:v>588.98337502532581</c:v>
                </c:pt>
                <c:pt idx="109">
                  <c:v>7225.4655458402231</c:v>
                </c:pt>
                <c:pt idx="110">
                  <c:v>14702.969673403668</c:v>
                </c:pt>
                <c:pt idx="111">
                  <c:v>26366.176148156963</c:v>
                </c:pt>
                <c:pt idx="112">
                  <c:v>30760.891800879039</c:v>
                </c:pt>
                <c:pt idx="113">
                  <c:v>24135.461905402834</c:v>
                </c:pt>
                <c:pt idx="114">
                  <c:v>9035.5089355065847</c:v>
                </c:pt>
                <c:pt idx="115">
                  <c:v>-11512.115043864824</c:v>
                </c:pt>
                <c:pt idx="116">
                  <c:v>-29942.575873501661</c:v>
                </c:pt>
                <c:pt idx="117">
                  <c:v>-31807.738034068618</c:v>
                </c:pt>
                <c:pt idx="118">
                  <c:v>-19849.338384994844</c:v>
                </c:pt>
                <c:pt idx="119">
                  <c:v>-8556.4728300846164</c:v>
                </c:pt>
                <c:pt idx="120">
                  <c:v>588.98337502532581</c:v>
                </c:pt>
                <c:pt idx="121">
                  <c:v>7225.4655458402231</c:v>
                </c:pt>
                <c:pt idx="122">
                  <c:v>14702.969673403668</c:v>
                </c:pt>
                <c:pt idx="123">
                  <c:v>26366.176148156963</c:v>
                </c:pt>
                <c:pt idx="124">
                  <c:v>30760.891800879039</c:v>
                </c:pt>
                <c:pt idx="125">
                  <c:v>24135.461905402834</c:v>
                </c:pt>
                <c:pt idx="126">
                  <c:v>9035.5089355065847</c:v>
                </c:pt>
                <c:pt idx="127">
                  <c:v>-11512.115043864824</c:v>
                </c:pt>
                <c:pt idx="128">
                  <c:v>-29942.575873501661</c:v>
                </c:pt>
                <c:pt idx="129">
                  <c:v>-31807.738034068618</c:v>
                </c:pt>
                <c:pt idx="130">
                  <c:v>-19849.338384994844</c:v>
                </c:pt>
                <c:pt idx="131">
                  <c:v>-8556.4728300846164</c:v>
                </c:pt>
                <c:pt idx="132">
                  <c:v>588.98337502532581</c:v>
                </c:pt>
                <c:pt idx="133">
                  <c:v>7225.4655458402231</c:v>
                </c:pt>
                <c:pt idx="134">
                  <c:v>14702.969673403668</c:v>
                </c:pt>
                <c:pt idx="135">
                  <c:v>26366.176148156963</c:v>
                </c:pt>
                <c:pt idx="136">
                  <c:v>30760.891800879039</c:v>
                </c:pt>
                <c:pt idx="137">
                  <c:v>24135.461905402834</c:v>
                </c:pt>
                <c:pt idx="138">
                  <c:v>9035.5089355065847</c:v>
                </c:pt>
                <c:pt idx="139">
                  <c:v>-11512.115043864824</c:v>
                </c:pt>
                <c:pt idx="140">
                  <c:v>-29942.575873501661</c:v>
                </c:pt>
                <c:pt idx="141">
                  <c:v>-31807.738034068618</c:v>
                </c:pt>
                <c:pt idx="142">
                  <c:v>-19849.338384994844</c:v>
                </c:pt>
                <c:pt idx="143">
                  <c:v>-8556.4728300846164</c:v>
                </c:pt>
                <c:pt idx="144">
                  <c:v>588.98337502532581</c:v>
                </c:pt>
                <c:pt idx="145">
                  <c:v>7225.4655458402231</c:v>
                </c:pt>
                <c:pt idx="146">
                  <c:v>14702.969673403668</c:v>
                </c:pt>
                <c:pt idx="147">
                  <c:v>26366.176148156963</c:v>
                </c:pt>
                <c:pt idx="148">
                  <c:v>30760.891800879039</c:v>
                </c:pt>
                <c:pt idx="149">
                  <c:v>24135.461905402834</c:v>
                </c:pt>
                <c:pt idx="150">
                  <c:v>9035.5089355065847</c:v>
                </c:pt>
                <c:pt idx="151">
                  <c:v>-11512.115043864824</c:v>
                </c:pt>
                <c:pt idx="152">
                  <c:v>-29942.575873501661</c:v>
                </c:pt>
                <c:pt idx="153">
                  <c:v>-31807.738034068618</c:v>
                </c:pt>
                <c:pt idx="154">
                  <c:v>-19849.338384994844</c:v>
                </c:pt>
                <c:pt idx="155">
                  <c:v>-8556.4728300846164</c:v>
                </c:pt>
                <c:pt idx="156">
                  <c:v>588.98337502532581</c:v>
                </c:pt>
                <c:pt idx="157">
                  <c:v>7225.4655458402231</c:v>
                </c:pt>
                <c:pt idx="158">
                  <c:v>14702.969673403668</c:v>
                </c:pt>
                <c:pt idx="159">
                  <c:v>26366.176148156963</c:v>
                </c:pt>
                <c:pt idx="160">
                  <c:v>30760.891800879039</c:v>
                </c:pt>
                <c:pt idx="161">
                  <c:v>24135.461905402834</c:v>
                </c:pt>
                <c:pt idx="162">
                  <c:v>9035.5089355065847</c:v>
                </c:pt>
                <c:pt idx="163">
                  <c:v>-11512.115043864824</c:v>
                </c:pt>
                <c:pt idx="164">
                  <c:v>-29942.575873501661</c:v>
                </c:pt>
                <c:pt idx="165">
                  <c:v>-31807.738034068618</c:v>
                </c:pt>
                <c:pt idx="166">
                  <c:v>-19849.338384994844</c:v>
                </c:pt>
                <c:pt idx="167">
                  <c:v>-8556.4728300846164</c:v>
                </c:pt>
                <c:pt idx="168">
                  <c:v>588.98337502532581</c:v>
                </c:pt>
                <c:pt idx="169">
                  <c:v>7225.4655458402231</c:v>
                </c:pt>
                <c:pt idx="170">
                  <c:v>14702.969673403668</c:v>
                </c:pt>
                <c:pt idx="171">
                  <c:v>26366.176148156963</c:v>
                </c:pt>
                <c:pt idx="172">
                  <c:v>30760.891800879039</c:v>
                </c:pt>
                <c:pt idx="173">
                  <c:v>24135.461905402834</c:v>
                </c:pt>
                <c:pt idx="174">
                  <c:v>9035.5089355065847</c:v>
                </c:pt>
                <c:pt idx="175">
                  <c:v>-11512.115043864824</c:v>
                </c:pt>
                <c:pt idx="176">
                  <c:v>-29942.575873501661</c:v>
                </c:pt>
                <c:pt idx="177">
                  <c:v>-31807.738034068618</c:v>
                </c:pt>
                <c:pt idx="178">
                  <c:v>-19849.338384994844</c:v>
                </c:pt>
                <c:pt idx="179">
                  <c:v>-8556.4728300846164</c:v>
                </c:pt>
                <c:pt idx="180">
                  <c:v>588.98337502532581</c:v>
                </c:pt>
                <c:pt idx="181">
                  <c:v>7225.4655458402231</c:v>
                </c:pt>
                <c:pt idx="182">
                  <c:v>14702.969673403668</c:v>
                </c:pt>
                <c:pt idx="183">
                  <c:v>26366.176148156963</c:v>
                </c:pt>
                <c:pt idx="184">
                  <c:v>30760.891800879039</c:v>
                </c:pt>
                <c:pt idx="185">
                  <c:v>24135.461905402834</c:v>
                </c:pt>
                <c:pt idx="186">
                  <c:v>9035.5089355065847</c:v>
                </c:pt>
                <c:pt idx="187">
                  <c:v>-11512.115043864824</c:v>
                </c:pt>
                <c:pt idx="188">
                  <c:v>-29942.575873501661</c:v>
                </c:pt>
                <c:pt idx="189">
                  <c:v>-31807.738034068618</c:v>
                </c:pt>
                <c:pt idx="190">
                  <c:v>-19849.338384994844</c:v>
                </c:pt>
                <c:pt idx="191">
                  <c:v>-8556.4728300846164</c:v>
                </c:pt>
                <c:pt idx="192">
                  <c:v>588.98337502532581</c:v>
                </c:pt>
                <c:pt idx="193">
                  <c:v>7225.4655458402231</c:v>
                </c:pt>
                <c:pt idx="194">
                  <c:v>14702.969673403668</c:v>
                </c:pt>
                <c:pt idx="195">
                  <c:v>26366.176148156963</c:v>
                </c:pt>
                <c:pt idx="196">
                  <c:v>30760.891800879039</c:v>
                </c:pt>
                <c:pt idx="197">
                  <c:v>24135.461905402834</c:v>
                </c:pt>
                <c:pt idx="198">
                  <c:v>9035.5089355065847</c:v>
                </c:pt>
                <c:pt idx="199">
                  <c:v>-11512.115043864824</c:v>
                </c:pt>
                <c:pt idx="200">
                  <c:v>-29942.575873501661</c:v>
                </c:pt>
                <c:pt idx="201">
                  <c:v>-31807.738034068618</c:v>
                </c:pt>
                <c:pt idx="202">
                  <c:v>-19849.338384994844</c:v>
                </c:pt>
                <c:pt idx="203">
                  <c:v>-8556.4728300846164</c:v>
                </c:pt>
                <c:pt idx="204">
                  <c:v>588.98337502532581</c:v>
                </c:pt>
                <c:pt idx="205">
                  <c:v>7225.4655458402231</c:v>
                </c:pt>
                <c:pt idx="206">
                  <c:v>14702.969673403668</c:v>
                </c:pt>
                <c:pt idx="207">
                  <c:v>26366.176148156963</c:v>
                </c:pt>
                <c:pt idx="208">
                  <c:v>30760.891800879039</c:v>
                </c:pt>
                <c:pt idx="209">
                  <c:v>24135.461905402834</c:v>
                </c:pt>
                <c:pt idx="210">
                  <c:v>9035.5089355065847</c:v>
                </c:pt>
                <c:pt idx="211">
                  <c:v>-11512.115043864824</c:v>
                </c:pt>
                <c:pt idx="212">
                  <c:v>-29942.575873501661</c:v>
                </c:pt>
                <c:pt idx="213">
                  <c:v>-31807.738034068618</c:v>
                </c:pt>
                <c:pt idx="214">
                  <c:v>-19849.338384994844</c:v>
                </c:pt>
                <c:pt idx="215">
                  <c:v>-8556.4728300846164</c:v>
                </c:pt>
                <c:pt idx="216">
                  <c:v>588.98337502532581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AB-47F9-8FE1-73BD89699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crossAx val="1326003280"/>
        <c:crosses val="autoZero"/>
        <c:crossBetween val="midCat"/>
      </c:valAx>
      <c:valAx>
        <c:axId val="1326003280"/>
        <c:scaling>
          <c:orientation val="minMax"/>
          <c:max val="200000"/>
          <c:min val="-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'発展-成長率'!$U$1</c:f>
              <c:strCache>
                <c:ptCount val="1"/>
                <c:pt idx="0">
                  <c:v>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'発展-成長率'!$O$2:$O$219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'発展-成長率'!$U$2:$U$219</c:f>
              <c:numCache>
                <c:formatCode>0_);[Red]\(0\)</c:formatCode>
                <c:ptCount val="218"/>
                <c:pt idx="0">
                  <c:v>-1938.4970964852316</c:v>
                </c:pt>
                <c:pt idx="1">
                  <c:v>-7081.7855697536152</c:v>
                </c:pt>
                <c:pt idx="2">
                  <c:v>9092.4584536362818</c:v>
                </c:pt>
                <c:pt idx="3">
                  <c:v>-4626.1159582222499</c:v>
                </c:pt>
                <c:pt idx="4">
                  <c:v>-6047.5440942945534</c:v>
                </c:pt>
                <c:pt idx="5">
                  <c:v>8884.2481723570854</c:v>
                </c:pt>
                <c:pt idx="6">
                  <c:v>6490.4225958250918</c:v>
                </c:pt>
                <c:pt idx="7">
                  <c:v>-2644.5808555027584</c:v>
                </c:pt>
                <c:pt idx="8">
                  <c:v>770.52187688091715</c:v>
                </c:pt>
                <c:pt idx="9">
                  <c:v>1419.6824709797243</c:v>
                </c:pt>
                <c:pt idx="10">
                  <c:v>-2562.3459558469208</c:v>
                </c:pt>
                <c:pt idx="11">
                  <c:v>-3056.5776194510731</c:v>
                </c:pt>
                <c:pt idx="12">
                  <c:v>3756.6864935049148</c:v>
                </c:pt>
                <c:pt idx="13">
                  <c:v>12882.200604451198</c:v>
                </c:pt>
                <c:pt idx="14">
                  <c:v>5707.2860959430582</c:v>
                </c:pt>
                <c:pt idx="15">
                  <c:v>7620.6673267570832</c:v>
                </c:pt>
                <c:pt idx="16">
                  <c:v>-1210.4625603406616</c:v>
                </c:pt>
                <c:pt idx="17">
                  <c:v>3399.6482636519781</c:v>
                </c:pt>
                <c:pt idx="18">
                  <c:v>10578.241223148383</c:v>
                </c:pt>
                <c:pt idx="19">
                  <c:v>12239.915234680417</c:v>
                </c:pt>
                <c:pt idx="20">
                  <c:v>-7538.7312815534024</c:v>
                </c:pt>
                <c:pt idx="21">
                  <c:v>6006.3243015364687</c:v>
                </c:pt>
                <c:pt idx="22">
                  <c:v>-6990.4422606475437</c:v>
                </c:pt>
                <c:pt idx="23">
                  <c:v>-2517.4347650775353</c:v>
                </c:pt>
                <c:pt idx="24">
                  <c:v>-1255.4985381205277</c:v>
                </c:pt>
                <c:pt idx="25">
                  <c:v>11807.22097758503</c:v>
                </c:pt>
                <c:pt idx="26">
                  <c:v>2432.4125741756575</c:v>
                </c:pt>
                <c:pt idx="27">
                  <c:v>8561.0564210031007</c:v>
                </c:pt>
                <c:pt idx="28">
                  <c:v>1011.6504514366856</c:v>
                </c:pt>
                <c:pt idx="29">
                  <c:v>5648.4735274459817</c:v>
                </c:pt>
                <c:pt idx="30">
                  <c:v>7877.918178780229</c:v>
                </c:pt>
                <c:pt idx="31">
                  <c:v>-11550.549632803728</c:v>
                </c:pt>
                <c:pt idx="32">
                  <c:v>-4326.2900854886466</c:v>
                </c:pt>
                <c:pt idx="33">
                  <c:v>-5404.9882155895757</c:v>
                </c:pt>
                <c:pt idx="34">
                  <c:v>-4078.3723898667713</c:v>
                </c:pt>
                <c:pt idx="35">
                  <c:v>2630.6178511768958</c:v>
                </c:pt>
                <c:pt idx="36">
                  <c:v>4261.7288494595496</c:v>
                </c:pt>
                <c:pt idx="37">
                  <c:v>-22251.540045094214</c:v>
                </c:pt>
                <c:pt idx="38">
                  <c:v>-4809.7420946872999</c:v>
                </c:pt>
                <c:pt idx="39">
                  <c:v>3507.407082750362</c:v>
                </c:pt>
                <c:pt idx="40">
                  <c:v>-8722.9610503530639</c:v>
                </c:pt>
                <c:pt idx="41">
                  <c:v>-3537.189177761562</c:v>
                </c:pt>
                <c:pt idx="42">
                  <c:v>-4402.561059803229</c:v>
                </c:pt>
                <c:pt idx="43">
                  <c:v>10249.644729205511</c:v>
                </c:pt>
                <c:pt idx="44">
                  <c:v>689.53256806172772</c:v>
                </c:pt>
                <c:pt idx="45">
                  <c:v>-5243.5012432307612</c:v>
                </c:pt>
                <c:pt idx="46">
                  <c:v>-439.26582669046098</c:v>
                </c:pt>
                <c:pt idx="47">
                  <c:v>-5734.4438873019362</c:v>
                </c:pt>
                <c:pt idx="48">
                  <c:v>1415.2887326165624</c:v>
                </c:pt>
                <c:pt idx="49">
                  <c:v>2944.1695094541237</c:v>
                </c:pt>
                <c:pt idx="50">
                  <c:v>-6985.8342776251484</c:v>
                </c:pt>
                <c:pt idx="51">
                  <c:v>-6258.6390068619376</c:v>
                </c:pt>
                <c:pt idx="52">
                  <c:v>7888.2118020655798</c:v>
                </c:pt>
                <c:pt idx="53">
                  <c:v>5324.1047690280202</c:v>
                </c:pt>
                <c:pt idx="54">
                  <c:v>11802.852616634509</c:v>
                </c:pt>
                <c:pt idx="55">
                  <c:v>-13514.067831516795</c:v>
                </c:pt>
                <c:pt idx="56">
                  <c:v>-493.91206304369666</c:v>
                </c:pt>
                <c:pt idx="57">
                  <c:v>-2810.0852430918062</c:v>
                </c:pt>
                <c:pt idx="58">
                  <c:v>-4424.7238993178953</c:v>
                </c:pt>
                <c:pt idx="59">
                  <c:v>9051.5800713508779</c:v>
                </c:pt>
                <c:pt idx="60">
                  <c:v>-6524.439469387049</c:v>
                </c:pt>
                <c:pt idx="61">
                  <c:v>-6374.5740007967088</c:v>
                </c:pt>
                <c:pt idx="62">
                  <c:v>21.986703433131556</c:v>
                </c:pt>
                <c:pt idx="63">
                  <c:v>-15304.5138599694</c:v>
                </c:pt>
                <c:pt idx="64">
                  <c:v>1048.6066578546829</c:v>
                </c:pt>
                <c:pt idx="65">
                  <c:v>-936.53153654856237</c:v>
                </c:pt>
                <c:pt idx="66">
                  <c:v>2636.100725745011</c:v>
                </c:pt>
                <c:pt idx="67">
                  <c:v>-2926.379520423438</c:v>
                </c:pt>
                <c:pt idx="68">
                  <c:v>-4356.1070650153642</c:v>
                </c:pt>
                <c:pt idx="69">
                  <c:v>5793.3250659148944</c:v>
                </c:pt>
                <c:pt idx="70">
                  <c:v>11415.545730031885</c:v>
                </c:pt>
                <c:pt idx="71">
                  <c:v>338.622702892277</c:v>
                </c:pt>
                <c:pt idx="72">
                  <c:v>3339.5423922133205</c:v>
                </c:pt>
                <c:pt idx="73">
                  <c:v>-2277.2745494162637</c:v>
                </c:pt>
                <c:pt idx="74">
                  <c:v>-1998.442545609877</c:v>
                </c:pt>
                <c:pt idx="75">
                  <c:v>211.95381588720574</c:v>
                </c:pt>
                <c:pt idx="76">
                  <c:v>865.61223655570416</c:v>
                </c:pt>
                <c:pt idx="77">
                  <c:v>-12114.440966999189</c:v>
                </c:pt>
                <c:pt idx="78">
                  <c:v>-1769.3839528373173</c:v>
                </c:pt>
                <c:pt idx="79">
                  <c:v>-753.60559371678517</c:v>
                </c:pt>
                <c:pt idx="80">
                  <c:v>15590.157452387934</c:v>
                </c:pt>
                <c:pt idx="81">
                  <c:v>-11314.008866310842</c:v>
                </c:pt>
                <c:pt idx="82">
                  <c:v>-13142.241775991937</c:v>
                </c:pt>
                <c:pt idx="83">
                  <c:v>2643.7910884398311</c:v>
                </c:pt>
                <c:pt idx="84">
                  <c:v>-3721.0881113700725</c:v>
                </c:pt>
                <c:pt idx="85">
                  <c:v>1416.7307119821226</c:v>
                </c:pt>
                <c:pt idx="86">
                  <c:v>-827.6796491733063</c:v>
                </c:pt>
                <c:pt idx="87">
                  <c:v>10453.403192210697</c:v>
                </c:pt>
                <c:pt idx="88">
                  <c:v>4667.9155574108545</c:v>
                </c:pt>
                <c:pt idx="89">
                  <c:v>562.14562298670501</c:v>
                </c:pt>
                <c:pt idx="90">
                  <c:v>-4121.4464034273051</c:v>
                </c:pt>
                <c:pt idx="91">
                  <c:v>4095.3861959536557</c:v>
                </c:pt>
                <c:pt idx="92">
                  <c:v>-5302.3255987597213</c:v>
                </c:pt>
                <c:pt idx="93">
                  <c:v>3018.0678348158094</c:v>
                </c:pt>
                <c:pt idx="94">
                  <c:v>-7856.4442220059291</c:v>
                </c:pt>
                <c:pt idx="95">
                  <c:v>-10779.288501310042</c:v>
                </c:pt>
                <c:pt idx="96">
                  <c:v>130.54560268930231</c:v>
                </c:pt>
                <c:pt idx="97">
                  <c:v>3750.1138173096297</c:v>
                </c:pt>
                <c:pt idx="98">
                  <c:v>-6016.7491729159756</c:v>
                </c:pt>
                <c:pt idx="99">
                  <c:v>13411.331151148441</c:v>
                </c:pt>
                <c:pt idx="100">
                  <c:v>9293.6129224824435</c:v>
                </c:pt>
                <c:pt idx="101">
                  <c:v>-4621.9608141512399</c:v>
                </c:pt>
                <c:pt idx="102">
                  <c:v>4971.2907198364956</c:v>
                </c:pt>
                <c:pt idx="103">
                  <c:v>-13449.750155062418</c:v>
                </c:pt>
                <c:pt idx="104">
                  <c:v>-3166.0552233017524</c:v>
                </c:pt>
                <c:pt idx="105">
                  <c:v>1117.3869975229741</c:v>
                </c:pt>
                <c:pt idx="106">
                  <c:v>-4780.1605280656586</c:v>
                </c:pt>
                <c:pt idx="107">
                  <c:v>-17076.535611003794</c:v>
                </c:pt>
                <c:pt idx="108">
                  <c:v>-10624.373035634295</c:v>
                </c:pt>
                <c:pt idx="109">
                  <c:v>-4409.9613485929276</c:v>
                </c:pt>
                <c:pt idx="110">
                  <c:v>-5415.5316499260744</c:v>
                </c:pt>
                <c:pt idx="111">
                  <c:v>8406.6752791992058</c:v>
                </c:pt>
                <c:pt idx="112">
                  <c:v>-3125.1565881864904</c:v>
                </c:pt>
                <c:pt idx="113">
                  <c:v>-12618.242754621439</c:v>
                </c:pt>
                <c:pt idx="114">
                  <c:v>-922.87434673432756</c:v>
                </c:pt>
                <c:pt idx="115">
                  <c:v>-590.98196158347957</c:v>
                </c:pt>
                <c:pt idx="116">
                  <c:v>886.18125868158927</c:v>
                </c:pt>
                <c:pt idx="117">
                  <c:v>5452.475970107208</c:v>
                </c:pt>
                <c:pt idx="118">
                  <c:v>4341.6708641173</c:v>
                </c:pt>
                <c:pt idx="119">
                  <c:v>-538.08337562217753</c:v>
                </c:pt>
                <c:pt idx="120">
                  <c:v>3622.39338244275</c:v>
                </c:pt>
                <c:pt idx="121">
                  <c:v>3586.6235348762511</c:v>
                </c:pt>
                <c:pt idx="122">
                  <c:v>726.60059313201782</c:v>
                </c:pt>
                <c:pt idx="123">
                  <c:v>-2895.6069074057982</c:v>
                </c:pt>
                <c:pt idx="124">
                  <c:v>9038.4437053617821</c:v>
                </c:pt>
                <c:pt idx="125">
                  <c:v>2701.3048062690309</c:v>
                </c:pt>
                <c:pt idx="126">
                  <c:v>67.923976144924197</c:v>
                </c:pt>
                <c:pt idx="127">
                  <c:v>-278.05266346445705</c:v>
                </c:pt>
                <c:pt idx="128">
                  <c:v>-10945.419011441225</c:v>
                </c:pt>
                <c:pt idx="129">
                  <c:v>646.63596411609421</c:v>
                </c:pt>
                <c:pt idx="130">
                  <c:v>6726.8453364502957</c:v>
                </c:pt>
                <c:pt idx="131">
                  <c:v>9689.6895773113465</c:v>
                </c:pt>
                <c:pt idx="132">
                  <c:v>-436.22179585768555</c:v>
                </c:pt>
                <c:pt idx="133">
                  <c:v>5236.8215013494364</c:v>
                </c:pt>
                <c:pt idx="134">
                  <c:v>2352.5542184496235</c:v>
                </c:pt>
                <c:pt idx="135">
                  <c:v>3875.8228379368238</c:v>
                </c:pt>
                <c:pt idx="136">
                  <c:v>-8794.5675324026561</c:v>
                </c:pt>
                <c:pt idx="137">
                  <c:v>-1010.541954961174</c:v>
                </c:pt>
                <c:pt idx="138">
                  <c:v>3162.9790904002061</c:v>
                </c:pt>
                <c:pt idx="139">
                  <c:v>-6123.3999085762398</c:v>
                </c:pt>
                <c:pt idx="140">
                  <c:v>-5681.7653772489757</c:v>
                </c:pt>
                <c:pt idx="141">
                  <c:v>11219.083483824114</c:v>
                </c:pt>
                <c:pt idx="142">
                  <c:v>6660.0839515149964</c:v>
                </c:pt>
                <c:pt idx="143">
                  <c:v>1626.1448471749377</c:v>
                </c:pt>
                <c:pt idx="144">
                  <c:v>-2152.2779199863239</c:v>
                </c:pt>
                <c:pt idx="145">
                  <c:v>-8996.6506187994692</c:v>
                </c:pt>
                <c:pt idx="146">
                  <c:v>-270.29768635234223</c:v>
                </c:pt>
                <c:pt idx="147">
                  <c:v>-2488.622122939521</c:v>
                </c:pt>
                <c:pt idx="148">
                  <c:v>-3206.6565667108744</c:v>
                </c:pt>
                <c:pt idx="149">
                  <c:v>-3449.4442661119706</c:v>
                </c:pt>
                <c:pt idx="150">
                  <c:v>10101.93485040308</c:v>
                </c:pt>
                <c:pt idx="151">
                  <c:v>3452.6231142819861</c:v>
                </c:pt>
                <c:pt idx="152">
                  <c:v>-3121.4481698832974</c:v>
                </c:pt>
                <c:pt idx="153">
                  <c:v>-1578.0932309334387</c:v>
                </c:pt>
                <c:pt idx="154">
                  <c:v>5703.3799988035526</c:v>
                </c:pt>
                <c:pt idx="155">
                  <c:v>1083.0177807137363</c:v>
                </c:pt>
                <c:pt idx="156">
                  <c:v>2038.7440936754317</c:v>
                </c:pt>
                <c:pt idx="157">
                  <c:v>772.38237033705502</c:v>
                </c:pt>
                <c:pt idx="158">
                  <c:v>9877.102099814334</c:v>
                </c:pt>
                <c:pt idx="159">
                  <c:v>6705.6548873095799</c:v>
                </c:pt>
                <c:pt idx="160">
                  <c:v>-4237.0596231511645</c:v>
                </c:pt>
                <c:pt idx="161">
                  <c:v>12379.282197684772</c:v>
                </c:pt>
                <c:pt idx="162">
                  <c:v>-18073.160972793663</c:v>
                </c:pt>
                <c:pt idx="163">
                  <c:v>5343.1650108942158</c:v>
                </c:pt>
                <c:pt idx="164">
                  <c:v>-6492.6249930592048</c:v>
                </c:pt>
                <c:pt idx="165">
                  <c:v>6283.3964859791549</c:v>
                </c:pt>
                <c:pt idx="166">
                  <c:v>-2079.3218294066724</c:v>
                </c:pt>
                <c:pt idx="167">
                  <c:v>2082.223307688319</c:v>
                </c:pt>
                <c:pt idx="168">
                  <c:v>7700.4381827011248</c:v>
                </c:pt>
                <c:pt idx="169">
                  <c:v>-9799.4549588749178</c:v>
                </c:pt>
                <c:pt idx="170">
                  <c:v>5234.3275199301206</c:v>
                </c:pt>
                <c:pt idx="171">
                  <c:v>904.48242667447983</c:v>
                </c:pt>
                <c:pt idx="172">
                  <c:v>9982.3789884235957</c:v>
                </c:pt>
                <c:pt idx="173">
                  <c:v>156.38042683891467</c:v>
                </c:pt>
                <c:pt idx="174">
                  <c:v>4030.7604138624743</c:v>
                </c:pt>
                <c:pt idx="175">
                  <c:v>6781.2627737795665</c:v>
                </c:pt>
                <c:pt idx="176">
                  <c:v>-225.0179373049464</c:v>
                </c:pt>
                <c:pt idx="177">
                  <c:v>-8191.3017502240673</c:v>
                </c:pt>
                <c:pt idx="178">
                  <c:v>-4379.2088440431908</c:v>
                </c:pt>
                <c:pt idx="179">
                  <c:v>-5167.6369202514852</c:v>
                </c:pt>
                <c:pt idx="180">
                  <c:v>3972.3141981701183</c:v>
                </c:pt>
                <c:pt idx="181">
                  <c:v>12176.775778964879</c:v>
                </c:pt>
                <c:pt idx="182">
                  <c:v>-4625.1162291421442</c:v>
                </c:pt>
                <c:pt idx="183">
                  <c:v>6951.6870375600174</c:v>
                </c:pt>
                <c:pt idx="184">
                  <c:v>-4893.9442647146525</c:v>
                </c:pt>
                <c:pt idx="185">
                  <c:v>-5657.1122500827441</c:v>
                </c:pt>
                <c:pt idx="186">
                  <c:v>5979.7908246839506</c:v>
                </c:pt>
                <c:pt idx="187">
                  <c:v>-7082.1886288527403</c:v>
                </c:pt>
                <c:pt idx="188">
                  <c:v>19147.262294199318</c:v>
                </c:pt>
                <c:pt idx="189">
                  <c:v>-1500.5830228747561</c:v>
                </c:pt>
                <c:pt idx="190">
                  <c:v>2291.1844221514702</c:v>
                </c:pt>
                <c:pt idx="191">
                  <c:v>-5609.897886079716</c:v>
                </c:pt>
                <c:pt idx="192">
                  <c:v>-8575.9157974342361</c:v>
                </c:pt>
                <c:pt idx="193">
                  <c:v>-4506.3174556775457</c:v>
                </c:pt>
                <c:pt idx="194">
                  <c:v>-4340.6848522230912</c:v>
                </c:pt>
                <c:pt idx="195">
                  <c:v>8124.8013868554744</c:v>
                </c:pt>
                <c:pt idx="196">
                  <c:v>9678.9812740250836</c:v>
                </c:pt>
                <c:pt idx="197">
                  <c:v>8959.0550760653714</c:v>
                </c:pt>
                <c:pt idx="198">
                  <c:v>-6830.7076898921468</c:v>
                </c:pt>
                <c:pt idx="199">
                  <c:v>15116.443073672759</c:v>
                </c:pt>
                <c:pt idx="200">
                  <c:v>-3646.8688355548079</c:v>
                </c:pt>
                <c:pt idx="201">
                  <c:v>-2938.6792554127396</c:v>
                </c:pt>
                <c:pt idx="202">
                  <c:v>88.530987036061646</c:v>
                </c:pt>
                <c:pt idx="203">
                  <c:v>-2699.8641781602801</c:v>
                </c:pt>
                <c:pt idx="204">
                  <c:v>1382.2060184319712</c:v>
                </c:pt>
                <c:pt idx="205">
                  <c:v>4764.2657525083214</c:v>
                </c:pt>
                <c:pt idx="206">
                  <c:v>-2266.9984719007134</c:v>
                </c:pt>
                <c:pt idx="207">
                  <c:v>6750.3771190436464</c:v>
                </c:pt>
                <c:pt idx="208">
                  <c:v>11514.867778299613</c:v>
                </c:pt>
                <c:pt idx="209">
                  <c:v>-951.19449156884298</c:v>
                </c:pt>
                <c:pt idx="210">
                  <c:v>4009.1813917978657</c:v>
                </c:pt>
                <c:pt idx="211">
                  <c:v>-3991.2965844298305</c:v>
                </c:pt>
                <c:pt idx="212">
                  <c:v>-4534.2008338848918</c:v>
                </c:pt>
                <c:pt idx="213">
                  <c:v>-825.39880328253969</c:v>
                </c:pt>
                <c:pt idx="214">
                  <c:v>1477.7956683138359</c:v>
                </c:pt>
                <c:pt idx="215">
                  <c:v>3088.883144912777</c:v>
                </c:pt>
                <c:pt idx="216">
                  <c:v>3089.8831449127802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11-462A-A064-4C7A5EC45C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crossAx val="1326003280"/>
        <c:crosses val="autoZero"/>
        <c:crossBetween val="midCat"/>
      </c:valAx>
      <c:valAx>
        <c:axId val="1326003280"/>
        <c:scaling>
          <c:orientation val="minMax"/>
          <c:max val="200000"/>
          <c:min val="-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TCSI!$H$1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TCSI!$H$2:$H$219</c:f>
              <c:numCache>
                <c:formatCode>0_);[Red]\(0\)</c:formatCode>
                <c:ptCount val="218"/>
                <c:pt idx="0">
                  <c:v>237864.75278540078</c:v>
                </c:pt>
                <c:pt idx="1">
                  <c:v>243232.83457092615</c:v>
                </c:pt>
                <c:pt idx="2">
                  <c:v>270416.22627827903</c:v>
                </c:pt>
                <c:pt idx="3">
                  <c:v>272038.05151957041</c:v>
                </c:pt>
                <c:pt idx="4">
                  <c:v>278475.09745281382</c:v>
                </c:pt>
                <c:pt idx="5">
                  <c:v>290264.39626025298</c:v>
                </c:pt>
                <c:pt idx="6">
                  <c:v>276049.63906158268</c:v>
                </c:pt>
                <c:pt idx="7">
                  <c:v>249662.39281808783</c:v>
                </c:pt>
                <c:pt idx="8">
                  <c:v>237849.64105915211</c:v>
                </c:pt>
                <c:pt idx="9">
                  <c:v>239646.20003150075</c:v>
                </c:pt>
                <c:pt idx="10">
                  <c:v>250647.56361561638</c:v>
                </c:pt>
                <c:pt idx="11">
                  <c:v>264290.02043036767</c:v>
                </c:pt>
                <c:pt idx="12">
                  <c:v>283102.60063482996</c:v>
                </c:pt>
                <c:pt idx="13">
                  <c:v>301633.94364417117</c:v>
                </c:pt>
                <c:pt idx="14">
                  <c:v>304366.60202033573</c:v>
                </c:pt>
                <c:pt idx="15">
                  <c:v>320556.20953828073</c:v>
                </c:pt>
                <c:pt idx="16">
                  <c:v>318572.54237437184</c:v>
                </c:pt>
                <c:pt idx="17">
                  <c:v>319014.77773619932</c:v>
                </c:pt>
                <c:pt idx="18">
                  <c:v>313398.71381750761</c:v>
                </c:pt>
                <c:pt idx="19">
                  <c:v>296821.02959301864</c:v>
                </c:pt>
                <c:pt idx="20">
                  <c:v>260846.65896337939</c:v>
                </c:pt>
                <c:pt idx="21">
                  <c:v>274620.66183003742</c:v>
                </c:pt>
                <c:pt idx="22">
                  <c:v>275676.89272622159</c:v>
                </c:pt>
                <c:pt idx="23">
                  <c:v>293404.14987555915</c:v>
                </c:pt>
                <c:pt idx="24">
                  <c:v>305771.95793237089</c:v>
                </c:pt>
                <c:pt idx="25">
                  <c:v>327365.63899461454</c:v>
                </c:pt>
                <c:pt idx="26">
                  <c:v>327124.05522530898</c:v>
                </c:pt>
                <c:pt idx="27">
                  <c:v>346689.03963429446</c:v>
                </c:pt>
                <c:pt idx="28">
                  <c:v>345191.61820254364</c:v>
                </c:pt>
                <c:pt idx="29">
                  <c:v>344856.33138782281</c:v>
                </c:pt>
                <c:pt idx="30">
                  <c:v>333529.8883210214</c:v>
                </c:pt>
                <c:pt idx="31">
                  <c:v>295092.95440045389</c:v>
                </c:pt>
                <c:pt idx="32">
                  <c:v>285370.03206734761</c:v>
                </c:pt>
                <c:pt idx="33">
                  <c:v>283809.74163812387</c:v>
                </c:pt>
                <c:pt idx="34">
                  <c:v>298472.23231990368</c:v>
                </c:pt>
                <c:pt idx="35">
                  <c:v>317757.90631461842</c:v>
                </c:pt>
                <c:pt idx="36">
                  <c:v>329811.57699078432</c:v>
                </c:pt>
                <c:pt idx="37">
                  <c:v>311162.93876833143</c:v>
                </c:pt>
                <c:pt idx="38">
                  <c:v>337150.59716648923</c:v>
                </c:pt>
                <c:pt idx="39">
                  <c:v>358269.70085872943</c:v>
                </c:pt>
                <c:pt idx="40">
                  <c:v>351493.19052773615</c:v>
                </c:pt>
                <c:pt idx="41">
                  <c:v>351104.97808103409</c:v>
                </c:pt>
                <c:pt idx="42">
                  <c:v>336116.80072625139</c:v>
                </c:pt>
                <c:pt idx="43">
                  <c:v>331190.65292262292</c:v>
                </c:pt>
                <c:pt idx="44">
                  <c:v>304129.52599136264</c:v>
                </c:pt>
                <c:pt idx="45">
                  <c:v>297194.09105149226</c:v>
                </c:pt>
                <c:pt idx="46">
                  <c:v>314811.56408838654</c:v>
                </c:pt>
                <c:pt idx="47">
                  <c:v>321602.19643346965</c:v>
                </c:pt>
                <c:pt idx="48">
                  <c:v>338682.52250513935</c:v>
                </c:pt>
                <c:pt idx="49">
                  <c:v>347599.4535777627</c:v>
                </c:pt>
                <c:pt idx="50">
                  <c:v>345820.73603832192</c:v>
                </c:pt>
                <c:pt idx="51">
                  <c:v>358901.2266155539</c:v>
                </c:pt>
                <c:pt idx="52">
                  <c:v>378082.06215459749</c:v>
                </c:pt>
                <c:pt idx="53">
                  <c:v>369524.76010104635</c:v>
                </c:pt>
                <c:pt idx="54">
                  <c:v>361489.07342251629</c:v>
                </c:pt>
                <c:pt idx="55">
                  <c:v>316203.51114569471</c:v>
                </c:pt>
                <c:pt idx="56">
                  <c:v>311346.86061860982</c:v>
                </c:pt>
                <c:pt idx="57">
                  <c:v>307678.29193232243</c:v>
                </c:pt>
                <c:pt idx="58">
                  <c:v>318529.22848473419</c:v>
                </c:pt>
                <c:pt idx="59">
                  <c:v>343768.31568329054</c:v>
                </c:pt>
                <c:pt idx="60">
                  <c:v>337802.83028388926</c:v>
                </c:pt>
                <c:pt idx="61">
                  <c:v>345034.51296415832</c:v>
                </c:pt>
                <c:pt idx="62">
                  <c:v>359294.75950162724</c:v>
                </c:pt>
                <c:pt idx="63">
                  <c:v>356042.24753561226</c:v>
                </c:pt>
                <c:pt idx="64">
                  <c:v>377171.80923455476</c:v>
                </c:pt>
                <c:pt idx="65">
                  <c:v>368940.39420928311</c:v>
                </c:pt>
                <c:pt idx="66">
                  <c:v>357766.17352221778</c:v>
                </c:pt>
                <c:pt idx="67">
                  <c:v>332007.67000262963</c:v>
                </c:pt>
                <c:pt idx="68">
                  <c:v>312486.61454692995</c:v>
                </c:pt>
                <c:pt idx="69">
                  <c:v>321088.16628606501</c:v>
                </c:pt>
                <c:pt idx="70">
                  <c:v>338986.34983465075</c:v>
                </c:pt>
                <c:pt idx="71">
                  <c:v>339500.57712330524</c:v>
                </c:pt>
                <c:pt idx="72">
                  <c:v>351946.80341963167</c:v>
                </c:pt>
                <c:pt idx="73">
                  <c:v>353258.76742547995</c:v>
                </c:pt>
                <c:pt idx="74">
                  <c:v>361273.42494454596</c:v>
                </c:pt>
                <c:pt idx="75">
                  <c:v>375427.60215157893</c:v>
                </c:pt>
                <c:pt idx="76">
                  <c:v>380742.92892350513</c:v>
                </c:pt>
                <c:pt idx="77">
                  <c:v>361409.47762553167</c:v>
                </c:pt>
                <c:pt idx="78">
                  <c:v>356914.99685274193</c:v>
                </c:pt>
                <c:pt idx="79">
                  <c:v>337650.19270726957</c:v>
                </c:pt>
                <c:pt idx="80">
                  <c:v>335829.33357666567</c:v>
                </c:pt>
                <c:pt idx="81">
                  <c:v>307316.95510869351</c:v>
                </c:pt>
                <c:pt idx="82">
                  <c:v>317713.16188849666</c:v>
                </c:pt>
                <c:pt idx="83">
                  <c:v>345050.82833273557</c:v>
                </c:pt>
                <c:pt idx="84">
                  <c:v>348100.97919222555</c:v>
                </c:pt>
                <c:pt idx="85">
                  <c:v>360147.89891958848</c:v>
                </c:pt>
                <c:pt idx="86">
                  <c:v>365630.53381771321</c:v>
                </c:pt>
                <c:pt idx="87">
                  <c:v>388855.51083062805</c:v>
                </c:pt>
                <c:pt idx="88">
                  <c:v>387741.51751547545</c:v>
                </c:pt>
                <c:pt idx="89">
                  <c:v>377302.41134822654</c:v>
                </c:pt>
                <c:pt idx="90">
                  <c:v>357808.15880336054</c:v>
                </c:pt>
                <c:pt idx="91">
                  <c:v>345783.89491605078</c:v>
                </c:pt>
                <c:pt idx="92">
                  <c:v>318270.71730227472</c:v>
                </c:pt>
                <c:pt idx="93">
                  <c:v>325039.54915002856</c:v>
                </c:pt>
                <c:pt idx="94">
                  <c:v>326457.26645454852</c:v>
                </c:pt>
                <c:pt idx="95">
                  <c:v>335160.48484199244</c:v>
                </c:pt>
                <c:pt idx="96">
                  <c:v>355571.24764524266</c:v>
                </c:pt>
                <c:pt idx="97">
                  <c:v>366194.81738244009</c:v>
                </c:pt>
                <c:pt idx="98">
                  <c:v>364260.78541256534</c:v>
                </c:pt>
                <c:pt idx="99">
                  <c:v>395744.86113117542</c:v>
                </c:pt>
                <c:pt idx="100">
                  <c:v>396415.34080550482</c:v>
                </c:pt>
                <c:pt idx="101">
                  <c:v>376295.38486582955</c:v>
                </c:pt>
                <c:pt idx="102">
                  <c:v>371210.73424314748</c:v>
                </c:pt>
                <c:pt idx="103">
                  <c:v>332693.87798203138</c:v>
                </c:pt>
                <c:pt idx="104">
                  <c:v>325015.48408626864</c:v>
                </c:pt>
                <c:pt idx="105">
                  <c:v>327903.37455130822</c:v>
                </c:pt>
                <c:pt idx="106">
                  <c:v>334466.96756690467</c:v>
                </c:pt>
                <c:pt idx="107">
                  <c:v>333967.44369211729</c:v>
                </c:pt>
                <c:pt idx="108">
                  <c:v>350104.45463366446</c:v>
                </c:pt>
                <c:pt idx="109">
                  <c:v>363514.21331478324</c:v>
                </c:pt>
                <c:pt idx="110">
                  <c:v>370508.12759352598</c:v>
                </c:pt>
                <c:pt idx="111">
                  <c:v>396590.99137117312</c:v>
                </c:pt>
                <c:pt idx="112">
                  <c:v>390052.09296651062</c:v>
                </c:pt>
                <c:pt idx="113">
                  <c:v>374572.95152983465</c:v>
                </c:pt>
                <c:pt idx="114">
                  <c:v>371808.12434448971</c:v>
                </c:pt>
                <c:pt idx="115">
                  <c:v>352275.66954236594</c:v>
                </c:pt>
                <c:pt idx="116">
                  <c:v>336028.68959219806</c:v>
                </c:pt>
                <c:pt idx="117">
                  <c:v>339435.74242763984</c:v>
                </c:pt>
                <c:pt idx="118">
                  <c:v>351036.37419528438</c:v>
                </c:pt>
                <c:pt idx="119">
                  <c:v>358201.47967658885</c:v>
                </c:pt>
                <c:pt idx="120">
                  <c:v>372308.9276335559</c:v>
                </c:pt>
                <c:pt idx="121">
                  <c:v>379736.4369252607</c:v>
                </c:pt>
                <c:pt idx="122">
                  <c:v>385122.78241878602</c:v>
                </c:pt>
                <c:pt idx="123">
                  <c:v>394039.84635270311</c:v>
                </c:pt>
                <c:pt idx="124">
                  <c:v>411241.61587972229</c:v>
                </c:pt>
                <c:pt idx="125">
                  <c:v>399207.56530567346</c:v>
                </c:pt>
                <c:pt idx="126">
                  <c:v>382398.71008715429</c:v>
                </c:pt>
                <c:pt idx="127">
                  <c:v>362487.53474126913</c:v>
                </c:pt>
                <c:pt idx="128">
                  <c:v>334400.05729715363</c:v>
                </c:pt>
                <c:pt idx="129">
                  <c:v>345131.61732402403</c:v>
                </c:pt>
                <c:pt idx="130">
                  <c:v>364236.51007377647</c:v>
                </c:pt>
                <c:pt idx="131">
                  <c:v>379551.62455878209</c:v>
                </c:pt>
                <c:pt idx="132">
                  <c:v>379694.62122820463</c:v>
                </c:pt>
                <c:pt idx="133">
                  <c:v>393157.09607055661</c:v>
                </c:pt>
                <c:pt idx="134">
                  <c:v>398817.29727593256</c:v>
                </c:pt>
                <c:pt idx="135">
                  <c:v>413213.63897319644</c:v>
                </c:pt>
                <c:pt idx="136">
                  <c:v>406137.64239764953</c:v>
                </c:pt>
                <c:pt idx="137">
                  <c:v>408565.9510189399</c:v>
                </c:pt>
                <c:pt idx="138">
                  <c:v>398897.57357871585</c:v>
                </c:pt>
                <c:pt idx="139">
                  <c:v>370394.05963263946</c:v>
                </c:pt>
                <c:pt idx="140">
                  <c:v>353766.93683042563</c:v>
                </c:pt>
                <c:pt idx="141">
                  <c:v>370150.31556585606</c:v>
                </c:pt>
                <c:pt idx="142">
                  <c:v>378973.43189738668</c:v>
                </c:pt>
                <c:pt idx="143">
                  <c:v>386640.41694817378</c:v>
                </c:pt>
                <c:pt idx="144">
                  <c:v>393493.88944027072</c:v>
                </c:pt>
                <c:pt idx="145">
                  <c:v>394804.55759209068</c:v>
                </c:pt>
                <c:pt idx="146">
                  <c:v>412458.21233765542</c:v>
                </c:pt>
                <c:pt idx="147">
                  <c:v>423484.23400031292</c:v>
                </c:pt>
                <c:pt idx="148">
                  <c:v>428722.01746160013</c:v>
                </c:pt>
                <c:pt idx="149">
                  <c:v>423499.05088203883</c:v>
                </c:pt>
                <c:pt idx="150">
                  <c:v>423573.82888109144</c:v>
                </c:pt>
                <c:pt idx="151">
                  <c:v>398086.65995515237</c:v>
                </c:pt>
                <c:pt idx="152">
                  <c:v>374824.80825356307</c:v>
                </c:pt>
                <c:pt idx="153">
                  <c:v>376220.87043547654</c:v>
                </c:pt>
                <c:pt idx="154">
                  <c:v>397268.38378983235</c:v>
                </c:pt>
                <c:pt idx="155">
                  <c:v>405721.72116825235</c:v>
                </c:pt>
                <c:pt idx="156">
                  <c:v>417695.68901042984</c:v>
                </c:pt>
                <c:pt idx="157">
                  <c:v>424971.74394699495</c:v>
                </c:pt>
                <c:pt idx="158">
                  <c:v>443303.96099776716</c:v>
                </c:pt>
                <c:pt idx="159">
                  <c:v>453764.77317779133</c:v>
                </c:pt>
                <c:pt idx="160">
                  <c:v>449153.87942961883</c:v>
                </c:pt>
                <c:pt idx="161">
                  <c:v>461179.06997188175</c:v>
                </c:pt>
                <c:pt idx="162">
                  <c:v>417626.8534307502</c:v>
                </c:pt>
                <c:pt idx="163">
                  <c:v>422594.94029335101</c:v>
                </c:pt>
                <c:pt idx="164">
                  <c:v>394461.08726991637</c:v>
                </c:pt>
                <c:pt idx="165">
                  <c:v>407466.92901175388</c:v>
                </c:pt>
                <c:pt idx="166">
                  <c:v>413259.76866483595</c:v>
                </c:pt>
                <c:pt idx="167">
                  <c:v>430871.67984927149</c:v>
                </c:pt>
                <c:pt idx="168">
                  <c:v>447896.93074637983</c:v>
                </c:pt>
                <c:pt idx="169">
                  <c:v>439327.68042361143</c:v>
                </c:pt>
                <c:pt idx="170">
                  <c:v>463939.01509589684</c:v>
                </c:pt>
                <c:pt idx="171">
                  <c:v>473628.20016718586</c:v>
                </c:pt>
                <c:pt idx="172">
                  <c:v>489411.29812360316</c:v>
                </c:pt>
                <c:pt idx="173">
                  <c:v>475378.89916629775</c:v>
                </c:pt>
                <c:pt idx="174">
                  <c:v>466524.67826044047</c:v>
                </c:pt>
                <c:pt idx="175">
                  <c:v>451209.14875512017</c:v>
                </c:pt>
                <c:pt idx="176">
                  <c:v>428285.51891159179</c:v>
                </c:pt>
                <c:pt idx="177">
                  <c:v>420915.93887200783</c:v>
                </c:pt>
                <c:pt idx="178">
                  <c:v>439260.97014113271</c:v>
                </c:pt>
                <c:pt idx="179">
                  <c:v>452286.31226203073</c:v>
                </c:pt>
                <c:pt idx="180">
                  <c:v>473206.8226123869</c:v>
                </c:pt>
                <c:pt idx="181">
                  <c:v>490713.28932429088</c:v>
                </c:pt>
                <c:pt idx="182">
                  <c:v>483822.40370028466</c:v>
                </c:pt>
                <c:pt idx="183">
                  <c:v>509785.11312463635</c:v>
                </c:pt>
                <c:pt idx="184">
                  <c:v>504997.29457988334</c:v>
                </c:pt>
                <c:pt idx="185">
                  <c:v>500389.44873014675</c:v>
                </c:pt>
                <c:pt idx="186">
                  <c:v>499645.1216818291</c:v>
                </c:pt>
                <c:pt idx="187">
                  <c:v>468873.15580179071</c:v>
                </c:pt>
                <c:pt idx="188">
                  <c:v>479538.21728709608</c:v>
                </c:pt>
                <c:pt idx="189">
                  <c:v>459825.58423243201</c:v>
                </c:pt>
                <c:pt idx="190">
                  <c:v>478496.78293983784</c:v>
                </c:pt>
                <c:pt idx="191">
                  <c:v>484741.46777965885</c:v>
                </c:pt>
                <c:pt idx="192">
                  <c:v>493895.51162299147</c:v>
                </c:pt>
                <c:pt idx="193">
                  <c:v>507602.86448304268</c:v>
                </c:pt>
                <c:pt idx="194">
                  <c:v>518077.4375462035</c:v>
                </c:pt>
                <c:pt idx="195">
                  <c:v>545257.89170136105</c:v>
                </c:pt>
                <c:pt idx="196">
                  <c:v>554184.37245083391</c:v>
                </c:pt>
                <c:pt idx="197">
                  <c:v>549940.51675785868</c:v>
                </c:pt>
                <c:pt idx="198">
                  <c:v>522075.71274657024</c:v>
                </c:pt>
                <c:pt idx="199">
                  <c:v>526624.78711279912</c:v>
                </c:pt>
                <c:pt idx="200">
                  <c:v>492604.30300529912</c:v>
                </c:pt>
                <c:pt idx="201">
                  <c:v>494540.41600348993</c:v>
                </c:pt>
                <c:pt idx="202">
                  <c:v>512744.64471012767</c:v>
                </c:pt>
                <c:pt idx="203">
                  <c:v>524385.15446857328</c:v>
                </c:pt>
                <c:pt idx="204">
                  <c:v>540874.71867954789</c:v>
                </c:pt>
                <c:pt idx="205">
                  <c:v>554176.60332919483</c:v>
                </c:pt>
                <c:pt idx="206">
                  <c:v>557606.31650279439</c:v>
                </c:pt>
                <c:pt idx="207">
                  <c:v>581609.32207077253</c:v>
                </c:pt>
                <c:pt idx="208">
                  <c:v>594002.57898886828</c:v>
                </c:pt>
                <c:pt idx="209">
                  <c:v>578271.82207687513</c:v>
                </c:pt>
                <c:pt idx="210">
                  <c:v>571402.31025989831</c:v>
                </c:pt>
                <c:pt idx="211">
                  <c:v>546251.04012809519</c:v>
                </c:pt>
                <c:pt idx="212">
                  <c:v>530691.97408388415</c:v>
                </c:pt>
                <c:pt idx="213">
                  <c:v>535855.83456211118</c:v>
                </c:pt>
                <c:pt idx="214">
                  <c:v>553564.31793428014</c:v>
                </c:pt>
                <c:pt idx="215">
                  <c:v>569818.86312526092</c:v>
                </c:pt>
                <c:pt idx="216">
                  <c:v>582442.364255241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86-47D3-8BD1-CB2C7E1AF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in val="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TCSI!$B$1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TCSI!$B$2:$B$219</c:f>
              <c:numCache>
                <c:formatCode>0_);[Red]\(0\)</c:formatCode>
                <c:ptCount val="218"/>
                <c:pt idx="0">
                  <c:v>271229.04452223581</c:v>
                </c:pt>
                <c:pt idx="1">
                  <c:v>272137.10998624656</c:v>
                </c:pt>
                <c:pt idx="2">
                  <c:v>272989.34267233248</c:v>
                </c:pt>
                <c:pt idx="3">
                  <c:v>273903.30155369191</c:v>
                </c:pt>
                <c:pt idx="4">
                  <c:v>274790.69122066704</c:v>
                </c:pt>
                <c:pt idx="5">
                  <c:v>275710.68095468887</c:v>
                </c:pt>
                <c:pt idx="6">
                  <c:v>276603.92615460441</c:v>
                </c:pt>
                <c:pt idx="7">
                  <c:v>277529.9865364976</c:v>
                </c:pt>
                <c:pt idx="8">
                  <c:v>278459.14733653265</c:v>
                </c:pt>
                <c:pt idx="9">
                  <c:v>279361.29699526064</c:v>
                </c:pt>
                <c:pt idx="10">
                  <c:v>280296.58895939926</c:v>
                </c:pt>
                <c:pt idx="11">
                  <c:v>281204.6915464073</c:v>
                </c:pt>
                <c:pt idx="12">
                  <c:v>282146.15513177251</c:v>
                </c:pt>
                <c:pt idx="13">
                  <c:v>283090.77070467232</c:v>
                </c:pt>
                <c:pt idx="14">
                  <c:v>283946.68984482484</c:v>
                </c:pt>
                <c:pt idx="15">
                  <c:v>284897.33354569506</c:v>
                </c:pt>
                <c:pt idx="16">
                  <c:v>285820.3415872312</c:v>
                </c:pt>
                <c:pt idx="17">
                  <c:v>286777.25820935832</c:v>
                </c:pt>
                <c:pt idx="18">
                  <c:v>287706.35681538115</c:v>
                </c:pt>
                <c:pt idx="19">
                  <c:v>288669.58775128791</c:v>
                </c:pt>
                <c:pt idx="20">
                  <c:v>289636.04355106689</c:v>
                </c:pt>
                <c:pt idx="21">
                  <c:v>290574.40402636235</c:v>
                </c:pt>
                <c:pt idx="22">
                  <c:v>291547.23708517611</c:v>
                </c:pt>
                <c:pt idx="23">
                  <c:v>292491.78942958743</c:v>
                </c:pt>
                <c:pt idx="24">
                  <c:v>293471.04182844301</c:v>
                </c:pt>
                <c:pt idx="25">
                  <c:v>294453.57273047429</c:v>
                </c:pt>
                <c:pt idx="26">
                  <c:v>295343.84706954565</c:v>
                </c:pt>
                <c:pt idx="27">
                  <c:v>296332.64805877721</c:v>
                </c:pt>
                <c:pt idx="28">
                  <c:v>297292.70413836115</c:v>
                </c:pt>
                <c:pt idx="29">
                  <c:v>298288.02983368188</c:v>
                </c:pt>
                <c:pt idx="30">
                  <c:v>299254.42094308179</c:v>
                </c:pt>
                <c:pt idx="31">
                  <c:v>300256.31439844391</c:v>
                </c:pt>
                <c:pt idx="32">
                  <c:v>301261.56215845613</c:v>
                </c:pt>
                <c:pt idx="33">
                  <c:v>302237.58689346211</c:v>
                </c:pt>
                <c:pt idx="34">
                  <c:v>303249.46788529074</c:v>
                </c:pt>
                <c:pt idx="35">
                  <c:v>304231.93302094506</c:v>
                </c:pt>
                <c:pt idx="36">
                  <c:v>305250.49101465911</c:v>
                </c:pt>
                <c:pt idx="37">
                  <c:v>306272.45910532156</c:v>
                </c:pt>
                <c:pt idx="38">
                  <c:v>307198.4676049886</c:v>
                </c:pt>
                <c:pt idx="39">
                  <c:v>308226.95745392912</c:v>
                </c:pt>
                <c:pt idx="40">
                  <c:v>309225.54861941142</c:v>
                </c:pt>
                <c:pt idx="41">
                  <c:v>310260.82506550715</c:v>
                </c:pt>
                <c:pt idx="42">
                  <c:v>311266.00553857448</c:v>
                </c:pt>
                <c:pt idx="43">
                  <c:v>312308.11336389201</c:v>
                </c:pt>
                <c:pt idx="44">
                  <c:v>313353.71013018041</c:v>
                </c:pt>
                <c:pt idx="45">
                  <c:v>314368.9109068804</c:v>
                </c:pt>
                <c:pt idx="46">
                  <c:v>315421.40715209593</c:v>
                </c:pt>
                <c:pt idx="47">
                  <c:v>316443.30683662626</c:v>
                </c:pt>
                <c:pt idx="48">
                  <c:v>317502.74808769824</c:v>
                </c:pt>
                <c:pt idx="49">
                  <c:v>318565.73631145078</c:v>
                </c:pt>
                <c:pt idx="50">
                  <c:v>319563.36626778182</c:v>
                </c:pt>
                <c:pt idx="51">
                  <c:v>320633.25336996122</c:v>
                </c:pt>
                <c:pt idx="52">
                  <c:v>321672.03835106653</c:v>
                </c:pt>
                <c:pt idx="53">
                  <c:v>322748.98521447828</c:v>
                </c:pt>
                <c:pt idx="54">
                  <c:v>323794.62472623878</c:v>
                </c:pt>
                <c:pt idx="55">
                  <c:v>324878.67793545162</c:v>
                </c:pt>
                <c:pt idx="56">
                  <c:v>325966.36051733053</c:v>
                </c:pt>
                <c:pt idx="57">
                  <c:v>327022.42365517491</c:v>
                </c:pt>
                <c:pt idx="58">
                  <c:v>328117.28342360893</c:v>
                </c:pt>
                <c:pt idx="59">
                  <c:v>329180.31510382087</c:v>
                </c:pt>
                <c:pt idx="60">
                  <c:v>330282.39941822138</c:v>
                </c:pt>
                <c:pt idx="61">
                  <c:v>331388.17347280477</c:v>
                </c:pt>
                <c:pt idx="62">
                  <c:v>332390.11881983781</c:v>
                </c:pt>
                <c:pt idx="63">
                  <c:v>333502.94944610936</c:v>
                </c:pt>
                <c:pt idx="64">
                  <c:v>334583.42956287129</c:v>
                </c:pt>
                <c:pt idx="65">
                  <c:v>335703.60331768182</c:v>
                </c:pt>
                <c:pt idx="66">
                  <c:v>336791.21309478424</c:v>
                </c:pt>
                <c:pt idx="67">
                  <c:v>337918.77843253181</c:v>
                </c:pt>
                <c:pt idx="68">
                  <c:v>339050.11882004741</c:v>
                </c:pt>
                <c:pt idx="69">
                  <c:v>340148.57061059156</c:v>
                </c:pt>
                <c:pt idx="70">
                  <c:v>341287.37626522937</c:v>
                </c:pt>
                <c:pt idx="71">
                  <c:v>342393.07630407118</c:v>
                </c:pt>
                <c:pt idx="72">
                  <c:v>343539.39648617333</c:v>
                </c:pt>
                <c:pt idx="73">
                  <c:v>344689.55450861342</c:v>
                </c:pt>
                <c:pt idx="74">
                  <c:v>345731.71630844951</c:v>
                </c:pt>
                <c:pt idx="75">
                  <c:v>346889.21414186136</c:v>
                </c:pt>
                <c:pt idx="76">
                  <c:v>348013.06296905148</c:v>
                </c:pt>
                <c:pt idx="77">
                  <c:v>349178.19867221068</c:v>
                </c:pt>
                <c:pt idx="78">
                  <c:v>350309.46333268483</c:v>
                </c:pt>
                <c:pt idx="79">
                  <c:v>351482.28730486933</c:v>
                </c:pt>
                <c:pt idx="80">
                  <c:v>352659.03785116534</c:v>
                </c:pt>
                <c:pt idx="81">
                  <c:v>353801.57970582548</c:v>
                </c:pt>
                <c:pt idx="82">
                  <c:v>354986.09516289626</c:v>
                </c:pt>
                <c:pt idx="83">
                  <c:v>356136.17619872425</c:v>
                </c:pt>
                <c:pt idx="84">
                  <c:v>357328.50780414056</c:v>
                </c:pt>
                <c:pt idx="85">
                  <c:v>358524.83129455004</c:v>
                </c:pt>
                <c:pt idx="86">
                  <c:v>359608.82377004152</c:v>
                </c:pt>
                <c:pt idx="87">
                  <c:v>360812.78167946934</c:v>
                </c:pt>
                <c:pt idx="88">
                  <c:v>361981.73996642209</c:v>
                </c:pt>
                <c:pt idx="89">
                  <c:v>363193.64231723727</c:v>
                </c:pt>
                <c:pt idx="90">
                  <c:v>364370.31409693242</c:v>
                </c:pt>
                <c:pt idx="91">
                  <c:v>365590.21331135766</c:v>
                </c:pt>
                <c:pt idx="92">
                  <c:v>366814.1967061786</c:v>
                </c:pt>
                <c:pt idx="93">
                  <c:v>368002.59832824901</c:v>
                </c:pt>
                <c:pt idx="94">
                  <c:v>369234.65830470383</c:v>
                </c:pt>
                <c:pt idx="95">
                  <c:v>370430.90171838336</c:v>
                </c:pt>
                <c:pt idx="96">
                  <c:v>371671.09157063661</c:v>
                </c:pt>
                <c:pt idx="97">
                  <c:v>372915.43353563815</c:v>
                </c:pt>
                <c:pt idx="98">
                  <c:v>374083.26662397076</c:v>
                </c:pt>
                <c:pt idx="99">
                  <c:v>375335.68446765607</c:v>
                </c:pt>
                <c:pt idx="100">
                  <c:v>376551.69393579441</c:v>
                </c:pt>
                <c:pt idx="101">
                  <c:v>377812.37598878081</c:v>
                </c:pt>
                <c:pt idx="102">
                  <c:v>379036.40942176973</c:v>
                </c:pt>
                <c:pt idx="103">
                  <c:v>380305.41021629988</c:v>
                </c:pt>
                <c:pt idx="104">
                  <c:v>381578.65958161827</c:v>
                </c:pt>
                <c:pt idx="105">
                  <c:v>382814.89498926111</c:v>
                </c:pt>
                <c:pt idx="106">
                  <c:v>384096.54602284043</c:v>
                </c:pt>
                <c:pt idx="107">
                  <c:v>385340.93885829765</c:v>
                </c:pt>
                <c:pt idx="108">
                  <c:v>386631.04699941829</c:v>
                </c:pt>
                <c:pt idx="109">
                  <c:v>387925.47437799396</c:v>
                </c:pt>
                <c:pt idx="110">
                  <c:v>389098.35909495648</c:v>
                </c:pt>
                <c:pt idx="111">
                  <c:v>390401.04694912699</c:v>
                </c:pt>
                <c:pt idx="112">
                  <c:v>391665.86505491025</c:v>
                </c:pt>
                <c:pt idx="113">
                  <c:v>392977.148830269</c:v>
                </c:pt>
                <c:pt idx="114">
                  <c:v>394250.31296977156</c:v>
                </c:pt>
                <c:pt idx="115">
                  <c:v>395570.24938739859</c:v>
                </c:pt>
                <c:pt idx="116">
                  <c:v>396894.60490651918</c:v>
                </c:pt>
                <c:pt idx="117">
                  <c:v>398180.46078804519</c:v>
                </c:pt>
                <c:pt idx="118">
                  <c:v>399513.55520469305</c:v>
                </c:pt>
                <c:pt idx="119">
                  <c:v>400807.89593988803</c:v>
                </c:pt>
                <c:pt idx="120">
                  <c:v>402149.78691858734</c:v>
                </c:pt>
                <c:pt idx="121">
                  <c:v>403496.17050189094</c:v>
                </c:pt>
                <c:pt idx="122">
                  <c:v>404716.13289929205</c:v>
                </c:pt>
                <c:pt idx="123">
                  <c:v>406071.10852021415</c:v>
                </c:pt>
                <c:pt idx="124">
                  <c:v>407386.69436278695</c:v>
                </c:pt>
                <c:pt idx="125">
                  <c:v>408750.61093116173</c:v>
                </c:pt>
                <c:pt idx="126">
                  <c:v>410074.87780364038</c:v>
                </c:pt>
                <c:pt idx="127">
                  <c:v>411447.79431723739</c:v>
                </c:pt>
                <c:pt idx="128">
                  <c:v>412825.30730785755</c:v>
                </c:pt>
                <c:pt idx="129">
                  <c:v>414162.77534819447</c:v>
                </c:pt>
                <c:pt idx="130">
                  <c:v>415549.37800144276</c:v>
                </c:pt>
                <c:pt idx="131">
                  <c:v>416895.67146364163</c:v>
                </c:pt>
                <c:pt idx="132">
                  <c:v>418291.42375860084</c:v>
                </c:pt>
                <c:pt idx="133">
                  <c:v>419691.84898398974</c:v>
                </c:pt>
                <c:pt idx="134">
                  <c:v>420960.77868317062</c:v>
                </c:pt>
                <c:pt idx="135">
                  <c:v>422370.14081656089</c:v>
                </c:pt>
                <c:pt idx="136">
                  <c:v>423738.53213011345</c:v>
                </c:pt>
                <c:pt idx="137">
                  <c:v>425157.19408600964</c:v>
                </c:pt>
                <c:pt idx="138">
                  <c:v>426534.61487185699</c:v>
                </c:pt>
                <c:pt idx="139">
                  <c:v>427962.63801610505</c:v>
                </c:pt>
                <c:pt idx="140">
                  <c:v>429395.44213247061</c:v>
                </c:pt>
                <c:pt idx="141">
                  <c:v>430786.59395953204</c:v>
                </c:pt>
                <c:pt idx="142">
                  <c:v>432228.85258276435</c:v>
                </c:pt>
                <c:pt idx="143">
                  <c:v>433629.18406973436</c:v>
                </c:pt>
                <c:pt idx="144">
                  <c:v>435080.95958638034</c:v>
                </c:pt>
                <c:pt idx="145">
                  <c:v>436537.59559726471</c:v>
                </c:pt>
                <c:pt idx="146">
                  <c:v>437904.66974489694</c:v>
                </c:pt>
                <c:pt idx="147">
                  <c:v>439370.75943976943</c:v>
                </c:pt>
                <c:pt idx="148">
                  <c:v>440794.22921792191</c:v>
                </c:pt>
                <c:pt idx="149">
                  <c:v>442269.99305801175</c:v>
                </c:pt>
                <c:pt idx="150">
                  <c:v>443702.85574943095</c:v>
                </c:pt>
                <c:pt idx="151">
                  <c:v>445188.35757058917</c:v>
                </c:pt>
                <c:pt idx="152">
                  <c:v>446678.83280048805</c:v>
                </c:pt>
                <c:pt idx="153">
                  <c:v>448125.97921469784</c:v>
                </c:pt>
                <c:pt idx="154">
                  <c:v>449626.28950029961</c:v>
                </c:pt>
                <c:pt idx="155">
                  <c:v>451082.98506052064</c:v>
                </c:pt>
                <c:pt idx="156">
                  <c:v>452593.19529946335</c:v>
                </c:pt>
                <c:pt idx="157">
                  <c:v>454108.46167007514</c:v>
                </c:pt>
                <c:pt idx="158">
                  <c:v>455481.44929196441</c:v>
                </c:pt>
                <c:pt idx="159">
                  <c:v>457006.38543708832</c:v>
                </c:pt>
                <c:pt idx="160">
                  <c:v>458486.99097151641</c:v>
                </c:pt>
                <c:pt idx="161">
                  <c:v>460021.98956627533</c:v>
                </c:pt>
                <c:pt idx="162">
                  <c:v>461512.36503019586</c:v>
                </c:pt>
                <c:pt idx="163">
                  <c:v>463057.49247270869</c:v>
                </c:pt>
                <c:pt idx="164">
                  <c:v>464607.79294847941</c:v>
                </c:pt>
                <c:pt idx="165">
                  <c:v>466113.02546053723</c:v>
                </c:pt>
                <c:pt idx="166">
                  <c:v>467673.55575511482</c:v>
                </c:pt>
                <c:pt idx="167">
                  <c:v>469188.72070033639</c:v>
                </c:pt>
                <c:pt idx="168">
                  <c:v>470759.54831624165</c:v>
                </c:pt>
                <c:pt idx="169">
                  <c:v>472335.6350086985</c:v>
                </c:pt>
                <c:pt idx="170">
                  <c:v>473763.7321154098</c:v>
                </c:pt>
                <c:pt idx="171">
                  <c:v>475349.87671136344</c:v>
                </c:pt>
                <c:pt idx="172">
                  <c:v>476889.91133817815</c:v>
                </c:pt>
                <c:pt idx="173">
                  <c:v>478486.52227409085</c:v>
                </c:pt>
                <c:pt idx="174">
                  <c:v>480036.71897944034</c:v>
                </c:pt>
                <c:pt idx="175">
                  <c:v>481643.86531854229</c:v>
                </c:pt>
                <c:pt idx="176">
                  <c:v>483256.39232802542</c:v>
                </c:pt>
                <c:pt idx="177">
                  <c:v>484822.04241920373</c:v>
                </c:pt>
                <c:pt idx="178">
                  <c:v>486445.20985574165</c:v>
                </c:pt>
                <c:pt idx="179">
                  <c:v>488021.19105175929</c:v>
                </c:pt>
                <c:pt idx="180">
                  <c:v>489655.0691273167</c:v>
                </c:pt>
                <c:pt idx="181">
                  <c:v>491294.41737018473</c:v>
                </c:pt>
                <c:pt idx="182">
                  <c:v>492779.83596659632</c:v>
                </c:pt>
                <c:pt idx="183">
                  <c:v>494429.64582081058</c:v>
                </c:pt>
                <c:pt idx="184">
                  <c:v>496031.49492689577</c:v>
                </c:pt>
                <c:pt idx="185">
                  <c:v>497692.1912228922</c:v>
                </c:pt>
                <c:pt idx="186">
                  <c:v>499304.6102967778</c:v>
                </c:pt>
                <c:pt idx="187">
                  <c:v>500976.264869873</c:v>
                </c:pt>
                <c:pt idx="188">
                  <c:v>502653.51608468493</c:v>
                </c:pt>
                <c:pt idx="189">
                  <c:v>504282.00881811342</c:v>
                </c:pt>
                <c:pt idx="190">
                  <c:v>505970.32754937728</c:v>
                </c:pt>
                <c:pt idx="191">
                  <c:v>507609.56606135017</c:v>
                </c:pt>
                <c:pt idx="192">
                  <c:v>509309.0253392217</c:v>
                </c:pt>
                <c:pt idx="193">
                  <c:v>511014.17434800201</c:v>
                </c:pt>
                <c:pt idx="194">
                  <c:v>512614.48156980862</c:v>
                </c:pt>
                <c:pt idx="195">
                  <c:v>514330.69713177031</c:v>
                </c:pt>
                <c:pt idx="196">
                  <c:v>515997.02150045865</c:v>
                </c:pt>
                <c:pt idx="197">
                  <c:v>517724.56168916548</c:v>
                </c:pt>
                <c:pt idx="198">
                  <c:v>519401.8814723742</c:v>
                </c:pt>
                <c:pt idx="199">
                  <c:v>521140.82101455366</c:v>
                </c:pt>
                <c:pt idx="200">
                  <c:v>522885.58246619999</c:v>
                </c:pt>
                <c:pt idx="201">
                  <c:v>524579.62288213789</c:v>
                </c:pt>
                <c:pt idx="202">
                  <c:v>526335.89732355007</c:v>
                </c:pt>
                <c:pt idx="203">
                  <c:v>528041.11604122748</c:v>
                </c:pt>
                <c:pt idx="204">
                  <c:v>529808.97944206407</c:v>
                </c:pt>
                <c:pt idx="205">
                  <c:v>531582.76158844633</c:v>
                </c:pt>
                <c:pt idx="206">
                  <c:v>533189.99116744706</c:v>
                </c:pt>
                <c:pt idx="207">
                  <c:v>534975.09282419609</c:v>
                </c:pt>
                <c:pt idx="208">
                  <c:v>536708.3007365081</c:v>
                </c:pt>
                <c:pt idx="209">
                  <c:v>538505.1815720587</c:v>
                </c:pt>
                <c:pt idx="210">
                  <c:v>540249.82623690565</c:v>
                </c:pt>
                <c:pt idx="211">
                  <c:v>542058.56397739239</c:v>
                </c:pt>
                <c:pt idx="212">
                  <c:v>543873.35730930092</c:v>
                </c:pt>
                <c:pt idx="213">
                  <c:v>545635.39374581585</c:v>
                </c:pt>
                <c:pt idx="214">
                  <c:v>547462.16218013025</c:v>
                </c:pt>
                <c:pt idx="215">
                  <c:v>549235.82559719309</c:v>
                </c:pt>
                <c:pt idx="216">
                  <c:v>551074.64815286919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412-4990-BF2F-15E7829BD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in val="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TCSI!$C$1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TCSI!$C$2:$C$218</c:f>
              <c:numCache>
                <c:formatCode>0_);[Red]\(0\)</c:formatCode>
                <c:ptCount val="217"/>
                <c:pt idx="0">
                  <c:v>-32014.778015375137</c:v>
                </c:pt>
                <c:pt idx="1">
                  <c:v>-29047.955391407013</c:v>
                </c:pt>
                <c:pt idx="2">
                  <c:v>-26368.544521093369</c:v>
                </c:pt>
                <c:pt idx="3">
                  <c:v>-23605.310224056244</c:v>
                </c:pt>
                <c:pt idx="4">
                  <c:v>-21028.941474437714</c:v>
                </c:pt>
                <c:pt idx="5">
                  <c:v>-18465.994772195816</c:v>
                </c:pt>
                <c:pt idx="6">
                  <c:v>-16080.218624353409</c:v>
                </c:pt>
                <c:pt idx="7">
                  <c:v>-13710.897819042206</c:v>
                </c:pt>
                <c:pt idx="8">
                  <c:v>-11437.452280759811</c:v>
                </c:pt>
                <c:pt idx="9">
                  <c:v>-9327.0414006710052</c:v>
                </c:pt>
                <c:pt idx="10">
                  <c:v>-7237.3410029411316</c:v>
                </c:pt>
                <c:pt idx="11">
                  <c:v>-5301.6206665039063</c:v>
                </c:pt>
                <c:pt idx="12">
                  <c:v>-3389.2243654727936</c:v>
                </c:pt>
                <c:pt idx="13">
                  <c:v>-1564.4932107925415</c:v>
                </c:pt>
                <c:pt idx="14">
                  <c:v>9.6564061641693115</c:v>
                </c:pt>
                <c:pt idx="15">
                  <c:v>1672.0325176715851</c:v>
                </c:pt>
                <c:pt idx="16">
                  <c:v>3201.7715466022491</c:v>
                </c:pt>
                <c:pt idx="17">
                  <c:v>4702.4093577861786</c:v>
                </c:pt>
                <c:pt idx="18">
                  <c:v>6078.6068434715271</c:v>
                </c:pt>
                <c:pt idx="19">
                  <c:v>7423.6416509151459</c:v>
                </c:pt>
                <c:pt idx="20">
                  <c:v>8691.9225673675537</c:v>
                </c:pt>
                <c:pt idx="21">
                  <c:v>9847.6715362071991</c:v>
                </c:pt>
                <c:pt idx="22">
                  <c:v>10969.436286687851</c:v>
                </c:pt>
                <c:pt idx="23">
                  <c:v>11986.268041133881</c:v>
                </c:pt>
                <c:pt idx="24">
                  <c:v>12967.431267023087</c:v>
                </c:pt>
                <c:pt idx="25">
                  <c:v>13879.379740715027</c:v>
                </c:pt>
                <c:pt idx="26">
                  <c:v>14644.825908184052</c:v>
                </c:pt>
                <c:pt idx="27">
                  <c:v>15429.159006357193</c:v>
                </c:pt>
                <c:pt idx="28">
                  <c:v>16126.37181186676</c:v>
                </c:pt>
                <c:pt idx="29">
                  <c:v>16784.366121292114</c:v>
                </c:pt>
                <c:pt idx="30">
                  <c:v>17362.040263652802</c:v>
                </c:pt>
                <c:pt idx="31">
                  <c:v>17899.304678678513</c:v>
                </c:pt>
                <c:pt idx="32">
                  <c:v>18377.335867881775</c:v>
                </c:pt>
                <c:pt idx="33">
                  <c:v>18784.880994319916</c:v>
                </c:pt>
                <c:pt idx="34">
                  <c:v>19150.475209474564</c:v>
                </c:pt>
                <c:pt idx="35">
                  <c:v>19451.8282725811</c:v>
                </c:pt>
                <c:pt idx="36">
                  <c:v>19710.37375164032</c:v>
                </c:pt>
                <c:pt idx="37">
                  <c:v>19916.55416226387</c:v>
                </c:pt>
                <c:pt idx="38">
                  <c:v>20058.901982784271</c:v>
                </c:pt>
                <c:pt idx="39">
                  <c:v>20169.160173892975</c:v>
                </c:pt>
                <c:pt idx="40">
                  <c:v>20229.711157798767</c:v>
                </c:pt>
                <c:pt idx="41">
                  <c:v>20245.880287885666</c:v>
                </c:pt>
                <c:pt idx="42">
                  <c:v>20217.847311973572</c:v>
                </c:pt>
                <c:pt idx="43">
                  <c:v>20145.009873390198</c:v>
                </c:pt>
                <c:pt idx="44">
                  <c:v>20028.859166622162</c:v>
                </c:pt>
                <c:pt idx="45">
                  <c:v>19876.41942191124</c:v>
                </c:pt>
                <c:pt idx="46">
                  <c:v>19678.761147975922</c:v>
                </c:pt>
                <c:pt idx="47">
                  <c:v>19449.806314229965</c:v>
                </c:pt>
                <c:pt idx="48">
                  <c:v>19175.502309799194</c:v>
                </c:pt>
                <c:pt idx="49">
                  <c:v>18864.082211017609</c:v>
                </c:pt>
                <c:pt idx="50">
                  <c:v>18540.234374761581</c:v>
                </c:pt>
                <c:pt idx="51">
                  <c:v>18160.436104297638</c:v>
                </c:pt>
                <c:pt idx="52">
                  <c:v>17760.920200586319</c:v>
                </c:pt>
                <c:pt idx="53">
                  <c:v>17316.208212137222</c:v>
                </c:pt>
                <c:pt idx="54">
                  <c:v>16856.087144136429</c:v>
                </c:pt>
                <c:pt idx="55">
                  <c:v>16351.016085624695</c:v>
                </c:pt>
                <c:pt idx="56">
                  <c:v>15816.988037824631</c:v>
                </c:pt>
                <c:pt idx="57">
                  <c:v>15273.691554307938</c:v>
                </c:pt>
                <c:pt idx="58">
                  <c:v>14686.007345438004</c:v>
                </c:pt>
                <c:pt idx="59">
                  <c:v>14092.89333820343</c:v>
                </c:pt>
                <c:pt idx="60">
                  <c:v>13455.886960029602</c:v>
                </c:pt>
                <c:pt idx="61">
                  <c:v>12795.447946310043</c:v>
                </c:pt>
                <c:pt idx="62">
                  <c:v>12179.684304952621</c:v>
                </c:pt>
                <c:pt idx="63">
                  <c:v>11477.635801315308</c:v>
                </c:pt>
                <c:pt idx="64">
                  <c:v>10778.881212949753</c:v>
                </c:pt>
                <c:pt idx="65">
                  <c:v>10037.86052274704</c:v>
                </c:pt>
                <c:pt idx="66">
                  <c:v>9303.3507661819458</c:v>
                </c:pt>
                <c:pt idx="67">
                  <c:v>8527.3861343860626</c:v>
                </c:pt>
                <c:pt idx="68">
                  <c:v>7735.1786653995514</c:v>
                </c:pt>
                <c:pt idx="69">
                  <c:v>6954.0086436271667</c:v>
                </c:pt>
                <c:pt idx="70">
                  <c:v>6132.7662243843079</c:v>
                </c:pt>
                <c:pt idx="71">
                  <c:v>5325.3509464263916</c:v>
                </c:pt>
                <c:pt idx="72">
                  <c:v>4478.8811662197113</c:v>
                </c:pt>
                <c:pt idx="73">
                  <c:v>3621.0219204425812</c:v>
                </c:pt>
                <c:pt idx="74">
                  <c:v>2837.1815083026886</c:v>
                </c:pt>
                <c:pt idx="75">
                  <c:v>1960.2580456733704</c:v>
                </c:pt>
                <c:pt idx="76">
                  <c:v>1103.3619170188904</c:v>
                </c:pt>
                <c:pt idx="77">
                  <c:v>210.25801491737366</c:v>
                </c:pt>
                <c:pt idx="78">
                  <c:v>-660.5914626121521</c:v>
                </c:pt>
                <c:pt idx="79">
                  <c:v>-1566.373960018158</c:v>
                </c:pt>
                <c:pt idx="80">
                  <c:v>-2477.2858533859253</c:v>
                </c:pt>
                <c:pt idx="81">
                  <c:v>-3362.8776967525482</c:v>
                </c:pt>
                <c:pt idx="82">
                  <c:v>-4281.3531134128571</c:v>
                </c:pt>
                <c:pt idx="83">
                  <c:v>-5172.6661243438721</c:v>
                </c:pt>
                <c:pt idx="84">
                  <c:v>-6095.4238755702972</c:v>
                </c:pt>
                <c:pt idx="85">
                  <c:v>-7019.1286327838898</c:v>
                </c:pt>
                <c:pt idx="86">
                  <c:v>-7853.5799765586853</c:v>
                </c:pt>
                <c:pt idx="87">
                  <c:v>-8776.8501892089844</c:v>
                </c:pt>
                <c:pt idx="88">
                  <c:v>-9669.0298092365265</c:v>
                </c:pt>
                <c:pt idx="89">
                  <c:v>-10588.838497400284</c:v>
                </c:pt>
                <c:pt idx="90">
                  <c:v>-11476.217825651169</c:v>
                </c:pt>
                <c:pt idx="91">
                  <c:v>-12389.589547395706</c:v>
                </c:pt>
                <c:pt idx="92">
                  <c:v>-13298.577931642532</c:v>
                </c:pt>
                <c:pt idx="93">
                  <c:v>-14173.378978967667</c:v>
                </c:pt>
                <c:pt idx="94">
                  <c:v>-15071.609243154526</c:v>
                </c:pt>
                <c:pt idx="95">
                  <c:v>-15934.655544996262</c:v>
                </c:pt>
                <c:pt idx="96">
                  <c:v>-16819.372903108597</c:v>
                </c:pt>
                <c:pt idx="97">
                  <c:v>-17696.195516347885</c:v>
                </c:pt>
                <c:pt idx="98">
                  <c:v>-18508.701711893082</c:v>
                </c:pt>
                <c:pt idx="99">
                  <c:v>-19368.330635786057</c:v>
                </c:pt>
                <c:pt idx="100">
                  <c:v>-20190.857853651047</c:v>
                </c:pt>
                <c:pt idx="101">
                  <c:v>-21030.492214202881</c:v>
                </c:pt>
                <c:pt idx="102">
                  <c:v>-21832.474833965302</c:v>
                </c:pt>
                <c:pt idx="103">
                  <c:v>-22649.667035341263</c:v>
                </c:pt>
                <c:pt idx="104">
                  <c:v>-23454.544398546219</c:v>
                </c:pt>
                <c:pt idx="105">
                  <c:v>-24221.169401407242</c:v>
                </c:pt>
                <c:pt idx="106">
                  <c:v>-25000.07954287529</c:v>
                </c:pt>
                <c:pt idx="107">
                  <c:v>-25740.486725091934</c:v>
                </c:pt>
                <c:pt idx="108">
                  <c:v>-26491.202705144882</c:v>
                </c:pt>
                <c:pt idx="109">
                  <c:v>-27226.765260457993</c:v>
                </c:pt>
                <c:pt idx="110">
                  <c:v>-27877.669524908066</c:v>
                </c:pt>
                <c:pt idx="111">
                  <c:v>-28582.907005310059</c:v>
                </c:pt>
                <c:pt idx="112">
                  <c:v>-29249.507301092148</c:v>
                </c:pt>
                <c:pt idx="113">
                  <c:v>-29921.416451215744</c:v>
                </c:pt>
                <c:pt idx="114">
                  <c:v>-30554.823214054108</c:v>
                </c:pt>
                <c:pt idx="115">
                  <c:v>-31191.482839584351</c:v>
                </c:pt>
                <c:pt idx="116">
                  <c:v>-31809.520699501038</c:v>
                </c:pt>
                <c:pt idx="117">
                  <c:v>-32389.456296443939</c:v>
                </c:pt>
                <c:pt idx="118">
                  <c:v>-32969.513488531113</c:v>
                </c:pt>
                <c:pt idx="119">
                  <c:v>-33511.860057592392</c:v>
                </c:pt>
                <c:pt idx="120">
                  <c:v>-34052.236042499542</c:v>
                </c:pt>
                <c:pt idx="121">
                  <c:v>-34571.822657346725</c:v>
                </c:pt>
                <c:pt idx="122">
                  <c:v>-35022.920747041702</c:v>
                </c:pt>
                <c:pt idx="123">
                  <c:v>-35501.831408262253</c:v>
                </c:pt>
                <c:pt idx="124">
                  <c:v>-35944.413989305496</c:v>
                </c:pt>
                <c:pt idx="125">
                  <c:v>-36379.81233716011</c:v>
                </c:pt>
                <c:pt idx="126">
                  <c:v>-36779.600628137589</c:v>
                </c:pt>
                <c:pt idx="127">
                  <c:v>-37170.091868638992</c:v>
                </c:pt>
                <c:pt idx="128">
                  <c:v>-37537.255125761032</c:v>
                </c:pt>
                <c:pt idx="129">
                  <c:v>-37870.055954217911</c:v>
                </c:pt>
                <c:pt idx="130">
                  <c:v>-38190.37487912178</c:v>
                </c:pt>
                <c:pt idx="131">
                  <c:v>-38477.263652086258</c:v>
                </c:pt>
                <c:pt idx="132">
                  <c:v>-38749.564109563828</c:v>
                </c:pt>
                <c:pt idx="133">
                  <c:v>-38997.039960622787</c:v>
                </c:pt>
                <c:pt idx="134">
                  <c:v>-39199.005299091339</c:v>
                </c:pt>
                <c:pt idx="135">
                  <c:v>-39398.500829458237</c:v>
                </c:pt>
                <c:pt idx="136">
                  <c:v>-39567.214000940323</c:v>
                </c:pt>
                <c:pt idx="137">
                  <c:v>-39716.163017511368</c:v>
                </c:pt>
                <c:pt idx="138">
                  <c:v>-39835.529319047928</c:v>
                </c:pt>
                <c:pt idx="139">
                  <c:v>-39933.063431024551</c:v>
                </c:pt>
                <c:pt idx="140">
                  <c:v>-40004.164051294327</c:v>
                </c:pt>
                <c:pt idx="141">
                  <c:v>-40047.623843431473</c:v>
                </c:pt>
                <c:pt idx="142">
                  <c:v>-40066.166251897812</c:v>
                </c:pt>
                <c:pt idx="143">
                  <c:v>-40058.439138650894</c:v>
                </c:pt>
                <c:pt idx="144">
                  <c:v>-40023.775601148605</c:v>
                </c:pt>
                <c:pt idx="145">
                  <c:v>-39961.852932214737</c:v>
                </c:pt>
                <c:pt idx="146">
                  <c:v>-39879.129394292831</c:v>
                </c:pt>
                <c:pt idx="147">
                  <c:v>-39764.079464673996</c:v>
                </c:pt>
                <c:pt idx="148">
                  <c:v>-39626.44699048996</c:v>
                </c:pt>
                <c:pt idx="149">
                  <c:v>-39456.959815263748</c:v>
                </c:pt>
                <c:pt idx="150">
                  <c:v>-39266.470654249191</c:v>
                </c:pt>
                <c:pt idx="151">
                  <c:v>-39042.205685853958</c:v>
                </c:pt>
                <c:pt idx="152">
                  <c:v>-38790.000503540039</c:v>
                </c:pt>
                <c:pt idx="153">
                  <c:v>-38519.277514219284</c:v>
                </c:pt>
                <c:pt idx="154">
                  <c:v>-38211.94732427597</c:v>
                </c:pt>
                <c:pt idx="155">
                  <c:v>-37887.808842897415</c:v>
                </c:pt>
                <c:pt idx="156">
                  <c:v>-37525.233757734299</c:v>
                </c:pt>
                <c:pt idx="157">
                  <c:v>-37134.565639257431</c:v>
                </c:pt>
                <c:pt idx="158">
                  <c:v>-36757.560067415237</c:v>
                </c:pt>
                <c:pt idx="159">
                  <c:v>-36313.443294763565</c:v>
                </c:pt>
                <c:pt idx="160">
                  <c:v>-35856.943719625473</c:v>
                </c:pt>
                <c:pt idx="161">
                  <c:v>-35357.663697481155</c:v>
                </c:pt>
                <c:pt idx="162">
                  <c:v>-34847.859562158585</c:v>
                </c:pt>
                <c:pt idx="163">
                  <c:v>-34293.6021463871</c:v>
                </c:pt>
                <c:pt idx="164">
                  <c:v>-33711.504812002182</c:v>
                </c:pt>
                <c:pt idx="165">
                  <c:v>-33121.754900693893</c:v>
                </c:pt>
                <c:pt idx="166">
                  <c:v>-32485.12687587738</c:v>
                </c:pt>
                <c:pt idx="167">
                  <c:v>-31842.791328668594</c:v>
                </c:pt>
                <c:pt idx="168">
                  <c:v>-31152.039127588272</c:v>
                </c:pt>
                <c:pt idx="169">
                  <c:v>-30433.965172052383</c:v>
                </c:pt>
                <c:pt idx="170">
                  <c:v>-29762.014212846756</c:v>
                </c:pt>
                <c:pt idx="171">
                  <c:v>-28992.335119009018</c:v>
                </c:pt>
                <c:pt idx="172">
                  <c:v>-28221.88400387764</c:v>
                </c:pt>
                <c:pt idx="173">
                  <c:v>-27399.465440034866</c:v>
                </c:pt>
                <c:pt idx="174">
                  <c:v>-26578.310068368912</c:v>
                </c:pt>
                <c:pt idx="175">
                  <c:v>-25703.864293336868</c:v>
                </c:pt>
                <c:pt idx="176">
                  <c:v>-24803.27960562706</c:v>
                </c:pt>
                <c:pt idx="177">
                  <c:v>-23907.063762903214</c:v>
                </c:pt>
                <c:pt idx="178">
                  <c:v>-22955.692485570908</c:v>
                </c:pt>
                <c:pt idx="179">
                  <c:v>-22010.769039392471</c:v>
                </c:pt>
                <c:pt idx="180">
                  <c:v>-21009.544088125229</c:v>
                </c:pt>
                <c:pt idx="181">
                  <c:v>-19983.369370698929</c:v>
                </c:pt>
                <c:pt idx="182">
                  <c:v>-19035.285710573196</c:v>
                </c:pt>
                <c:pt idx="183">
                  <c:v>-17962.395881891251</c:v>
                </c:pt>
                <c:pt idx="184">
                  <c:v>-16901.147883176804</c:v>
                </c:pt>
                <c:pt idx="185">
                  <c:v>-15781.092148065567</c:v>
                </c:pt>
                <c:pt idx="186">
                  <c:v>-14674.788375139236</c:v>
                </c:pt>
                <c:pt idx="187">
                  <c:v>-13508.805395364761</c:v>
                </c:pt>
                <c:pt idx="188">
                  <c:v>-12319.985218286514</c:v>
                </c:pt>
                <c:pt idx="189">
                  <c:v>-11148.103528738022</c:v>
                </c:pt>
                <c:pt idx="190">
                  <c:v>-9915.3906466960907</c:v>
                </c:pt>
                <c:pt idx="191">
                  <c:v>-8701.7275655269623</c:v>
                </c:pt>
                <c:pt idx="192">
                  <c:v>-7426.5812938213348</c:v>
                </c:pt>
                <c:pt idx="193">
                  <c:v>-6130.457955121994</c:v>
                </c:pt>
                <c:pt idx="194">
                  <c:v>-4899.3288447856903</c:v>
                </c:pt>
                <c:pt idx="195">
                  <c:v>-3563.7829654216766</c:v>
                </c:pt>
                <c:pt idx="196">
                  <c:v>-2252.5221245288849</c:v>
                </c:pt>
                <c:pt idx="197">
                  <c:v>-878.56191277503967</c:v>
                </c:pt>
                <c:pt idx="198">
                  <c:v>469.03002858161926</c:v>
                </c:pt>
                <c:pt idx="199">
                  <c:v>1879.6380684375763</c:v>
                </c:pt>
                <c:pt idx="200">
                  <c:v>3308.1652481555939</c:v>
                </c:pt>
                <c:pt idx="201">
                  <c:v>4707.2104108333588</c:v>
                </c:pt>
                <c:pt idx="202">
                  <c:v>6169.5547845363617</c:v>
                </c:pt>
                <c:pt idx="203">
                  <c:v>7600.375435590744</c:v>
                </c:pt>
                <c:pt idx="204">
                  <c:v>9094.5498440265656</c:v>
                </c:pt>
                <c:pt idx="205">
                  <c:v>10604.110442399979</c:v>
                </c:pt>
                <c:pt idx="206">
                  <c:v>11980.354133844376</c:v>
                </c:pt>
                <c:pt idx="207">
                  <c:v>13517.675979375839</c:v>
                </c:pt>
                <c:pt idx="208">
                  <c:v>15018.518673181534</c:v>
                </c:pt>
                <c:pt idx="209">
                  <c:v>16582.373090982437</c:v>
                </c:pt>
                <c:pt idx="210">
                  <c:v>18107.793695688248</c:v>
                </c:pt>
                <c:pt idx="211">
                  <c:v>19695.887778997421</c:v>
                </c:pt>
                <c:pt idx="212">
                  <c:v>21295.393481969833</c:v>
                </c:pt>
                <c:pt idx="213">
                  <c:v>22853.577653646469</c:v>
                </c:pt>
                <c:pt idx="214">
                  <c:v>24473.698470830917</c:v>
                </c:pt>
                <c:pt idx="215">
                  <c:v>26050.62721323967</c:v>
                </c:pt>
                <c:pt idx="216">
                  <c:v>27688.849582433701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D51-40A7-AE74-AC0C4824C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&quot;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ax val="200000"/>
          <c:min val="-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TCSI!$E$1</c:f>
              <c:strCache>
                <c:ptCount val="1"/>
                <c:pt idx="0">
                  <c:v>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TCSI!$E$2:$E$219</c:f>
              <c:numCache>
                <c:formatCode>0_);[Red]\(0\)</c:formatCode>
                <c:ptCount val="218"/>
                <c:pt idx="0">
                  <c:v>588.98337502532581</c:v>
                </c:pt>
                <c:pt idx="1">
                  <c:v>7225.4655458402231</c:v>
                </c:pt>
                <c:pt idx="2">
                  <c:v>14702.969673403668</c:v>
                </c:pt>
                <c:pt idx="3">
                  <c:v>26366.176148156963</c:v>
                </c:pt>
                <c:pt idx="4">
                  <c:v>30760.891800879039</c:v>
                </c:pt>
                <c:pt idx="5">
                  <c:v>24135.461905402834</c:v>
                </c:pt>
                <c:pt idx="6">
                  <c:v>9035.5089355065847</c:v>
                </c:pt>
                <c:pt idx="7">
                  <c:v>-11512.115043864824</c:v>
                </c:pt>
                <c:pt idx="8">
                  <c:v>-29942.575873501661</c:v>
                </c:pt>
                <c:pt idx="9">
                  <c:v>-31807.738034068618</c:v>
                </c:pt>
                <c:pt idx="10">
                  <c:v>-19849.338384994844</c:v>
                </c:pt>
                <c:pt idx="11">
                  <c:v>-8556.4728300846164</c:v>
                </c:pt>
                <c:pt idx="12">
                  <c:v>588.98337502532581</c:v>
                </c:pt>
                <c:pt idx="13">
                  <c:v>7225.4655458402231</c:v>
                </c:pt>
                <c:pt idx="14">
                  <c:v>14702.969673403668</c:v>
                </c:pt>
                <c:pt idx="15">
                  <c:v>26366.176148156963</c:v>
                </c:pt>
                <c:pt idx="16">
                  <c:v>30760.891800879039</c:v>
                </c:pt>
                <c:pt idx="17">
                  <c:v>24135.461905402834</c:v>
                </c:pt>
                <c:pt idx="18">
                  <c:v>9035.5089355065847</c:v>
                </c:pt>
                <c:pt idx="19">
                  <c:v>-11512.115043864824</c:v>
                </c:pt>
                <c:pt idx="20">
                  <c:v>-29942.575873501661</c:v>
                </c:pt>
                <c:pt idx="21">
                  <c:v>-31807.738034068618</c:v>
                </c:pt>
                <c:pt idx="22">
                  <c:v>-19849.338384994844</c:v>
                </c:pt>
                <c:pt idx="23">
                  <c:v>-8556.4728300846164</c:v>
                </c:pt>
                <c:pt idx="24">
                  <c:v>588.98337502532581</c:v>
                </c:pt>
                <c:pt idx="25">
                  <c:v>7225.4655458402231</c:v>
                </c:pt>
                <c:pt idx="26">
                  <c:v>14702.969673403668</c:v>
                </c:pt>
                <c:pt idx="27">
                  <c:v>26366.176148156963</c:v>
                </c:pt>
                <c:pt idx="28">
                  <c:v>30760.891800879039</c:v>
                </c:pt>
                <c:pt idx="29">
                  <c:v>24135.461905402834</c:v>
                </c:pt>
                <c:pt idx="30">
                  <c:v>9035.5089355065847</c:v>
                </c:pt>
                <c:pt idx="31">
                  <c:v>-11512.115043864824</c:v>
                </c:pt>
                <c:pt idx="32">
                  <c:v>-29942.575873501661</c:v>
                </c:pt>
                <c:pt idx="33">
                  <c:v>-31807.738034068618</c:v>
                </c:pt>
                <c:pt idx="34">
                  <c:v>-19849.338384994844</c:v>
                </c:pt>
                <c:pt idx="35">
                  <c:v>-8556.4728300846164</c:v>
                </c:pt>
                <c:pt idx="36">
                  <c:v>588.98337502532581</c:v>
                </c:pt>
                <c:pt idx="37">
                  <c:v>7225.4655458402231</c:v>
                </c:pt>
                <c:pt idx="38">
                  <c:v>14702.969673403668</c:v>
                </c:pt>
                <c:pt idx="39">
                  <c:v>26366.176148156963</c:v>
                </c:pt>
                <c:pt idx="40">
                  <c:v>30760.891800879039</c:v>
                </c:pt>
                <c:pt idx="41">
                  <c:v>24135.461905402834</c:v>
                </c:pt>
                <c:pt idx="42">
                  <c:v>9035.5089355065847</c:v>
                </c:pt>
                <c:pt idx="43">
                  <c:v>-11512.115043864824</c:v>
                </c:pt>
                <c:pt idx="44">
                  <c:v>-29942.575873501661</c:v>
                </c:pt>
                <c:pt idx="45">
                  <c:v>-31807.738034068618</c:v>
                </c:pt>
                <c:pt idx="46">
                  <c:v>-19849.338384994844</c:v>
                </c:pt>
                <c:pt idx="47">
                  <c:v>-8556.4728300846164</c:v>
                </c:pt>
                <c:pt idx="48">
                  <c:v>588.98337502532581</c:v>
                </c:pt>
                <c:pt idx="49">
                  <c:v>7225.4655458402231</c:v>
                </c:pt>
                <c:pt idx="50">
                  <c:v>14702.969673403668</c:v>
                </c:pt>
                <c:pt idx="51">
                  <c:v>26366.176148156963</c:v>
                </c:pt>
                <c:pt idx="52">
                  <c:v>30760.891800879039</c:v>
                </c:pt>
                <c:pt idx="53">
                  <c:v>24135.461905402834</c:v>
                </c:pt>
                <c:pt idx="54">
                  <c:v>9035.5089355065847</c:v>
                </c:pt>
                <c:pt idx="55">
                  <c:v>-11512.115043864824</c:v>
                </c:pt>
                <c:pt idx="56">
                  <c:v>-29942.575873501661</c:v>
                </c:pt>
                <c:pt idx="57">
                  <c:v>-31807.738034068618</c:v>
                </c:pt>
                <c:pt idx="58">
                  <c:v>-19849.338384994844</c:v>
                </c:pt>
                <c:pt idx="59">
                  <c:v>-8556.4728300846164</c:v>
                </c:pt>
                <c:pt idx="60">
                  <c:v>588.98337502532581</c:v>
                </c:pt>
                <c:pt idx="61">
                  <c:v>7225.4655458402231</c:v>
                </c:pt>
                <c:pt idx="62">
                  <c:v>14702.969673403668</c:v>
                </c:pt>
                <c:pt idx="63">
                  <c:v>26366.176148156963</c:v>
                </c:pt>
                <c:pt idx="64">
                  <c:v>30760.891800879039</c:v>
                </c:pt>
                <c:pt idx="65">
                  <c:v>24135.461905402834</c:v>
                </c:pt>
                <c:pt idx="66">
                  <c:v>9035.5089355065847</c:v>
                </c:pt>
                <c:pt idx="67">
                  <c:v>-11512.115043864824</c:v>
                </c:pt>
                <c:pt idx="68">
                  <c:v>-29942.575873501661</c:v>
                </c:pt>
                <c:pt idx="69">
                  <c:v>-31807.738034068618</c:v>
                </c:pt>
                <c:pt idx="70">
                  <c:v>-19849.338384994844</c:v>
                </c:pt>
                <c:pt idx="71">
                  <c:v>-8556.4728300846164</c:v>
                </c:pt>
                <c:pt idx="72">
                  <c:v>588.98337502532581</c:v>
                </c:pt>
                <c:pt idx="73">
                  <c:v>7225.4655458402231</c:v>
                </c:pt>
                <c:pt idx="74">
                  <c:v>14702.969673403668</c:v>
                </c:pt>
                <c:pt idx="75">
                  <c:v>26366.176148156963</c:v>
                </c:pt>
                <c:pt idx="76">
                  <c:v>30760.891800879039</c:v>
                </c:pt>
                <c:pt idx="77">
                  <c:v>24135.461905402834</c:v>
                </c:pt>
                <c:pt idx="78">
                  <c:v>9035.5089355065847</c:v>
                </c:pt>
                <c:pt idx="79">
                  <c:v>-11512.115043864824</c:v>
                </c:pt>
                <c:pt idx="80">
                  <c:v>-29942.575873501661</c:v>
                </c:pt>
                <c:pt idx="81">
                  <c:v>-31807.738034068618</c:v>
                </c:pt>
                <c:pt idx="82">
                  <c:v>-19849.338384994844</c:v>
                </c:pt>
                <c:pt idx="83">
                  <c:v>-8556.4728300846164</c:v>
                </c:pt>
                <c:pt idx="84">
                  <c:v>588.98337502532581</c:v>
                </c:pt>
                <c:pt idx="85">
                  <c:v>7225.4655458402231</c:v>
                </c:pt>
                <c:pt idx="86">
                  <c:v>14702.969673403668</c:v>
                </c:pt>
                <c:pt idx="87">
                  <c:v>26366.176148156963</c:v>
                </c:pt>
                <c:pt idx="88">
                  <c:v>30760.891800879039</c:v>
                </c:pt>
                <c:pt idx="89">
                  <c:v>24135.461905402834</c:v>
                </c:pt>
                <c:pt idx="90">
                  <c:v>9035.5089355065847</c:v>
                </c:pt>
                <c:pt idx="91">
                  <c:v>-11512.115043864824</c:v>
                </c:pt>
                <c:pt idx="92">
                  <c:v>-29942.575873501661</c:v>
                </c:pt>
                <c:pt idx="93">
                  <c:v>-31807.738034068618</c:v>
                </c:pt>
                <c:pt idx="94">
                  <c:v>-19849.338384994844</c:v>
                </c:pt>
                <c:pt idx="95">
                  <c:v>-8556.4728300846164</c:v>
                </c:pt>
                <c:pt idx="96">
                  <c:v>588.98337502532581</c:v>
                </c:pt>
                <c:pt idx="97">
                  <c:v>7225.4655458402231</c:v>
                </c:pt>
                <c:pt idx="98">
                  <c:v>14702.969673403668</c:v>
                </c:pt>
                <c:pt idx="99">
                  <c:v>26366.176148156963</c:v>
                </c:pt>
                <c:pt idx="100">
                  <c:v>30760.891800879039</c:v>
                </c:pt>
                <c:pt idx="101">
                  <c:v>24135.461905402834</c:v>
                </c:pt>
                <c:pt idx="102">
                  <c:v>9035.5089355065847</c:v>
                </c:pt>
                <c:pt idx="103">
                  <c:v>-11512.115043864824</c:v>
                </c:pt>
                <c:pt idx="104">
                  <c:v>-29942.575873501661</c:v>
                </c:pt>
                <c:pt idx="105">
                  <c:v>-31807.738034068618</c:v>
                </c:pt>
                <c:pt idx="106">
                  <c:v>-19849.338384994844</c:v>
                </c:pt>
                <c:pt idx="107">
                  <c:v>-8556.4728300846164</c:v>
                </c:pt>
                <c:pt idx="108">
                  <c:v>588.98337502532581</c:v>
                </c:pt>
                <c:pt idx="109">
                  <c:v>7225.4655458402231</c:v>
                </c:pt>
                <c:pt idx="110">
                  <c:v>14702.969673403668</c:v>
                </c:pt>
                <c:pt idx="111">
                  <c:v>26366.176148156963</c:v>
                </c:pt>
                <c:pt idx="112">
                  <c:v>30760.891800879039</c:v>
                </c:pt>
                <c:pt idx="113">
                  <c:v>24135.461905402834</c:v>
                </c:pt>
                <c:pt idx="114">
                  <c:v>9035.5089355065847</c:v>
                </c:pt>
                <c:pt idx="115">
                  <c:v>-11512.115043864824</c:v>
                </c:pt>
                <c:pt idx="116">
                  <c:v>-29942.575873501661</c:v>
                </c:pt>
                <c:pt idx="117">
                  <c:v>-31807.738034068618</c:v>
                </c:pt>
                <c:pt idx="118">
                  <c:v>-19849.338384994844</c:v>
                </c:pt>
                <c:pt idx="119">
                  <c:v>-8556.4728300846164</c:v>
                </c:pt>
                <c:pt idx="120">
                  <c:v>588.98337502532581</c:v>
                </c:pt>
                <c:pt idx="121">
                  <c:v>7225.4655458402231</c:v>
                </c:pt>
                <c:pt idx="122">
                  <c:v>14702.969673403668</c:v>
                </c:pt>
                <c:pt idx="123">
                  <c:v>26366.176148156963</c:v>
                </c:pt>
                <c:pt idx="124">
                  <c:v>30760.891800879039</c:v>
                </c:pt>
                <c:pt idx="125">
                  <c:v>24135.461905402834</c:v>
                </c:pt>
                <c:pt idx="126">
                  <c:v>9035.5089355065847</c:v>
                </c:pt>
                <c:pt idx="127">
                  <c:v>-11512.115043864824</c:v>
                </c:pt>
                <c:pt idx="128">
                  <c:v>-29942.575873501661</c:v>
                </c:pt>
                <c:pt idx="129">
                  <c:v>-31807.738034068618</c:v>
                </c:pt>
                <c:pt idx="130">
                  <c:v>-19849.338384994844</c:v>
                </c:pt>
                <c:pt idx="131">
                  <c:v>-8556.4728300846164</c:v>
                </c:pt>
                <c:pt idx="132">
                  <c:v>588.98337502532581</c:v>
                </c:pt>
                <c:pt idx="133">
                  <c:v>7225.4655458402231</c:v>
                </c:pt>
                <c:pt idx="134">
                  <c:v>14702.969673403668</c:v>
                </c:pt>
                <c:pt idx="135">
                  <c:v>26366.176148156963</c:v>
                </c:pt>
                <c:pt idx="136">
                  <c:v>30760.891800879039</c:v>
                </c:pt>
                <c:pt idx="137">
                  <c:v>24135.461905402834</c:v>
                </c:pt>
                <c:pt idx="138">
                  <c:v>9035.5089355065847</c:v>
                </c:pt>
                <c:pt idx="139">
                  <c:v>-11512.115043864824</c:v>
                </c:pt>
                <c:pt idx="140">
                  <c:v>-29942.575873501661</c:v>
                </c:pt>
                <c:pt idx="141">
                  <c:v>-31807.738034068618</c:v>
                </c:pt>
                <c:pt idx="142">
                  <c:v>-19849.338384994844</c:v>
                </c:pt>
                <c:pt idx="143">
                  <c:v>-8556.4728300846164</c:v>
                </c:pt>
                <c:pt idx="144">
                  <c:v>588.98337502532581</c:v>
                </c:pt>
                <c:pt idx="145">
                  <c:v>7225.4655458402231</c:v>
                </c:pt>
                <c:pt idx="146">
                  <c:v>14702.969673403668</c:v>
                </c:pt>
                <c:pt idx="147">
                  <c:v>26366.176148156963</c:v>
                </c:pt>
                <c:pt idx="148">
                  <c:v>30760.891800879039</c:v>
                </c:pt>
                <c:pt idx="149">
                  <c:v>24135.461905402834</c:v>
                </c:pt>
                <c:pt idx="150">
                  <c:v>9035.5089355065847</c:v>
                </c:pt>
                <c:pt idx="151">
                  <c:v>-11512.115043864824</c:v>
                </c:pt>
                <c:pt idx="152">
                  <c:v>-29942.575873501661</c:v>
                </c:pt>
                <c:pt idx="153">
                  <c:v>-31807.738034068618</c:v>
                </c:pt>
                <c:pt idx="154">
                  <c:v>-19849.338384994844</c:v>
                </c:pt>
                <c:pt idx="155">
                  <c:v>-8556.4728300846164</c:v>
                </c:pt>
                <c:pt idx="156">
                  <c:v>588.98337502532581</c:v>
                </c:pt>
                <c:pt idx="157">
                  <c:v>7225.4655458402231</c:v>
                </c:pt>
                <c:pt idx="158">
                  <c:v>14702.969673403668</c:v>
                </c:pt>
                <c:pt idx="159">
                  <c:v>26366.176148156963</c:v>
                </c:pt>
                <c:pt idx="160">
                  <c:v>30760.891800879039</c:v>
                </c:pt>
                <c:pt idx="161">
                  <c:v>24135.461905402834</c:v>
                </c:pt>
                <c:pt idx="162">
                  <c:v>9035.5089355065847</c:v>
                </c:pt>
                <c:pt idx="163">
                  <c:v>-11512.115043864824</c:v>
                </c:pt>
                <c:pt idx="164">
                  <c:v>-29942.575873501661</c:v>
                </c:pt>
                <c:pt idx="165">
                  <c:v>-31807.738034068618</c:v>
                </c:pt>
                <c:pt idx="166">
                  <c:v>-19849.338384994844</c:v>
                </c:pt>
                <c:pt idx="167">
                  <c:v>-8556.4728300846164</c:v>
                </c:pt>
                <c:pt idx="168">
                  <c:v>588.98337502532581</c:v>
                </c:pt>
                <c:pt idx="169">
                  <c:v>7225.4655458402231</c:v>
                </c:pt>
                <c:pt idx="170">
                  <c:v>14702.969673403668</c:v>
                </c:pt>
                <c:pt idx="171">
                  <c:v>26366.176148156963</c:v>
                </c:pt>
                <c:pt idx="172">
                  <c:v>30760.891800879039</c:v>
                </c:pt>
                <c:pt idx="173">
                  <c:v>24135.461905402834</c:v>
                </c:pt>
                <c:pt idx="174">
                  <c:v>9035.5089355065847</c:v>
                </c:pt>
                <c:pt idx="175">
                  <c:v>-11512.115043864824</c:v>
                </c:pt>
                <c:pt idx="176">
                  <c:v>-29942.575873501661</c:v>
                </c:pt>
                <c:pt idx="177">
                  <c:v>-31807.738034068618</c:v>
                </c:pt>
                <c:pt idx="178">
                  <c:v>-19849.338384994844</c:v>
                </c:pt>
                <c:pt idx="179">
                  <c:v>-8556.4728300846164</c:v>
                </c:pt>
                <c:pt idx="180">
                  <c:v>588.98337502532581</c:v>
                </c:pt>
                <c:pt idx="181">
                  <c:v>7225.4655458402231</c:v>
                </c:pt>
                <c:pt idx="182">
                  <c:v>14702.969673403668</c:v>
                </c:pt>
                <c:pt idx="183">
                  <c:v>26366.176148156963</c:v>
                </c:pt>
                <c:pt idx="184">
                  <c:v>30760.891800879039</c:v>
                </c:pt>
                <c:pt idx="185">
                  <c:v>24135.461905402834</c:v>
                </c:pt>
                <c:pt idx="186">
                  <c:v>9035.5089355065847</c:v>
                </c:pt>
                <c:pt idx="187">
                  <c:v>-11512.115043864824</c:v>
                </c:pt>
                <c:pt idx="188">
                  <c:v>-29942.575873501661</c:v>
                </c:pt>
                <c:pt idx="189">
                  <c:v>-31807.738034068618</c:v>
                </c:pt>
                <c:pt idx="190">
                  <c:v>-19849.338384994844</c:v>
                </c:pt>
                <c:pt idx="191">
                  <c:v>-8556.4728300846164</c:v>
                </c:pt>
                <c:pt idx="192">
                  <c:v>588.98337502532581</c:v>
                </c:pt>
                <c:pt idx="193">
                  <c:v>7225.4655458402231</c:v>
                </c:pt>
                <c:pt idx="194">
                  <c:v>14702.969673403668</c:v>
                </c:pt>
                <c:pt idx="195">
                  <c:v>26366.176148156963</c:v>
                </c:pt>
                <c:pt idx="196">
                  <c:v>30760.891800879039</c:v>
                </c:pt>
                <c:pt idx="197">
                  <c:v>24135.461905402834</c:v>
                </c:pt>
                <c:pt idx="198">
                  <c:v>9035.5089355065847</c:v>
                </c:pt>
                <c:pt idx="199">
                  <c:v>-11512.115043864824</c:v>
                </c:pt>
                <c:pt idx="200">
                  <c:v>-29942.575873501661</c:v>
                </c:pt>
                <c:pt idx="201">
                  <c:v>-31807.738034068618</c:v>
                </c:pt>
                <c:pt idx="202">
                  <c:v>-19849.338384994844</c:v>
                </c:pt>
                <c:pt idx="203">
                  <c:v>-8556.4728300846164</c:v>
                </c:pt>
                <c:pt idx="204">
                  <c:v>588.98337502532581</c:v>
                </c:pt>
                <c:pt idx="205">
                  <c:v>7225.4655458402231</c:v>
                </c:pt>
                <c:pt idx="206">
                  <c:v>14702.969673403668</c:v>
                </c:pt>
                <c:pt idx="207">
                  <c:v>26366.176148156963</c:v>
                </c:pt>
                <c:pt idx="208">
                  <c:v>30760.891800879039</c:v>
                </c:pt>
                <c:pt idx="209">
                  <c:v>24135.461905402834</c:v>
                </c:pt>
                <c:pt idx="210">
                  <c:v>9035.5089355065847</c:v>
                </c:pt>
                <c:pt idx="211">
                  <c:v>-11512.115043864824</c:v>
                </c:pt>
                <c:pt idx="212">
                  <c:v>-29942.575873501661</c:v>
                </c:pt>
                <c:pt idx="213">
                  <c:v>-31807.738034068618</c:v>
                </c:pt>
                <c:pt idx="214">
                  <c:v>-19849.338384994844</c:v>
                </c:pt>
                <c:pt idx="215">
                  <c:v>-8556.4728300846164</c:v>
                </c:pt>
                <c:pt idx="216">
                  <c:v>588.98337502532581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50-426B-B71C-1CAFBB6E71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&quot;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ax val="200000"/>
          <c:min val="-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TCSI!$G$1</c:f>
              <c:strCache>
                <c:ptCount val="1"/>
                <c:pt idx="0">
                  <c:v>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TCSI!$G$2:$G$219</c:f>
              <c:numCache>
                <c:formatCode>0_);[Red]\(0\)</c:formatCode>
                <c:ptCount val="218"/>
                <c:pt idx="0">
                  <c:v>-1938.4970964852316</c:v>
                </c:pt>
                <c:pt idx="1">
                  <c:v>-7081.7855697536152</c:v>
                </c:pt>
                <c:pt idx="2">
                  <c:v>9092.4584536362818</c:v>
                </c:pt>
                <c:pt idx="3">
                  <c:v>-4626.1159582222499</c:v>
                </c:pt>
                <c:pt idx="4">
                  <c:v>-6047.5440942945534</c:v>
                </c:pt>
                <c:pt idx="5">
                  <c:v>8884.2481723570854</c:v>
                </c:pt>
                <c:pt idx="6">
                  <c:v>6490.4225958250918</c:v>
                </c:pt>
                <c:pt idx="7">
                  <c:v>-2644.5808555027584</c:v>
                </c:pt>
                <c:pt idx="8">
                  <c:v>770.52187688091715</c:v>
                </c:pt>
                <c:pt idx="9">
                  <c:v>1419.6824709797243</c:v>
                </c:pt>
                <c:pt idx="10">
                  <c:v>-2562.3459558469208</c:v>
                </c:pt>
                <c:pt idx="11">
                  <c:v>-3056.5776194510731</c:v>
                </c:pt>
                <c:pt idx="12">
                  <c:v>3756.6864935049148</c:v>
                </c:pt>
                <c:pt idx="13">
                  <c:v>12882.200604451198</c:v>
                </c:pt>
                <c:pt idx="14">
                  <c:v>5707.2860959430582</c:v>
                </c:pt>
                <c:pt idx="15">
                  <c:v>7620.6673267570832</c:v>
                </c:pt>
                <c:pt idx="16">
                  <c:v>-1210.4625603406616</c:v>
                </c:pt>
                <c:pt idx="17">
                  <c:v>3399.6482636519781</c:v>
                </c:pt>
                <c:pt idx="18">
                  <c:v>10578.241223148383</c:v>
                </c:pt>
                <c:pt idx="19">
                  <c:v>12239.915234680417</c:v>
                </c:pt>
                <c:pt idx="20">
                  <c:v>-7538.7312815534024</c:v>
                </c:pt>
                <c:pt idx="21">
                  <c:v>6006.3243015364687</c:v>
                </c:pt>
                <c:pt idx="22">
                  <c:v>-6990.4422606475437</c:v>
                </c:pt>
                <c:pt idx="23">
                  <c:v>-2517.4347650775353</c:v>
                </c:pt>
                <c:pt idx="24">
                  <c:v>-1255.4985381205277</c:v>
                </c:pt>
                <c:pt idx="25">
                  <c:v>11807.22097758503</c:v>
                </c:pt>
                <c:pt idx="26">
                  <c:v>2432.4125741756575</c:v>
                </c:pt>
                <c:pt idx="27">
                  <c:v>8561.0564210031007</c:v>
                </c:pt>
                <c:pt idx="28">
                  <c:v>1011.6504514366856</c:v>
                </c:pt>
                <c:pt idx="29">
                  <c:v>5648.4735274459817</c:v>
                </c:pt>
                <c:pt idx="30">
                  <c:v>7877.918178780229</c:v>
                </c:pt>
                <c:pt idx="31">
                  <c:v>-11550.549632803728</c:v>
                </c:pt>
                <c:pt idx="32">
                  <c:v>-4326.2900854886466</c:v>
                </c:pt>
                <c:pt idx="33">
                  <c:v>-5404.9882155895757</c:v>
                </c:pt>
                <c:pt idx="34">
                  <c:v>-4078.3723898667713</c:v>
                </c:pt>
                <c:pt idx="35">
                  <c:v>2630.6178511768958</c:v>
                </c:pt>
                <c:pt idx="36">
                  <c:v>4261.7288494595496</c:v>
                </c:pt>
                <c:pt idx="37">
                  <c:v>-22251.540045094214</c:v>
                </c:pt>
                <c:pt idx="38">
                  <c:v>-4809.7420946872999</c:v>
                </c:pt>
                <c:pt idx="39">
                  <c:v>3507.407082750362</c:v>
                </c:pt>
                <c:pt idx="40">
                  <c:v>-8722.9610503530639</c:v>
                </c:pt>
                <c:pt idx="41">
                  <c:v>-3537.189177761562</c:v>
                </c:pt>
                <c:pt idx="42">
                  <c:v>-4402.561059803229</c:v>
                </c:pt>
                <c:pt idx="43">
                  <c:v>10249.644729205511</c:v>
                </c:pt>
                <c:pt idx="44">
                  <c:v>689.53256806172772</c:v>
                </c:pt>
                <c:pt idx="45">
                  <c:v>-5243.5012432307612</c:v>
                </c:pt>
                <c:pt idx="46">
                  <c:v>-439.26582669046098</c:v>
                </c:pt>
                <c:pt idx="47">
                  <c:v>-5734.4438873019362</c:v>
                </c:pt>
                <c:pt idx="48">
                  <c:v>1415.2887326165624</c:v>
                </c:pt>
                <c:pt idx="49">
                  <c:v>2944.1695094541237</c:v>
                </c:pt>
                <c:pt idx="50">
                  <c:v>-6985.8342776251484</c:v>
                </c:pt>
                <c:pt idx="51">
                  <c:v>-6258.6390068619376</c:v>
                </c:pt>
                <c:pt idx="52">
                  <c:v>7888.2118020655798</c:v>
                </c:pt>
                <c:pt idx="53">
                  <c:v>5324.1047690280202</c:v>
                </c:pt>
                <c:pt idx="54">
                  <c:v>11802.852616634509</c:v>
                </c:pt>
                <c:pt idx="55">
                  <c:v>-13514.067831516795</c:v>
                </c:pt>
                <c:pt idx="56">
                  <c:v>-493.91206304369666</c:v>
                </c:pt>
                <c:pt idx="57">
                  <c:v>-2810.0852430918062</c:v>
                </c:pt>
                <c:pt idx="58">
                  <c:v>-4424.7238993178953</c:v>
                </c:pt>
                <c:pt idx="59">
                  <c:v>9051.5800713508779</c:v>
                </c:pt>
                <c:pt idx="60">
                  <c:v>-6524.439469387049</c:v>
                </c:pt>
                <c:pt idx="61">
                  <c:v>-6374.5740007967088</c:v>
                </c:pt>
                <c:pt idx="62">
                  <c:v>21.986703433131556</c:v>
                </c:pt>
                <c:pt idx="63">
                  <c:v>-15304.5138599694</c:v>
                </c:pt>
                <c:pt idx="64">
                  <c:v>1048.6066578546829</c:v>
                </c:pt>
                <c:pt idx="65">
                  <c:v>-936.53153654856237</c:v>
                </c:pt>
                <c:pt idx="66">
                  <c:v>2636.100725745011</c:v>
                </c:pt>
                <c:pt idx="67">
                  <c:v>-2926.379520423438</c:v>
                </c:pt>
                <c:pt idx="68">
                  <c:v>-4356.1070650153642</c:v>
                </c:pt>
                <c:pt idx="69">
                  <c:v>5793.3250659148944</c:v>
                </c:pt>
                <c:pt idx="70">
                  <c:v>11415.545730031885</c:v>
                </c:pt>
                <c:pt idx="71">
                  <c:v>338.622702892277</c:v>
                </c:pt>
                <c:pt idx="72">
                  <c:v>3339.5423922133205</c:v>
                </c:pt>
                <c:pt idx="73">
                  <c:v>-2277.2745494162637</c:v>
                </c:pt>
                <c:pt idx="74">
                  <c:v>-1998.442545609877</c:v>
                </c:pt>
                <c:pt idx="75">
                  <c:v>211.95381588720574</c:v>
                </c:pt>
                <c:pt idx="76">
                  <c:v>865.61223655570416</c:v>
                </c:pt>
                <c:pt idx="77">
                  <c:v>-12114.440966999189</c:v>
                </c:pt>
                <c:pt idx="78">
                  <c:v>-1769.3839528373173</c:v>
                </c:pt>
                <c:pt idx="79">
                  <c:v>-753.60559371678517</c:v>
                </c:pt>
                <c:pt idx="80">
                  <c:v>15590.157452387934</c:v>
                </c:pt>
                <c:pt idx="81">
                  <c:v>-11314.008866310842</c:v>
                </c:pt>
                <c:pt idx="82">
                  <c:v>-13142.241775991937</c:v>
                </c:pt>
                <c:pt idx="83">
                  <c:v>2643.7910884398311</c:v>
                </c:pt>
                <c:pt idx="84">
                  <c:v>-3721.0881113700725</c:v>
                </c:pt>
                <c:pt idx="85">
                  <c:v>1416.7307119821226</c:v>
                </c:pt>
                <c:pt idx="86">
                  <c:v>-827.6796491733063</c:v>
                </c:pt>
                <c:pt idx="87">
                  <c:v>10453.403192210697</c:v>
                </c:pt>
                <c:pt idx="88">
                  <c:v>4667.9155574108545</c:v>
                </c:pt>
                <c:pt idx="89">
                  <c:v>562.14562298670501</c:v>
                </c:pt>
                <c:pt idx="90">
                  <c:v>-4121.4464034273051</c:v>
                </c:pt>
                <c:pt idx="91">
                  <c:v>4095.3861959536557</c:v>
                </c:pt>
                <c:pt idx="92">
                  <c:v>-5302.3255987597213</c:v>
                </c:pt>
                <c:pt idx="93">
                  <c:v>3018.0678348158094</c:v>
                </c:pt>
                <c:pt idx="94">
                  <c:v>-7856.4442220059291</c:v>
                </c:pt>
                <c:pt idx="95">
                  <c:v>-10779.288501310042</c:v>
                </c:pt>
                <c:pt idx="96">
                  <c:v>130.54560268930231</c:v>
                </c:pt>
                <c:pt idx="97">
                  <c:v>3750.1138173096297</c:v>
                </c:pt>
                <c:pt idx="98">
                  <c:v>-6016.7491729159756</c:v>
                </c:pt>
                <c:pt idx="99">
                  <c:v>13411.331151148441</c:v>
                </c:pt>
                <c:pt idx="100">
                  <c:v>9293.6129224824435</c:v>
                </c:pt>
                <c:pt idx="101">
                  <c:v>-4621.9608141512399</c:v>
                </c:pt>
                <c:pt idx="102">
                  <c:v>4971.2907198364956</c:v>
                </c:pt>
                <c:pt idx="103">
                  <c:v>-13449.750155062418</c:v>
                </c:pt>
                <c:pt idx="104">
                  <c:v>-3166.0552233017524</c:v>
                </c:pt>
                <c:pt idx="105">
                  <c:v>1117.3869975229741</c:v>
                </c:pt>
                <c:pt idx="106">
                  <c:v>-4780.1605280656586</c:v>
                </c:pt>
                <c:pt idx="107">
                  <c:v>-17076.535611003794</c:v>
                </c:pt>
                <c:pt idx="108">
                  <c:v>-10624.373035634295</c:v>
                </c:pt>
                <c:pt idx="109">
                  <c:v>-4409.9613485929276</c:v>
                </c:pt>
                <c:pt idx="110">
                  <c:v>-5415.5316499260744</c:v>
                </c:pt>
                <c:pt idx="111">
                  <c:v>8406.6752791992058</c:v>
                </c:pt>
                <c:pt idx="112">
                  <c:v>-3125.1565881864904</c:v>
                </c:pt>
                <c:pt idx="113">
                  <c:v>-12618.242754621439</c:v>
                </c:pt>
                <c:pt idx="114">
                  <c:v>-922.87434673432756</c:v>
                </c:pt>
                <c:pt idx="115">
                  <c:v>-590.98196158347957</c:v>
                </c:pt>
                <c:pt idx="116">
                  <c:v>886.18125868158927</c:v>
                </c:pt>
                <c:pt idx="117">
                  <c:v>5452.475970107208</c:v>
                </c:pt>
                <c:pt idx="118">
                  <c:v>4341.6708641173</c:v>
                </c:pt>
                <c:pt idx="119">
                  <c:v>-538.08337562217753</c:v>
                </c:pt>
                <c:pt idx="120">
                  <c:v>3622.39338244275</c:v>
                </c:pt>
                <c:pt idx="121">
                  <c:v>3586.6235348762511</c:v>
                </c:pt>
                <c:pt idx="122">
                  <c:v>726.60059313201782</c:v>
                </c:pt>
                <c:pt idx="123">
                  <c:v>-2895.6069074057982</c:v>
                </c:pt>
                <c:pt idx="124">
                  <c:v>9038.4437053617821</c:v>
                </c:pt>
                <c:pt idx="125">
                  <c:v>2701.3048062690309</c:v>
                </c:pt>
                <c:pt idx="126">
                  <c:v>67.923976144924197</c:v>
                </c:pt>
                <c:pt idx="127">
                  <c:v>-278.05266346445705</c:v>
                </c:pt>
                <c:pt idx="128">
                  <c:v>-10945.419011441225</c:v>
                </c:pt>
                <c:pt idx="129">
                  <c:v>646.63596411609421</c:v>
                </c:pt>
                <c:pt idx="130">
                  <c:v>6726.8453364502957</c:v>
                </c:pt>
                <c:pt idx="131">
                  <c:v>9689.6895773113465</c:v>
                </c:pt>
                <c:pt idx="132">
                  <c:v>-436.22179585768555</c:v>
                </c:pt>
                <c:pt idx="133">
                  <c:v>5236.8215013494364</c:v>
                </c:pt>
                <c:pt idx="134">
                  <c:v>2352.5542184496235</c:v>
                </c:pt>
                <c:pt idx="135">
                  <c:v>3875.8228379368238</c:v>
                </c:pt>
                <c:pt idx="136">
                  <c:v>-8794.5675324026561</c:v>
                </c:pt>
                <c:pt idx="137">
                  <c:v>-1010.541954961174</c:v>
                </c:pt>
                <c:pt idx="138">
                  <c:v>3162.9790904002061</c:v>
                </c:pt>
                <c:pt idx="139">
                  <c:v>-6123.3999085762398</c:v>
                </c:pt>
                <c:pt idx="140">
                  <c:v>-5681.7653772489757</c:v>
                </c:pt>
                <c:pt idx="141">
                  <c:v>11219.083483824114</c:v>
                </c:pt>
                <c:pt idx="142">
                  <c:v>6660.0839515149964</c:v>
                </c:pt>
                <c:pt idx="143">
                  <c:v>1626.1448471749377</c:v>
                </c:pt>
                <c:pt idx="144">
                  <c:v>-2152.2779199863239</c:v>
                </c:pt>
                <c:pt idx="145">
                  <c:v>-8996.6506187994692</c:v>
                </c:pt>
                <c:pt idx="146">
                  <c:v>-270.29768635234223</c:v>
                </c:pt>
                <c:pt idx="147">
                  <c:v>-2488.622122939521</c:v>
                </c:pt>
                <c:pt idx="148">
                  <c:v>-3206.6565667108744</c:v>
                </c:pt>
                <c:pt idx="149">
                  <c:v>-3449.4442661119706</c:v>
                </c:pt>
                <c:pt idx="150">
                  <c:v>10101.93485040308</c:v>
                </c:pt>
                <c:pt idx="151">
                  <c:v>3452.6231142819861</c:v>
                </c:pt>
                <c:pt idx="152">
                  <c:v>-3121.4481698832974</c:v>
                </c:pt>
                <c:pt idx="153">
                  <c:v>-1578.0932309334387</c:v>
                </c:pt>
                <c:pt idx="154">
                  <c:v>5703.3799988035526</c:v>
                </c:pt>
                <c:pt idx="155">
                  <c:v>1083.0177807137363</c:v>
                </c:pt>
                <c:pt idx="156">
                  <c:v>2038.7440936754317</c:v>
                </c:pt>
                <c:pt idx="157">
                  <c:v>772.38237033705502</c:v>
                </c:pt>
                <c:pt idx="158">
                  <c:v>9877.102099814334</c:v>
                </c:pt>
                <c:pt idx="159">
                  <c:v>6705.6548873095799</c:v>
                </c:pt>
                <c:pt idx="160">
                  <c:v>-4237.0596231511645</c:v>
                </c:pt>
                <c:pt idx="161">
                  <c:v>12379.282197684772</c:v>
                </c:pt>
                <c:pt idx="162">
                  <c:v>-18073.160972793663</c:v>
                </c:pt>
                <c:pt idx="163">
                  <c:v>5343.1650108942158</c:v>
                </c:pt>
                <c:pt idx="164">
                  <c:v>-6492.6249930592048</c:v>
                </c:pt>
                <c:pt idx="165">
                  <c:v>6283.3964859791549</c:v>
                </c:pt>
                <c:pt idx="166">
                  <c:v>-2079.3218294066724</c:v>
                </c:pt>
                <c:pt idx="167">
                  <c:v>2082.223307688319</c:v>
                </c:pt>
                <c:pt idx="168">
                  <c:v>7700.4381827011248</c:v>
                </c:pt>
                <c:pt idx="169">
                  <c:v>-9799.4549588749178</c:v>
                </c:pt>
                <c:pt idx="170">
                  <c:v>5234.3275199301206</c:v>
                </c:pt>
                <c:pt idx="171">
                  <c:v>904.48242667447983</c:v>
                </c:pt>
                <c:pt idx="172">
                  <c:v>9982.3789884235957</c:v>
                </c:pt>
                <c:pt idx="173">
                  <c:v>156.38042683891467</c:v>
                </c:pt>
                <c:pt idx="174">
                  <c:v>4030.7604138624743</c:v>
                </c:pt>
                <c:pt idx="175">
                  <c:v>6781.2627737795665</c:v>
                </c:pt>
                <c:pt idx="176">
                  <c:v>-225.0179373049464</c:v>
                </c:pt>
                <c:pt idx="177">
                  <c:v>-8191.3017502240673</c:v>
                </c:pt>
                <c:pt idx="178">
                  <c:v>-4379.2088440431908</c:v>
                </c:pt>
                <c:pt idx="179">
                  <c:v>-5167.6369202514852</c:v>
                </c:pt>
                <c:pt idx="180">
                  <c:v>3972.3141981701183</c:v>
                </c:pt>
                <c:pt idx="181">
                  <c:v>12176.775778964879</c:v>
                </c:pt>
                <c:pt idx="182">
                  <c:v>-4625.1162291421442</c:v>
                </c:pt>
                <c:pt idx="183">
                  <c:v>6951.6870375600174</c:v>
                </c:pt>
                <c:pt idx="184">
                  <c:v>-4893.9442647146525</c:v>
                </c:pt>
                <c:pt idx="185">
                  <c:v>-5657.1122500827441</c:v>
                </c:pt>
                <c:pt idx="186">
                  <c:v>5979.7908246839506</c:v>
                </c:pt>
                <c:pt idx="187">
                  <c:v>-7082.1886288527403</c:v>
                </c:pt>
                <c:pt idx="188">
                  <c:v>19147.262294199318</c:v>
                </c:pt>
                <c:pt idx="189">
                  <c:v>-1500.5830228747561</c:v>
                </c:pt>
                <c:pt idx="190">
                  <c:v>2291.1844221514702</c:v>
                </c:pt>
                <c:pt idx="191">
                  <c:v>-5609.897886079716</c:v>
                </c:pt>
                <c:pt idx="192">
                  <c:v>-8575.9157974342361</c:v>
                </c:pt>
                <c:pt idx="193">
                  <c:v>-4506.3174556775457</c:v>
                </c:pt>
                <c:pt idx="194">
                  <c:v>-4340.6848522230912</c:v>
                </c:pt>
                <c:pt idx="195">
                  <c:v>8124.8013868554744</c:v>
                </c:pt>
                <c:pt idx="196">
                  <c:v>9678.9812740250836</c:v>
                </c:pt>
                <c:pt idx="197">
                  <c:v>8959.0550760653714</c:v>
                </c:pt>
                <c:pt idx="198">
                  <c:v>-6830.7076898921468</c:v>
                </c:pt>
                <c:pt idx="199">
                  <c:v>15116.443073672759</c:v>
                </c:pt>
                <c:pt idx="200">
                  <c:v>-3646.8688355548079</c:v>
                </c:pt>
                <c:pt idx="201">
                  <c:v>-2938.6792554127396</c:v>
                </c:pt>
                <c:pt idx="202">
                  <c:v>88.530987036061646</c:v>
                </c:pt>
                <c:pt idx="203">
                  <c:v>-2699.8641781602801</c:v>
                </c:pt>
                <c:pt idx="204">
                  <c:v>1382.2060184319712</c:v>
                </c:pt>
                <c:pt idx="205">
                  <c:v>4764.2657525083214</c:v>
                </c:pt>
                <c:pt idx="206">
                  <c:v>-2266.9984719007134</c:v>
                </c:pt>
                <c:pt idx="207">
                  <c:v>6750.3771190436464</c:v>
                </c:pt>
                <c:pt idx="208">
                  <c:v>11514.867778299613</c:v>
                </c:pt>
                <c:pt idx="209">
                  <c:v>-951.19449156884298</c:v>
                </c:pt>
                <c:pt idx="210">
                  <c:v>4009.1813917978657</c:v>
                </c:pt>
                <c:pt idx="211">
                  <c:v>-3991.2965844298305</c:v>
                </c:pt>
                <c:pt idx="212">
                  <c:v>-4534.2008338848918</c:v>
                </c:pt>
                <c:pt idx="213">
                  <c:v>-825.39880328253969</c:v>
                </c:pt>
                <c:pt idx="214">
                  <c:v>1477.7956683138359</c:v>
                </c:pt>
                <c:pt idx="215">
                  <c:v>3088.883144912777</c:v>
                </c:pt>
                <c:pt idx="216">
                  <c:v>3089.8831449127802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7D6-4870-B3F9-028D3A6C1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&quot;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ax val="200000"/>
          <c:min val="-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TCSI!$D$1</c:f>
              <c:strCache>
                <c:ptCount val="1"/>
                <c:pt idx="0">
                  <c:v>T+C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TCSI!$D$2:$D$219</c:f>
              <c:numCache>
                <c:formatCode>0_);[Red]\(0\)</c:formatCode>
                <c:ptCount val="218"/>
                <c:pt idx="0">
                  <c:v>239214.26650686067</c:v>
                </c:pt>
                <c:pt idx="1">
                  <c:v>243089.15459483955</c:v>
                </c:pt>
                <c:pt idx="2">
                  <c:v>246620.79815123911</c:v>
                </c:pt>
                <c:pt idx="3">
                  <c:v>250297.99132963567</c:v>
                </c:pt>
                <c:pt idx="4">
                  <c:v>253761.74974622932</c:v>
                </c:pt>
                <c:pt idx="5">
                  <c:v>257244.68618249305</c:v>
                </c:pt>
                <c:pt idx="6">
                  <c:v>260523.70753025101</c:v>
                </c:pt>
                <c:pt idx="7">
                  <c:v>263819.08871745539</c:v>
                </c:pt>
                <c:pt idx="8">
                  <c:v>267021.69505577284</c:v>
                </c:pt>
                <c:pt idx="9">
                  <c:v>270034.25559458963</c:v>
                </c:pt>
                <c:pt idx="10">
                  <c:v>273059.24795645813</c:v>
                </c:pt>
                <c:pt idx="11">
                  <c:v>275903.07087990339</c:v>
                </c:pt>
                <c:pt idx="12">
                  <c:v>278756.93076629972</c:v>
                </c:pt>
                <c:pt idx="13">
                  <c:v>281526.27749387978</c:v>
                </c:pt>
                <c:pt idx="14">
                  <c:v>283956.34625098901</c:v>
                </c:pt>
                <c:pt idx="15">
                  <c:v>286569.36606336664</c:v>
                </c:pt>
                <c:pt idx="16">
                  <c:v>289022.11313383345</c:v>
                </c:pt>
                <c:pt idx="17">
                  <c:v>291479.6675671445</c:v>
                </c:pt>
                <c:pt idx="18">
                  <c:v>293784.96365885268</c:v>
                </c:pt>
                <c:pt idx="19">
                  <c:v>296093.22940220305</c:v>
                </c:pt>
                <c:pt idx="20">
                  <c:v>298327.96611843444</c:v>
                </c:pt>
                <c:pt idx="21">
                  <c:v>300422.07556256955</c:v>
                </c:pt>
                <c:pt idx="22">
                  <c:v>302516.67337186396</c:v>
                </c:pt>
                <c:pt idx="23">
                  <c:v>304478.05747072131</c:v>
                </c:pt>
                <c:pt idx="24">
                  <c:v>306438.47309546609</c:v>
                </c:pt>
                <c:pt idx="25">
                  <c:v>308332.95247118932</c:v>
                </c:pt>
                <c:pt idx="26">
                  <c:v>309988.6729777297</c:v>
                </c:pt>
                <c:pt idx="27">
                  <c:v>311761.8070651344</c:v>
                </c:pt>
                <c:pt idx="28">
                  <c:v>313419.07595022791</c:v>
                </c:pt>
                <c:pt idx="29">
                  <c:v>315072.395954974</c:v>
                </c:pt>
                <c:pt idx="30">
                  <c:v>316616.46120673459</c:v>
                </c:pt>
                <c:pt idx="31">
                  <c:v>318155.61907712242</c:v>
                </c:pt>
                <c:pt idx="32">
                  <c:v>319638.89802633791</c:v>
                </c:pt>
                <c:pt idx="33">
                  <c:v>321022.46788778203</c:v>
                </c:pt>
                <c:pt idx="34">
                  <c:v>322399.9430947653</c:v>
                </c:pt>
                <c:pt idx="35">
                  <c:v>323683.76129352616</c:v>
                </c:pt>
                <c:pt idx="36">
                  <c:v>324960.86476629943</c:v>
                </c:pt>
                <c:pt idx="37">
                  <c:v>326189.01326758543</c:v>
                </c:pt>
                <c:pt idx="38">
                  <c:v>327257.36958777288</c:v>
                </c:pt>
                <c:pt idx="39">
                  <c:v>328396.1176278221</c:v>
                </c:pt>
                <c:pt idx="40">
                  <c:v>329455.25977721019</c:v>
                </c:pt>
                <c:pt idx="41">
                  <c:v>330506.70535339281</c:v>
                </c:pt>
                <c:pt idx="42">
                  <c:v>331483.85285054805</c:v>
                </c:pt>
                <c:pt idx="43">
                  <c:v>332453.12323728221</c:v>
                </c:pt>
                <c:pt idx="44">
                  <c:v>333382.56929680257</c:v>
                </c:pt>
                <c:pt idx="45">
                  <c:v>334245.33032879164</c:v>
                </c:pt>
                <c:pt idx="46">
                  <c:v>335100.16830007185</c:v>
                </c:pt>
                <c:pt idx="47">
                  <c:v>335893.11315085622</c:v>
                </c:pt>
                <c:pt idx="48">
                  <c:v>336678.25039749744</c:v>
                </c:pt>
                <c:pt idx="49">
                  <c:v>337429.81852246838</c:v>
                </c:pt>
                <c:pt idx="50">
                  <c:v>338103.6006425434</c:v>
                </c:pt>
                <c:pt idx="51">
                  <c:v>338793.68947425886</c:v>
                </c:pt>
                <c:pt idx="52">
                  <c:v>339432.95855165285</c:v>
                </c:pt>
                <c:pt idx="53">
                  <c:v>340065.1934266155</c:v>
                </c:pt>
                <c:pt idx="54">
                  <c:v>340650.71187037521</c:v>
                </c:pt>
                <c:pt idx="55">
                  <c:v>341229.69402107631</c:v>
                </c:pt>
                <c:pt idx="56">
                  <c:v>341783.34855515516</c:v>
                </c:pt>
                <c:pt idx="57">
                  <c:v>342296.11520948284</c:v>
                </c:pt>
                <c:pt idx="58">
                  <c:v>342803.29076904693</c:v>
                </c:pt>
                <c:pt idx="59">
                  <c:v>343273.2084420243</c:v>
                </c:pt>
                <c:pt idx="60">
                  <c:v>343738.28637825098</c:v>
                </c:pt>
                <c:pt idx="61">
                  <c:v>344183.62141911482</c:v>
                </c:pt>
                <c:pt idx="62">
                  <c:v>344569.80312479043</c:v>
                </c:pt>
                <c:pt idx="63">
                  <c:v>344980.58524742466</c:v>
                </c:pt>
                <c:pt idx="64">
                  <c:v>345362.31077582104</c:v>
                </c:pt>
                <c:pt idx="65">
                  <c:v>345741.46384042886</c:v>
                </c:pt>
                <c:pt idx="66">
                  <c:v>346094.56386096618</c:v>
                </c:pt>
                <c:pt idx="67">
                  <c:v>346446.16456691787</c:v>
                </c:pt>
                <c:pt idx="68">
                  <c:v>346785.29748544696</c:v>
                </c:pt>
                <c:pt idx="69">
                  <c:v>347102.57925421873</c:v>
                </c:pt>
                <c:pt idx="70">
                  <c:v>347420.14248961367</c:v>
                </c:pt>
                <c:pt idx="71">
                  <c:v>347718.42725049757</c:v>
                </c:pt>
                <c:pt idx="72">
                  <c:v>348018.27765239304</c:v>
                </c:pt>
                <c:pt idx="73">
                  <c:v>348310.576429056</c:v>
                </c:pt>
                <c:pt idx="74">
                  <c:v>348568.8978167522</c:v>
                </c:pt>
                <c:pt idx="75">
                  <c:v>348849.47218753473</c:v>
                </c:pt>
                <c:pt idx="76">
                  <c:v>349116.42488607037</c:v>
                </c:pt>
                <c:pt idx="77">
                  <c:v>349388.45668712805</c:v>
                </c:pt>
                <c:pt idx="78">
                  <c:v>349648.87187007267</c:v>
                </c:pt>
                <c:pt idx="79">
                  <c:v>349915.91334485117</c:v>
                </c:pt>
                <c:pt idx="80">
                  <c:v>350181.75199777941</c:v>
                </c:pt>
                <c:pt idx="81">
                  <c:v>350438.70200907293</c:v>
                </c:pt>
                <c:pt idx="82">
                  <c:v>350704.74204948341</c:v>
                </c:pt>
                <c:pt idx="83">
                  <c:v>350963.51007438038</c:v>
                </c:pt>
                <c:pt idx="84">
                  <c:v>351233.08392857027</c:v>
                </c:pt>
                <c:pt idx="85">
                  <c:v>351505.70266176615</c:v>
                </c:pt>
                <c:pt idx="86">
                  <c:v>351755.24379348283</c:v>
                </c:pt>
                <c:pt idx="87">
                  <c:v>352035.93149026035</c:v>
                </c:pt>
                <c:pt idx="88">
                  <c:v>352312.71015718556</c:v>
                </c:pt>
                <c:pt idx="89">
                  <c:v>352604.80381983699</c:v>
                </c:pt>
                <c:pt idx="90">
                  <c:v>352894.09627128125</c:v>
                </c:pt>
                <c:pt idx="91">
                  <c:v>353200.62376396195</c:v>
                </c:pt>
                <c:pt idx="92">
                  <c:v>353515.61877453607</c:v>
                </c:pt>
                <c:pt idx="93">
                  <c:v>353829.21934928134</c:v>
                </c:pt>
                <c:pt idx="94">
                  <c:v>354163.0490615493</c:v>
                </c:pt>
                <c:pt idx="95">
                  <c:v>354496.2461733871</c:v>
                </c:pt>
                <c:pt idx="96">
                  <c:v>354851.71866752801</c:v>
                </c:pt>
                <c:pt idx="97">
                  <c:v>355219.23801929026</c:v>
                </c:pt>
                <c:pt idx="98">
                  <c:v>355574.56491207768</c:v>
                </c:pt>
                <c:pt idx="99">
                  <c:v>355967.35383187002</c:v>
                </c:pt>
                <c:pt idx="100">
                  <c:v>356360.83608214336</c:v>
                </c:pt>
                <c:pt idx="101">
                  <c:v>356781.88377457793</c:v>
                </c:pt>
                <c:pt idx="102">
                  <c:v>357203.93458780443</c:v>
                </c:pt>
                <c:pt idx="103">
                  <c:v>357655.74318095861</c:v>
                </c:pt>
                <c:pt idx="104">
                  <c:v>358124.11518307205</c:v>
                </c:pt>
                <c:pt idx="105">
                  <c:v>358593.72558785387</c:v>
                </c:pt>
                <c:pt idx="106">
                  <c:v>359096.46647996514</c:v>
                </c:pt>
                <c:pt idx="107">
                  <c:v>359600.45213320572</c:v>
                </c:pt>
                <c:pt idx="108">
                  <c:v>360139.84429427341</c:v>
                </c:pt>
                <c:pt idx="109">
                  <c:v>360698.70911753597</c:v>
                </c:pt>
                <c:pt idx="110">
                  <c:v>361220.68957004842</c:v>
                </c:pt>
                <c:pt idx="111">
                  <c:v>361818.13994381693</c:v>
                </c:pt>
                <c:pt idx="112">
                  <c:v>362416.3577538181</c:v>
                </c:pt>
                <c:pt idx="113">
                  <c:v>363055.73237905325</c:v>
                </c:pt>
                <c:pt idx="114">
                  <c:v>363695.48975571746</c:v>
                </c:pt>
                <c:pt idx="115">
                  <c:v>364378.76654781424</c:v>
                </c:pt>
                <c:pt idx="116">
                  <c:v>365085.08420701814</c:v>
                </c:pt>
                <c:pt idx="117">
                  <c:v>365791.00449160126</c:v>
                </c:pt>
                <c:pt idx="118">
                  <c:v>366544.04171616194</c:v>
                </c:pt>
                <c:pt idx="119">
                  <c:v>367296.03588229563</c:v>
                </c:pt>
                <c:pt idx="120">
                  <c:v>368097.5508760878</c:v>
                </c:pt>
                <c:pt idx="121">
                  <c:v>368924.34784454422</c:v>
                </c:pt>
                <c:pt idx="122">
                  <c:v>369693.21215225034</c:v>
                </c:pt>
                <c:pt idx="123">
                  <c:v>370569.2771119519</c:v>
                </c:pt>
                <c:pt idx="124">
                  <c:v>371442.28037348145</c:v>
                </c:pt>
                <c:pt idx="125">
                  <c:v>372370.79859400162</c:v>
                </c:pt>
                <c:pt idx="126">
                  <c:v>373295.27717550279</c:v>
                </c:pt>
                <c:pt idx="127">
                  <c:v>374277.7024485984</c:v>
                </c:pt>
                <c:pt idx="128">
                  <c:v>375288.05218209652</c:v>
                </c:pt>
                <c:pt idx="129">
                  <c:v>376292.71939397656</c:v>
                </c:pt>
                <c:pt idx="130">
                  <c:v>377359.00312232098</c:v>
                </c:pt>
                <c:pt idx="131">
                  <c:v>378418.40781155537</c:v>
                </c:pt>
                <c:pt idx="132">
                  <c:v>379541.85964903701</c:v>
                </c:pt>
                <c:pt idx="133">
                  <c:v>380694.80902336695</c:v>
                </c:pt>
                <c:pt idx="134">
                  <c:v>381761.77338407928</c:v>
                </c:pt>
                <c:pt idx="135">
                  <c:v>382971.63998710265</c:v>
                </c:pt>
                <c:pt idx="136">
                  <c:v>384171.31812917313</c:v>
                </c:pt>
                <c:pt idx="137">
                  <c:v>385441.03106849827</c:v>
                </c:pt>
                <c:pt idx="138">
                  <c:v>386699.08555280906</c:v>
                </c:pt>
                <c:pt idx="139">
                  <c:v>388029.5745850805</c:v>
                </c:pt>
                <c:pt idx="140">
                  <c:v>389391.27808117628</c:v>
                </c:pt>
                <c:pt idx="141">
                  <c:v>390738.97011610057</c:v>
                </c:pt>
                <c:pt idx="142">
                  <c:v>392162.68633086653</c:v>
                </c:pt>
                <c:pt idx="143">
                  <c:v>393570.74493108346</c:v>
                </c:pt>
                <c:pt idx="144">
                  <c:v>395057.18398523174</c:v>
                </c:pt>
                <c:pt idx="145">
                  <c:v>396575.74266504997</c:v>
                </c:pt>
                <c:pt idx="146">
                  <c:v>398025.5403506041</c:v>
                </c:pt>
                <c:pt idx="147">
                  <c:v>399606.67997509544</c:v>
                </c:pt>
                <c:pt idx="148">
                  <c:v>401167.78222743195</c:v>
                </c:pt>
                <c:pt idx="149">
                  <c:v>402813.033242748</c:v>
                </c:pt>
                <c:pt idx="150">
                  <c:v>404436.38509518176</c:v>
                </c:pt>
                <c:pt idx="151">
                  <c:v>406146.15188473521</c:v>
                </c:pt>
                <c:pt idx="152">
                  <c:v>407888.83229694801</c:v>
                </c:pt>
                <c:pt idx="153">
                  <c:v>409606.70170047856</c:v>
                </c:pt>
                <c:pt idx="154">
                  <c:v>411414.34217602364</c:v>
                </c:pt>
                <c:pt idx="155">
                  <c:v>413195.17621762323</c:v>
                </c:pt>
                <c:pt idx="156">
                  <c:v>415067.96154172905</c:v>
                </c:pt>
                <c:pt idx="157">
                  <c:v>416973.8960308177</c:v>
                </c:pt>
                <c:pt idx="158">
                  <c:v>418723.88922454917</c:v>
                </c:pt>
                <c:pt idx="159">
                  <c:v>420692.94214232475</c:v>
                </c:pt>
                <c:pt idx="160">
                  <c:v>422630.04725189094</c:v>
                </c:pt>
                <c:pt idx="161">
                  <c:v>424664.32586879417</c:v>
                </c:pt>
                <c:pt idx="162">
                  <c:v>426664.50546803727</c:v>
                </c:pt>
                <c:pt idx="163">
                  <c:v>428763.89032632159</c:v>
                </c:pt>
                <c:pt idx="164">
                  <c:v>430896.28813647723</c:v>
                </c:pt>
                <c:pt idx="165">
                  <c:v>432991.27055984334</c:v>
                </c:pt>
                <c:pt idx="166">
                  <c:v>435188.42887923744</c:v>
                </c:pt>
                <c:pt idx="167">
                  <c:v>437345.92937166779</c:v>
                </c:pt>
                <c:pt idx="168">
                  <c:v>439607.50918865338</c:v>
                </c:pt>
                <c:pt idx="169">
                  <c:v>441901.66983664612</c:v>
                </c:pt>
                <c:pt idx="170">
                  <c:v>444001.71790256305</c:v>
                </c:pt>
                <c:pt idx="171">
                  <c:v>446357.54159235442</c:v>
                </c:pt>
                <c:pt idx="172">
                  <c:v>448668.02733430051</c:v>
                </c:pt>
                <c:pt idx="173">
                  <c:v>451087.05683405598</c:v>
                </c:pt>
                <c:pt idx="174">
                  <c:v>453458.40891107143</c:v>
                </c:pt>
                <c:pt idx="175">
                  <c:v>455940.00102520542</c:v>
                </c:pt>
                <c:pt idx="176">
                  <c:v>458453.11272239836</c:v>
                </c:pt>
                <c:pt idx="177">
                  <c:v>460914.97865630052</c:v>
                </c:pt>
                <c:pt idx="178">
                  <c:v>463489.51737017074</c:v>
                </c:pt>
                <c:pt idx="179">
                  <c:v>466010.42201236682</c:v>
                </c:pt>
                <c:pt idx="180">
                  <c:v>468645.52503919147</c:v>
                </c:pt>
                <c:pt idx="181">
                  <c:v>471311.0479994858</c:v>
                </c:pt>
                <c:pt idx="182">
                  <c:v>473744.55025602313</c:v>
                </c:pt>
                <c:pt idx="183">
                  <c:v>476467.24993891933</c:v>
                </c:pt>
                <c:pt idx="184">
                  <c:v>479130.34704371897</c:v>
                </c:pt>
                <c:pt idx="185">
                  <c:v>481911.09907482663</c:v>
                </c:pt>
                <c:pt idx="186">
                  <c:v>484629.82192163856</c:v>
                </c:pt>
                <c:pt idx="187">
                  <c:v>487467.45947450824</c:v>
                </c:pt>
                <c:pt idx="188">
                  <c:v>490333.53086639842</c:v>
                </c:pt>
                <c:pt idx="189">
                  <c:v>493133.9052893754</c:v>
                </c:pt>
                <c:pt idx="190">
                  <c:v>496054.93690268119</c:v>
                </c:pt>
                <c:pt idx="191">
                  <c:v>498907.83849582321</c:v>
                </c:pt>
                <c:pt idx="192">
                  <c:v>501882.44404540036</c:v>
                </c:pt>
                <c:pt idx="193">
                  <c:v>504883.71639288001</c:v>
                </c:pt>
                <c:pt idx="194">
                  <c:v>507715.15272502293</c:v>
                </c:pt>
                <c:pt idx="195">
                  <c:v>510766.91416634864</c:v>
                </c:pt>
                <c:pt idx="196">
                  <c:v>513744.49937592976</c:v>
                </c:pt>
                <c:pt idx="197">
                  <c:v>516845.99977639044</c:v>
                </c:pt>
                <c:pt idx="198">
                  <c:v>519870.91150095582</c:v>
                </c:pt>
                <c:pt idx="199">
                  <c:v>523020.45908299123</c:v>
                </c:pt>
                <c:pt idx="200">
                  <c:v>526193.74771435559</c:v>
                </c:pt>
                <c:pt idx="201">
                  <c:v>529286.83329297125</c:v>
                </c:pt>
                <c:pt idx="202">
                  <c:v>532505.45210808644</c:v>
                </c:pt>
                <c:pt idx="203">
                  <c:v>535641.49147681822</c:v>
                </c:pt>
                <c:pt idx="204">
                  <c:v>538903.52928609063</c:v>
                </c:pt>
                <c:pt idx="205">
                  <c:v>542186.87203084631</c:v>
                </c:pt>
                <c:pt idx="206">
                  <c:v>545170.34530129144</c:v>
                </c:pt>
                <c:pt idx="207">
                  <c:v>548492.76880357193</c:v>
                </c:pt>
                <c:pt idx="208">
                  <c:v>551726.81940968963</c:v>
                </c:pt>
                <c:pt idx="209">
                  <c:v>555087.55466304114</c:v>
                </c:pt>
                <c:pt idx="210">
                  <c:v>558357.61993259389</c:v>
                </c:pt>
                <c:pt idx="211">
                  <c:v>561754.45175638981</c:v>
                </c:pt>
                <c:pt idx="212">
                  <c:v>565168.75079127075</c:v>
                </c:pt>
                <c:pt idx="213">
                  <c:v>568488.97139946232</c:v>
                </c:pt>
                <c:pt idx="214">
                  <c:v>571935.86065096117</c:v>
                </c:pt>
                <c:pt idx="215">
                  <c:v>575286.45281043276</c:v>
                </c:pt>
                <c:pt idx="216">
                  <c:v>578763.4977353029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16E-42EB-90B2-1D1A7F729D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in val="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TCSI!$I$1</c:f>
              <c:strCache>
                <c:ptCount val="1"/>
                <c:pt idx="0">
                  <c:v>T+C+I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TCSI!$I$2:$I$219</c:f>
              <c:numCache>
                <c:formatCode>0_);[Red]\(0\)</c:formatCode>
                <c:ptCount val="218"/>
                <c:pt idx="0">
                  <c:v>237275.76941037545</c:v>
                </c:pt>
                <c:pt idx="1">
                  <c:v>236007.36902508594</c:v>
                </c:pt>
                <c:pt idx="2">
                  <c:v>255713.25660487538</c:v>
                </c:pt>
                <c:pt idx="3">
                  <c:v>245671.87537141342</c:v>
                </c:pt>
                <c:pt idx="4">
                  <c:v>247714.20565193478</c:v>
                </c:pt>
                <c:pt idx="5">
                  <c:v>266128.93435485015</c:v>
                </c:pt>
                <c:pt idx="6">
                  <c:v>267014.13012607611</c:v>
                </c:pt>
                <c:pt idx="7">
                  <c:v>261174.50786195265</c:v>
                </c:pt>
                <c:pt idx="8">
                  <c:v>267792.21693265374</c:v>
                </c:pt>
                <c:pt idx="9">
                  <c:v>271453.93806556938</c:v>
                </c:pt>
                <c:pt idx="10">
                  <c:v>270496.90200061118</c:v>
                </c:pt>
                <c:pt idx="11">
                  <c:v>272846.49326045229</c:v>
                </c:pt>
                <c:pt idx="12">
                  <c:v>282513.61725980463</c:v>
                </c:pt>
                <c:pt idx="13">
                  <c:v>294408.47809833096</c:v>
                </c:pt>
                <c:pt idx="14">
                  <c:v>289663.63234693208</c:v>
                </c:pt>
                <c:pt idx="15">
                  <c:v>294190.03339012375</c:v>
                </c:pt>
                <c:pt idx="16">
                  <c:v>287811.65057349281</c:v>
                </c:pt>
                <c:pt idx="17">
                  <c:v>294879.31583079649</c:v>
                </c:pt>
                <c:pt idx="18">
                  <c:v>304363.20488200104</c:v>
                </c:pt>
                <c:pt idx="19">
                  <c:v>308333.14463688346</c:v>
                </c:pt>
                <c:pt idx="20">
                  <c:v>290789.23483688105</c:v>
                </c:pt>
                <c:pt idx="21">
                  <c:v>306428.39986410603</c:v>
                </c:pt>
                <c:pt idx="22">
                  <c:v>295526.23111121642</c:v>
                </c:pt>
                <c:pt idx="23">
                  <c:v>301960.62270564376</c:v>
                </c:pt>
                <c:pt idx="24">
                  <c:v>305182.97455734556</c:v>
                </c:pt>
                <c:pt idx="25">
                  <c:v>320140.17344877432</c:v>
                </c:pt>
                <c:pt idx="26">
                  <c:v>312421.08555190533</c:v>
                </c:pt>
                <c:pt idx="27">
                  <c:v>320322.86348613747</c:v>
                </c:pt>
                <c:pt idx="28">
                  <c:v>314430.72640166461</c:v>
                </c:pt>
                <c:pt idx="29">
                  <c:v>320720.86948241998</c:v>
                </c:pt>
                <c:pt idx="30">
                  <c:v>324494.37938551483</c:v>
                </c:pt>
                <c:pt idx="31">
                  <c:v>306605.06944431871</c:v>
                </c:pt>
                <c:pt idx="32">
                  <c:v>315312.60794084927</c:v>
                </c:pt>
                <c:pt idx="33">
                  <c:v>315617.47967219248</c:v>
                </c:pt>
                <c:pt idx="34">
                  <c:v>318321.57070489851</c:v>
                </c:pt>
                <c:pt idx="35">
                  <c:v>326314.37914470304</c:v>
                </c:pt>
                <c:pt idx="36">
                  <c:v>329222.59361575899</c:v>
                </c:pt>
                <c:pt idx="37">
                  <c:v>303937.47322249121</c:v>
                </c:pt>
                <c:pt idx="38">
                  <c:v>322447.62749308557</c:v>
                </c:pt>
                <c:pt idx="39">
                  <c:v>331903.52471057244</c:v>
                </c:pt>
                <c:pt idx="40">
                  <c:v>320732.29872685712</c:v>
                </c:pt>
                <c:pt idx="41">
                  <c:v>326969.51617563126</c:v>
                </c:pt>
                <c:pt idx="42">
                  <c:v>327081.29179074481</c:v>
                </c:pt>
                <c:pt idx="43">
                  <c:v>342702.76796648774</c:v>
                </c:pt>
                <c:pt idx="44">
                  <c:v>334072.10186486429</c:v>
                </c:pt>
                <c:pt idx="45">
                  <c:v>329001.82908556086</c:v>
                </c:pt>
                <c:pt idx="46">
                  <c:v>334660.90247338137</c:v>
                </c:pt>
                <c:pt idx="47">
                  <c:v>330158.66926355427</c:v>
                </c:pt>
                <c:pt idx="48">
                  <c:v>338093.53913011402</c:v>
                </c:pt>
                <c:pt idx="49">
                  <c:v>340373.98803192249</c:v>
                </c:pt>
                <c:pt idx="50">
                  <c:v>331117.76636491827</c:v>
                </c:pt>
                <c:pt idx="51">
                  <c:v>332535.05046739691</c:v>
                </c:pt>
                <c:pt idx="52">
                  <c:v>347321.17035371845</c:v>
                </c:pt>
                <c:pt idx="53">
                  <c:v>345389.29819564353</c:v>
                </c:pt>
                <c:pt idx="54">
                  <c:v>352453.56448700972</c:v>
                </c:pt>
                <c:pt idx="55">
                  <c:v>327715.62618955952</c:v>
                </c:pt>
                <c:pt idx="56">
                  <c:v>341289.43649211148</c:v>
                </c:pt>
                <c:pt idx="57">
                  <c:v>339486.02996639104</c:v>
                </c:pt>
                <c:pt idx="58">
                  <c:v>338378.56686972902</c:v>
                </c:pt>
                <c:pt idx="59">
                  <c:v>352324.78851337516</c:v>
                </c:pt>
                <c:pt idx="60">
                  <c:v>337213.84690886392</c:v>
                </c:pt>
                <c:pt idx="61">
                  <c:v>337809.04741831811</c:v>
                </c:pt>
                <c:pt idx="62">
                  <c:v>344591.78982822358</c:v>
                </c:pt>
                <c:pt idx="63">
                  <c:v>329676.07138745527</c:v>
                </c:pt>
                <c:pt idx="64">
                  <c:v>346410.91743367573</c:v>
                </c:pt>
                <c:pt idx="65">
                  <c:v>344804.93230388028</c:v>
                </c:pt>
                <c:pt idx="66">
                  <c:v>348730.66458671121</c:v>
                </c:pt>
                <c:pt idx="67">
                  <c:v>343519.78504649445</c:v>
                </c:pt>
                <c:pt idx="68">
                  <c:v>342429.19042043161</c:v>
                </c:pt>
                <c:pt idx="69">
                  <c:v>352895.90432013362</c:v>
                </c:pt>
                <c:pt idx="70">
                  <c:v>358835.68821964558</c:v>
                </c:pt>
                <c:pt idx="71">
                  <c:v>348057.04995338985</c:v>
                </c:pt>
                <c:pt idx="72">
                  <c:v>351357.82004460634</c:v>
                </c:pt>
                <c:pt idx="73">
                  <c:v>346033.30187963974</c:v>
                </c:pt>
                <c:pt idx="74">
                  <c:v>346570.4552711423</c:v>
                </c:pt>
                <c:pt idx="75">
                  <c:v>349061.42600342195</c:v>
                </c:pt>
                <c:pt idx="76">
                  <c:v>349982.03712262609</c:v>
                </c:pt>
                <c:pt idx="77">
                  <c:v>337274.01572012884</c:v>
                </c:pt>
                <c:pt idx="78">
                  <c:v>347879.48791723535</c:v>
                </c:pt>
                <c:pt idx="79">
                  <c:v>349162.30775113439</c:v>
                </c:pt>
                <c:pt idx="80">
                  <c:v>365771.90945016732</c:v>
                </c:pt>
                <c:pt idx="81">
                  <c:v>339124.69314276212</c:v>
                </c:pt>
                <c:pt idx="82">
                  <c:v>337562.50027349149</c:v>
                </c:pt>
                <c:pt idx="83">
                  <c:v>353607.30116282019</c:v>
                </c:pt>
                <c:pt idx="84">
                  <c:v>347511.99581720022</c:v>
                </c:pt>
                <c:pt idx="85">
                  <c:v>352922.43337374827</c:v>
                </c:pt>
                <c:pt idx="86">
                  <c:v>350927.56414430955</c:v>
                </c:pt>
                <c:pt idx="87">
                  <c:v>362489.33468247106</c:v>
                </c:pt>
                <c:pt idx="88">
                  <c:v>356980.62571459642</c:v>
                </c:pt>
                <c:pt idx="89">
                  <c:v>353166.94944282371</c:v>
                </c:pt>
                <c:pt idx="90">
                  <c:v>348772.64986785396</c:v>
                </c:pt>
                <c:pt idx="91">
                  <c:v>357296.00995991559</c:v>
                </c:pt>
                <c:pt idx="92">
                  <c:v>348213.29317577637</c:v>
                </c:pt>
                <c:pt idx="93">
                  <c:v>356847.28718409716</c:v>
                </c:pt>
                <c:pt idx="94">
                  <c:v>346306.60483954335</c:v>
                </c:pt>
                <c:pt idx="95">
                  <c:v>343716.95767207706</c:v>
                </c:pt>
                <c:pt idx="96">
                  <c:v>354982.26427021733</c:v>
                </c:pt>
                <c:pt idx="97">
                  <c:v>358969.35183659988</c:v>
                </c:pt>
                <c:pt idx="98">
                  <c:v>349557.81573916168</c:v>
                </c:pt>
                <c:pt idx="99">
                  <c:v>369378.68498301844</c:v>
                </c:pt>
                <c:pt idx="100">
                  <c:v>365654.44900462579</c:v>
                </c:pt>
                <c:pt idx="101">
                  <c:v>352159.92296042672</c:v>
                </c:pt>
                <c:pt idx="102">
                  <c:v>362175.22530764091</c:v>
                </c:pt>
                <c:pt idx="103">
                  <c:v>344205.9930258962</c:v>
                </c:pt>
                <c:pt idx="104">
                  <c:v>354958.0599597703</c:v>
                </c:pt>
                <c:pt idx="105">
                  <c:v>359711.11258537683</c:v>
                </c:pt>
                <c:pt idx="106">
                  <c:v>354316.3059518995</c:v>
                </c:pt>
                <c:pt idx="107">
                  <c:v>342523.91652220191</c:v>
                </c:pt>
                <c:pt idx="108">
                  <c:v>349515.47125863913</c:v>
                </c:pt>
                <c:pt idx="109">
                  <c:v>356288.74776894302</c:v>
                </c:pt>
                <c:pt idx="110">
                  <c:v>355805.15792012232</c:v>
                </c:pt>
                <c:pt idx="111">
                  <c:v>370224.81522301614</c:v>
                </c:pt>
                <c:pt idx="112">
                  <c:v>359291.20116563159</c:v>
                </c:pt>
                <c:pt idx="113">
                  <c:v>350437.48962443182</c:v>
                </c:pt>
                <c:pt idx="114">
                  <c:v>362772.61540898314</c:v>
                </c:pt>
                <c:pt idx="115">
                  <c:v>363787.78458623076</c:v>
                </c:pt>
                <c:pt idx="116">
                  <c:v>365971.26546569972</c:v>
                </c:pt>
                <c:pt idx="117">
                  <c:v>371243.48046170844</c:v>
                </c:pt>
                <c:pt idx="118">
                  <c:v>370885.71258027921</c:v>
                </c:pt>
                <c:pt idx="119">
                  <c:v>366757.95250667346</c:v>
                </c:pt>
                <c:pt idx="120">
                  <c:v>371719.94425853057</c:v>
                </c:pt>
                <c:pt idx="121">
                  <c:v>372510.97137942049</c:v>
                </c:pt>
                <c:pt idx="122">
                  <c:v>370419.81274538237</c:v>
                </c:pt>
                <c:pt idx="123">
                  <c:v>367673.67020454613</c:v>
                </c:pt>
                <c:pt idx="124">
                  <c:v>380480.72407884325</c:v>
                </c:pt>
                <c:pt idx="125">
                  <c:v>375072.10340027063</c:v>
                </c:pt>
                <c:pt idx="126">
                  <c:v>373363.20115164772</c:v>
                </c:pt>
                <c:pt idx="127">
                  <c:v>373999.64978513395</c:v>
                </c:pt>
                <c:pt idx="128">
                  <c:v>364342.63317065529</c:v>
                </c:pt>
                <c:pt idx="129">
                  <c:v>376939.35535809264</c:v>
                </c:pt>
                <c:pt idx="130">
                  <c:v>384085.8484587713</c:v>
                </c:pt>
                <c:pt idx="131">
                  <c:v>388108.09738886671</c:v>
                </c:pt>
                <c:pt idx="132">
                  <c:v>379105.6378531793</c:v>
                </c:pt>
                <c:pt idx="133">
                  <c:v>385931.6305247164</c:v>
                </c:pt>
                <c:pt idx="134">
                  <c:v>384114.32760252891</c:v>
                </c:pt>
                <c:pt idx="135">
                  <c:v>386847.46282503946</c:v>
                </c:pt>
                <c:pt idx="136">
                  <c:v>375376.75059677049</c:v>
                </c:pt>
                <c:pt idx="137">
                  <c:v>384430.48911353707</c:v>
                </c:pt>
                <c:pt idx="138">
                  <c:v>389862.06464320928</c:v>
                </c:pt>
                <c:pt idx="139">
                  <c:v>381906.17467650428</c:v>
                </c:pt>
                <c:pt idx="140">
                  <c:v>383709.51270392729</c:v>
                </c:pt>
                <c:pt idx="141">
                  <c:v>401958.05359992466</c:v>
                </c:pt>
                <c:pt idx="142">
                  <c:v>398822.77028238151</c:v>
                </c:pt>
                <c:pt idx="143">
                  <c:v>395196.8897782584</c:v>
                </c:pt>
                <c:pt idx="144">
                  <c:v>392904.90606524539</c:v>
                </c:pt>
                <c:pt idx="145">
                  <c:v>387579.09204625047</c:v>
                </c:pt>
                <c:pt idx="146">
                  <c:v>397755.24266425177</c:v>
                </c:pt>
                <c:pt idx="147">
                  <c:v>397118.05785215594</c:v>
                </c:pt>
                <c:pt idx="148">
                  <c:v>397961.1256607211</c:v>
                </c:pt>
                <c:pt idx="149">
                  <c:v>399363.58897663601</c:v>
                </c:pt>
                <c:pt idx="150">
                  <c:v>414538.31994558487</c:v>
                </c:pt>
                <c:pt idx="151">
                  <c:v>409598.77499901719</c:v>
                </c:pt>
                <c:pt idx="152">
                  <c:v>404767.38412706472</c:v>
                </c:pt>
                <c:pt idx="153">
                  <c:v>408028.60846954514</c:v>
                </c:pt>
                <c:pt idx="154">
                  <c:v>417117.72217482718</c:v>
                </c:pt>
                <c:pt idx="155">
                  <c:v>414278.19399833697</c:v>
                </c:pt>
                <c:pt idx="156">
                  <c:v>417106.70563540451</c:v>
                </c:pt>
                <c:pt idx="157">
                  <c:v>417746.27840115473</c:v>
                </c:pt>
                <c:pt idx="158">
                  <c:v>428600.99132436351</c:v>
                </c:pt>
                <c:pt idx="159">
                  <c:v>427398.59702963434</c:v>
                </c:pt>
                <c:pt idx="160">
                  <c:v>418392.98762873979</c:v>
                </c:pt>
                <c:pt idx="161">
                  <c:v>437043.60806647892</c:v>
                </c:pt>
                <c:pt idx="162">
                  <c:v>408591.34449524363</c:v>
                </c:pt>
                <c:pt idx="163">
                  <c:v>434107.05533721583</c:v>
                </c:pt>
                <c:pt idx="164">
                  <c:v>424403.66314341803</c:v>
                </c:pt>
                <c:pt idx="165">
                  <c:v>439274.66704582248</c:v>
                </c:pt>
                <c:pt idx="166">
                  <c:v>433109.10704983078</c:v>
                </c:pt>
                <c:pt idx="167">
                  <c:v>439428.15267935611</c:v>
                </c:pt>
                <c:pt idx="168">
                  <c:v>447307.9473713545</c:v>
                </c:pt>
                <c:pt idx="169">
                  <c:v>432102.21487777121</c:v>
                </c:pt>
                <c:pt idx="170">
                  <c:v>449236.04542249319</c:v>
                </c:pt>
                <c:pt idx="171">
                  <c:v>447262.02401902888</c:v>
                </c:pt>
                <c:pt idx="172">
                  <c:v>458650.40632272413</c:v>
                </c:pt>
                <c:pt idx="173">
                  <c:v>451243.43726089492</c:v>
                </c:pt>
                <c:pt idx="174">
                  <c:v>457489.1693249339</c:v>
                </c:pt>
                <c:pt idx="175">
                  <c:v>462721.26379898499</c:v>
                </c:pt>
                <c:pt idx="176">
                  <c:v>458228.09478509345</c:v>
                </c:pt>
                <c:pt idx="177">
                  <c:v>452723.67690607643</c:v>
                </c:pt>
                <c:pt idx="178">
                  <c:v>459110.30852612754</c:v>
                </c:pt>
                <c:pt idx="179">
                  <c:v>460842.78509211534</c:v>
                </c:pt>
                <c:pt idx="180">
                  <c:v>472617.83923736156</c:v>
                </c:pt>
                <c:pt idx="181">
                  <c:v>483487.82377845066</c:v>
                </c:pt>
                <c:pt idx="182">
                  <c:v>469119.434026881</c:v>
                </c:pt>
                <c:pt idx="183">
                  <c:v>483418.93697647937</c:v>
                </c:pt>
                <c:pt idx="184">
                  <c:v>474236.4027790043</c:v>
                </c:pt>
                <c:pt idx="185">
                  <c:v>476253.98682474392</c:v>
                </c:pt>
                <c:pt idx="186">
                  <c:v>490609.61274632253</c:v>
                </c:pt>
                <c:pt idx="187">
                  <c:v>480385.27084565553</c:v>
                </c:pt>
                <c:pt idx="188">
                  <c:v>509480.79316059774</c:v>
                </c:pt>
                <c:pt idx="189">
                  <c:v>491633.32226650062</c:v>
                </c:pt>
                <c:pt idx="190">
                  <c:v>498346.12132483267</c:v>
                </c:pt>
                <c:pt idx="191">
                  <c:v>493297.94060974347</c:v>
                </c:pt>
                <c:pt idx="192">
                  <c:v>493306.52824796614</c:v>
                </c:pt>
                <c:pt idx="193">
                  <c:v>500377.39893720247</c:v>
                </c:pt>
                <c:pt idx="194">
                  <c:v>503374.46787279984</c:v>
                </c:pt>
                <c:pt idx="195">
                  <c:v>518891.71555320412</c:v>
                </c:pt>
                <c:pt idx="196">
                  <c:v>523423.48064995487</c:v>
                </c:pt>
                <c:pt idx="197">
                  <c:v>525805.05485245585</c:v>
                </c:pt>
                <c:pt idx="198">
                  <c:v>513040.20381106366</c:v>
                </c:pt>
                <c:pt idx="199">
                  <c:v>538136.90215666394</c:v>
                </c:pt>
                <c:pt idx="200">
                  <c:v>522546.87887880078</c:v>
                </c:pt>
                <c:pt idx="201">
                  <c:v>526348.15403755847</c:v>
                </c:pt>
                <c:pt idx="202">
                  <c:v>532593.9830951225</c:v>
                </c:pt>
                <c:pt idx="203">
                  <c:v>532941.6272986579</c:v>
                </c:pt>
                <c:pt idx="204">
                  <c:v>540285.73530452256</c:v>
                </c:pt>
                <c:pt idx="205">
                  <c:v>546951.13778335461</c:v>
                </c:pt>
                <c:pt idx="206">
                  <c:v>542903.34682939074</c:v>
                </c:pt>
                <c:pt idx="207">
                  <c:v>555243.14592261554</c:v>
                </c:pt>
                <c:pt idx="208">
                  <c:v>563241.68718798924</c:v>
                </c:pt>
                <c:pt idx="209">
                  <c:v>554136.3601714723</c:v>
                </c:pt>
                <c:pt idx="210">
                  <c:v>562366.80132439174</c:v>
                </c:pt>
                <c:pt idx="211">
                  <c:v>557763.15517196001</c:v>
                </c:pt>
                <c:pt idx="212">
                  <c:v>560634.54995738587</c:v>
                </c:pt>
                <c:pt idx="213">
                  <c:v>567663.57259617979</c:v>
                </c:pt>
                <c:pt idx="214">
                  <c:v>573413.65631927503</c:v>
                </c:pt>
                <c:pt idx="215">
                  <c:v>578375.33595534554</c:v>
                </c:pt>
                <c:pt idx="216">
                  <c:v>581853.38088021567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D2-4005-942E-3A01EEB9E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in val="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Y (=T+S+I)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TCSI!$H$1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TCSI!$H$2:$H$219</c:f>
              <c:numCache>
                <c:formatCode>0_);[Red]\(0\)</c:formatCode>
                <c:ptCount val="218"/>
                <c:pt idx="0">
                  <c:v>237864.75278540078</c:v>
                </c:pt>
                <c:pt idx="1">
                  <c:v>243232.83457092615</c:v>
                </c:pt>
                <c:pt idx="2">
                  <c:v>270416.22627827903</c:v>
                </c:pt>
                <c:pt idx="3">
                  <c:v>272038.05151957041</c:v>
                </c:pt>
                <c:pt idx="4">
                  <c:v>278475.09745281382</c:v>
                </c:pt>
                <c:pt idx="5">
                  <c:v>290264.39626025298</c:v>
                </c:pt>
                <c:pt idx="6">
                  <c:v>276049.63906158268</c:v>
                </c:pt>
                <c:pt idx="7">
                  <c:v>249662.39281808783</c:v>
                </c:pt>
                <c:pt idx="8">
                  <c:v>237849.64105915211</c:v>
                </c:pt>
                <c:pt idx="9">
                  <c:v>239646.20003150075</c:v>
                </c:pt>
                <c:pt idx="10">
                  <c:v>250647.56361561638</c:v>
                </c:pt>
                <c:pt idx="11">
                  <c:v>264290.02043036767</c:v>
                </c:pt>
                <c:pt idx="12">
                  <c:v>283102.60063482996</c:v>
                </c:pt>
                <c:pt idx="13">
                  <c:v>301633.94364417117</c:v>
                </c:pt>
                <c:pt idx="14">
                  <c:v>304366.60202033573</c:v>
                </c:pt>
                <c:pt idx="15">
                  <c:v>320556.20953828073</c:v>
                </c:pt>
                <c:pt idx="16">
                  <c:v>318572.54237437184</c:v>
                </c:pt>
                <c:pt idx="17">
                  <c:v>319014.77773619932</c:v>
                </c:pt>
                <c:pt idx="18">
                  <c:v>313398.71381750761</c:v>
                </c:pt>
                <c:pt idx="19">
                  <c:v>296821.02959301864</c:v>
                </c:pt>
                <c:pt idx="20">
                  <c:v>260846.65896337939</c:v>
                </c:pt>
                <c:pt idx="21">
                  <c:v>274620.66183003742</c:v>
                </c:pt>
                <c:pt idx="22">
                  <c:v>275676.89272622159</c:v>
                </c:pt>
                <c:pt idx="23">
                  <c:v>293404.14987555915</c:v>
                </c:pt>
                <c:pt idx="24">
                  <c:v>305771.95793237089</c:v>
                </c:pt>
                <c:pt idx="25">
                  <c:v>327365.63899461454</c:v>
                </c:pt>
                <c:pt idx="26">
                  <c:v>327124.05522530898</c:v>
                </c:pt>
                <c:pt idx="27">
                  <c:v>346689.03963429446</c:v>
                </c:pt>
                <c:pt idx="28">
                  <c:v>345191.61820254364</c:v>
                </c:pt>
                <c:pt idx="29">
                  <c:v>344856.33138782281</c:v>
                </c:pt>
                <c:pt idx="30">
                  <c:v>333529.8883210214</c:v>
                </c:pt>
                <c:pt idx="31">
                  <c:v>295092.95440045389</c:v>
                </c:pt>
                <c:pt idx="32">
                  <c:v>285370.03206734761</c:v>
                </c:pt>
                <c:pt idx="33">
                  <c:v>283809.74163812387</c:v>
                </c:pt>
                <c:pt idx="34">
                  <c:v>298472.23231990368</c:v>
                </c:pt>
                <c:pt idx="35">
                  <c:v>317757.90631461842</c:v>
                </c:pt>
                <c:pt idx="36">
                  <c:v>329811.57699078432</c:v>
                </c:pt>
                <c:pt idx="37">
                  <c:v>311162.93876833143</c:v>
                </c:pt>
                <c:pt idx="38">
                  <c:v>337150.59716648923</c:v>
                </c:pt>
                <c:pt idx="39">
                  <c:v>358269.70085872943</c:v>
                </c:pt>
                <c:pt idx="40">
                  <c:v>351493.19052773615</c:v>
                </c:pt>
                <c:pt idx="41">
                  <c:v>351104.97808103409</c:v>
                </c:pt>
                <c:pt idx="42">
                  <c:v>336116.80072625139</c:v>
                </c:pt>
                <c:pt idx="43">
                  <c:v>331190.65292262292</c:v>
                </c:pt>
                <c:pt idx="44">
                  <c:v>304129.52599136264</c:v>
                </c:pt>
                <c:pt idx="45">
                  <c:v>297194.09105149226</c:v>
                </c:pt>
                <c:pt idx="46">
                  <c:v>314811.56408838654</c:v>
                </c:pt>
                <c:pt idx="47">
                  <c:v>321602.19643346965</c:v>
                </c:pt>
                <c:pt idx="48">
                  <c:v>338682.52250513935</c:v>
                </c:pt>
                <c:pt idx="49">
                  <c:v>347599.4535777627</c:v>
                </c:pt>
                <c:pt idx="50">
                  <c:v>345820.73603832192</c:v>
                </c:pt>
                <c:pt idx="51">
                  <c:v>358901.2266155539</c:v>
                </c:pt>
                <c:pt idx="52">
                  <c:v>378082.06215459749</c:v>
                </c:pt>
                <c:pt idx="53">
                  <c:v>369524.76010104635</c:v>
                </c:pt>
                <c:pt idx="54">
                  <c:v>361489.07342251629</c:v>
                </c:pt>
                <c:pt idx="55">
                  <c:v>316203.51114569471</c:v>
                </c:pt>
                <c:pt idx="56">
                  <c:v>311346.86061860982</c:v>
                </c:pt>
                <c:pt idx="57">
                  <c:v>307678.29193232243</c:v>
                </c:pt>
                <c:pt idx="58">
                  <c:v>318529.22848473419</c:v>
                </c:pt>
                <c:pt idx="59">
                  <c:v>343768.31568329054</c:v>
                </c:pt>
                <c:pt idx="60">
                  <c:v>337802.83028388926</c:v>
                </c:pt>
                <c:pt idx="61">
                  <c:v>345034.51296415832</c:v>
                </c:pt>
                <c:pt idx="62">
                  <c:v>359294.75950162724</c:v>
                </c:pt>
                <c:pt idx="63">
                  <c:v>356042.24753561226</c:v>
                </c:pt>
                <c:pt idx="64">
                  <c:v>377171.80923455476</c:v>
                </c:pt>
                <c:pt idx="65">
                  <c:v>368940.39420928311</c:v>
                </c:pt>
                <c:pt idx="66">
                  <c:v>357766.17352221778</c:v>
                </c:pt>
                <c:pt idx="67">
                  <c:v>332007.67000262963</c:v>
                </c:pt>
                <c:pt idx="68">
                  <c:v>312486.61454692995</c:v>
                </c:pt>
                <c:pt idx="69">
                  <c:v>321088.16628606501</c:v>
                </c:pt>
                <c:pt idx="70">
                  <c:v>338986.34983465075</c:v>
                </c:pt>
                <c:pt idx="71">
                  <c:v>339500.57712330524</c:v>
                </c:pt>
                <c:pt idx="72">
                  <c:v>351946.80341963167</c:v>
                </c:pt>
                <c:pt idx="73">
                  <c:v>353258.76742547995</c:v>
                </c:pt>
                <c:pt idx="74">
                  <c:v>361273.42494454596</c:v>
                </c:pt>
                <c:pt idx="75">
                  <c:v>375427.60215157893</c:v>
                </c:pt>
                <c:pt idx="76">
                  <c:v>380742.92892350513</c:v>
                </c:pt>
                <c:pt idx="77">
                  <c:v>361409.47762553167</c:v>
                </c:pt>
                <c:pt idx="78">
                  <c:v>356914.99685274193</c:v>
                </c:pt>
                <c:pt idx="79">
                  <c:v>337650.19270726957</c:v>
                </c:pt>
                <c:pt idx="80">
                  <c:v>335829.33357666567</c:v>
                </c:pt>
                <c:pt idx="81">
                  <c:v>307316.95510869351</c:v>
                </c:pt>
                <c:pt idx="82">
                  <c:v>317713.16188849666</c:v>
                </c:pt>
                <c:pt idx="83">
                  <c:v>345050.82833273557</c:v>
                </c:pt>
                <c:pt idx="84">
                  <c:v>348100.97919222555</c:v>
                </c:pt>
                <c:pt idx="85">
                  <c:v>360147.89891958848</c:v>
                </c:pt>
                <c:pt idx="86">
                  <c:v>365630.53381771321</c:v>
                </c:pt>
                <c:pt idx="87">
                  <c:v>388855.51083062805</c:v>
                </c:pt>
                <c:pt idx="88">
                  <c:v>387741.51751547545</c:v>
                </c:pt>
                <c:pt idx="89">
                  <c:v>377302.41134822654</c:v>
                </c:pt>
                <c:pt idx="90">
                  <c:v>357808.15880336054</c:v>
                </c:pt>
                <c:pt idx="91">
                  <c:v>345783.89491605078</c:v>
                </c:pt>
                <c:pt idx="92">
                  <c:v>318270.71730227472</c:v>
                </c:pt>
                <c:pt idx="93">
                  <c:v>325039.54915002856</c:v>
                </c:pt>
                <c:pt idx="94">
                  <c:v>326457.26645454852</c:v>
                </c:pt>
                <c:pt idx="95">
                  <c:v>335160.48484199244</c:v>
                </c:pt>
                <c:pt idx="96">
                  <c:v>355571.24764524266</c:v>
                </c:pt>
                <c:pt idx="97">
                  <c:v>366194.81738244009</c:v>
                </c:pt>
                <c:pt idx="98">
                  <c:v>364260.78541256534</c:v>
                </c:pt>
                <c:pt idx="99">
                  <c:v>395744.86113117542</c:v>
                </c:pt>
                <c:pt idx="100">
                  <c:v>396415.34080550482</c:v>
                </c:pt>
                <c:pt idx="101">
                  <c:v>376295.38486582955</c:v>
                </c:pt>
                <c:pt idx="102">
                  <c:v>371210.73424314748</c:v>
                </c:pt>
                <c:pt idx="103">
                  <c:v>332693.87798203138</c:v>
                </c:pt>
                <c:pt idx="104">
                  <c:v>325015.48408626864</c:v>
                </c:pt>
                <c:pt idx="105">
                  <c:v>327903.37455130822</c:v>
                </c:pt>
                <c:pt idx="106">
                  <c:v>334466.96756690467</c:v>
                </c:pt>
                <c:pt idx="107">
                  <c:v>333967.44369211729</c:v>
                </c:pt>
                <c:pt idx="108">
                  <c:v>350104.45463366446</c:v>
                </c:pt>
                <c:pt idx="109">
                  <c:v>363514.21331478324</c:v>
                </c:pt>
                <c:pt idx="110">
                  <c:v>370508.12759352598</c:v>
                </c:pt>
                <c:pt idx="111">
                  <c:v>396590.99137117312</c:v>
                </c:pt>
                <c:pt idx="112">
                  <c:v>390052.09296651062</c:v>
                </c:pt>
                <c:pt idx="113">
                  <c:v>374572.95152983465</c:v>
                </c:pt>
                <c:pt idx="114">
                  <c:v>371808.12434448971</c:v>
                </c:pt>
                <c:pt idx="115">
                  <c:v>352275.66954236594</c:v>
                </c:pt>
                <c:pt idx="116">
                  <c:v>336028.68959219806</c:v>
                </c:pt>
                <c:pt idx="117">
                  <c:v>339435.74242763984</c:v>
                </c:pt>
                <c:pt idx="118">
                  <c:v>351036.37419528438</c:v>
                </c:pt>
                <c:pt idx="119">
                  <c:v>358201.47967658885</c:v>
                </c:pt>
                <c:pt idx="120">
                  <c:v>372308.9276335559</c:v>
                </c:pt>
                <c:pt idx="121">
                  <c:v>379736.4369252607</c:v>
                </c:pt>
                <c:pt idx="122">
                  <c:v>385122.78241878602</c:v>
                </c:pt>
                <c:pt idx="123">
                  <c:v>394039.84635270311</c:v>
                </c:pt>
                <c:pt idx="124">
                  <c:v>411241.61587972229</c:v>
                </c:pt>
                <c:pt idx="125">
                  <c:v>399207.56530567346</c:v>
                </c:pt>
                <c:pt idx="126">
                  <c:v>382398.71008715429</c:v>
                </c:pt>
                <c:pt idx="127">
                  <c:v>362487.53474126913</c:v>
                </c:pt>
                <c:pt idx="128">
                  <c:v>334400.05729715363</c:v>
                </c:pt>
                <c:pt idx="129">
                  <c:v>345131.61732402403</c:v>
                </c:pt>
                <c:pt idx="130">
                  <c:v>364236.51007377647</c:v>
                </c:pt>
                <c:pt idx="131">
                  <c:v>379551.62455878209</c:v>
                </c:pt>
                <c:pt idx="132">
                  <c:v>379694.62122820463</c:v>
                </c:pt>
                <c:pt idx="133">
                  <c:v>393157.09607055661</c:v>
                </c:pt>
                <c:pt idx="134">
                  <c:v>398817.29727593256</c:v>
                </c:pt>
                <c:pt idx="135">
                  <c:v>413213.63897319644</c:v>
                </c:pt>
                <c:pt idx="136">
                  <c:v>406137.64239764953</c:v>
                </c:pt>
                <c:pt idx="137">
                  <c:v>408565.9510189399</c:v>
                </c:pt>
                <c:pt idx="138">
                  <c:v>398897.57357871585</c:v>
                </c:pt>
                <c:pt idx="139">
                  <c:v>370394.05963263946</c:v>
                </c:pt>
                <c:pt idx="140">
                  <c:v>353766.93683042563</c:v>
                </c:pt>
                <c:pt idx="141">
                  <c:v>370150.31556585606</c:v>
                </c:pt>
                <c:pt idx="142">
                  <c:v>378973.43189738668</c:v>
                </c:pt>
                <c:pt idx="143">
                  <c:v>386640.41694817378</c:v>
                </c:pt>
                <c:pt idx="144">
                  <c:v>393493.88944027072</c:v>
                </c:pt>
                <c:pt idx="145">
                  <c:v>394804.55759209068</c:v>
                </c:pt>
                <c:pt idx="146">
                  <c:v>412458.21233765542</c:v>
                </c:pt>
                <c:pt idx="147">
                  <c:v>423484.23400031292</c:v>
                </c:pt>
                <c:pt idx="148">
                  <c:v>428722.01746160013</c:v>
                </c:pt>
                <c:pt idx="149">
                  <c:v>423499.05088203883</c:v>
                </c:pt>
                <c:pt idx="150">
                  <c:v>423573.82888109144</c:v>
                </c:pt>
                <c:pt idx="151">
                  <c:v>398086.65995515237</c:v>
                </c:pt>
                <c:pt idx="152">
                  <c:v>374824.80825356307</c:v>
                </c:pt>
                <c:pt idx="153">
                  <c:v>376220.87043547654</c:v>
                </c:pt>
                <c:pt idx="154">
                  <c:v>397268.38378983235</c:v>
                </c:pt>
                <c:pt idx="155">
                  <c:v>405721.72116825235</c:v>
                </c:pt>
                <c:pt idx="156">
                  <c:v>417695.68901042984</c:v>
                </c:pt>
                <c:pt idx="157">
                  <c:v>424971.74394699495</c:v>
                </c:pt>
                <c:pt idx="158">
                  <c:v>443303.96099776716</c:v>
                </c:pt>
                <c:pt idx="159">
                  <c:v>453764.77317779133</c:v>
                </c:pt>
                <c:pt idx="160">
                  <c:v>449153.87942961883</c:v>
                </c:pt>
                <c:pt idx="161">
                  <c:v>461179.06997188175</c:v>
                </c:pt>
                <c:pt idx="162">
                  <c:v>417626.8534307502</c:v>
                </c:pt>
                <c:pt idx="163">
                  <c:v>422594.94029335101</c:v>
                </c:pt>
                <c:pt idx="164">
                  <c:v>394461.08726991637</c:v>
                </c:pt>
                <c:pt idx="165">
                  <c:v>407466.92901175388</c:v>
                </c:pt>
                <c:pt idx="166">
                  <c:v>413259.76866483595</c:v>
                </c:pt>
                <c:pt idx="167">
                  <c:v>430871.67984927149</c:v>
                </c:pt>
                <c:pt idx="168">
                  <c:v>447896.93074637983</c:v>
                </c:pt>
                <c:pt idx="169">
                  <c:v>439327.68042361143</c:v>
                </c:pt>
                <c:pt idx="170">
                  <c:v>463939.01509589684</c:v>
                </c:pt>
                <c:pt idx="171">
                  <c:v>473628.20016718586</c:v>
                </c:pt>
                <c:pt idx="172">
                  <c:v>489411.29812360316</c:v>
                </c:pt>
                <c:pt idx="173">
                  <c:v>475378.89916629775</c:v>
                </c:pt>
                <c:pt idx="174">
                  <c:v>466524.67826044047</c:v>
                </c:pt>
                <c:pt idx="175">
                  <c:v>451209.14875512017</c:v>
                </c:pt>
                <c:pt idx="176">
                  <c:v>428285.51891159179</c:v>
                </c:pt>
                <c:pt idx="177">
                  <c:v>420915.93887200783</c:v>
                </c:pt>
                <c:pt idx="178">
                  <c:v>439260.97014113271</c:v>
                </c:pt>
                <c:pt idx="179">
                  <c:v>452286.31226203073</c:v>
                </c:pt>
                <c:pt idx="180">
                  <c:v>473206.8226123869</c:v>
                </c:pt>
                <c:pt idx="181">
                  <c:v>490713.28932429088</c:v>
                </c:pt>
                <c:pt idx="182">
                  <c:v>483822.40370028466</c:v>
                </c:pt>
                <c:pt idx="183">
                  <c:v>509785.11312463635</c:v>
                </c:pt>
                <c:pt idx="184">
                  <c:v>504997.29457988334</c:v>
                </c:pt>
                <c:pt idx="185">
                  <c:v>500389.44873014675</c:v>
                </c:pt>
                <c:pt idx="186">
                  <c:v>499645.1216818291</c:v>
                </c:pt>
                <c:pt idx="187">
                  <c:v>468873.15580179071</c:v>
                </c:pt>
                <c:pt idx="188">
                  <c:v>479538.21728709608</c:v>
                </c:pt>
                <c:pt idx="189">
                  <c:v>459825.58423243201</c:v>
                </c:pt>
                <c:pt idx="190">
                  <c:v>478496.78293983784</c:v>
                </c:pt>
                <c:pt idx="191">
                  <c:v>484741.46777965885</c:v>
                </c:pt>
                <c:pt idx="192">
                  <c:v>493895.51162299147</c:v>
                </c:pt>
                <c:pt idx="193">
                  <c:v>507602.86448304268</c:v>
                </c:pt>
                <c:pt idx="194">
                  <c:v>518077.4375462035</c:v>
                </c:pt>
                <c:pt idx="195">
                  <c:v>545257.89170136105</c:v>
                </c:pt>
                <c:pt idx="196">
                  <c:v>554184.37245083391</c:v>
                </c:pt>
                <c:pt idx="197">
                  <c:v>549940.51675785868</c:v>
                </c:pt>
                <c:pt idx="198">
                  <c:v>522075.71274657024</c:v>
                </c:pt>
                <c:pt idx="199">
                  <c:v>526624.78711279912</c:v>
                </c:pt>
                <c:pt idx="200">
                  <c:v>492604.30300529912</c:v>
                </c:pt>
                <c:pt idx="201">
                  <c:v>494540.41600348993</c:v>
                </c:pt>
                <c:pt idx="202">
                  <c:v>512744.64471012767</c:v>
                </c:pt>
                <c:pt idx="203">
                  <c:v>524385.15446857328</c:v>
                </c:pt>
                <c:pt idx="204">
                  <c:v>540874.71867954789</c:v>
                </c:pt>
                <c:pt idx="205">
                  <c:v>554176.60332919483</c:v>
                </c:pt>
                <c:pt idx="206">
                  <c:v>557606.31650279439</c:v>
                </c:pt>
                <c:pt idx="207">
                  <c:v>581609.32207077253</c:v>
                </c:pt>
                <c:pt idx="208">
                  <c:v>594002.57898886828</c:v>
                </c:pt>
                <c:pt idx="209">
                  <c:v>578271.82207687513</c:v>
                </c:pt>
                <c:pt idx="210">
                  <c:v>571402.31025989831</c:v>
                </c:pt>
                <c:pt idx="211">
                  <c:v>546251.04012809519</c:v>
                </c:pt>
                <c:pt idx="212">
                  <c:v>530691.97408388415</c:v>
                </c:pt>
                <c:pt idx="213">
                  <c:v>535855.83456211118</c:v>
                </c:pt>
                <c:pt idx="214">
                  <c:v>553564.31793428014</c:v>
                </c:pt>
                <c:pt idx="215">
                  <c:v>569818.86312526092</c:v>
                </c:pt>
                <c:pt idx="216">
                  <c:v>582442.364255241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0C-4215-AD15-DC6BBE49F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in val="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Y-S (= T+I)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TCSI!$I$1</c:f>
              <c:strCache>
                <c:ptCount val="1"/>
                <c:pt idx="0">
                  <c:v>T+C+I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TCSI!$I$2:$I$219</c:f>
              <c:numCache>
                <c:formatCode>0_);[Red]\(0\)</c:formatCode>
                <c:ptCount val="218"/>
                <c:pt idx="0">
                  <c:v>237275.76941037545</c:v>
                </c:pt>
                <c:pt idx="1">
                  <c:v>236007.36902508594</c:v>
                </c:pt>
                <c:pt idx="2">
                  <c:v>255713.25660487538</c:v>
                </c:pt>
                <c:pt idx="3">
                  <c:v>245671.87537141342</c:v>
                </c:pt>
                <c:pt idx="4">
                  <c:v>247714.20565193478</c:v>
                </c:pt>
                <c:pt idx="5">
                  <c:v>266128.93435485015</c:v>
                </c:pt>
                <c:pt idx="6">
                  <c:v>267014.13012607611</c:v>
                </c:pt>
                <c:pt idx="7">
                  <c:v>261174.50786195265</c:v>
                </c:pt>
                <c:pt idx="8">
                  <c:v>267792.21693265374</c:v>
                </c:pt>
                <c:pt idx="9">
                  <c:v>271453.93806556938</c:v>
                </c:pt>
                <c:pt idx="10">
                  <c:v>270496.90200061118</c:v>
                </c:pt>
                <c:pt idx="11">
                  <c:v>272846.49326045229</c:v>
                </c:pt>
                <c:pt idx="12">
                  <c:v>282513.61725980463</c:v>
                </c:pt>
                <c:pt idx="13">
                  <c:v>294408.47809833096</c:v>
                </c:pt>
                <c:pt idx="14">
                  <c:v>289663.63234693208</c:v>
                </c:pt>
                <c:pt idx="15">
                  <c:v>294190.03339012375</c:v>
                </c:pt>
                <c:pt idx="16">
                  <c:v>287811.65057349281</c:v>
                </c:pt>
                <c:pt idx="17">
                  <c:v>294879.31583079649</c:v>
                </c:pt>
                <c:pt idx="18">
                  <c:v>304363.20488200104</c:v>
                </c:pt>
                <c:pt idx="19">
                  <c:v>308333.14463688346</c:v>
                </c:pt>
                <c:pt idx="20">
                  <c:v>290789.23483688105</c:v>
                </c:pt>
                <c:pt idx="21">
                  <c:v>306428.39986410603</c:v>
                </c:pt>
                <c:pt idx="22">
                  <c:v>295526.23111121642</c:v>
                </c:pt>
                <c:pt idx="23">
                  <c:v>301960.62270564376</c:v>
                </c:pt>
                <c:pt idx="24">
                  <c:v>305182.97455734556</c:v>
                </c:pt>
                <c:pt idx="25">
                  <c:v>320140.17344877432</c:v>
                </c:pt>
                <c:pt idx="26">
                  <c:v>312421.08555190533</c:v>
                </c:pt>
                <c:pt idx="27">
                  <c:v>320322.86348613747</c:v>
                </c:pt>
                <c:pt idx="28">
                  <c:v>314430.72640166461</c:v>
                </c:pt>
                <c:pt idx="29">
                  <c:v>320720.86948241998</c:v>
                </c:pt>
                <c:pt idx="30">
                  <c:v>324494.37938551483</c:v>
                </c:pt>
                <c:pt idx="31">
                  <c:v>306605.06944431871</c:v>
                </c:pt>
                <c:pt idx="32">
                  <c:v>315312.60794084927</c:v>
                </c:pt>
                <c:pt idx="33">
                  <c:v>315617.47967219248</c:v>
                </c:pt>
                <c:pt idx="34">
                  <c:v>318321.57070489851</c:v>
                </c:pt>
                <c:pt idx="35">
                  <c:v>326314.37914470304</c:v>
                </c:pt>
                <c:pt idx="36">
                  <c:v>329222.59361575899</c:v>
                </c:pt>
                <c:pt idx="37">
                  <c:v>303937.47322249121</c:v>
                </c:pt>
                <c:pt idx="38">
                  <c:v>322447.62749308557</c:v>
                </c:pt>
                <c:pt idx="39">
                  <c:v>331903.52471057244</c:v>
                </c:pt>
                <c:pt idx="40">
                  <c:v>320732.29872685712</c:v>
                </c:pt>
                <c:pt idx="41">
                  <c:v>326969.51617563126</c:v>
                </c:pt>
                <c:pt idx="42">
                  <c:v>327081.29179074481</c:v>
                </c:pt>
                <c:pt idx="43">
                  <c:v>342702.76796648774</c:v>
                </c:pt>
                <c:pt idx="44">
                  <c:v>334072.10186486429</c:v>
                </c:pt>
                <c:pt idx="45">
                  <c:v>329001.82908556086</c:v>
                </c:pt>
                <c:pt idx="46">
                  <c:v>334660.90247338137</c:v>
                </c:pt>
                <c:pt idx="47">
                  <c:v>330158.66926355427</c:v>
                </c:pt>
                <c:pt idx="48">
                  <c:v>338093.53913011402</c:v>
                </c:pt>
                <c:pt idx="49">
                  <c:v>340373.98803192249</c:v>
                </c:pt>
                <c:pt idx="50">
                  <c:v>331117.76636491827</c:v>
                </c:pt>
                <c:pt idx="51">
                  <c:v>332535.05046739691</c:v>
                </c:pt>
                <c:pt idx="52">
                  <c:v>347321.17035371845</c:v>
                </c:pt>
                <c:pt idx="53">
                  <c:v>345389.29819564353</c:v>
                </c:pt>
                <c:pt idx="54">
                  <c:v>352453.56448700972</c:v>
                </c:pt>
                <c:pt idx="55">
                  <c:v>327715.62618955952</c:v>
                </c:pt>
                <c:pt idx="56">
                  <c:v>341289.43649211148</c:v>
                </c:pt>
                <c:pt idx="57">
                  <c:v>339486.02996639104</c:v>
                </c:pt>
                <c:pt idx="58">
                  <c:v>338378.56686972902</c:v>
                </c:pt>
                <c:pt idx="59">
                  <c:v>352324.78851337516</c:v>
                </c:pt>
                <c:pt idx="60">
                  <c:v>337213.84690886392</c:v>
                </c:pt>
                <c:pt idx="61">
                  <c:v>337809.04741831811</c:v>
                </c:pt>
                <c:pt idx="62">
                  <c:v>344591.78982822358</c:v>
                </c:pt>
                <c:pt idx="63">
                  <c:v>329676.07138745527</c:v>
                </c:pt>
                <c:pt idx="64">
                  <c:v>346410.91743367573</c:v>
                </c:pt>
                <c:pt idx="65">
                  <c:v>344804.93230388028</c:v>
                </c:pt>
                <c:pt idx="66">
                  <c:v>348730.66458671121</c:v>
                </c:pt>
                <c:pt idx="67">
                  <c:v>343519.78504649445</c:v>
                </c:pt>
                <c:pt idx="68">
                  <c:v>342429.19042043161</c:v>
                </c:pt>
                <c:pt idx="69">
                  <c:v>352895.90432013362</c:v>
                </c:pt>
                <c:pt idx="70">
                  <c:v>358835.68821964558</c:v>
                </c:pt>
                <c:pt idx="71">
                  <c:v>348057.04995338985</c:v>
                </c:pt>
                <c:pt idx="72">
                  <c:v>351357.82004460634</c:v>
                </c:pt>
                <c:pt idx="73">
                  <c:v>346033.30187963974</c:v>
                </c:pt>
                <c:pt idx="74">
                  <c:v>346570.4552711423</c:v>
                </c:pt>
                <c:pt idx="75">
                  <c:v>349061.42600342195</c:v>
                </c:pt>
                <c:pt idx="76">
                  <c:v>349982.03712262609</c:v>
                </c:pt>
                <c:pt idx="77">
                  <c:v>337274.01572012884</c:v>
                </c:pt>
                <c:pt idx="78">
                  <c:v>347879.48791723535</c:v>
                </c:pt>
                <c:pt idx="79">
                  <c:v>349162.30775113439</c:v>
                </c:pt>
                <c:pt idx="80">
                  <c:v>365771.90945016732</c:v>
                </c:pt>
                <c:pt idx="81">
                  <c:v>339124.69314276212</c:v>
                </c:pt>
                <c:pt idx="82">
                  <c:v>337562.50027349149</c:v>
                </c:pt>
                <c:pt idx="83">
                  <c:v>353607.30116282019</c:v>
                </c:pt>
                <c:pt idx="84">
                  <c:v>347511.99581720022</c:v>
                </c:pt>
                <c:pt idx="85">
                  <c:v>352922.43337374827</c:v>
                </c:pt>
                <c:pt idx="86">
                  <c:v>350927.56414430955</c:v>
                </c:pt>
                <c:pt idx="87">
                  <c:v>362489.33468247106</c:v>
                </c:pt>
                <c:pt idx="88">
                  <c:v>356980.62571459642</c:v>
                </c:pt>
                <c:pt idx="89">
                  <c:v>353166.94944282371</c:v>
                </c:pt>
                <c:pt idx="90">
                  <c:v>348772.64986785396</c:v>
                </c:pt>
                <c:pt idx="91">
                  <c:v>357296.00995991559</c:v>
                </c:pt>
                <c:pt idx="92">
                  <c:v>348213.29317577637</c:v>
                </c:pt>
                <c:pt idx="93">
                  <c:v>356847.28718409716</c:v>
                </c:pt>
                <c:pt idx="94">
                  <c:v>346306.60483954335</c:v>
                </c:pt>
                <c:pt idx="95">
                  <c:v>343716.95767207706</c:v>
                </c:pt>
                <c:pt idx="96">
                  <c:v>354982.26427021733</c:v>
                </c:pt>
                <c:pt idx="97">
                  <c:v>358969.35183659988</c:v>
                </c:pt>
                <c:pt idx="98">
                  <c:v>349557.81573916168</c:v>
                </c:pt>
                <c:pt idx="99">
                  <c:v>369378.68498301844</c:v>
                </c:pt>
                <c:pt idx="100">
                  <c:v>365654.44900462579</c:v>
                </c:pt>
                <c:pt idx="101">
                  <c:v>352159.92296042672</c:v>
                </c:pt>
                <c:pt idx="102">
                  <c:v>362175.22530764091</c:v>
                </c:pt>
                <c:pt idx="103">
                  <c:v>344205.9930258962</c:v>
                </c:pt>
                <c:pt idx="104">
                  <c:v>354958.0599597703</c:v>
                </c:pt>
                <c:pt idx="105">
                  <c:v>359711.11258537683</c:v>
                </c:pt>
                <c:pt idx="106">
                  <c:v>354316.3059518995</c:v>
                </c:pt>
                <c:pt idx="107">
                  <c:v>342523.91652220191</c:v>
                </c:pt>
                <c:pt idx="108">
                  <c:v>349515.47125863913</c:v>
                </c:pt>
                <c:pt idx="109">
                  <c:v>356288.74776894302</c:v>
                </c:pt>
                <c:pt idx="110">
                  <c:v>355805.15792012232</c:v>
                </c:pt>
                <c:pt idx="111">
                  <c:v>370224.81522301614</c:v>
                </c:pt>
                <c:pt idx="112">
                  <c:v>359291.20116563159</c:v>
                </c:pt>
                <c:pt idx="113">
                  <c:v>350437.48962443182</c:v>
                </c:pt>
                <c:pt idx="114">
                  <c:v>362772.61540898314</c:v>
                </c:pt>
                <c:pt idx="115">
                  <c:v>363787.78458623076</c:v>
                </c:pt>
                <c:pt idx="116">
                  <c:v>365971.26546569972</c:v>
                </c:pt>
                <c:pt idx="117">
                  <c:v>371243.48046170844</c:v>
                </c:pt>
                <c:pt idx="118">
                  <c:v>370885.71258027921</c:v>
                </c:pt>
                <c:pt idx="119">
                  <c:v>366757.95250667346</c:v>
                </c:pt>
                <c:pt idx="120">
                  <c:v>371719.94425853057</c:v>
                </c:pt>
                <c:pt idx="121">
                  <c:v>372510.97137942049</c:v>
                </c:pt>
                <c:pt idx="122">
                  <c:v>370419.81274538237</c:v>
                </c:pt>
                <c:pt idx="123">
                  <c:v>367673.67020454613</c:v>
                </c:pt>
                <c:pt idx="124">
                  <c:v>380480.72407884325</c:v>
                </c:pt>
                <c:pt idx="125">
                  <c:v>375072.10340027063</c:v>
                </c:pt>
                <c:pt idx="126">
                  <c:v>373363.20115164772</c:v>
                </c:pt>
                <c:pt idx="127">
                  <c:v>373999.64978513395</c:v>
                </c:pt>
                <c:pt idx="128">
                  <c:v>364342.63317065529</c:v>
                </c:pt>
                <c:pt idx="129">
                  <c:v>376939.35535809264</c:v>
                </c:pt>
                <c:pt idx="130">
                  <c:v>384085.8484587713</c:v>
                </c:pt>
                <c:pt idx="131">
                  <c:v>388108.09738886671</c:v>
                </c:pt>
                <c:pt idx="132">
                  <c:v>379105.6378531793</c:v>
                </c:pt>
                <c:pt idx="133">
                  <c:v>385931.6305247164</c:v>
                </c:pt>
                <c:pt idx="134">
                  <c:v>384114.32760252891</c:v>
                </c:pt>
                <c:pt idx="135">
                  <c:v>386847.46282503946</c:v>
                </c:pt>
                <c:pt idx="136">
                  <c:v>375376.75059677049</c:v>
                </c:pt>
                <c:pt idx="137">
                  <c:v>384430.48911353707</c:v>
                </c:pt>
                <c:pt idx="138">
                  <c:v>389862.06464320928</c:v>
                </c:pt>
                <c:pt idx="139">
                  <c:v>381906.17467650428</c:v>
                </c:pt>
                <c:pt idx="140">
                  <c:v>383709.51270392729</c:v>
                </c:pt>
                <c:pt idx="141">
                  <c:v>401958.05359992466</c:v>
                </c:pt>
                <c:pt idx="142">
                  <c:v>398822.77028238151</c:v>
                </c:pt>
                <c:pt idx="143">
                  <c:v>395196.8897782584</c:v>
                </c:pt>
                <c:pt idx="144">
                  <c:v>392904.90606524539</c:v>
                </c:pt>
                <c:pt idx="145">
                  <c:v>387579.09204625047</c:v>
                </c:pt>
                <c:pt idx="146">
                  <c:v>397755.24266425177</c:v>
                </c:pt>
                <c:pt idx="147">
                  <c:v>397118.05785215594</c:v>
                </c:pt>
                <c:pt idx="148">
                  <c:v>397961.1256607211</c:v>
                </c:pt>
                <c:pt idx="149">
                  <c:v>399363.58897663601</c:v>
                </c:pt>
                <c:pt idx="150">
                  <c:v>414538.31994558487</c:v>
                </c:pt>
                <c:pt idx="151">
                  <c:v>409598.77499901719</c:v>
                </c:pt>
                <c:pt idx="152">
                  <c:v>404767.38412706472</c:v>
                </c:pt>
                <c:pt idx="153">
                  <c:v>408028.60846954514</c:v>
                </c:pt>
                <c:pt idx="154">
                  <c:v>417117.72217482718</c:v>
                </c:pt>
                <c:pt idx="155">
                  <c:v>414278.19399833697</c:v>
                </c:pt>
                <c:pt idx="156">
                  <c:v>417106.70563540451</c:v>
                </c:pt>
                <c:pt idx="157">
                  <c:v>417746.27840115473</c:v>
                </c:pt>
                <c:pt idx="158">
                  <c:v>428600.99132436351</c:v>
                </c:pt>
                <c:pt idx="159">
                  <c:v>427398.59702963434</c:v>
                </c:pt>
                <c:pt idx="160">
                  <c:v>418392.98762873979</c:v>
                </c:pt>
                <c:pt idx="161">
                  <c:v>437043.60806647892</c:v>
                </c:pt>
                <c:pt idx="162">
                  <c:v>408591.34449524363</c:v>
                </c:pt>
                <c:pt idx="163">
                  <c:v>434107.05533721583</c:v>
                </c:pt>
                <c:pt idx="164">
                  <c:v>424403.66314341803</c:v>
                </c:pt>
                <c:pt idx="165">
                  <c:v>439274.66704582248</c:v>
                </c:pt>
                <c:pt idx="166">
                  <c:v>433109.10704983078</c:v>
                </c:pt>
                <c:pt idx="167">
                  <c:v>439428.15267935611</c:v>
                </c:pt>
                <c:pt idx="168">
                  <c:v>447307.9473713545</c:v>
                </c:pt>
                <c:pt idx="169">
                  <c:v>432102.21487777121</c:v>
                </c:pt>
                <c:pt idx="170">
                  <c:v>449236.04542249319</c:v>
                </c:pt>
                <c:pt idx="171">
                  <c:v>447262.02401902888</c:v>
                </c:pt>
                <c:pt idx="172">
                  <c:v>458650.40632272413</c:v>
                </c:pt>
                <c:pt idx="173">
                  <c:v>451243.43726089492</c:v>
                </c:pt>
                <c:pt idx="174">
                  <c:v>457489.1693249339</c:v>
                </c:pt>
                <c:pt idx="175">
                  <c:v>462721.26379898499</c:v>
                </c:pt>
                <c:pt idx="176">
                  <c:v>458228.09478509345</c:v>
                </c:pt>
                <c:pt idx="177">
                  <c:v>452723.67690607643</c:v>
                </c:pt>
                <c:pt idx="178">
                  <c:v>459110.30852612754</c:v>
                </c:pt>
                <c:pt idx="179">
                  <c:v>460842.78509211534</c:v>
                </c:pt>
                <c:pt idx="180">
                  <c:v>472617.83923736156</c:v>
                </c:pt>
                <c:pt idx="181">
                  <c:v>483487.82377845066</c:v>
                </c:pt>
                <c:pt idx="182">
                  <c:v>469119.434026881</c:v>
                </c:pt>
                <c:pt idx="183">
                  <c:v>483418.93697647937</c:v>
                </c:pt>
                <c:pt idx="184">
                  <c:v>474236.4027790043</c:v>
                </c:pt>
                <c:pt idx="185">
                  <c:v>476253.98682474392</c:v>
                </c:pt>
                <c:pt idx="186">
                  <c:v>490609.61274632253</c:v>
                </c:pt>
                <c:pt idx="187">
                  <c:v>480385.27084565553</c:v>
                </c:pt>
                <c:pt idx="188">
                  <c:v>509480.79316059774</c:v>
                </c:pt>
                <c:pt idx="189">
                  <c:v>491633.32226650062</c:v>
                </c:pt>
                <c:pt idx="190">
                  <c:v>498346.12132483267</c:v>
                </c:pt>
                <c:pt idx="191">
                  <c:v>493297.94060974347</c:v>
                </c:pt>
                <c:pt idx="192">
                  <c:v>493306.52824796614</c:v>
                </c:pt>
                <c:pt idx="193">
                  <c:v>500377.39893720247</c:v>
                </c:pt>
                <c:pt idx="194">
                  <c:v>503374.46787279984</c:v>
                </c:pt>
                <c:pt idx="195">
                  <c:v>518891.71555320412</c:v>
                </c:pt>
                <c:pt idx="196">
                  <c:v>523423.48064995487</c:v>
                </c:pt>
                <c:pt idx="197">
                  <c:v>525805.05485245585</c:v>
                </c:pt>
                <c:pt idx="198">
                  <c:v>513040.20381106366</c:v>
                </c:pt>
                <c:pt idx="199">
                  <c:v>538136.90215666394</c:v>
                </c:pt>
                <c:pt idx="200">
                  <c:v>522546.87887880078</c:v>
                </c:pt>
                <c:pt idx="201">
                  <c:v>526348.15403755847</c:v>
                </c:pt>
                <c:pt idx="202">
                  <c:v>532593.9830951225</c:v>
                </c:pt>
                <c:pt idx="203">
                  <c:v>532941.6272986579</c:v>
                </c:pt>
                <c:pt idx="204">
                  <c:v>540285.73530452256</c:v>
                </c:pt>
                <c:pt idx="205">
                  <c:v>546951.13778335461</c:v>
                </c:pt>
                <c:pt idx="206">
                  <c:v>542903.34682939074</c:v>
                </c:pt>
                <c:pt idx="207">
                  <c:v>555243.14592261554</c:v>
                </c:pt>
                <c:pt idx="208">
                  <c:v>563241.68718798924</c:v>
                </c:pt>
                <c:pt idx="209">
                  <c:v>554136.3601714723</c:v>
                </c:pt>
                <c:pt idx="210">
                  <c:v>562366.80132439174</c:v>
                </c:pt>
                <c:pt idx="211">
                  <c:v>557763.15517196001</c:v>
                </c:pt>
                <c:pt idx="212">
                  <c:v>560634.54995738587</c:v>
                </c:pt>
                <c:pt idx="213">
                  <c:v>567663.57259617979</c:v>
                </c:pt>
                <c:pt idx="214">
                  <c:v>573413.65631927503</c:v>
                </c:pt>
                <c:pt idx="215">
                  <c:v>578375.33595534554</c:v>
                </c:pt>
                <c:pt idx="216">
                  <c:v>581853.38088021567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1D8-452F-9D36-AC2D4D2F5D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in val="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Y-S-T (= 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TCSI!$G$1</c:f>
              <c:strCache>
                <c:ptCount val="1"/>
                <c:pt idx="0">
                  <c:v>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TCSI!$G$2:$G$219</c:f>
              <c:numCache>
                <c:formatCode>0_);[Red]\(0\)</c:formatCode>
                <c:ptCount val="218"/>
                <c:pt idx="0">
                  <c:v>-1938.4970964852316</c:v>
                </c:pt>
                <c:pt idx="1">
                  <c:v>-7081.7855697536152</c:v>
                </c:pt>
                <c:pt idx="2">
                  <c:v>9092.4584536362818</c:v>
                </c:pt>
                <c:pt idx="3">
                  <c:v>-4626.1159582222499</c:v>
                </c:pt>
                <c:pt idx="4">
                  <c:v>-6047.5440942945534</c:v>
                </c:pt>
                <c:pt idx="5">
                  <c:v>8884.2481723570854</c:v>
                </c:pt>
                <c:pt idx="6">
                  <c:v>6490.4225958250918</c:v>
                </c:pt>
                <c:pt idx="7">
                  <c:v>-2644.5808555027584</c:v>
                </c:pt>
                <c:pt idx="8">
                  <c:v>770.52187688091715</c:v>
                </c:pt>
                <c:pt idx="9">
                  <c:v>1419.6824709797243</c:v>
                </c:pt>
                <c:pt idx="10">
                  <c:v>-2562.3459558469208</c:v>
                </c:pt>
                <c:pt idx="11">
                  <c:v>-3056.5776194510731</c:v>
                </c:pt>
                <c:pt idx="12">
                  <c:v>3756.6864935049148</c:v>
                </c:pt>
                <c:pt idx="13">
                  <c:v>12882.200604451198</c:v>
                </c:pt>
                <c:pt idx="14">
                  <c:v>5707.2860959430582</c:v>
                </c:pt>
                <c:pt idx="15">
                  <c:v>7620.6673267570832</c:v>
                </c:pt>
                <c:pt idx="16">
                  <c:v>-1210.4625603406616</c:v>
                </c:pt>
                <c:pt idx="17">
                  <c:v>3399.6482636519781</c:v>
                </c:pt>
                <c:pt idx="18">
                  <c:v>10578.241223148383</c:v>
                </c:pt>
                <c:pt idx="19">
                  <c:v>12239.915234680417</c:v>
                </c:pt>
                <c:pt idx="20">
                  <c:v>-7538.7312815534024</c:v>
                </c:pt>
                <c:pt idx="21">
                  <c:v>6006.3243015364687</c:v>
                </c:pt>
                <c:pt idx="22">
                  <c:v>-6990.4422606475437</c:v>
                </c:pt>
                <c:pt idx="23">
                  <c:v>-2517.4347650775353</c:v>
                </c:pt>
                <c:pt idx="24">
                  <c:v>-1255.4985381205277</c:v>
                </c:pt>
                <c:pt idx="25">
                  <c:v>11807.22097758503</c:v>
                </c:pt>
                <c:pt idx="26">
                  <c:v>2432.4125741756575</c:v>
                </c:pt>
                <c:pt idx="27">
                  <c:v>8561.0564210031007</c:v>
                </c:pt>
                <c:pt idx="28">
                  <c:v>1011.6504514366856</c:v>
                </c:pt>
                <c:pt idx="29">
                  <c:v>5648.4735274459817</c:v>
                </c:pt>
                <c:pt idx="30">
                  <c:v>7877.918178780229</c:v>
                </c:pt>
                <c:pt idx="31">
                  <c:v>-11550.549632803728</c:v>
                </c:pt>
                <c:pt idx="32">
                  <c:v>-4326.2900854886466</c:v>
                </c:pt>
                <c:pt idx="33">
                  <c:v>-5404.9882155895757</c:v>
                </c:pt>
                <c:pt idx="34">
                  <c:v>-4078.3723898667713</c:v>
                </c:pt>
                <c:pt idx="35">
                  <c:v>2630.6178511768958</c:v>
                </c:pt>
                <c:pt idx="36">
                  <c:v>4261.7288494595496</c:v>
                </c:pt>
                <c:pt idx="37">
                  <c:v>-22251.540045094214</c:v>
                </c:pt>
                <c:pt idx="38">
                  <c:v>-4809.7420946872999</c:v>
                </c:pt>
                <c:pt idx="39">
                  <c:v>3507.407082750362</c:v>
                </c:pt>
                <c:pt idx="40">
                  <c:v>-8722.9610503530639</c:v>
                </c:pt>
                <c:pt idx="41">
                  <c:v>-3537.189177761562</c:v>
                </c:pt>
                <c:pt idx="42">
                  <c:v>-4402.561059803229</c:v>
                </c:pt>
                <c:pt idx="43">
                  <c:v>10249.644729205511</c:v>
                </c:pt>
                <c:pt idx="44">
                  <c:v>689.53256806172772</c:v>
                </c:pt>
                <c:pt idx="45">
                  <c:v>-5243.5012432307612</c:v>
                </c:pt>
                <c:pt idx="46">
                  <c:v>-439.26582669046098</c:v>
                </c:pt>
                <c:pt idx="47">
                  <c:v>-5734.4438873019362</c:v>
                </c:pt>
                <c:pt idx="48">
                  <c:v>1415.2887326165624</c:v>
                </c:pt>
                <c:pt idx="49">
                  <c:v>2944.1695094541237</c:v>
                </c:pt>
                <c:pt idx="50">
                  <c:v>-6985.8342776251484</c:v>
                </c:pt>
                <c:pt idx="51">
                  <c:v>-6258.6390068619376</c:v>
                </c:pt>
                <c:pt idx="52">
                  <c:v>7888.2118020655798</c:v>
                </c:pt>
                <c:pt idx="53">
                  <c:v>5324.1047690280202</c:v>
                </c:pt>
                <c:pt idx="54">
                  <c:v>11802.852616634509</c:v>
                </c:pt>
                <c:pt idx="55">
                  <c:v>-13514.067831516795</c:v>
                </c:pt>
                <c:pt idx="56">
                  <c:v>-493.91206304369666</c:v>
                </c:pt>
                <c:pt idx="57">
                  <c:v>-2810.0852430918062</c:v>
                </c:pt>
                <c:pt idx="58">
                  <c:v>-4424.7238993178953</c:v>
                </c:pt>
                <c:pt idx="59">
                  <c:v>9051.5800713508779</c:v>
                </c:pt>
                <c:pt idx="60">
                  <c:v>-6524.439469387049</c:v>
                </c:pt>
                <c:pt idx="61">
                  <c:v>-6374.5740007967088</c:v>
                </c:pt>
                <c:pt idx="62">
                  <c:v>21.986703433131556</c:v>
                </c:pt>
                <c:pt idx="63">
                  <c:v>-15304.5138599694</c:v>
                </c:pt>
                <c:pt idx="64">
                  <c:v>1048.6066578546829</c:v>
                </c:pt>
                <c:pt idx="65">
                  <c:v>-936.53153654856237</c:v>
                </c:pt>
                <c:pt idx="66">
                  <c:v>2636.100725745011</c:v>
                </c:pt>
                <c:pt idx="67">
                  <c:v>-2926.379520423438</c:v>
                </c:pt>
                <c:pt idx="68">
                  <c:v>-4356.1070650153642</c:v>
                </c:pt>
                <c:pt idx="69">
                  <c:v>5793.3250659148944</c:v>
                </c:pt>
                <c:pt idx="70">
                  <c:v>11415.545730031885</c:v>
                </c:pt>
                <c:pt idx="71">
                  <c:v>338.622702892277</c:v>
                </c:pt>
                <c:pt idx="72">
                  <c:v>3339.5423922133205</c:v>
                </c:pt>
                <c:pt idx="73">
                  <c:v>-2277.2745494162637</c:v>
                </c:pt>
                <c:pt idx="74">
                  <c:v>-1998.442545609877</c:v>
                </c:pt>
                <c:pt idx="75">
                  <c:v>211.95381588720574</c:v>
                </c:pt>
                <c:pt idx="76">
                  <c:v>865.61223655570416</c:v>
                </c:pt>
                <c:pt idx="77">
                  <c:v>-12114.440966999189</c:v>
                </c:pt>
                <c:pt idx="78">
                  <c:v>-1769.3839528373173</c:v>
                </c:pt>
                <c:pt idx="79">
                  <c:v>-753.60559371678517</c:v>
                </c:pt>
                <c:pt idx="80">
                  <c:v>15590.157452387934</c:v>
                </c:pt>
                <c:pt idx="81">
                  <c:v>-11314.008866310842</c:v>
                </c:pt>
                <c:pt idx="82">
                  <c:v>-13142.241775991937</c:v>
                </c:pt>
                <c:pt idx="83">
                  <c:v>2643.7910884398311</c:v>
                </c:pt>
                <c:pt idx="84">
                  <c:v>-3721.0881113700725</c:v>
                </c:pt>
                <c:pt idx="85">
                  <c:v>1416.7307119821226</c:v>
                </c:pt>
                <c:pt idx="86">
                  <c:v>-827.6796491733063</c:v>
                </c:pt>
                <c:pt idx="87">
                  <c:v>10453.403192210697</c:v>
                </c:pt>
                <c:pt idx="88">
                  <c:v>4667.9155574108545</c:v>
                </c:pt>
                <c:pt idx="89">
                  <c:v>562.14562298670501</c:v>
                </c:pt>
                <c:pt idx="90">
                  <c:v>-4121.4464034273051</c:v>
                </c:pt>
                <c:pt idx="91">
                  <c:v>4095.3861959536557</c:v>
                </c:pt>
                <c:pt idx="92">
                  <c:v>-5302.3255987597213</c:v>
                </c:pt>
                <c:pt idx="93">
                  <c:v>3018.0678348158094</c:v>
                </c:pt>
                <c:pt idx="94">
                  <c:v>-7856.4442220059291</c:v>
                </c:pt>
                <c:pt idx="95">
                  <c:v>-10779.288501310042</c:v>
                </c:pt>
                <c:pt idx="96">
                  <c:v>130.54560268930231</c:v>
                </c:pt>
                <c:pt idx="97">
                  <c:v>3750.1138173096297</c:v>
                </c:pt>
                <c:pt idx="98">
                  <c:v>-6016.7491729159756</c:v>
                </c:pt>
                <c:pt idx="99">
                  <c:v>13411.331151148441</c:v>
                </c:pt>
                <c:pt idx="100">
                  <c:v>9293.6129224824435</c:v>
                </c:pt>
                <c:pt idx="101">
                  <c:v>-4621.9608141512399</c:v>
                </c:pt>
                <c:pt idx="102">
                  <c:v>4971.2907198364956</c:v>
                </c:pt>
                <c:pt idx="103">
                  <c:v>-13449.750155062418</c:v>
                </c:pt>
                <c:pt idx="104">
                  <c:v>-3166.0552233017524</c:v>
                </c:pt>
                <c:pt idx="105">
                  <c:v>1117.3869975229741</c:v>
                </c:pt>
                <c:pt idx="106">
                  <c:v>-4780.1605280656586</c:v>
                </c:pt>
                <c:pt idx="107">
                  <c:v>-17076.535611003794</c:v>
                </c:pt>
                <c:pt idx="108">
                  <c:v>-10624.373035634295</c:v>
                </c:pt>
                <c:pt idx="109">
                  <c:v>-4409.9613485929276</c:v>
                </c:pt>
                <c:pt idx="110">
                  <c:v>-5415.5316499260744</c:v>
                </c:pt>
                <c:pt idx="111">
                  <c:v>8406.6752791992058</c:v>
                </c:pt>
                <c:pt idx="112">
                  <c:v>-3125.1565881864904</c:v>
                </c:pt>
                <c:pt idx="113">
                  <c:v>-12618.242754621439</c:v>
                </c:pt>
                <c:pt idx="114">
                  <c:v>-922.87434673432756</c:v>
                </c:pt>
                <c:pt idx="115">
                  <c:v>-590.98196158347957</c:v>
                </c:pt>
                <c:pt idx="116">
                  <c:v>886.18125868158927</c:v>
                </c:pt>
                <c:pt idx="117">
                  <c:v>5452.475970107208</c:v>
                </c:pt>
                <c:pt idx="118">
                  <c:v>4341.6708641173</c:v>
                </c:pt>
                <c:pt idx="119">
                  <c:v>-538.08337562217753</c:v>
                </c:pt>
                <c:pt idx="120">
                  <c:v>3622.39338244275</c:v>
                </c:pt>
                <c:pt idx="121">
                  <c:v>3586.6235348762511</c:v>
                </c:pt>
                <c:pt idx="122">
                  <c:v>726.60059313201782</c:v>
                </c:pt>
                <c:pt idx="123">
                  <c:v>-2895.6069074057982</c:v>
                </c:pt>
                <c:pt idx="124">
                  <c:v>9038.4437053617821</c:v>
                </c:pt>
                <c:pt idx="125">
                  <c:v>2701.3048062690309</c:v>
                </c:pt>
                <c:pt idx="126">
                  <c:v>67.923976144924197</c:v>
                </c:pt>
                <c:pt idx="127">
                  <c:v>-278.05266346445705</c:v>
                </c:pt>
                <c:pt idx="128">
                  <c:v>-10945.419011441225</c:v>
                </c:pt>
                <c:pt idx="129">
                  <c:v>646.63596411609421</c:v>
                </c:pt>
                <c:pt idx="130">
                  <c:v>6726.8453364502957</c:v>
                </c:pt>
                <c:pt idx="131">
                  <c:v>9689.6895773113465</c:v>
                </c:pt>
                <c:pt idx="132">
                  <c:v>-436.22179585768555</c:v>
                </c:pt>
                <c:pt idx="133">
                  <c:v>5236.8215013494364</c:v>
                </c:pt>
                <c:pt idx="134">
                  <c:v>2352.5542184496235</c:v>
                </c:pt>
                <c:pt idx="135">
                  <c:v>3875.8228379368238</c:v>
                </c:pt>
                <c:pt idx="136">
                  <c:v>-8794.5675324026561</c:v>
                </c:pt>
                <c:pt idx="137">
                  <c:v>-1010.541954961174</c:v>
                </c:pt>
                <c:pt idx="138">
                  <c:v>3162.9790904002061</c:v>
                </c:pt>
                <c:pt idx="139">
                  <c:v>-6123.3999085762398</c:v>
                </c:pt>
                <c:pt idx="140">
                  <c:v>-5681.7653772489757</c:v>
                </c:pt>
                <c:pt idx="141">
                  <c:v>11219.083483824114</c:v>
                </c:pt>
                <c:pt idx="142">
                  <c:v>6660.0839515149964</c:v>
                </c:pt>
                <c:pt idx="143">
                  <c:v>1626.1448471749377</c:v>
                </c:pt>
                <c:pt idx="144">
                  <c:v>-2152.2779199863239</c:v>
                </c:pt>
                <c:pt idx="145">
                  <c:v>-8996.6506187994692</c:v>
                </c:pt>
                <c:pt idx="146">
                  <c:v>-270.29768635234223</c:v>
                </c:pt>
                <c:pt idx="147">
                  <c:v>-2488.622122939521</c:v>
                </c:pt>
                <c:pt idx="148">
                  <c:v>-3206.6565667108744</c:v>
                </c:pt>
                <c:pt idx="149">
                  <c:v>-3449.4442661119706</c:v>
                </c:pt>
                <c:pt idx="150">
                  <c:v>10101.93485040308</c:v>
                </c:pt>
                <c:pt idx="151">
                  <c:v>3452.6231142819861</c:v>
                </c:pt>
                <c:pt idx="152">
                  <c:v>-3121.4481698832974</c:v>
                </c:pt>
                <c:pt idx="153">
                  <c:v>-1578.0932309334387</c:v>
                </c:pt>
                <c:pt idx="154">
                  <c:v>5703.3799988035526</c:v>
                </c:pt>
                <c:pt idx="155">
                  <c:v>1083.0177807137363</c:v>
                </c:pt>
                <c:pt idx="156">
                  <c:v>2038.7440936754317</c:v>
                </c:pt>
                <c:pt idx="157">
                  <c:v>772.38237033705502</c:v>
                </c:pt>
                <c:pt idx="158">
                  <c:v>9877.102099814334</c:v>
                </c:pt>
                <c:pt idx="159">
                  <c:v>6705.6548873095799</c:v>
                </c:pt>
                <c:pt idx="160">
                  <c:v>-4237.0596231511645</c:v>
                </c:pt>
                <c:pt idx="161">
                  <c:v>12379.282197684772</c:v>
                </c:pt>
                <c:pt idx="162">
                  <c:v>-18073.160972793663</c:v>
                </c:pt>
                <c:pt idx="163">
                  <c:v>5343.1650108942158</c:v>
                </c:pt>
                <c:pt idx="164">
                  <c:v>-6492.6249930592048</c:v>
                </c:pt>
                <c:pt idx="165">
                  <c:v>6283.3964859791549</c:v>
                </c:pt>
                <c:pt idx="166">
                  <c:v>-2079.3218294066724</c:v>
                </c:pt>
                <c:pt idx="167">
                  <c:v>2082.223307688319</c:v>
                </c:pt>
                <c:pt idx="168">
                  <c:v>7700.4381827011248</c:v>
                </c:pt>
                <c:pt idx="169">
                  <c:v>-9799.4549588749178</c:v>
                </c:pt>
                <c:pt idx="170">
                  <c:v>5234.3275199301206</c:v>
                </c:pt>
                <c:pt idx="171">
                  <c:v>904.48242667447983</c:v>
                </c:pt>
                <c:pt idx="172">
                  <c:v>9982.3789884235957</c:v>
                </c:pt>
                <c:pt idx="173">
                  <c:v>156.38042683891467</c:v>
                </c:pt>
                <c:pt idx="174">
                  <c:v>4030.7604138624743</c:v>
                </c:pt>
                <c:pt idx="175">
                  <c:v>6781.2627737795665</c:v>
                </c:pt>
                <c:pt idx="176">
                  <c:v>-225.0179373049464</c:v>
                </c:pt>
                <c:pt idx="177">
                  <c:v>-8191.3017502240673</c:v>
                </c:pt>
                <c:pt idx="178">
                  <c:v>-4379.2088440431908</c:v>
                </c:pt>
                <c:pt idx="179">
                  <c:v>-5167.6369202514852</c:v>
                </c:pt>
                <c:pt idx="180">
                  <c:v>3972.3141981701183</c:v>
                </c:pt>
                <c:pt idx="181">
                  <c:v>12176.775778964879</c:v>
                </c:pt>
                <c:pt idx="182">
                  <c:v>-4625.1162291421442</c:v>
                </c:pt>
                <c:pt idx="183">
                  <c:v>6951.6870375600174</c:v>
                </c:pt>
                <c:pt idx="184">
                  <c:v>-4893.9442647146525</c:v>
                </c:pt>
                <c:pt idx="185">
                  <c:v>-5657.1122500827441</c:v>
                </c:pt>
                <c:pt idx="186">
                  <c:v>5979.7908246839506</c:v>
                </c:pt>
                <c:pt idx="187">
                  <c:v>-7082.1886288527403</c:v>
                </c:pt>
                <c:pt idx="188">
                  <c:v>19147.262294199318</c:v>
                </c:pt>
                <c:pt idx="189">
                  <c:v>-1500.5830228747561</c:v>
                </c:pt>
                <c:pt idx="190">
                  <c:v>2291.1844221514702</c:v>
                </c:pt>
                <c:pt idx="191">
                  <c:v>-5609.897886079716</c:v>
                </c:pt>
                <c:pt idx="192">
                  <c:v>-8575.9157974342361</c:v>
                </c:pt>
                <c:pt idx="193">
                  <c:v>-4506.3174556775457</c:v>
                </c:pt>
                <c:pt idx="194">
                  <c:v>-4340.6848522230912</c:v>
                </c:pt>
                <c:pt idx="195">
                  <c:v>8124.8013868554744</c:v>
                </c:pt>
                <c:pt idx="196">
                  <c:v>9678.9812740250836</c:v>
                </c:pt>
                <c:pt idx="197">
                  <c:v>8959.0550760653714</c:v>
                </c:pt>
                <c:pt idx="198">
                  <c:v>-6830.7076898921468</c:v>
                </c:pt>
                <c:pt idx="199">
                  <c:v>15116.443073672759</c:v>
                </c:pt>
                <c:pt idx="200">
                  <c:v>-3646.8688355548079</c:v>
                </c:pt>
                <c:pt idx="201">
                  <c:v>-2938.6792554127396</c:v>
                </c:pt>
                <c:pt idx="202">
                  <c:v>88.530987036061646</c:v>
                </c:pt>
                <c:pt idx="203">
                  <c:v>-2699.8641781602801</c:v>
                </c:pt>
                <c:pt idx="204">
                  <c:v>1382.2060184319712</c:v>
                </c:pt>
                <c:pt idx="205">
                  <c:v>4764.2657525083214</c:v>
                </c:pt>
                <c:pt idx="206">
                  <c:v>-2266.9984719007134</c:v>
                </c:pt>
                <c:pt idx="207">
                  <c:v>6750.3771190436464</c:v>
                </c:pt>
                <c:pt idx="208">
                  <c:v>11514.867778299613</c:v>
                </c:pt>
                <c:pt idx="209">
                  <c:v>-951.19449156884298</c:v>
                </c:pt>
                <c:pt idx="210">
                  <c:v>4009.1813917978657</c:v>
                </c:pt>
                <c:pt idx="211">
                  <c:v>-3991.2965844298305</c:v>
                </c:pt>
                <c:pt idx="212">
                  <c:v>-4534.2008338848918</c:v>
                </c:pt>
                <c:pt idx="213">
                  <c:v>-825.39880328253969</c:v>
                </c:pt>
                <c:pt idx="214">
                  <c:v>1477.7956683138359</c:v>
                </c:pt>
                <c:pt idx="215">
                  <c:v>3088.883144912777</c:v>
                </c:pt>
                <c:pt idx="216">
                  <c:v>3089.8831449127802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E08-4AC6-A84F-B285AC02DC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&quot;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ax val="200000"/>
          <c:min val="-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TCSI!$E$1</c:f>
              <c:strCache>
                <c:ptCount val="1"/>
                <c:pt idx="0">
                  <c:v>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TCSI!$E$2:$E$219</c:f>
              <c:numCache>
                <c:formatCode>0_);[Red]\(0\)</c:formatCode>
                <c:ptCount val="218"/>
                <c:pt idx="0">
                  <c:v>588.98337502532581</c:v>
                </c:pt>
                <c:pt idx="1">
                  <c:v>7225.4655458402231</c:v>
                </c:pt>
                <c:pt idx="2">
                  <c:v>14702.969673403668</c:v>
                </c:pt>
                <c:pt idx="3">
                  <c:v>26366.176148156963</c:v>
                </c:pt>
                <c:pt idx="4">
                  <c:v>30760.891800879039</c:v>
                </c:pt>
                <c:pt idx="5">
                  <c:v>24135.461905402834</c:v>
                </c:pt>
                <c:pt idx="6">
                  <c:v>9035.5089355065847</c:v>
                </c:pt>
                <c:pt idx="7">
                  <c:v>-11512.115043864824</c:v>
                </c:pt>
                <c:pt idx="8">
                  <c:v>-29942.575873501661</c:v>
                </c:pt>
                <c:pt idx="9">
                  <c:v>-31807.738034068618</c:v>
                </c:pt>
                <c:pt idx="10">
                  <c:v>-19849.338384994844</c:v>
                </c:pt>
                <c:pt idx="11">
                  <c:v>-8556.4728300846164</c:v>
                </c:pt>
                <c:pt idx="12">
                  <c:v>588.98337502532581</c:v>
                </c:pt>
                <c:pt idx="13">
                  <c:v>7225.4655458402231</c:v>
                </c:pt>
                <c:pt idx="14">
                  <c:v>14702.969673403668</c:v>
                </c:pt>
                <c:pt idx="15">
                  <c:v>26366.176148156963</c:v>
                </c:pt>
                <c:pt idx="16">
                  <c:v>30760.891800879039</c:v>
                </c:pt>
                <c:pt idx="17">
                  <c:v>24135.461905402834</c:v>
                </c:pt>
                <c:pt idx="18">
                  <c:v>9035.5089355065847</c:v>
                </c:pt>
                <c:pt idx="19">
                  <c:v>-11512.115043864824</c:v>
                </c:pt>
                <c:pt idx="20">
                  <c:v>-29942.575873501661</c:v>
                </c:pt>
                <c:pt idx="21">
                  <c:v>-31807.738034068618</c:v>
                </c:pt>
                <c:pt idx="22">
                  <c:v>-19849.338384994844</c:v>
                </c:pt>
                <c:pt idx="23">
                  <c:v>-8556.4728300846164</c:v>
                </c:pt>
                <c:pt idx="24">
                  <c:v>588.98337502532581</c:v>
                </c:pt>
                <c:pt idx="25">
                  <c:v>7225.4655458402231</c:v>
                </c:pt>
                <c:pt idx="26">
                  <c:v>14702.969673403668</c:v>
                </c:pt>
                <c:pt idx="27">
                  <c:v>26366.176148156963</c:v>
                </c:pt>
                <c:pt idx="28">
                  <c:v>30760.891800879039</c:v>
                </c:pt>
                <c:pt idx="29">
                  <c:v>24135.461905402834</c:v>
                </c:pt>
                <c:pt idx="30">
                  <c:v>9035.5089355065847</c:v>
                </c:pt>
                <c:pt idx="31">
                  <c:v>-11512.115043864824</c:v>
                </c:pt>
                <c:pt idx="32">
                  <c:v>-29942.575873501661</c:v>
                </c:pt>
                <c:pt idx="33">
                  <c:v>-31807.738034068618</c:v>
                </c:pt>
                <c:pt idx="34">
                  <c:v>-19849.338384994844</c:v>
                </c:pt>
                <c:pt idx="35">
                  <c:v>-8556.4728300846164</c:v>
                </c:pt>
                <c:pt idx="36">
                  <c:v>588.98337502532581</c:v>
                </c:pt>
                <c:pt idx="37">
                  <c:v>7225.4655458402231</c:v>
                </c:pt>
                <c:pt idx="38">
                  <c:v>14702.969673403668</c:v>
                </c:pt>
                <c:pt idx="39">
                  <c:v>26366.176148156963</c:v>
                </c:pt>
                <c:pt idx="40">
                  <c:v>30760.891800879039</c:v>
                </c:pt>
                <c:pt idx="41">
                  <c:v>24135.461905402834</c:v>
                </c:pt>
                <c:pt idx="42">
                  <c:v>9035.5089355065847</c:v>
                </c:pt>
                <c:pt idx="43">
                  <c:v>-11512.115043864824</c:v>
                </c:pt>
                <c:pt idx="44">
                  <c:v>-29942.575873501661</c:v>
                </c:pt>
                <c:pt idx="45">
                  <c:v>-31807.738034068618</c:v>
                </c:pt>
                <c:pt idx="46">
                  <c:v>-19849.338384994844</c:v>
                </c:pt>
                <c:pt idx="47">
                  <c:v>-8556.4728300846164</c:v>
                </c:pt>
                <c:pt idx="48">
                  <c:v>588.98337502532581</c:v>
                </c:pt>
                <c:pt idx="49">
                  <c:v>7225.4655458402231</c:v>
                </c:pt>
                <c:pt idx="50">
                  <c:v>14702.969673403668</c:v>
                </c:pt>
                <c:pt idx="51">
                  <c:v>26366.176148156963</c:v>
                </c:pt>
                <c:pt idx="52">
                  <c:v>30760.891800879039</c:v>
                </c:pt>
                <c:pt idx="53">
                  <c:v>24135.461905402834</c:v>
                </c:pt>
                <c:pt idx="54">
                  <c:v>9035.5089355065847</c:v>
                </c:pt>
                <c:pt idx="55">
                  <c:v>-11512.115043864824</c:v>
                </c:pt>
                <c:pt idx="56">
                  <c:v>-29942.575873501661</c:v>
                </c:pt>
                <c:pt idx="57">
                  <c:v>-31807.738034068618</c:v>
                </c:pt>
                <c:pt idx="58">
                  <c:v>-19849.338384994844</c:v>
                </c:pt>
                <c:pt idx="59">
                  <c:v>-8556.4728300846164</c:v>
                </c:pt>
                <c:pt idx="60">
                  <c:v>588.98337502532581</c:v>
                </c:pt>
                <c:pt idx="61">
                  <c:v>7225.4655458402231</c:v>
                </c:pt>
                <c:pt idx="62">
                  <c:v>14702.969673403668</c:v>
                </c:pt>
                <c:pt idx="63">
                  <c:v>26366.176148156963</c:v>
                </c:pt>
                <c:pt idx="64">
                  <c:v>30760.891800879039</c:v>
                </c:pt>
                <c:pt idx="65">
                  <c:v>24135.461905402834</c:v>
                </c:pt>
                <c:pt idx="66">
                  <c:v>9035.5089355065847</c:v>
                </c:pt>
                <c:pt idx="67">
                  <c:v>-11512.115043864824</c:v>
                </c:pt>
                <c:pt idx="68">
                  <c:v>-29942.575873501661</c:v>
                </c:pt>
                <c:pt idx="69">
                  <c:v>-31807.738034068618</c:v>
                </c:pt>
                <c:pt idx="70">
                  <c:v>-19849.338384994844</c:v>
                </c:pt>
                <c:pt idx="71">
                  <c:v>-8556.4728300846164</c:v>
                </c:pt>
                <c:pt idx="72">
                  <c:v>588.98337502532581</c:v>
                </c:pt>
                <c:pt idx="73">
                  <c:v>7225.4655458402231</c:v>
                </c:pt>
                <c:pt idx="74">
                  <c:v>14702.969673403668</c:v>
                </c:pt>
                <c:pt idx="75">
                  <c:v>26366.176148156963</c:v>
                </c:pt>
                <c:pt idx="76">
                  <c:v>30760.891800879039</c:v>
                </c:pt>
                <c:pt idx="77">
                  <c:v>24135.461905402834</c:v>
                </c:pt>
                <c:pt idx="78">
                  <c:v>9035.5089355065847</c:v>
                </c:pt>
                <c:pt idx="79">
                  <c:v>-11512.115043864824</c:v>
                </c:pt>
                <c:pt idx="80">
                  <c:v>-29942.575873501661</c:v>
                </c:pt>
                <c:pt idx="81">
                  <c:v>-31807.738034068618</c:v>
                </c:pt>
                <c:pt idx="82">
                  <c:v>-19849.338384994844</c:v>
                </c:pt>
                <c:pt idx="83">
                  <c:v>-8556.4728300846164</c:v>
                </c:pt>
                <c:pt idx="84">
                  <c:v>588.98337502532581</c:v>
                </c:pt>
                <c:pt idx="85">
                  <c:v>7225.4655458402231</c:v>
                </c:pt>
                <c:pt idx="86">
                  <c:v>14702.969673403668</c:v>
                </c:pt>
                <c:pt idx="87">
                  <c:v>26366.176148156963</c:v>
                </c:pt>
                <c:pt idx="88">
                  <c:v>30760.891800879039</c:v>
                </c:pt>
                <c:pt idx="89">
                  <c:v>24135.461905402834</c:v>
                </c:pt>
                <c:pt idx="90">
                  <c:v>9035.5089355065847</c:v>
                </c:pt>
                <c:pt idx="91">
                  <c:v>-11512.115043864824</c:v>
                </c:pt>
                <c:pt idx="92">
                  <c:v>-29942.575873501661</c:v>
                </c:pt>
                <c:pt idx="93">
                  <c:v>-31807.738034068618</c:v>
                </c:pt>
                <c:pt idx="94">
                  <c:v>-19849.338384994844</c:v>
                </c:pt>
                <c:pt idx="95">
                  <c:v>-8556.4728300846164</c:v>
                </c:pt>
                <c:pt idx="96">
                  <c:v>588.98337502532581</c:v>
                </c:pt>
                <c:pt idx="97">
                  <c:v>7225.4655458402231</c:v>
                </c:pt>
                <c:pt idx="98">
                  <c:v>14702.969673403668</c:v>
                </c:pt>
                <c:pt idx="99">
                  <c:v>26366.176148156963</c:v>
                </c:pt>
                <c:pt idx="100">
                  <c:v>30760.891800879039</c:v>
                </c:pt>
                <c:pt idx="101">
                  <c:v>24135.461905402834</c:v>
                </c:pt>
                <c:pt idx="102">
                  <c:v>9035.5089355065847</c:v>
                </c:pt>
                <c:pt idx="103">
                  <c:v>-11512.115043864824</c:v>
                </c:pt>
                <c:pt idx="104">
                  <c:v>-29942.575873501661</c:v>
                </c:pt>
                <c:pt idx="105">
                  <c:v>-31807.738034068618</c:v>
                </c:pt>
                <c:pt idx="106">
                  <c:v>-19849.338384994844</c:v>
                </c:pt>
                <c:pt idx="107">
                  <c:v>-8556.4728300846164</c:v>
                </c:pt>
                <c:pt idx="108">
                  <c:v>588.98337502532581</c:v>
                </c:pt>
                <c:pt idx="109">
                  <c:v>7225.4655458402231</c:v>
                </c:pt>
                <c:pt idx="110">
                  <c:v>14702.969673403668</c:v>
                </c:pt>
                <c:pt idx="111">
                  <c:v>26366.176148156963</c:v>
                </c:pt>
                <c:pt idx="112">
                  <c:v>30760.891800879039</c:v>
                </c:pt>
                <c:pt idx="113">
                  <c:v>24135.461905402834</c:v>
                </c:pt>
                <c:pt idx="114">
                  <c:v>9035.5089355065847</c:v>
                </c:pt>
                <c:pt idx="115">
                  <c:v>-11512.115043864824</c:v>
                </c:pt>
                <c:pt idx="116">
                  <c:v>-29942.575873501661</c:v>
                </c:pt>
                <c:pt idx="117">
                  <c:v>-31807.738034068618</c:v>
                </c:pt>
                <c:pt idx="118">
                  <c:v>-19849.338384994844</c:v>
                </c:pt>
                <c:pt idx="119">
                  <c:v>-8556.4728300846164</c:v>
                </c:pt>
                <c:pt idx="120">
                  <c:v>588.98337502532581</c:v>
                </c:pt>
                <c:pt idx="121">
                  <c:v>7225.4655458402231</c:v>
                </c:pt>
                <c:pt idx="122">
                  <c:v>14702.969673403668</c:v>
                </c:pt>
                <c:pt idx="123">
                  <c:v>26366.176148156963</c:v>
                </c:pt>
                <c:pt idx="124">
                  <c:v>30760.891800879039</c:v>
                </c:pt>
                <c:pt idx="125">
                  <c:v>24135.461905402834</c:v>
                </c:pt>
                <c:pt idx="126">
                  <c:v>9035.5089355065847</c:v>
                </c:pt>
                <c:pt idx="127">
                  <c:v>-11512.115043864824</c:v>
                </c:pt>
                <c:pt idx="128">
                  <c:v>-29942.575873501661</c:v>
                </c:pt>
                <c:pt idx="129">
                  <c:v>-31807.738034068618</c:v>
                </c:pt>
                <c:pt idx="130">
                  <c:v>-19849.338384994844</c:v>
                </c:pt>
                <c:pt idx="131">
                  <c:v>-8556.4728300846164</c:v>
                </c:pt>
                <c:pt idx="132">
                  <c:v>588.98337502532581</c:v>
                </c:pt>
                <c:pt idx="133">
                  <c:v>7225.4655458402231</c:v>
                </c:pt>
                <c:pt idx="134">
                  <c:v>14702.969673403668</c:v>
                </c:pt>
                <c:pt idx="135">
                  <c:v>26366.176148156963</c:v>
                </c:pt>
                <c:pt idx="136">
                  <c:v>30760.891800879039</c:v>
                </c:pt>
                <c:pt idx="137">
                  <c:v>24135.461905402834</c:v>
                </c:pt>
                <c:pt idx="138">
                  <c:v>9035.5089355065847</c:v>
                </c:pt>
                <c:pt idx="139">
                  <c:v>-11512.115043864824</c:v>
                </c:pt>
                <c:pt idx="140">
                  <c:v>-29942.575873501661</c:v>
                </c:pt>
                <c:pt idx="141">
                  <c:v>-31807.738034068618</c:v>
                </c:pt>
                <c:pt idx="142">
                  <c:v>-19849.338384994844</c:v>
                </c:pt>
                <c:pt idx="143">
                  <c:v>-8556.4728300846164</c:v>
                </c:pt>
                <c:pt idx="144">
                  <c:v>588.98337502532581</c:v>
                </c:pt>
                <c:pt idx="145">
                  <c:v>7225.4655458402231</c:v>
                </c:pt>
                <c:pt idx="146">
                  <c:v>14702.969673403668</c:v>
                </c:pt>
                <c:pt idx="147">
                  <c:v>26366.176148156963</c:v>
                </c:pt>
                <c:pt idx="148">
                  <c:v>30760.891800879039</c:v>
                </c:pt>
                <c:pt idx="149">
                  <c:v>24135.461905402834</c:v>
                </c:pt>
                <c:pt idx="150">
                  <c:v>9035.5089355065847</c:v>
                </c:pt>
                <c:pt idx="151">
                  <c:v>-11512.115043864824</c:v>
                </c:pt>
                <c:pt idx="152">
                  <c:v>-29942.575873501661</c:v>
                </c:pt>
                <c:pt idx="153">
                  <c:v>-31807.738034068618</c:v>
                </c:pt>
                <c:pt idx="154">
                  <c:v>-19849.338384994844</c:v>
                </c:pt>
                <c:pt idx="155">
                  <c:v>-8556.4728300846164</c:v>
                </c:pt>
                <c:pt idx="156">
                  <c:v>588.98337502532581</c:v>
                </c:pt>
                <c:pt idx="157">
                  <c:v>7225.4655458402231</c:v>
                </c:pt>
                <c:pt idx="158">
                  <c:v>14702.969673403668</c:v>
                </c:pt>
                <c:pt idx="159">
                  <c:v>26366.176148156963</c:v>
                </c:pt>
                <c:pt idx="160">
                  <c:v>30760.891800879039</c:v>
                </c:pt>
                <c:pt idx="161">
                  <c:v>24135.461905402834</c:v>
                </c:pt>
                <c:pt idx="162">
                  <c:v>9035.5089355065847</c:v>
                </c:pt>
                <c:pt idx="163">
                  <c:v>-11512.115043864824</c:v>
                </c:pt>
                <c:pt idx="164">
                  <c:v>-29942.575873501661</c:v>
                </c:pt>
                <c:pt idx="165">
                  <c:v>-31807.738034068618</c:v>
                </c:pt>
                <c:pt idx="166">
                  <c:v>-19849.338384994844</c:v>
                </c:pt>
                <c:pt idx="167">
                  <c:v>-8556.4728300846164</c:v>
                </c:pt>
                <c:pt idx="168">
                  <c:v>588.98337502532581</c:v>
                </c:pt>
                <c:pt idx="169">
                  <c:v>7225.4655458402231</c:v>
                </c:pt>
                <c:pt idx="170">
                  <c:v>14702.969673403668</c:v>
                </c:pt>
                <c:pt idx="171">
                  <c:v>26366.176148156963</c:v>
                </c:pt>
                <c:pt idx="172">
                  <c:v>30760.891800879039</c:v>
                </c:pt>
                <c:pt idx="173">
                  <c:v>24135.461905402834</c:v>
                </c:pt>
                <c:pt idx="174">
                  <c:v>9035.5089355065847</c:v>
                </c:pt>
                <c:pt idx="175">
                  <c:v>-11512.115043864824</c:v>
                </c:pt>
                <c:pt idx="176">
                  <c:v>-29942.575873501661</c:v>
                </c:pt>
                <c:pt idx="177">
                  <c:v>-31807.738034068618</c:v>
                </c:pt>
                <c:pt idx="178">
                  <c:v>-19849.338384994844</c:v>
                </c:pt>
                <c:pt idx="179">
                  <c:v>-8556.4728300846164</c:v>
                </c:pt>
                <c:pt idx="180">
                  <c:v>588.98337502532581</c:v>
                </c:pt>
                <c:pt idx="181">
                  <c:v>7225.4655458402231</c:v>
                </c:pt>
                <c:pt idx="182">
                  <c:v>14702.969673403668</c:v>
                </c:pt>
                <c:pt idx="183">
                  <c:v>26366.176148156963</c:v>
                </c:pt>
                <c:pt idx="184">
                  <c:v>30760.891800879039</c:v>
                </c:pt>
                <c:pt idx="185">
                  <c:v>24135.461905402834</c:v>
                </c:pt>
                <c:pt idx="186">
                  <c:v>9035.5089355065847</c:v>
                </c:pt>
                <c:pt idx="187">
                  <c:v>-11512.115043864824</c:v>
                </c:pt>
                <c:pt idx="188">
                  <c:v>-29942.575873501661</c:v>
                </c:pt>
                <c:pt idx="189">
                  <c:v>-31807.738034068618</c:v>
                </c:pt>
                <c:pt idx="190">
                  <c:v>-19849.338384994844</c:v>
                </c:pt>
                <c:pt idx="191">
                  <c:v>-8556.4728300846164</c:v>
                </c:pt>
                <c:pt idx="192">
                  <c:v>588.98337502532581</c:v>
                </c:pt>
                <c:pt idx="193">
                  <c:v>7225.4655458402231</c:v>
                </c:pt>
                <c:pt idx="194">
                  <c:v>14702.969673403668</c:v>
                </c:pt>
                <c:pt idx="195">
                  <c:v>26366.176148156963</c:v>
                </c:pt>
                <c:pt idx="196">
                  <c:v>30760.891800879039</c:v>
                </c:pt>
                <c:pt idx="197">
                  <c:v>24135.461905402834</c:v>
                </c:pt>
                <c:pt idx="198">
                  <c:v>9035.5089355065847</c:v>
                </c:pt>
                <c:pt idx="199">
                  <c:v>-11512.115043864824</c:v>
                </c:pt>
                <c:pt idx="200">
                  <c:v>-29942.575873501661</c:v>
                </c:pt>
                <c:pt idx="201">
                  <c:v>-31807.738034068618</c:v>
                </c:pt>
                <c:pt idx="202">
                  <c:v>-19849.338384994844</c:v>
                </c:pt>
                <c:pt idx="203">
                  <c:v>-8556.4728300846164</c:v>
                </c:pt>
                <c:pt idx="204">
                  <c:v>588.98337502532581</c:v>
                </c:pt>
                <c:pt idx="205">
                  <c:v>7225.4655458402231</c:v>
                </c:pt>
                <c:pt idx="206">
                  <c:v>14702.969673403668</c:v>
                </c:pt>
                <c:pt idx="207">
                  <c:v>26366.176148156963</c:v>
                </c:pt>
                <c:pt idx="208">
                  <c:v>30760.891800879039</c:v>
                </c:pt>
                <c:pt idx="209">
                  <c:v>24135.461905402834</c:v>
                </c:pt>
                <c:pt idx="210">
                  <c:v>9035.5089355065847</c:v>
                </c:pt>
                <c:pt idx="211">
                  <c:v>-11512.115043864824</c:v>
                </c:pt>
                <c:pt idx="212">
                  <c:v>-29942.575873501661</c:v>
                </c:pt>
                <c:pt idx="213">
                  <c:v>-31807.738034068618</c:v>
                </c:pt>
                <c:pt idx="214">
                  <c:v>-19849.338384994844</c:v>
                </c:pt>
                <c:pt idx="215">
                  <c:v>-8556.4728300846164</c:v>
                </c:pt>
                <c:pt idx="216">
                  <c:v>588.98337502532581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A1-4D9D-8C3F-FC3EE3952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&quot;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ax val="200000"/>
          <c:min val="-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TCSI!$D$1</c:f>
              <c:strCache>
                <c:ptCount val="1"/>
                <c:pt idx="0">
                  <c:v>T+C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TCSI!$D$2:$D$219</c:f>
              <c:numCache>
                <c:formatCode>0_);[Red]\(0\)</c:formatCode>
                <c:ptCount val="218"/>
                <c:pt idx="0">
                  <c:v>239214.26650686067</c:v>
                </c:pt>
                <c:pt idx="1">
                  <c:v>243089.15459483955</c:v>
                </c:pt>
                <c:pt idx="2">
                  <c:v>246620.79815123911</c:v>
                </c:pt>
                <c:pt idx="3">
                  <c:v>250297.99132963567</c:v>
                </c:pt>
                <c:pt idx="4">
                  <c:v>253761.74974622932</c:v>
                </c:pt>
                <c:pt idx="5">
                  <c:v>257244.68618249305</c:v>
                </c:pt>
                <c:pt idx="6">
                  <c:v>260523.70753025101</c:v>
                </c:pt>
                <c:pt idx="7">
                  <c:v>263819.08871745539</c:v>
                </c:pt>
                <c:pt idx="8">
                  <c:v>267021.69505577284</c:v>
                </c:pt>
                <c:pt idx="9">
                  <c:v>270034.25559458963</c:v>
                </c:pt>
                <c:pt idx="10">
                  <c:v>273059.24795645813</c:v>
                </c:pt>
                <c:pt idx="11">
                  <c:v>275903.07087990339</c:v>
                </c:pt>
                <c:pt idx="12">
                  <c:v>278756.93076629972</c:v>
                </c:pt>
                <c:pt idx="13">
                  <c:v>281526.27749387978</c:v>
                </c:pt>
                <c:pt idx="14">
                  <c:v>283956.34625098901</c:v>
                </c:pt>
                <c:pt idx="15">
                  <c:v>286569.36606336664</c:v>
                </c:pt>
                <c:pt idx="16">
                  <c:v>289022.11313383345</c:v>
                </c:pt>
                <c:pt idx="17">
                  <c:v>291479.6675671445</c:v>
                </c:pt>
                <c:pt idx="18">
                  <c:v>293784.96365885268</c:v>
                </c:pt>
                <c:pt idx="19">
                  <c:v>296093.22940220305</c:v>
                </c:pt>
                <c:pt idx="20">
                  <c:v>298327.96611843444</c:v>
                </c:pt>
                <c:pt idx="21">
                  <c:v>300422.07556256955</c:v>
                </c:pt>
                <c:pt idx="22">
                  <c:v>302516.67337186396</c:v>
                </c:pt>
                <c:pt idx="23">
                  <c:v>304478.05747072131</c:v>
                </c:pt>
                <c:pt idx="24">
                  <c:v>306438.47309546609</c:v>
                </c:pt>
                <c:pt idx="25">
                  <c:v>308332.95247118932</c:v>
                </c:pt>
                <c:pt idx="26">
                  <c:v>309988.6729777297</c:v>
                </c:pt>
                <c:pt idx="27">
                  <c:v>311761.8070651344</c:v>
                </c:pt>
                <c:pt idx="28">
                  <c:v>313419.07595022791</c:v>
                </c:pt>
                <c:pt idx="29">
                  <c:v>315072.395954974</c:v>
                </c:pt>
                <c:pt idx="30">
                  <c:v>316616.46120673459</c:v>
                </c:pt>
                <c:pt idx="31">
                  <c:v>318155.61907712242</c:v>
                </c:pt>
                <c:pt idx="32">
                  <c:v>319638.89802633791</c:v>
                </c:pt>
                <c:pt idx="33">
                  <c:v>321022.46788778203</c:v>
                </c:pt>
                <c:pt idx="34">
                  <c:v>322399.9430947653</c:v>
                </c:pt>
                <c:pt idx="35">
                  <c:v>323683.76129352616</c:v>
                </c:pt>
                <c:pt idx="36">
                  <c:v>324960.86476629943</c:v>
                </c:pt>
                <c:pt idx="37">
                  <c:v>326189.01326758543</c:v>
                </c:pt>
                <c:pt idx="38">
                  <c:v>327257.36958777288</c:v>
                </c:pt>
                <c:pt idx="39">
                  <c:v>328396.1176278221</c:v>
                </c:pt>
                <c:pt idx="40">
                  <c:v>329455.25977721019</c:v>
                </c:pt>
                <c:pt idx="41">
                  <c:v>330506.70535339281</c:v>
                </c:pt>
                <c:pt idx="42">
                  <c:v>331483.85285054805</c:v>
                </c:pt>
                <c:pt idx="43">
                  <c:v>332453.12323728221</c:v>
                </c:pt>
                <c:pt idx="44">
                  <c:v>333382.56929680257</c:v>
                </c:pt>
                <c:pt idx="45">
                  <c:v>334245.33032879164</c:v>
                </c:pt>
                <c:pt idx="46">
                  <c:v>335100.16830007185</c:v>
                </c:pt>
                <c:pt idx="47">
                  <c:v>335893.11315085622</c:v>
                </c:pt>
                <c:pt idx="48">
                  <c:v>336678.25039749744</c:v>
                </c:pt>
                <c:pt idx="49">
                  <c:v>337429.81852246838</c:v>
                </c:pt>
                <c:pt idx="50">
                  <c:v>338103.6006425434</c:v>
                </c:pt>
                <c:pt idx="51">
                  <c:v>338793.68947425886</c:v>
                </c:pt>
                <c:pt idx="52">
                  <c:v>339432.95855165285</c:v>
                </c:pt>
                <c:pt idx="53">
                  <c:v>340065.1934266155</c:v>
                </c:pt>
                <c:pt idx="54">
                  <c:v>340650.71187037521</c:v>
                </c:pt>
                <c:pt idx="55">
                  <c:v>341229.69402107631</c:v>
                </c:pt>
                <c:pt idx="56">
                  <c:v>341783.34855515516</c:v>
                </c:pt>
                <c:pt idx="57">
                  <c:v>342296.11520948284</c:v>
                </c:pt>
                <c:pt idx="58">
                  <c:v>342803.29076904693</c:v>
                </c:pt>
                <c:pt idx="59">
                  <c:v>343273.2084420243</c:v>
                </c:pt>
                <c:pt idx="60">
                  <c:v>343738.28637825098</c:v>
                </c:pt>
                <c:pt idx="61">
                  <c:v>344183.62141911482</c:v>
                </c:pt>
                <c:pt idx="62">
                  <c:v>344569.80312479043</c:v>
                </c:pt>
                <c:pt idx="63">
                  <c:v>344980.58524742466</c:v>
                </c:pt>
                <c:pt idx="64">
                  <c:v>345362.31077582104</c:v>
                </c:pt>
                <c:pt idx="65">
                  <c:v>345741.46384042886</c:v>
                </c:pt>
                <c:pt idx="66">
                  <c:v>346094.56386096618</c:v>
                </c:pt>
                <c:pt idx="67">
                  <c:v>346446.16456691787</c:v>
                </c:pt>
                <c:pt idx="68">
                  <c:v>346785.29748544696</c:v>
                </c:pt>
                <c:pt idx="69">
                  <c:v>347102.57925421873</c:v>
                </c:pt>
                <c:pt idx="70">
                  <c:v>347420.14248961367</c:v>
                </c:pt>
                <c:pt idx="71">
                  <c:v>347718.42725049757</c:v>
                </c:pt>
                <c:pt idx="72">
                  <c:v>348018.27765239304</c:v>
                </c:pt>
                <c:pt idx="73">
                  <c:v>348310.576429056</c:v>
                </c:pt>
                <c:pt idx="74">
                  <c:v>348568.8978167522</c:v>
                </c:pt>
                <c:pt idx="75">
                  <c:v>348849.47218753473</c:v>
                </c:pt>
                <c:pt idx="76">
                  <c:v>349116.42488607037</c:v>
                </c:pt>
                <c:pt idx="77">
                  <c:v>349388.45668712805</c:v>
                </c:pt>
                <c:pt idx="78">
                  <c:v>349648.87187007267</c:v>
                </c:pt>
                <c:pt idx="79">
                  <c:v>349915.91334485117</c:v>
                </c:pt>
                <c:pt idx="80">
                  <c:v>350181.75199777941</c:v>
                </c:pt>
                <c:pt idx="81">
                  <c:v>350438.70200907293</c:v>
                </c:pt>
                <c:pt idx="82">
                  <c:v>350704.74204948341</c:v>
                </c:pt>
                <c:pt idx="83">
                  <c:v>350963.51007438038</c:v>
                </c:pt>
                <c:pt idx="84">
                  <c:v>351233.08392857027</c:v>
                </c:pt>
                <c:pt idx="85">
                  <c:v>351505.70266176615</c:v>
                </c:pt>
                <c:pt idx="86">
                  <c:v>351755.24379348283</c:v>
                </c:pt>
                <c:pt idx="87">
                  <c:v>352035.93149026035</c:v>
                </c:pt>
                <c:pt idx="88">
                  <c:v>352312.71015718556</c:v>
                </c:pt>
                <c:pt idx="89">
                  <c:v>352604.80381983699</c:v>
                </c:pt>
                <c:pt idx="90">
                  <c:v>352894.09627128125</c:v>
                </c:pt>
                <c:pt idx="91">
                  <c:v>353200.62376396195</c:v>
                </c:pt>
                <c:pt idx="92">
                  <c:v>353515.61877453607</c:v>
                </c:pt>
                <c:pt idx="93">
                  <c:v>353829.21934928134</c:v>
                </c:pt>
                <c:pt idx="94">
                  <c:v>354163.0490615493</c:v>
                </c:pt>
                <c:pt idx="95">
                  <c:v>354496.2461733871</c:v>
                </c:pt>
                <c:pt idx="96">
                  <c:v>354851.71866752801</c:v>
                </c:pt>
                <c:pt idx="97">
                  <c:v>355219.23801929026</c:v>
                </c:pt>
                <c:pt idx="98">
                  <c:v>355574.56491207768</c:v>
                </c:pt>
                <c:pt idx="99">
                  <c:v>355967.35383187002</c:v>
                </c:pt>
                <c:pt idx="100">
                  <c:v>356360.83608214336</c:v>
                </c:pt>
                <c:pt idx="101">
                  <c:v>356781.88377457793</c:v>
                </c:pt>
                <c:pt idx="102">
                  <c:v>357203.93458780443</c:v>
                </c:pt>
                <c:pt idx="103">
                  <c:v>357655.74318095861</c:v>
                </c:pt>
                <c:pt idx="104">
                  <c:v>358124.11518307205</c:v>
                </c:pt>
                <c:pt idx="105">
                  <c:v>358593.72558785387</c:v>
                </c:pt>
                <c:pt idx="106">
                  <c:v>359096.46647996514</c:v>
                </c:pt>
                <c:pt idx="107">
                  <c:v>359600.45213320572</c:v>
                </c:pt>
                <c:pt idx="108">
                  <c:v>360139.84429427341</c:v>
                </c:pt>
                <c:pt idx="109">
                  <c:v>360698.70911753597</c:v>
                </c:pt>
                <c:pt idx="110">
                  <c:v>361220.68957004842</c:v>
                </c:pt>
                <c:pt idx="111">
                  <c:v>361818.13994381693</c:v>
                </c:pt>
                <c:pt idx="112">
                  <c:v>362416.3577538181</c:v>
                </c:pt>
                <c:pt idx="113">
                  <c:v>363055.73237905325</c:v>
                </c:pt>
                <c:pt idx="114">
                  <c:v>363695.48975571746</c:v>
                </c:pt>
                <c:pt idx="115">
                  <c:v>364378.76654781424</c:v>
                </c:pt>
                <c:pt idx="116">
                  <c:v>365085.08420701814</c:v>
                </c:pt>
                <c:pt idx="117">
                  <c:v>365791.00449160126</c:v>
                </c:pt>
                <c:pt idx="118">
                  <c:v>366544.04171616194</c:v>
                </c:pt>
                <c:pt idx="119">
                  <c:v>367296.03588229563</c:v>
                </c:pt>
                <c:pt idx="120">
                  <c:v>368097.5508760878</c:v>
                </c:pt>
                <c:pt idx="121">
                  <c:v>368924.34784454422</c:v>
                </c:pt>
                <c:pt idx="122">
                  <c:v>369693.21215225034</c:v>
                </c:pt>
                <c:pt idx="123">
                  <c:v>370569.2771119519</c:v>
                </c:pt>
                <c:pt idx="124">
                  <c:v>371442.28037348145</c:v>
                </c:pt>
                <c:pt idx="125">
                  <c:v>372370.79859400162</c:v>
                </c:pt>
                <c:pt idx="126">
                  <c:v>373295.27717550279</c:v>
                </c:pt>
                <c:pt idx="127">
                  <c:v>374277.7024485984</c:v>
                </c:pt>
                <c:pt idx="128">
                  <c:v>375288.05218209652</c:v>
                </c:pt>
                <c:pt idx="129">
                  <c:v>376292.71939397656</c:v>
                </c:pt>
                <c:pt idx="130">
                  <c:v>377359.00312232098</c:v>
                </c:pt>
                <c:pt idx="131">
                  <c:v>378418.40781155537</c:v>
                </c:pt>
                <c:pt idx="132">
                  <c:v>379541.85964903701</c:v>
                </c:pt>
                <c:pt idx="133">
                  <c:v>380694.80902336695</c:v>
                </c:pt>
                <c:pt idx="134">
                  <c:v>381761.77338407928</c:v>
                </c:pt>
                <c:pt idx="135">
                  <c:v>382971.63998710265</c:v>
                </c:pt>
                <c:pt idx="136">
                  <c:v>384171.31812917313</c:v>
                </c:pt>
                <c:pt idx="137">
                  <c:v>385441.03106849827</c:v>
                </c:pt>
                <c:pt idx="138">
                  <c:v>386699.08555280906</c:v>
                </c:pt>
                <c:pt idx="139">
                  <c:v>388029.5745850805</c:v>
                </c:pt>
                <c:pt idx="140">
                  <c:v>389391.27808117628</c:v>
                </c:pt>
                <c:pt idx="141">
                  <c:v>390738.97011610057</c:v>
                </c:pt>
                <c:pt idx="142">
                  <c:v>392162.68633086653</c:v>
                </c:pt>
                <c:pt idx="143">
                  <c:v>393570.74493108346</c:v>
                </c:pt>
                <c:pt idx="144">
                  <c:v>395057.18398523174</c:v>
                </c:pt>
                <c:pt idx="145">
                  <c:v>396575.74266504997</c:v>
                </c:pt>
                <c:pt idx="146">
                  <c:v>398025.5403506041</c:v>
                </c:pt>
                <c:pt idx="147">
                  <c:v>399606.67997509544</c:v>
                </c:pt>
                <c:pt idx="148">
                  <c:v>401167.78222743195</c:v>
                </c:pt>
                <c:pt idx="149">
                  <c:v>402813.033242748</c:v>
                </c:pt>
                <c:pt idx="150">
                  <c:v>404436.38509518176</c:v>
                </c:pt>
                <c:pt idx="151">
                  <c:v>406146.15188473521</c:v>
                </c:pt>
                <c:pt idx="152">
                  <c:v>407888.83229694801</c:v>
                </c:pt>
                <c:pt idx="153">
                  <c:v>409606.70170047856</c:v>
                </c:pt>
                <c:pt idx="154">
                  <c:v>411414.34217602364</c:v>
                </c:pt>
                <c:pt idx="155">
                  <c:v>413195.17621762323</c:v>
                </c:pt>
                <c:pt idx="156">
                  <c:v>415067.96154172905</c:v>
                </c:pt>
                <c:pt idx="157">
                  <c:v>416973.8960308177</c:v>
                </c:pt>
                <c:pt idx="158">
                  <c:v>418723.88922454917</c:v>
                </c:pt>
                <c:pt idx="159">
                  <c:v>420692.94214232475</c:v>
                </c:pt>
                <c:pt idx="160">
                  <c:v>422630.04725189094</c:v>
                </c:pt>
                <c:pt idx="161">
                  <c:v>424664.32586879417</c:v>
                </c:pt>
                <c:pt idx="162">
                  <c:v>426664.50546803727</c:v>
                </c:pt>
                <c:pt idx="163">
                  <c:v>428763.89032632159</c:v>
                </c:pt>
                <c:pt idx="164">
                  <c:v>430896.28813647723</c:v>
                </c:pt>
                <c:pt idx="165">
                  <c:v>432991.27055984334</c:v>
                </c:pt>
                <c:pt idx="166">
                  <c:v>435188.42887923744</c:v>
                </c:pt>
                <c:pt idx="167">
                  <c:v>437345.92937166779</c:v>
                </c:pt>
                <c:pt idx="168">
                  <c:v>439607.50918865338</c:v>
                </c:pt>
                <c:pt idx="169">
                  <c:v>441901.66983664612</c:v>
                </c:pt>
                <c:pt idx="170">
                  <c:v>444001.71790256305</c:v>
                </c:pt>
                <c:pt idx="171">
                  <c:v>446357.54159235442</c:v>
                </c:pt>
                <c:pt idx="172">
                  <c:v>448668.02733430051</c:v>
                </c:pt>
                <c:pt idx="173">
                  <c:v>451087.05683405598</c:v>
                </c:pt>
                <c:pt idx="174">
                  <c:v>453458.40891107143</c:v>
                </c:pt>
                <c:pt idx="175">
                  <c:v>455940.00102520542</c:v>
                </c:pt>
                <c:pt idx="176">
                  <c:v>458453.11272239836</c:v>
                </c:pt>
                <c:pt idx="177">
                  <c:v>460914.97865630052</c:v>
                </c:pt>
                <c:pt idx="178">
                  <c:v>463489.51737017074</c:v>
                </c:pt>
                <c:pt idx="179">
                  <c:v>466010.42201236682</c:v>
                </c:pt>
                <c:pt idx="180">
                  <c:v>468645.52503919147</c:v>
                </c:pt>
                <c:pt idx="181">
                  <c:v>471311.0479994858</c:v>
                </c:pt>
                <c:pt idx="182">
                  <c:v>473744.55025602313</c:v>
                </c:pt>
                <c:pt idx="183">
                  <c:v>476467.24993891933</c:v>
                </c:pt>
                <c:pt idx="184">
                  <c:v>479130.34704371897</c:v>
                </c:pt>
                <c:pt idx="185">
                  <c:v>481911.09907482663</c:v>
                </c:pt>
                <c:pt idx="186">
                  <c:v>484629.82192163856</c:v>
                </c:pt>
                <c:pt idx="187">
                  <c:v>487467.45947450824</c:v>
                </c:pt>
                <c:pt idx="188">
                  <c:v>490333.53086639842</c:v>
                </c:pt>
                <c:pt idx="189">
                  <c:v>493133.9052893754</c:v>
                </c:pt>
                <c:pt idx="190">
                  <c:v>496054.93690268119</c:v>
                </c:pt>
                <c:pt idx="191">
                  <c:v>498907.83849582321</c:v>
                </c:pt>
                <c:pt idx="192">
                  <c:v>501882.44404540036</c:v>
                </c:pt>
                <c:pt idx="193">
                  <c:v>504883.71639288001</c:v>
                </c:pt>
                <c:pt idx="194">
                  <c:v>507715.15272502293</c:v>
                </c:pt>
                <c:pt idx="195">
                  <c:v>510766.91416634864</c:v>
                </c:pt>
                <c:pt idx="196">
                  <c:v>513744.49937592976</c:v>
                </c:pt>
                <c:pt idx="197">
                  <c:v>516845.99977639044</c:v>
                </c:pt>
                <c:pt idx="198">
                  <c:v>519870.91150095582</c:v>
                </c:pt>
                <c:pt idx="199">
                  <c:v>523020.45908299123</c:v>
                </c:pt>
                <c:pt idx="200">
                  <c:v>526193.74771435559</c:v>
                </c:pt>
                <c:pt idx="201">
                  <c:v>529286.83329297125</c:v>
                </c:pt>
                <c:pt idx="202">
                  <c:v>532505.45210808644</c:v>
                </c:pt>
                <c:pt idx="203">
                  <c:v>535641.49147681822</c:v>
                </c:pt>
                <c:pt idx="204">
                  <c:v>538903.52928609063</c:v>
                </c:pt>
                <c:pt idx="205">
                  <c:v>542186.87203084631</c:v>
                </c:pt>
                <c:pt idx="206">
                  <c:v>545170.34530129144</c:v>
                </c:pt>
                <c:pt idx="207">
                  <c:v>548492.76880357193</c:v>
                </c:pt>
                <c:pt idx="208">
                  <c:v>551726.81940968963</c:v>
                </c:pt>
                <c:pt idx="209">
                  <c:v>555087.55466304114</c:v>
                </c:pt>
                <c:pt idx="210">
                  <c:v>558357.61993259389</c:v>
                </c:pt>
                <c:pt idx="211">
                  <c:v>561754.45175638981</c:v>
                </c:pt>
                <c:pt idx="212">
                  <c:v>565168.75079127075</c:v>
                </c:pt>
                <c:pt idx="213">
                  <c:v>568488.97139946232</c:v>
                </c:pt>
                <c:pt idx="214">
                  <c:v>571935.86065096117</c:v>
                </c:pt>
                <c:pt idx="215">
                  <c:v>575286.45281043276</c:v>
                </c:pt>
                <c:pt idx="216">
                  <c:v>578763.4977353029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707-4B39-876E-77DAF2B8B2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in val="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Y (=T+S+I)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TCSI!$H$1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TCSI!$H$2:$H$219</c:f>
              <c:numCache>
                <c:formatCode>0_);[Red]\(0\)</c:formatCode>
                <c:ptCount val="218"/>
                <c:pt idx="0">
                  <c:v>237864.75278540078</c:v>
                </c:pt>
                <c:pt idx="1">
                  <c:v>243232.83457092615</c:v>
                </c:pt>
                <c:pt idx="2">
                  <c:v>270416.22627827903</c:v>
                </c:pt>
                <c:pt idx="3">
                  <c:v>272038.05151957041</c:v>
                </c:pt>
                <c:pt idx="4">
                  <c:v>278475.09745281382</c:v>
                </c:pt>
                <c:pt idx="5">
                  <c:v>290264.39626025298</c:v>
                </c:pt>
                <c:pt idx="6">
                  <c:v>276049.63906158268</c:v>
                </c:pt>
                <c:pt idx="7">
                  <c:v>249662.39281808783</c:v>
                </c:pt>
                <c:pt idx="8">
                  <c:v>237849.64105915211</c:v>
                </c:pt>
                <c:pt idx="9">
                  <c:v>239646.20003150075</c:v>
                </c:pt>
                <c:pt idx="10">
                  <c:v>250647.56361561638</c:v>
                </c:pt>
                <c:pt idx="11">
                  <c:v>264290.02043036767</c:v>
                </c:pt>
                <c:pt idx="12">
                  <c:v>283102.60063482996</c:v>
                </c:pt>
                <c:pt idx="13">
                  <c:v>301633.94364417117</c:v>
                </c:pt>
                <c:pt idx="14">
                  <c:v>304366.60202033573</c:v>
                </c:pt>
                <c:pt idx="15">
                  <c:v>320556.20953828073</c:v>
                </c:pt>
                <c:pt idx="16">
                  <c:v>318572.54237437184</c:v>
                </c:pt>
                <c:pt idx="17">
                  <c:v>319014.77773619932</c:v>
                </c:pt>
                <c:pt idx="18">
                  <c:v>313398.71381750761</c:v>
                </c:pt>
                <c:pt idx="19">
                  <c:v>296821.02959301864</c:v>
                </c:pt>
                <c:pt idx="20">
                  <c:v>260846.65896337939</c:v>
                </c:pt>
                <c:pt idx="21">
                  <c:v>274620.66183003742</c:v>
                </c:pt>
                <c:pt idx="22">
                  <c:v>275676.89272622159</c:v>
                </c:pt>
                <c:pt idx="23">
                  <c:v>293404.14987555915</c:v>
                </c:pt>
                <c:pt idx="24">
                  <c:v>305771.95793237089</c:v>
                </c:pt>
                <c:pt idx="25">
                  <c:v>327365.63899461454</c:v>
                </c:pt>
                <c:pt idx="26">
                  <c:v>327124.05522530898</c:v>
                </c:pt>
                <c:pt idx="27">
                  <c:v>346689.03963429446</c:v>
                </c:pt>
                <c:pt idx="28">
                  <c:v>345191.61820254364</c:v>
                </c:pt>
                <c:pt idx="29">
                  <c:v>344856.33138782281</c:v>
                </c:pt>
                <c:pt idx="30">
                  <c:v>333529.8883210214</c:v>
                </c:pt>
                <c:pt idx="31">
                  <c:v>295092.95440045389</c:v>
                </c:pt>
                <c:pt idx="32">
                  <c:v>285370.03206734761</c:v>
                </c:pt>
                <c:pt idx="33">
                  <c:v>283809.74163812387</c:v>
                </c:pt>
                <c:pt idx="34">
                  <c:v>298472.23231990368</c:v>
                </c:pt>
                <c:pt idx="35">
                  <c:v>317757.90631461842</c:v>
                </c:pt>
                <c:pt idx="36">
                  <c:v>329811.57699078432</c:v>
                </c:pt>
                <c:pt idx="37">
                  <c:v>311162.93876833143</c:v>
                </c:pt>
                <c:pt idx="38">
                  <c:v>337150.59716648923</c:v>
                </c:pt>
                <c:pt idx="39">
                  <c:v>358269.70085872943</c:v>
                </c:pt>
                <c:pt idx="40">
                  <c:v>351493.19052773615</c:v>
                </c:pt>
                <c:pt idx="41">
                  <c:v>351104.97808103409</c:v>
                </c:pt>
                <c:pt idx="42">
                  <c:v>336116.80072625139</c:v>
                </c:pt>
                <c:pt idx="43">
                  <c:v>331190.65292262292</c:v>
                </c:pt>
                <c:pt idx="44">
                  <c:v>304129.52599136264</c:v>
                </c:pt>
                <c:pt idx="45">
                  <c:v>297194.09105149226</c:v>
                </c:pt>
                <c:pt idx="46">
                  <c:v>314811.56408838654</c:v>
                </c:pt>
                <c:pt idx="47">
                  <c:v>321602.19643346965</c:v>
                </c:pt>
                <c:pt idx="48">
                  <c:v>338682.52250513935</c:v>
                </c:pt>
                <c:pt idx="49">
                  <c:v>347599.4535777627</c:v>
                </c:pt>
                <c:pt idx="50">
                  <c:v>345820.73603832192</c:v>
                </c:pt>
                <c:pt idx="51">
                  <c:v>358901.2266155539</c:v>
                </c:pt>
                <c:pt idx="52">
                  <c:v>378082.06215459749</c:v>
                </c:pt>
                <c:pt idx="53">
                  <c:v>369524.76010104635</c:v>
                </c:pt>
                <c:pt idx="54">
                  <c:v>361489.07342251629</c:v>
                </c:pt>
                <c:pt idx="55">
                  <c:v>316203.51114569471</c:v>
                </c:pt>
                <c:pt idx="56">
                  <c:v>311346.86061860982</c:v>
                </c:pt>
                <c:pt idx="57">
                  <c:v>307678.29193232243</c:v>
                </c:pt>
                <c:pt idx="58">
                  <c:v>318529.22848473419</c:v>
                </c:pt>
                <c:pt idx="59">
                  <c:v>343768.31568329054</c:v>
                </c:pt>
                <c:pt idx="60">
                  <c:v>337802.83028388926</c:v>
                </c:pt>
                <c:pt idx="61">
                  <c:v>345034.51296415832</c:v>
                </c:pt>
                <c:pt idx="62">
                  <c:v>359294.75950162724</c:v>
                </c:pt>
                <c:pt idx="63">
                  <c:v>356042.24753561226</c:v>
                </c:pt>
                <c:pt idx="64">
                  <c:v>377171.80923455476</c:v>
                </c:pt>
                <c:pt idx="65">
                  <c:v>368940.39420928311</c:v>
                </c:pt>
                <c:pt idx="66">
                  <c:v>357766.17352221778</c:v>
                </c:pt>
                <c:pt idx="67">
                  <c:v>332007.67000262963</c:v>
                </c:pt>
                <c:pt idx="68">
                  <c:v>312486.61454692995</c:v>
                </c:pt>
                <c:pt idx="69">
                  <c:v>321088.16628606501</c:v>
                </c:pt>
                <c:pt idx="70">
                  <c:v>338986.34983465075</c:v>
                </c:pt>
                <c:pt idx="71">
                  <c:v>339500.57712330524</c:v>
                </c:pt>
                <c:pt idx="72">
                  <c:v>351946.80341963167</c:v>
                </c:pt>
                <c:pt idx="73">
                  <c:v>353258.76742547995</c:v>
                </c:pt>
                <c:pt idx="74">
                  <c:v>361273.42494454596</c:v>
                </c:pt>
                <c:pt idx="75">
                  <c:v>375427.60215157893</c:v>
                </c:pt>
                <c:pt idx="76">
                  <c:v>380742.92892350513</c:v>
                </c:pt>
                <c:pt idx="77">
                  <c:v>361409.47762553167</c:v>
                </c:pt>
                <c:pt idx="78">
                  <c:v>356914.99685274193</c:v>
                </c:pt>
                <c:pt idx="79">
                  <c:v>337650.19270726957</c:v>
                </c:pt>
                <c:pt idx="80">
                  <c:v>335829.33357666567</c:v>
                </c:pt>
                <c:pt idx="81">
                  <c:v>307316.95510869351</c:v>
                </c:pt>
                <c:pt idx="82">
                  <c:v>317713.16188849666</c:v>
                </c:pt>
                <c:pt idx="83">
                  <c:v>345050.82833273557</c:v>
                </c:pt>
                <c:pt idx="84">
                  <c:v>348100.97919222555</c:v>
                </c:pt>
                <c:pt idx="85">
                  <c:v>360147.89891958848</c:v>
                </c:pt>
                <c:pt idx="86">
                  <c:v>365630.53381771321</c:v>
                </c:pt>
                <c:pt idx="87">
                  <c:v>388855.51083062805</c:v>
                </c:pt>
                <c:pt idx="88">
                  <c:v>387741.51751547545</c:v>
                </c:pt>
                <c:pt idx="89">
                  <c:v>377302.41134822654</c:v>
                </c:pt>
                <c:pt idx="90">
                  <c:v>357808.15880336054</c:v>
                </c:pt>
                <c:pt idx="91">
                  <c:v>345783.89491605078</c:v>
                </c:pt>
                <c:pt idx="92">
                  <c:v>318270.71730227472</c:v>
                </c:pt>
                <c:pt idx="93">
                  <c:v>325039.54915002856</c:v>
                </c:pt>
                <c:pt idx="94">
                  <c:v>326457.26645454852</c:v>
                </c:pt>
                <c:pt idx="95">
                  <c:v>335160.48484199244</c:v>
                </c:pt>
                <c:pt idx="96">
                  <c:v>355571.24764524266</c:v>
                </c:pt>
                <c:pt idx="97">
                  <c:v>366194.81738244009</c:v>
                </c:pt>
                <c:pt idx="98">
                  <c:v>364260.78541256534</c:v>
                </c:pt>
                <c:pt idx="99">
                  <c:v>395744.86113117542</c:v>
                </c:pt>
                <c:pt idx="100">
                  <c:v>396415.34080550482</c:v>
                </c:pt>
                <c:pt idx="101">
                  <c:v>376295.38486582955</c:v>
                </c:pt>
                <c:pt idx="102">
                  <c:v>371210.73424314748</c:v>
                </c:pt>
                <c:pt idx="103">
                  <c:v>332693.87798203138</c:v>
                </c:pt>
                <c:pt idx="104">
                  <c:v>325015.48408626864</c:v>
                </c:pt>
                <c:pt idx="105">
                  <c:v>327903.37455130822</c:v>
                </c:pt>
                <c:pt idx="106">
                  <c:v>334466.96756690467</c:v>
                </c:pt>
                <c:pt idx="107">
                  <c:v>333967.44369211729</c:v>
                </c:pt>
                <c:pt idx="108">
                  <c:v>350104.45463366446</c:v>
                </c:pt>
                <c:pt idx="109">
                  <c:v>363514.21331478324</c:v>
                </c:pt>
                <c:pt idx="110">
                  <c:v>370508.12759352598</c:v>
                </c:pt>
                <c:pt idx="111">
                  <c:v>396590.99137117312</c:v>
                </c:pt>
                <c:pt idx="112">
                  <c:v>390052.09296651062</c:v>
                </c:pt>
                <c:pt idx="113">
                  <c:v>374572.95152983465</c:v>
                </c:pt>
                <c:pt idx="114">
                  <c:v>371808.12434448971</c:v>
                </c:pt>
                <c:pt idx="115">
                  <c:v>352275.66954236594</c:v>
                </c:pt>
                <c:pt idx="116">
                  <c:v>336028.68959219806</c:v>
                </c:pt>
                <c:pt idx="117">
                  <c:v>339435.74242763984</c:v>
                </c:pt>
                <c:pt idx="118">
                  <c:v>351036.37419528438</c:v>
                </c:pt>
                <c:pt idx="119">
                  <c:v>358201.47967658885</c:v>
                </c:pt>
                <c:pt idx="120">
                  <c:v>372308.9276335559</c:v>
                </c:pt>
                <c:pt idx="121">
                  <c:v>379736.4369252607</c:v>
                </c:pt>
                <c:pt idx="122">
                  <c:v>385122.78241878602</c:v>
                </c:pt>
                <c:pt idx="123">
                  <c:v>394039.84635270311</c:v>
                </c:pt>
                <c:pt idx="124">
                  <c:v>411241.61587972229</c:v>
                </c:pt>
                <c:pt idx="125">
                  <c:v>399207.56530567346</c:v>
                </c:pt>
                <c:pt idx="126">
                  <c:v>382398.71008715429</c:v>
                </c:pt>
                <c:pt idx="127">
                  <c:v>362487.53474126913</c:v>
                </c:pt>
                <c:pt idx="128">
                  <c:v>334400.05729715363</c:v>
                </c:pt>
                <c:pt idx="129">
                  <c:v>345131.61732402403</c:v>
                </c:pt>
                <c:pt idx="130">
                  <c:v>364236.51007377647</c:v>
                </c:pt>
                <c:pt idx="131">
                  <c:v>379551.62455878209</c:v>
                </c:pt>
                <c:pt idx="132">
                  <c:v>379694.62122820463</c:v>
                </c:pt>
                <c:pt idx="133">
                  <c:v>393157.09607055661</c:v>
                </c:pt>
                <c:pt idx="134">
                  <c:v>398817.29727593256</c:v>
                </c:pt>
                <c:pt idx="135">
                  <c:v>413213.63897319644</c:v>
                </c:pt>
                <c:pt idx="136">
                  <c:v>406137.64239764953</c:v>
                </c:pt>
                <c:pt idx="137">
                  <c:v>408565.9510189399</c:v>
                </c:pt>
                <c:pt idx="138">
                  <c:v>398897.57357871585</c:v>
                </c:pt>
                <c:pt idx="139">
                  <c:v>370394.05963263946</c:v>
                </c:pt>
                <c:pt idx="140">
                  <c:v>353766.93683042563</c:v>
                </c:pt>
                <c:pt idx="141">
                  <c:v>370150.31556585606</c:v>
                </c:pt>
                <c:pt idx="142">
                  <c:v>378973.43189738668</c:v>
                </c:pt>
                <c:pt idx="143">
                  <c:v>386640.41694817378</c:v>
                </c:pt>
                <c:pt idx="144">
                  <c:v>393493.88944027072</c:v>
                </c:pt>
                <c:pt idx="145">
                  <c:v>394804.55759209068</c:v>
                </c:pt>
                <c:pt idx="146">
                  <c:v>412458.21233765542</c:v>
                </c:pt>
                <c:pt idx="147">
                  <c:v>423484.23400031292</c:v>
                </c:pt>
                <c:pt idx="148">
                  <c:v>428722.01746160013</c:v>
                </c:pt>
                <c:pt idx="149">
                  <c:v>423499.05088203883</c:v>
                </c:pt>
                <c:pt idx="150">
                  <c:v>423573.82888109144</c:v>
                </c:pt>
                <c:pt idx="151">
                  <c:v>398086.65995515237</c:v>
                </c:pt>
                <c:pt idx="152">
                  <c:v>374824.80825356307</c:v>
                </c:pt>
                <c:pt idx="153">
                  <c:v>376220.87043547654</c:v>
                </c:pt>
                <c:pt idx="154">
                  <c:v>397268.38378983235</c:v>
                </c:pt>
                <c:pt idx="155">
                  <c:v>405721.72116825235</c:v>
                </c:pt>
                <c:pt idx="156">
                  <c:v>417695.68901042984</c:v>
                </c:pt>
                <c:pt idx="157">
                  <c:v>424971.74394699495</c:v>
                </c:pt>
                <c:pt idx="158">
                  <c:v>443303.96099776716</c:v>
                </c:pt>
                <c:pt idx="159">
                  <c:v>453764.77317779133</c:v>
                </c:pt>
                <c:pt idx="160">
                  <c:v>449153.87942961883</c:v>
                </c:pt>
                <c:pt idx="161">
                  <c:v>461179.06997188175</c:v>
                </c:pt>
                <c:pt idx="162">
                  <c:v>417626.8534307502</c:v>
                </c:pt>
                <c:pt idx="163">
                  <c:v>422594.94029335101</c:v>
                </c:pt>
                <c:pt idx="164">
                  <c:v>394461.08726991637</c:v>
                </c:pt>
                <c:pt idx="165">
                  <c:v>407466.92901175388</c:v>
                </c:pt>
                <c:pt idx="166">
                  <c:v>413259.76866483595</c:v>
                </c:pt>
                <c:pt idx="167">
                  <c:v>430871.67984927149</c:v>
                </c:pt>
                <c:pt idx="168">
                  <c:v>447896.93074637983</c:v>
                </c:pt>
                <c:pt idx="169">
                  <c:v>439327.68042361143</c:v>
                </c:pt>
                <c:pt idx="170">
                  <c:v>463939.01509589684</c:v>
                </c:pt>
                <c:pt idx="171">
                  <c:v>473628.20016718586</c:v>
                </c:pt>
                <c:pt idx="172">
                  <c:v>489411.29812360316</c:v>
                </c:pt>
                <c:pt idx="173">
                  <c:v>475378.89916629775</c:v>
                </c:pt>
                <c:pt idx="174">
                  <c:v>466524.67826044047</c:v>
                </c:pt>
                <c:pt idx="175">
                  <c:v>451209.14875512017</c:v>
                </c:pt>
                <c:pt idx="176">
                  <c:v>428285.51891159179</c:v>
                </c:pt>
                <c:pt idx="177">
                  <c:v>420915.93887200783</c:v>
                </c:pt>
                <c:pt idx="178">
                  <c:v>439260.97014113271</c:v>
                </c:pt>
                <c:pt idx="179">
                  <c:v>452286.31226203073</c:v>
                </c:pt>
                <c:pt idx="180">
                  <c:v>473206.8226123869</c:v>
                </c:pt>
                <c:pt idx="181">
                  <c:v>490713.28932429088</c:v>
                </c:pt>
                <c:pt idx="182">
                  <c:v>483822.40370028466</c:v>
                </c:pt>
                <c:pt idx="183">
                  <c:v>509785.11312463635</c:v>
                </c:pt>
                <c:pt idx="184">
                  <c:v>504997.29457988334</c:v>
                </c:pt>
                <c:pt idx="185">
                  <c:v>500389.44873014675</c:v>
                </c:pt>
                <c:pt idx="186">
                  <c:v>499645.1216818291</c:v>
                </c:pt>
                <c:pt idx="187">
                  <c:v>468873.15580179071</c:v>
                </c:pt>
                <c:pt idx="188">
                  <c:v>479538.21728709608</c:v>
                </c:pt>
                <c:pt idx="189">
                  <c:v>459825.58423243201</c:v>
                </c:pt>
                <c:pt idx="190">
                  <c:v>478496.78293983784</c:v>
                </c:pt>
                <c:pt idx="191">
                  <c:v>484741.46777965885</c:v>
                </c:pt>
                <c:pt idx="192">
                  <c:v>493895.51162299147</c:v>
                </c:pt>
                <c:pt idx="193">
                  <c:v>507602.86448304268</c:v>
                </c:pt>
                <c:pt idx="194">
                  <c:v>518077.4375462035</c:v>
                </c:pt>
                <c:pt idx="195">
                  <c:v>545257.89170136105</c:v>
                </c:pt>
                <c:pt idx="196">
                  <c:v>554184.37245083391</c:v>
                </c:pt>
                <c:pt idx="197">
                  <c:v>549940.51675785868</c:v>
                </c:pt>
                <c:pt idx="198">
                  <c:v>522075.71274657024</c:v>
                </c:pt>
                <c:pt idx="199">
                  <c:v>526624.78711279912</c:v>
                </c:pt>
                <c:pt idx="200">
                  <c:v>492604.30300529912</c:v>
                </c:pt>
                <c:pt idx="201">
                  <c:v>494540.41600348993</c:v>
                </c:pt>
                <c:pt idx="202">
                  <c:v>512744.64471012767</c:v>
                </c:pt>
                <c:pt idx="203">
                  <c:v>524385.15446857328</c:v>
                </c:pt>
                <c:pt idx="204">
                  <c:v>540874.71867954789</c:v>
                </c:pt>
                <c:pt idx="205">
                  <c:v>554176.60332919483</c:v>
                </c:pt>
                <c:pt idx="206">
                  <c:v>557606.31650279439</c:v>
                </c:pt>
                <c:pt idx="207">
                  <c:v>581609.32207077253</c:v>
                </c:pt>
                <c:pt idx="208">
                  <c:v>594002.57898886828</c:v>
                </c:pt>
                <c:pt idx="209">
                  <c:v>578271.82207687513</c:v>
                </c:pt>
                <c:pt idx="210">
                  <c:v>571402.31025989831</c:v>
                </c:pt>
                <c:pt idx="211">
                  <c:v>546251.04012809519</c:v>
                </c:pt>
                <c:pt idx="212">
                  <c:v>530691.97408388415</c:v>
                </c:pt>
                <c:pt idx="213">
                  <c:v>535855.83456211118</c:v>
                </c:pt>
                <c:pt idx="214">
                  <c:v>553564.31793428014</c:v>
                </c:pt>
                <c:pt idx="215">
                  <c:v>569818.86312526092</c:v>
                </c:pt>
                <c:pt idx="216">
                  <c:v>582442.364255241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A8-4AE8-8BF0-AEBEF557F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in val="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Y-T-S (= 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TCSI!$G$1</c:f>
              <c:strCache>
                <c:ptCount val="1"/>
                <c:pt idx="0">
                  <c:v>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TCSI!$G$2:$G$219</c:f>
              <c:numCache>
                <c:formatCode>0_);[Red]\(0\)</c:formatCode>
                <c:ptCount val="218"/>
                <c:pt idx="0">
                  <c:v>-1938.4970964852316</c:v>
                </c:pt>
                <c:pt idx="1">
                  <c:v>-7081.7855697536152</c:v>
                </c:pt>
                <c:pt idx="2">
                  <c:v>9092.4584536362818</c:v>
                </c:pt>
                <c:pt idx="3">
                  <c:v>-4626.1159582222499</c:v>
                </c:pt>
                <c:pt idx="4">
                  <c:v>-6047.5440942945534</c:v>
                </c:pt>
                <c:pt idx="5">
                  <c:v>8884.2481723570854</c:v>
                </c:pt>
                <c:pt idx="6">
                  <c:v>6490.4225958250918</c:v>
                </c:pt>
                <c:pt idx="7">
                  <c:v>-2644.5808555027584</c:v>
                </c:pt>
                <c:pt idx="8">
                  <c:v>770.52187688091715</c:v>
                </c:pt>
                <c:pt idx="9">
                  <c:v>1419.6824709797243</c:v>
                </c:pt>
                <c:pt idx="10">
                  <c:v>-2562.3459558469208</c:v>
                </c:pt>
                <c:pt idx="11">
                  <c:v>-3056.5776194510731</c:v>
                </c:pt>
                <c:pt idx="12">
                  <c:v>3756.6864935049148</c:v>
                </c:pt>
                <c:pt idx="13">
                  <c:v>12882.200604451198</c:v>
                </c:pt>
                <c:pt idx="14">
                  <c:v>5707.2860959430582</c:v>
                </c:pt>
                <c:pt idx="15">
                  <c:v>7620.6673267570832</c:v>
                </c:pt>
                <c:pt idx="16">
                  <c:v>-1210.4625603406616</c:v>
                </c:pt>
                <c:pt idx="17">
                  <c:v>3399.6482636519781</c:v>
                </c:pt>
                <c:pt idx="18">
                  <c:v>10578.241223148383</c:v>
                </c:pt>
                <c:pt idx="19">
                  <c:v>12239.915234680417</c:v>
                </c:pt>
                <c:pt idx="20">
                  <c:v>-7538.7312815534024</c:v>
                </c:pt>
                <c:pt idx="21">
                  <c:v>6006.3243015364687</c:v>
                </c:pt>
                <c:pt idx="22">
                  <c:v>-6990.4422606475437</c:v>
                </c:pt>
                <c:pt idx="23">
                  <c:v>-2517.4347650775353</c:v>
                </c:pt>
                <c:pt idx="24">
                  <c:v>-1255.4985381205277</c:v>
                </c:pt>
                <c:pt idx="25">
                  <c:v>11807.22097758503</c:v>
                </c:pt>
                <c:pt idx="26">
                  <c:v>2432.4125741756575</c:v>
                </c:pt>
                <c:pt idx="27">
                  <c:v>8561.0564210031007</c:v>
                </c:pt>
                <c:pt idx="28">
                  <c:v>1011.6504514366856</c:v>
                </c:pt>
                <c:pt idx="29">
                  <c:v>5648.4735274459817</c:v>
                </c:pt>
                <c:pt idx="30">
                  <c:v>7877.918178780229</c:v>
                </c:pt>
                <c:pt idx="31">
                  <c:v>-11550.549632803728</c:v>
                </c:pt>
                <c:pt idx="32">
                  <c:v>-4326.2900854886466</c:v>
                </c:pt>
                <c:pt idx="33">
                  <c:v>-5404.9882155895757</c:v>
                </c:pt>
                <c:pt idx="34">
                  <c:v>-4078.3723898667713</c:v>
                </c:pt>
                <c:pt idx="35">
                  <c:v>2630.6178511768958</c:v>
                </c:pt>
                <c:pt idx="36">
                  <c:v>4261.7288494595496</c:v>
                </c:pt>
                <c:pt idx="37">
                  <c:v>-22251.540045094214</c:v>
                </c:pt>
                <c:pt idx="38">
                  <c:v>-4809.7420946872999</c:v>
                </c:pt>
                <c:pt idx="39">
                  <c:v>3507.407082750362</c:v>
                </c:pt>
                <c:pt idx="40">
                  <c:v>-8722.9610503530639</c:v>
                </c:pt>
                <c:pt idx="41">
                  <c:v>-3537.189177761562</c:v>
                </c:pt>
                <c:pt idx="42">
                  <c:v>-4402.561059803229</c:v>
                </c:pt>
                <c:pt idx="43">
                  <c:v>10249.644729205511</c:v>
                </c:pt>
                <c:pt idx="44">
                  <c:v>689.53256806172772</c:v>
                </c:pt>
                <c:pt idx="45">
                  <c:v>-5243.5012432307612</c:v>
                </c:pt>
                <c:pt idx="46">
                  <c:v>-439.26582669046098</c:v>
                </c:pt>
                <c:pt idx="47">
                  <c:v>-5734.4438873019362</c:v>
                </c:pt>
                <c:pt idx="48">
                  <c:v>1415.2887326165624</c:v>
                </c:pt>
                <c:pt idx="49">
                  <c:v>2944.1695094541237</c:v>
                </c:pt>
                <c:pt idx="50">
                  <c:v>-6985.8342776251484</c:v>
                </c:pt>
                <c:pt idx="51">
                  <c:v>-6258.6390068619376</c:v>
                </c:pt>
                <c:pt idx="52">
                  <c:v>7888.2118020655798</c:v>
                </c:pt>
                <c:pt idx="53">
                  <c:v>5324.1047690280202</c:v>
                </c:pt>
                <c:pt idx="54">
                  <c:v>11802.852616634509</c:v>
                </c:pt>
                <c:pt idx="55">
                  <c:v>-13514.067831516795</c:v>
                </c:pt>
                <c:pt idx="56">
                  <c:v>-493.91206304369666</c:v>
                </c:pt>
                <c:pt idx="57">
                  <c:v>-2810.0852430918062</c:v>
                </c:pt>
                <c:pt idx="58">
                  <c:v>-4424.7238993178953</c:v>
                </c:pt>
                <c:pt idx="59">
                  <c:v>9051.5800713508779</c:v>
                </c:pt>
                <c:pt idx="60">
                  <c:v>-6524.439469387049</c:v>
                </c:pt>
                <c:pt idx="61">
                  <c:v>-6374.5740007967088</c:v>
                </c:pt>
                <c:pt idx="62">
                  <c:v>21.986703433131556</c:v>
                </c:pt>
                <c:pt idx="63">
                  <c:v>-15304.5138599694</c:v>
                </c:pt>
                <c:pt idx="64">
                  <c:v>1048.6066578546829</c:v>
                </c:pt>
                <c:pt idx="65">
                  <c:v>-936.53153654856237</c:v>
                </c:pt>
                <c:pt idx="66">
                  <c:v>2636.100725745011</c:v>
                </c:pt>
                <c:pt idx="67">
                  <c:v>-2926.379520423438</c:v>
                </c:pt>
                <c:pt idx="68">
                  <c:v>-4356.1070650153642</c:v>
                </c:pt>
                <c:pt idx="69">
                  <c:v>5793.3250659148944</c:v>
                </c:pt>
                <c:pt idx="70">
                  <c:v>11415.545730031885</c:v>
                </c:pt>
                <c:pt idx="71">
                  <c:v>338.622702892277</c:v>
                </c:pt>
                <c:pt idx="72">
                  <c:v>3339.5423922133205</c:v>
                </c:pt>
                <c:pt idx="73">
                  <c:v>-2277.2745494162637</c:v>
                </c:pt>
                <c:pt idx="74">
                  <c:v>-1998.442545609877</c:v>
                </c:pt>
                <c:pt idx="75">
                  <c:v>211.95381588720574</c:v>
                </c:pt>
                <c:pt idx="76">
                  <c:v>865.61223655570416</c:v>
                </c:pt>
                <c:pt idx="77">
                  <c:v>-12114.440966999189</c:v>
                </c:pt>
                <c:pt idx="78">
                  <c:v>-1769.3839528373173</c:v>
                </c:pt>
                <c:pt idx="79">
                  <c:v>-753.60559371678517</c:v>
                </c:pt>
                <c:pt idx="80">
                  <c:v>15590.157452387934</c:v>
                </c:pt>
                <c:pt idx="81">
                  <c:v>-11314.008866310842</c:v>
                </c:pt>
                <c:pt idx="82">
                  <c:v>-13142.241775991937</c:v>
                </c:pt>
                <c:pt idx="83">
                  <c:v>2643.7910884398311</c:v>
                </c:pt>
                <c:pt idx="84">
                  <c:v>-3721.0881113700725</c:v>
                </c:pt>
                <c:pt idx="85">
                  <c:v>1416.7307119821226</c:v>
                </c:pt>
                <c:pt idx="86">
                  <c:v>-827.6796491733063</c:v>
                </c:pt>
                <c:pt idx="87">
                  <c:v>10453.403192210697</c:v>
                </c:pt>
                <c:pt idx="88">
                  <c:v>4667.9155574108545</c:v>
                </c:pt>
                <c:pt idx="89">
                  <c:v>562.14562298670501</c:v>
                </c:pt>
                <c:pt idx="90">
                  <c:v>-4121.4464034273051</c:v>
                </c:pt>
                <c:pt idx="91">
                  <c:v>4095.3861959536557</c:v>
                </c:pt>
                <c:pt idx="92">
                  <c:v>-5302.3255987597213</c:v>
                </c:pt>
                <c:pt idx="93">
                  <c:v>3018.0678348158094</c:v>
                </c:pt>
                <c:pt idx="94">
                  <c:v>-7856.4442220059291</c:v>
                </c:pt>
                <c:pt idx="95">
                  <c:v>-10779.288501310042</c:v>
                </c:pt>
                <c:pt idx="96">
                  <c:v>130.54560268930231</c:v>
                </c:pt>
                <c:pt idx="97">
                  <c:v>3750.1138173096297</c:v>
                </c:pt>
                <c:pt idx="98">
                  <c:v>-6016.7491729159756</c:v>
                </c:pt>
                <c:pt idx="99">
                  <c:v>13411.331151148441</c:v>
                </c:pt>
                <c:pt idx="100">
                  <c:v>9293.6129224824435</c:v>
                </c:pt>
                <c:pt idx="101">
                  <c:v>-4621.9608141512399</c:v>
                </c:pt>
                <c:pt idx="102">
                  <c:v>4971.2907198364956</c:v>
                </c:pt>
                <c:pt idx="103">
                  <c:v>-13449.750155062418</c:v>
                </c:pt>
                <c:pt idx="104">
                  <c:v>-3166.0552233017524</c:v>
                </c:pt>
                <c:pt idx="105">
                  <c:v>1117.3869975229741</c:v>
                </c:pt>
                <c:pt idx="106">
                  <c:v>-4780.1605280656586</c:v>
                </c:pt>
                <c:pt idx="107">
                  <c:v>-17076.535611003794</c:v>
                </c:pt>
                <c:pt idx="108">
                  <c:v>-10624.373035634295</c:v>
                </c:pt>
                <c:pt idx="109">
                  <c:v>-4409.9613485929276</c:v>
                </c:pt>
                <c:pt idx="110">
                  <c:v>-5415.5316499260744</c:v>
                </c:pt>
                <c:pt idx="111">
                  <c:v>8406.6752791992058</c:v>
                </c:pt>
                <c:pt idx="112">
                  <c:v>-3125.1565881864904</c:v>
                </c:pt>
                <c:pt idx="113">
                  <c:v>-12618.242754621439</c:v>
                </c:pt>
                <c:pt idx="114">
                  <c:v>-922.87434673432756</c:v>
                </c:pt>
                <c:pt idx="115">
                  <c:v>-590.98196158347957</c:v>
                </c:pt>
                <c:pt idx="116">
                  <c:v>886.18125868158927</c:v>
                </c:pt>
                <c:pt idx="117">
                  <c:v>5452.475970107208</c:v>
                </c:pt>
                <c:pt idx="118">
                  <c:v>4341.6708641173</c:v>
                </c:pt>
                <c:pt idx="119">
                  <c:v>-538.08337562217753</c:v>
                </c:pt>
                <c:pt idx="120">
                  <c:v>3622.39338244275</c:v>
                </c:pt>
                <c:pt idx="121">
                  <c:v>3586.6235348762511</c:v>
                </c:pt>
                <c:pt idx="122">
                  <c:v>726.60059313201782</c:v>
                </c:pt>
                <c:pt idx="123">
                  <c:v>-2895.6069074057982</c:v>
                </c:pt>
                <c:pt idx="124">
                  <c:v>9038.4437053617821</c:v>
                </c:pt>
                <c:pt idx="125">
                  <c:v>2701.3048062690309</c:v>
                </c:pt>
                <c:pt idx="126">
                  <c:v>67.923976144924197</c:v>
                </c:pt>
                <c:pt idx="127">
                  <c:v>-278.05266346445705</c:v>
                </c:pt>
                <c:pt idx="128">
                  <c:v>-10945.419011441225</c:v>
                </c:pt>
                <c:pt idx="129">
                  <c:v>646.63596411609421</c:v>
                </c:pt>
                <c:pt idx="130">
                  <c:v>6726.8453364502957</c:v>
                </c:pt>
                <c:pt idx="131">
                  <c:v>9689.6895773113465</c:v>
                </c:pt>
                <c:pt idx="132">
                  <c:v>-436.22179585768555</c:v>
                </c:pt>
                <c:pt idx="133">
                  <c:v>5236.8215013494364</c:v>
                </c:pt>
                <c:pt idx="134">
                  <c:v>2352.5542184496235</c:v>
                </c:pt>
                <c:pt idx="135">
                  <c:v>3875.8228379368238</c:v>
                </c:pt>
                <c:pt idx="136">
                  <c:v>-8794.5675324026561</c:v>
                </c:pt>
                <c:pt idx="137">
                  <c:v>-1010.541954961174</c:v>
                </c:pt>
                <c:pt idx="138">
                  <c:v>3162.9790904002061</c:v>
                </c:pt>
                <c:pt idx="139">
                  <c:v>-6123.3999085762398</c:v>
                </c:pt>
                <c:pt idx="140">
                  <c:v>-5681.7653772489757</c:v>
                </c:pt>
                <c:pt idx="141">
                  <c:v>11219.083483824114</c:v>
                </c:pt>
                <c:pt idx="142">
                  <c:v>6660.0839515149964</c:v>
                </c:pt>
                <c:pt idx="143">
                  <c:v>1626.1448471749377</c:v>
                </c:pt>
                <c:pt idx="144">
                  <c:v>-2152.2779199863239</c:v>
                </c:pt>
                <c:pt idx="145">
                  <c:v>-8996.6506187994692</c:v>
                </c:pt>
                <c:pt idx="146">
                  <c:v>-270.29768635234223</c:v>
                </c:pt>
                <c:pt idx="147">
                  <c:v>-2488.622122939521</c:v>
                </c:pt>
                <c:pt idx="148">
                  <c:v>-3206.6565667108744</c:v>
                </c:pt>
                <c:pt idx="149">
                  <c:v>-3449.4442661119706</c:v>
                </c:pt>
                <c:pt idx="150">
                  <c:v>10101.93485040308</c:v>
                </c:pt>
                <c:pt idx="151">
                  <c:v>3452.6231142819861</c:v>
                </c:pt>
                <c:pt idx="152">
                  <c:v>-3121.4481698832974</c:v>
                </c:pt>
                <c:pt idx="153">
                  <c:v>-1578.0932309334387</c:v>
                </c:pt>
                <c:pt idx="154">
                  <c:v>5703.3799988035526</c:v>
                </c:pt>
                <c:pt idx="155">
                  <c:v>1083.0177807137363</c:v>
                </c:pt>
                <c:pt idx="156">
                  <c:v>2038.7440936754317</c:v>
                </c:pt>
                <c:pt idx="157">
                  <c:v>772.38237033705502</c:v>
                </c:pt>
                <c:pt idx="158">
                  <c:v>9877.102099814334</c:v>
                </c:pt>
                <c:pt idx="159">
                  <c:v>6705.6548873095799</c:v>
                </c:pt>
                <c:pt idx="160">
                  <c:v>-4237.0596231511645</c:v>
                </c:pt>
                <c:pt idx="161">
                  <c:v>12379.282197684772</c:v>
                </c:pt>
                <c:pt idx="162">
                  <c:v>-18073.160972793663</c:v>
                </c:pt>
                <c:pt idx="163">
                  <c:v>5343.1650108942158</c:v>
                </c:pt>
                <c:pt idx="164">
                  <c:v>-6492.6249930592048</c:v>
                </c:pt>
                <c:pt idx="165">
                  <c:v>6283.3964859791549</c:v>
                </c:pt>
                <c:pt idx="166">
                  <c:v>-2079.3218294066724</c:v>
                </c:pt>
                <c:pt idx="167">
                  <c:v>2082.223307688319</c:v>
                </c:pt>
                <c:pt idx="168">
                  <c:v>7700.4381827011248</c:v>
                </c:pt>
                <c:pt idx="169">
                  <c:v>-9799.4549588749178</c:v>
                </c:pt>
                <c:pt idx="170">
                  <c:v>5234.3275199301206</c:v>
                </c:pt>
                <c:pt idx="171">
                  <c:v>904.48242667447983</c:v>
                </c:pt>
                <c:pt idx="172">
                  <c:v>9982.3789884235957</c:v>
                </c:pt>
                <c:pt idx="173">
                  <c:v>156.38042683891467</c:v>
                </c:pt>
                <c:pt idx="174">
                  <c:v>4030.7604138624743</c:v>
                </c:pt>
                <c:pt idx="175">
                  <c:v>6781.2627737795665</c:v>
                </c:pt>
                <c:pt idx="176">
                  <c:v>-225.0179373049464</c:v>
                </c:pt>
                <c:pt idx="177">
                  <c:v>-8191.3017502240673</c:v>
                </c:pt>
                <c:pt idx="178">
                  <c:v>-4379.2088440431908</c:v>
                </c:pt>
                <c:pt idx="179">
                  <c:v>-5167.6369202514852</c:v>
                </c:pt>
                <c:pt idx="180">
                  <c:v>3972.3141981701183</c:v>
                </c:pt>
                <c:pt idx="181">
                  <c:v>12176.775778964879</c:v>
                </c:pt>
                <c:pt idx="182">
                  <c:v>-4625.1162291421442</c:v>
                </c:pt>
                <c:pt idx="183">
                  <c:v>6951.6870375600174</c:v>
                </c:pt>
                <c:pt idx="184">
                  <c:v>-4893.9442647146525</c:v>
                </c:pt>
                <c:pt idx="185">
                  <c:v>-5657.1122500827441</c:v>
                </c:pt>
                <c:pt idx="186">
                  <c:v>5979.7908246839506</c:v>
                </c:pt>
                <c:pt idx="187">
                  <c:v>-7082.1886288527403</c:v>
                </c:pt>
                <c:pt idx="188">
                  <c:v>19147.262294199318</c:v>
                </c:pt>
                <c:pt idx="189">
                  <c:v>-1500.5830228747561</c:v>
                </c:pt>
                <c:pt idx="190">
                  <c:v>2291.1844221514702</c:v>
                </c:pt>
                <c:pt idx="191">
                  <c:v>-5609.897886079716</c:v>
                </c:pt>
                <c:pt idx="192">
                  <c:v>-8575.9157974342361</c:v>
                </c:pt>
                <c:pt idx="193">
                  <c:v>-4506.3174556775457</c:v>
                </c:pt>
                <c:pt idx="194">
                  <c:v>-4340.6848522230912</c:v>
                </c:pt>
                <c:pt idx="195">
                  <c:v>8124.8013868554744</c:v>
                </c:pt>
                <c:pt idx="196">
                  <c:v>9678.9812740250836</c:v>
                </c:pt>
                <c:pt idx="197">
                  <c:v>8959.0550760653714</c:v>
                </c:pt>
                <c:pt idx="198">
                  <c:v>-6830.7076898921468</c:v>
                </c:pt>
                <c:pt idx="199">
                  <c:v>15116.443073672759</c:v>
                </c:pt>
                <c:pt idx="200">
                  <c:v>-3646.8688355548079</c:v>
                </c:pt>
                <c:pt idx="201">
                  <c:v>-2938.6792554127396</c:v>
                </c:pt>
                <c:pt idx="202">
                  <c:v>88.530987036061646</c:v>
                </c:pt>
                <c:pt idx="203">
                  <c:v>-2699.8641781602801</c:v>
                </c:pt>
                <c:pt idx="204">
                  <c:v>1382.2060184319712</c:v>
                </c:pt>
                <c:pt idx="205">
                  <c:v>4764.2657525083214</c:v>
                </c:pt>
                <c:pt idx="206">
                  <c:v>-2266.9984719007134</c:v>
                </c:pt>
                <c:pt idx="207">
                  <c:v>6750.3771190436464</c:v>
                </c:pt>
                <c:pt idx="208">
                  <c:v>11514.867778299613</c:v>
                </c:pt>
                <c:pt idx="209">
                  <c:v>-951.19449156884298</c:v>
                </c:pt>
                <c:pt idx="210">
                  <c:v>4009.1813917978657</c:v>
                </c:pt>
                <c:pt idx="211">
                  <c:v>-3991.2965844298305</c:v>
                </c:pt>
                <c:pt idx="212">
                  <c:v>-4534.2008338848918</c:v>
                </c:pt>
                <c:pt idx="213">
                  <c:v>-825.39880328253969</c:v>
                </c:pt>
                <c:pt idx="214">
                  <c:v>1477.7956683138359</c:v>
                </c:pt>
                <c:pt idx="215">
                  <c:v>3088.883144912777</c:v>
                </c:pt>
                <c:pt idx="216">
                  <c:v>3089.8831449127802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965-4022-9D6B-8BC847AFF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&quot;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ax val="200000"/>
          <c:min val="-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TCSI!$D$1</c:f>
              <c:strCache>
                <c:ptCount val="1"/>
                <c:pt idx="0">
                  <c:v>T+C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TCSI!$D$2:$D$219</c:f>
              <c:numCache>
                <c:formatCode>0_);[Red]\(0\)</c:formatCode>
                <c:ptCount val="218"/>
                <c:pt idx="0">
                  <c:v>239214.26650686067</c:v>
                </c:pt>
                <c:pt idx="1">
                  <c:v>243089.15459483955</c:v>
                </c:pt>
                <c:pt idx="2">
                  <c:v>246620.79815123911</c:v>
                </c:pt>
                <c:pt idx="3">
                  <c:v>250297.99132963567</c:v>
                </c:pt>
                <c:pt idx="4">
                  <c:v>253761.74974622932</c:v>
                </c:pt>
                <c:pt idx="5">
                  <c:v>257244.68618249305</c:v>
                </c:pt>
                <c:pt idx="6">
                  <c:v>260523.70753025101</c:v>
                </c:pt>
                <c:pt idx="7">
                  <c:v>263819.08871745539</c:v>
                </c:pt>
                <c:pt idx="8">
                  <c:v>267021.69505577284</c:v>
                </c:pt>
                <c:pt idx="9">
                  <c:v>270034.25559458963</c:v>
                </c:pt>
                <c:pt idx="10">
                  <c:v>273059.24795645813</c:v>
                </c:pt>
                <c:pt idx="11">
                  <c:v>275903.07087990339</c:v>
                </c:pt>
                <c:pt idx="12">
                  <c:v>278756.93076629972</c:v>
                </c:pt>
                <c:pt idx="13">
                  <c:v>281526.27749387978</c:v>
                </c:pt>
                <c:pt idx="14">
                  <c:v>283956.34625098901</c:v>
                </c:pt>
                <c:pt idx="15">
                  <c:v>286569.36606336664</c:v>
                </c:pt>
                <c:pt idx="16">
                  <c:v>289022.11313383345</c:v>
                </c:pt>
                <c:pt idx="17">
                  <c:v>291479.6675671445</c:v>
                </c:pt>
                <c:pt idx="18">
                  <c:v>293784.96365885268</c:v>
                </c:pt>
                <c:pt idx="19">
                  <c:v>296093.22940220305</c:v>
                </c:pt>
                <c:pt idx="20">
                  <c:v>298327.96611843444</c:v>
                </c:pt>
                <c:pt idx="21">
                  <c:v>300422.07556256955</c:v>
                </c:pt>
                <c:pt idx="22">
                  <c:v>302516.67337186396</c:v>
                </c:pt>
                <c:pt idx="23">
                  <c:v>304478.05747072131</c:v>
                </c:pt>
                <c:pt idx="24">
                  <c:v>306438.47309546609</c:v>
                </c:pt>
                <c:pt idx="25">
                  <c:v>308332.95247118932</c:v>
                </c:pt>
                <c:pt idx="26">
                  <c:v>309988.6729777297</c:v>
                </c:pt>
                <c:pt idx="27">
                  <c:v>311761.8070651344</c:v>
                </c:pt>
                <c:pt idx="28">
                  <c:v>313419.07595022791</c:v>
                </c:pt>
                <c:pt idx="29">
                  <c:v>315072.395954974</c:v>
                </c:pt>
                <c:pt idx="30">
                  <c:v>316616.46120673459</c:v>
                </c:pt>
                <c:pt idx="31">
                  <c:v>318155.61907712242</c:v>
                </c:pt>
                <c:pt idx="32">
                  <c:v>319638.89802633791</c:v>
                </c:pt>
                <c:pt idx="33">
                  <c:v>321022.46788778203</c:v>
                </c:pt>
                <c:pt idx="34">
                  <c:v>322399.9430947653</c:v>
                </c:pt>
                <c:pt idx="35">
                  <c:v>323683.76129352616</c:v>
                </c:pt>
                <c:pt idx="36">
                  <c:v>324960.86476629943</c:v>
                </c:pt>
                <c:pt idx="37">
                  <c:v>326189.01326758543</c:v>
                </c:pt>
                <c:pt idx="38">
                  <c:v>327257.36958777288</c:v>
                </c:pt>
                <c:pt idx="39">
                  <c:v>328396.1176278221</c:v>
                </c:pt>
                <c:pt idx="40">
                  <c:v>329455.25977721019</c:v>
                </c:pt>
                <c:pt idx="41">
                  <c:v>330506.70535339281</c:v>
                </c:pt>
                <c:pt idx="42">
                  <c:v>331483.85285054805</c:v>
                </c:pt>
                <c:pt idx="43">
                  <c:v>332453.12323728221</c:v>
                </c:pt>
                <c:pt idx="44">
                  <c:v>333382.56929680257</c:v>
                </c:pt>
                <c:pt idx="45">
                  <c:v>334245.33032879164</c:v>
                </c:pt>
                <c:pt idx="46">
                  <c:v>335100.16830007185</c:v>
                </c:pt>
                <c:pt idx="47">
                  <c:v>335893.11315085622</c:v>
                </c:pt>
                <c:pt idx="48">
                  <c:v>336678.25039749744</c:v>
                </c:pt>
                <c:pt idx="49">
                  <c:v>337429.81852246838</c:v>
                </c:pt>
                <c:pt idx="50">
                  <c:v>338103.6006425434</c:v>
                </c:pt>
                <c:pt idx="51">
                  <c:v>338793.68947425886</c:v>
                </c:pt>
                <c:pt idx="52">
                  <c:v>339432.95855165285</c:v>
                </c:pt>
                <c:pt idx="53">
                  <c:v>340065.1934266155</c:v>
                </c:pt>
                <c:pt idx="54">
                  <c:v>340650.71187037521</c:v>
                </c:pt>
                <c:pt idx="55">
                  <c:v>341229.69402107631</c:v>
                </c:pt>
                <c:pt idx="56">
                  <c:v>341783.34855515516</c:v>
                </c:pt>
                <c:pt idx="57">
                  <c:v>342296.11520948284</c:v>
                </c:pt>
                <c:pt idx="58">
                  <c:v>342803.29076904693</c:v>
                </c:pt>
                <c:pt idx="59">
                  <c:v>343273.2084420243</c:v>
                </c:pt>
                <c:pt idx="60">
                  <c:v>343738.28637825098</c:v>
                </c:pt>
                <c:pt idx="61">
                  <c:v>344183.62141911482</c:v>
                </c:pt>
                <c:pt idx="62">
                  <c:v>344569.80312479043</c:v>
                </c:pt>
                <c:pt idx="63">
                  <c:v>344980.58524742466</c:v>
                </c:pt>
                <c:pt idx="64">
                  <c:v>345362.31077582104</c:v>
                </c:pt>
                <c:pt idx="65">
                  <c:v>345741.46384042886</c:v>
                </c:pt>
                <c:pt idx="66">
                  <c:v>346094.56386096618</c:v>
                </c:pt>
                <c:pt idx="67">
                  <c:v>346446.16456691787</c:v>
                </c:pt>
                <c:pt idx="68">
                  <c:v>346785.29748544696</c:v>
                </c:pt>
                <c:pt idx="69">
                  <c:v>347102.57925421873</c:v>
                </c:pt>
                <c:pt idx="70">
                  <c:v>347420.14248961367</c:v>
                </c:pt>
                <c:pt idx="71">
                  <c:v>347718.42725049757</c:v>
                </c:pt>
                <c:pt idx="72">
                  <c:v>348018.27765239304</c:v>
                </c:pt>
                <c:pt idx="73">
                  <c:v>348310.576429056</c:v>
                </c:pt>
                <c:pt idx="74">
                  <c:v>348568.8978167522</c:v>
                </c:pt>
                <c:pt idx="75">
                  <c:v>348849.47218753473</c:v>
                </c:pt>
                <c:pt idx="76">
                  <c:v>349116.42488607037</c:v>
                </c:pt>
                <c:pt idx="77">
                  <c:v>349388.45668712805</c:v>
                </c:pt>
                <c:pt idx="78">
                  <c:v>349648.87187007267</c:v>
                </c:pt>
                <c:pt idx="79">
                  <c:v>349915.91334485117</c:v>
                </c:pt>
                <c:pt idx="80">
                  <c:v>350181.75199777941</c:v>
                </c:pt>
                <c:pt idx="81">
                  <c:v>350438.70200907293</c:v>
                </c:pt>
                <c:pt idx="82">
                  <c:v>350704.74204948341</c:v>
                </c:pt>
                <c:pt idx="83">
                  <c:v>350963.51007438038</c:v>
                </c:pt>
                <c:pt idx="84">
                  <c:v>351233.08392857027</c:v>
                </c:pt>
                <c:pt idx="85">
                  <c:v>351505.70266176615</c:v>
                </c:pt>
                <c:pt idx="86">
                  <c:v>351755.24379348283</c:v>
                </c:pt>
                <c:pt idx="87">
                  <c:v>352035.93149026035</c:v>
                </c:pt>
                <c:pt idx="88">
                  <c:v>352312.71015718556</c:v>
                </c:pt>
                <c:pt idx="89">
                  <c:v>352604.80381983699</c:v>
                </c:pt>
                <c:pt idx="90">
                  <c:v>352894.09627128125</c:v>
                </c:pt>
                <c:pt idx="91">
                  <c:v>353200.62376396195</c:v>
                </c:pt>
                <c:pt idx="92">
                  <c:v>353515.61877453607</c:v>
                </c:pt>
                <c:pt idx="93">
                  <c:v>353829.21934928134</c:v>
                </c:pt>
                <c:pt idx="94">
                  <c:v>354163.0490615493</c:v>
                </c:pt>
                <c:pt idx="95">
                  <c:v>354496.2461733871</c:v>
                </c:pt>
                <c:pt idx="96">
                  <c:v>354851.71866752801</c:v>
                </c:pt>
                <c:pt idx="97">
                  <c:v>355219.23801929026</c:v>
                </c:pt>
                <c:pt idx="98">
                  <c:v>355574.56491207768</c:v>
                </c:pt>
                <c:pt idx="99">
                  <c:v>355967.35383187002</c:v>
                </c:pt>
                <c:pt idx="100">
                  <c:v>356360.83608214336</c:v>
                </c:pt>
                <c:pt idx="101">
                  <c:v>356781.88377457793</c:v>
                </c:pt>
                <c:pt idx="102">
                  <c:v>357203.93458780443</c:v>
                </c:pt>
                <c:pt idx="103">
                  <c:v>357655.74318095861</c:v>
                </c:pt>
                <c:pt idx="104">
                  <c:v>358124.11518307205</c:v>
                </c:pt>
                <c:pt idx="105">
                  <c:v>358593.72558785387</c:v>
                </c:pt>
                <c:pt idx="106">
                  <c:v>359096.46647996514</c:v>
                </c:pt>
                <c:pt idx="107">
                  <c:v>359600.45213320572</c:v>
                </c:pt>
                <c:pt idx="108">
                  <c:v>360139.84429427341</c:v>
                </c:pt>
                <c:pt idx="109">
                  <c:v>360698.70911753597</c:v>
                </c:pt>
                <c:pt idx="110">
                  <c:v>361220.68957004842</c:v>
                </c:pt>
                <c:pt idx="111">
                  <c:v>361818.13994381693</c:v>
                </c:pt>
                <c:pt idx="112">
                  <c:v>362416.3577538181</c:v>
                </c:pt>
                <c:pt idx="113">
                  <c:v>363055.73237905325</c:v>
                </c:pt>
                <c:pt idx="114">
                  <c:v>363695.48975571746</c:v>
                </c:pt>
                <c:pt idx="115">
                  <c:v>364378.76654781424</c:v>
                </c:pt>
                <c:pt idx="116">
                  <c:v>365085.08420701814</c:v>
                </c:pt>
                <c:pt idx="117">
                  <c:v>365791.00449160126</c:v>
                </c:pt>
                <c:pt idx="118">
                  <c:v>366544.04171616194</c:v>
                </c:pt>
                <c:pt idx="119">
                  <c:v>367296.03588229563</c:v>
                </c:pt>
                <c:pt idx="120">
                  <c:v>368097.5508760878</c:v>
                </c:pt>
                <c:pt idx="121">
                  <c:v>368924.34784454422</c:v>
                </c:pt>
                <c:pt idx="122">
                  <c:v>369693.21215225034</c:v>
                </c:pt>
                <c:pt idx="123">
                  <c:v>370569.2771119519</c:v>
                </c:pt>
                <c:pt idx="124">
                  <c:v>371442.28037348145</c:v>
                </c:pt>
                <c:pt idx="125">
                  <c:v>372370.79859400162</c:v>
                </c:pt>
                <c:pt idx="126">
                  <c:v>373295.27717550279</c:v>
                </c:pt>
                <c:pt idx="127">
                  <c:v>374277.7024485984</c:v>
                </c:pt>
                <c:pt idx="128">
                  <c:v>375288.05218209652</c:v>
                </c:pt>
                <c:pt idx="129">
                  <c:v>376292.71939397656</c:v>
                </c:pt>
                <c:pt idx="130">
                  <c:v>377359.00312232098</c:v>
                </c:pt>
                <c:pt idx="131">
                  <c:v>378418.40781155537</c:v>
                </c:pt>
                <c:pt idx="132">
                  <c:v>379541.85964903701</c:v>
                </c:pt>
                <c:pt idx="133">
                  <c:v>380694.80902336695</c:v>
                </c:pt>
                <c:pt idx="134">
                  <c:v>381761.77338407928</c:v>
                </c:pt>
                <c:pt idx="135">
                  <c:v>382971.63998710265</c:v>
                </c:pt>
                <c:pt idx="136">
                  <c:v>384171.31812917313</c:v>
                </c:pt>
                <c:pt idx="137">
                  <c:v>385441.03106849827</c:v>
                </c:pt>
                <c:pt idx="138">
                  <c:v>386699.08555280906</c:v>
                </c:pt>
                <c:pt idx="139">
                  <c:v>388029.5745850805</c:v>
                </c:pt>
                <c:pt idx="140">
                  <c:v>389391.27808117628</c:v>
                </c:pt>
                <c:pt idx="141">
                  <c:v>390738.97011610057</c:v>
                </c:pt>
                <c:pt idx="142">
                  <c:v>392162.68633086653</c:v>
                </c:pt>
                <c:pt idx="143">
                  <c:v>393570.74493108346</c:v>
                </c:pt>
                <c:pt idx="144">
                  <c:v>395057.18398523174</c:v>
                </c:pt>
                <c:pt idx="145">
                  <c:v>396575.74266504997</c:v>
                </c:pt>
                <c:pt idx="146">
                  <c:v>398025.5403506041</c:v>
                </c:pt>
                <c:pt idx="147">
                  <c:v>399606.67997509544</c:v>
                </c:pt>
                <c:pt idx="148">
                  <c:v>401167.78222743195</c:v>
                </c:pt>
                <c:pt idx="149">
                  <c:v>402813.033242748</c:v>
                </c:pt>
                <c:pt idx="150">
                  <c:v>404436.38509518176</c:v>
                </c:pt>
                <c:pt idx="151">
                  <c:v>406146.15188473521</c:v>
                </c:pt>
                <c:pt idx="152">
                  <c:v>407888.83229694801</c:v>
                </c:pt>
                <c:pt idx="153">
                  <c:v>409606.70170047856</c:v>
                </c:pt>
                <c:pt idx="154">
                  <c:v>411414.34217602364</c:v>
                </c:pt>
                <c:pt idx="155">
                  <c:v>413195.17621762323</c:v>
                </c:pt>
                <c:pt idx="156">
                  <c:v>415067.96154172905</c:v>
                </c:pt>
                <c:pt idx="157">
                  <c:v>416973.8960308177</c:v>
                </c:pt>
                <c:pt idx="158">
                  <c:v>418723.88922454917</c:v>
                </c:pt>
                <c:pt idx="159">
                  <c:v>420692.94214232475</c:v>
                </c:pt>
                <c:pt idx="160">
                  <c:v>422630.04725189094</c:v>
                </c:pt>
                <c:pt idx="161">
                  <c:v>424664.32586879417</c:v>
                </c:pt>
                <c:pt idx="162">
                  <c:v>426664.50546803727</c:v>
                </c:pt>
                <c:pt idx="163">
                  <c:v>428763.89032632159</c:v>
                </c:pt>
                <c:pt idx="164">
                  <c:v>430896.28813647723</c:v>
                </c:pt>
                <c:pt idx="165">
                  <c:v>432991.27055984334</c:v>
                </c:pt>
                <c:pt idx="166">
                  <c:v>435188.42887923744</c:v>
                </c:pt>
                <c:pt idx="167">
                  <c:v>437345.92937166779</c:v>
                </c:pt>
                <c:pt idx="168">
                  <c:v>439607.50918865338</c:v>
                </c:pt>
                <c:pt idx="169">
                  <c:v>441901.66983664612</c:v>
                </c:pt>
                <c:pt idx="170">
                  <c:v>444001.71790256305</c:v>
                </c:pt>
                <c:pt idx="171">
                  <c:v>446357.54159235442</c:v>
                </c:pt>
                <c:pt idx="172">
                  <c:v>448668.02733430051</c:v>
                </c:pt>
                <c:pt idx="173">
                  <c:v>451087.05683405598</c:v>
                </c:pt>
                <c:pt idx="174">
                  <c:v>453458.40891107143</c:v>
                </c:pt>
                <c:pt idx="175">
                  <c:v>455940.00102520542</c:v>
                </c:pt>
                <c:pt idx="176">
                  <c:v>458453.11272239836</c:v>
                </c:pt>
                <c:pt idx="177">
                  <c:v>460914.97865630052</c:v>
                </c:pt>
                <c:pt idx="178">
                  <c:v>463489.51737017074</c:v>
                </c:pt>
                <c:pt idx="179">
                  <c:v>466010.42201236682</c:v>
                </c:pt>
                <c:pt idx="180">
                  <c:v>468645.52503919147</c:v>
                </c:pt>
                <c:pt idx="181">
                  <c:v>471311.0479994858</c:v>
                </c:pt>
                <c:pt idx="182">
                  <c:v>473744.55025602313</c:v>
                </c:pt>
                <c:pt idx="183">
                  <c:v>476467.24993891933</c:v>
                </c:pt>
                <c:pt idx="184">
                  <c:v>479130.34704371897</c:v>
                </c:pt>
                <c:pt idx="185">
                  <c:v>481911.09907482663</c:v>
                </c:pt>
                <c:pt idx="186">
                  <c:v>484629.82192163856</c:v>
                </c:pt>
                <c:pt idx="187">
                  <c:v>487467.45947450824</c:v>
                </c:pt>
                <c:pt idx="188">
                  <c:v>490333.53086639842</c:v>
                </c:pt>
                <c:pt idx="189">
                  <c:v>493133.9052893754</c:v>
                </c:pt>
                <c:pt idx="190">
                  <c:v>496054.93690268119</c:v>
                </c:pt>
                <c:pt idx="191">
                  <c:v>498907.83849582321</c:v>
                </c:pt>
                <c:pt idx="192">
                  <c:v>501882.44404540036</c:v>
                </c:pt>
                <c:pt idx="193">
                  <c:v>504883.71639288001</c:v>
                </c:pt>
                <c:pt idx="194">
                  <c:v>507715.15272502293</c:v>
                </c:pt>
                <c:pt idx="195">
                  <c:v>510766.91416634864</c:v>
                </c:pt>
                <c:pt idx="196">
                  <c:v>513744.49937592976</c:v>
                </c:pt>
                <c:pt idx="197">
                  <c:v>516845.99977639044</c:v>
                </c:pt>
                <c:pt idx="198">
                  <c:v>519870.91150095582</c:v>
                </c:pt>
                <c:pt idx="199">
                  <c:v>523020.45908299123</c:v>
                </c:pt>
                <c:pt idx="200">
                  <c:v>526193.74771435559</c:v>
                </c:pt>
                <c:pt idx="201">
                  <c:v>529286.83329297125</c:v>
                </c:pt>
                <c:pt idx="202">
                  <c:v>532505.45210808644</c:v>
                </c:pt>
                <c:pt idx="203">
                  <c:v>535641.49147681822</c:v>
                </c:pt>
                <c:pt idx="204">
                  <c:v>538903.52928609063</c:v>
                </c:pt>
                <c:pt idx="205">
                  <c:v>542186.87203084631</c:v>
                </c:pt>
                <c:pt idx="206">
                  <c:v>545170.34530129144</c:v>
                </c:pt>
                <c:pt idx="207">
                  <c:v>548492.76880357193</c:v>
                </c:pt>
                <c:pt idx="208">
                  <c:v>551726.81940968963</c:v>
                </c:pt>
                <c:pt idx="209">
                  <c:v>555087.55466304114</c:v>
                </c:pt>
                <c:pt idx="210">
                  <c:v>558357.61993259389</c:v>
                </c:pt>
                <c:pt idx="211">
                  <c:v>561754.45175638981</c:v>
                </c:pt>
                <c:pt idx="212">
                  <c:v>565168.75079127075</c:v>
                </c:pt>
                <c:pt idx="213">
                  <c:v>568488.97139946232</c:v>
                </c:pt>
                <c:pt idx="214">
                  <c:v>571935.86065096117</c:v>
                </c:pt>
                <c:pt idx="215">
                  <c:v>575286.45281043276</c:v>
                </c:pt>
                <c:pt idx="216">
                  <c:v>578763.4977353029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91-4AD1-BDE7-9CB7C2C600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in val="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TCSI!$E$1</c:f>
              <c:strCache>
                <c:ptCount val="1"/>
                <c:pt idx="0">
                  <c:v>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TCSI!$E$2:$E$219</c:f>
              <c:numCache>
                <c:formatCode>0_);[Red]\(0\)</c:formatCode>
                <c:ptCount val="218"/>
                <c:pt idx="0">
                  <c:v>588.98337502532581</c:v>
                </c:pt>
                <c:pt idx="1">
                  <c:v>7225.4655458402231</c:v>
                </c:pt>
                <c:pt idx="2">
                  <c:v>14702.969673403668</c:v>
                </c:pt>
                <c:pt idx="3">
                  <c:v>26366.176148156963</c:v>
                </c:pt>
                <c:pt idx="4">
                  <c:v>30760.891800879039</c:v>
                </c:pt>
                <c:pt idx="5">
                  <c:v>24135.461905402834</c:v>
                </c:pt>
                <c:pt idx="6">
                  <c:v>9035.5089355065847</c:v>
                </c:pt>
                <c:pt idx="7">
                  <c:v>-11512.115043864824</c:v>
                </c:pt>
                <c:pt idx="8">
                  <c:v>-29942.575873501661</c:v>
                </c:pt>
                <c:pt idx="9">
                  <c:v>-31807.738034068618</c:v>
                </c:pt>
                <c:pt idx="10">
                  <c:v>-19849.338384994844</c:v>
                </c:pt>
                <c:pt idx="11">
                  <c:v>-8556.4728300846164</c:v>
                </c:pt>
                <c:pt idx="12">
                  <c:v>588.98337502532581</c:v>
                </c:pt>
                <c:pt idx="13">
                  <c:v>7225.4655458402231</c:v>
                </c:pt>
                <c:pt idx="14">
                  <c:v>14702.969673403668</c:v>
                </c:pt>
                <c:pt idx="15">
                  <c:v>26366.176148156963</c:v>
                </c:pt>
                <c:pt idx="16">
                  <c:v>30760.891800879039</c:v>
                </c:pt>
                <c:pt idx="17">
                  <c:v>24135.461905402834</c:v>
                </c:pt>
                <c:pt idx="18">
                  <c:v>9035.5089355065847</c:v>
                </c:pt>
                <c:pt idx="19">
                  <c:v>-11512.115043864824</c:v>
                </c:pt>
                <c:pt idx="20">
                  <c:v>-29942.575873501661</c:v>
                </c:pt>
                <c:pt idx="21">
                  <c:v>-31807.738034068618</c:v>
                </c:pt>
                <c:pt idx="22">
                  <c:v>-19849.338384994844</c:v>
                </c:pt>
                <c:pt idx="23">
                  <c:v>-8556.4728300846164</c:v>
                </c:pt>
                <c:pt idx="24">
                  <c:v>588.98337502532581</c:v>
                </c:pt>
                <c:pt idx="25">
                  <c:v>7225.4655458402231</c:v>
                </c:pt>
                <c:pt idx="26">
                  <c:v>14702.969673403668</c:v>
                </c:pt>
                <c:pt idx="27">
                  <c:v>26366.176148156963</c:v>
                </c:pt>
                <c:pt idx="28">
                  <c:v>30760.891800879039</c:v>
                </c:pt>
                <c:pt idx="29">
                  <c:v>24135.461905402834</c:v>
                </c:pt>
                <c:pt idx="30">
                  <c:v>9035.5089355065847</c:v>
                </c:pt>
                <c:pt idx="31">
                  <c:v>-11512.115043864824</c:v>
                </c:pt>
                <c:pt idx="32">
                  <c:v>-29942.575873501661</c:v>
                </c:pt>
                <c:pt idx="33">
                  <c:v>-31807.738034068618</c:v>
                </c:pt>
                <c:pt idx="34">
                  <c:v>-19849.338384994844</c:v>
                </c:pt>
                <c:pt idx="35">
                  <c:v>-8556.4728300846164</c:v>
                </c:pt>
                <c:pt idx="36">
                  <c:v>588.98337502532581</c:v>
                </c:pt>
                <c:pt idx="37">
                  <c:v>7225.4655458402231</c:v>
                </c:pt>
                <c:pt idx="38">
                  <c:v>14702.969673403668</c:v>
                </c:pt>
                <c:pt idx="39">
                  <c:v>26366.176148156963</c:v>
                </c:pt>
                <c:pt idx="40">
                  <c:v>30760.891800879039</c:v>
                </c:pt>
                <c:pt idx="41">
                  <c:v>24135.461905402834</c:v>
                </c:pt>
                <c:pt idx="42">
                  <c:v>9035.5089355065847</c:v>
                </c:pt>
                <c:pt idx="43">
                  <c:v>-11512.115043864824</c:v>
                </c:pt>
                <c:pt idx="44">
                  <c:v>-29942.575873501661</c:v>
                </c:pt>
                <c:pt idx="45">
                  <c:v>-31807.738034068618</c:v>
                </c:pt>
                <c:pt idx="46">
                  <c:v>-19849.338384994844</c:v>
                </c:pt>
                <c:pt idx="47">
                  <c:v>-8556.4728300846164</c:v>
                </c:pt>
                <c:pt idx="48">
                  <c:v>588.98337502532581</c:v>
                </c:pt>
                <c:pt idx="49">
                  <c:v>7225.4655458402231</c:v>
                </c:pt>
                <c:pt idx="50">
                  <c:v>14702.969673403668</c:v>
                </c:pt>
                <c:pt idx="51">
                  <c:v>26366.176148156963</c:v>
                </c:pt>
                <c:pt idx="52">
                  <c:v>30760.891800879039</c:v>
                </c:pt>
                <c:pt idx="53">
                  <c:v>24135.461905402834</c:v>
                </c:pt>
                <c:pt idx="54">
                  <c:v>9035.5089355065847</c:v>
                </c:pt>
                <c:pt idx="55">
                  <c:v>-11512.115043864824</c:v>
                </c:pt>
                <c:pt idx="56">
                  <c:v>-29942.575873501661</c:v>
                </c:pt>
                <c:pt idx="57">
                  <c:v>-31807.738034068618</c:v>
                </c:pt>
                <c:pt idx="58">
                  <c:v>-19849.338384994844</c:v>
                </c:pt>
                <c:pt idx="59">
                  <c:v>-8556.4728300846164</c:v>
                </c:pt>
                <c:pt idx="60">
                  <c:v>588.98337502532581</c:v>
                </c:pt>
                <c:pt idx="61">
                  <c:v>7225.4655458402231</c:v>
                </c:pt>
                <c:pt idx="62">
                  <c:v>14702.969673403668</c:v>
                </c:pt>
                <c:pt idx="63">
                  <c:v>26366.176148156963</c:v>
                </c:pt>
                <c:pt idx="64">
                  <c:v>30760.891800879039</c:v>
                </c:pt>
                <c:pt idx="65">
                  <c:v>24135.461905402834</c:v>
                </c:pt>
                <c:pt idx="66">
                  <c:v>9035.5089355065847</c:v>
                </c:pt>
                <c:pt idx="67">
                  <c:v>-11512.115043864824</c:v>
                </c:pt>
                <c:pt idx="68">
                  <c:v>-29942.575873501661</c:v>
                </c:pt>
                <c:pt idx="69">
                  <c:v>-31807.738034068618</c:v>
                </c:pt>
                <c:pt idx="70">
                  <c:v>-19849.338384994844</c:v>
                </c:pt>
                <c:pt idx="71">
                  <c:v>-8556.4728300846164</c:v>
                </c:pt>
                <c:pt idx="72">
                  <c:v>588.98337502532581</c:v>
                </c:pt>
                <c:pt idx="73">
                  <c:v>7225.4655458402231</c:v>
                </c:pt>
                <c:pt idx="74">
                  <c:v>14702.969673403668</c:v>
                </c:pt>
                <c:pt idx="75">
                  <c:v>26366.176148156963</c:v>
                </c:pt>
                <c:pt idx="76">
                  <c:v>30760.891800879039</c:v>
                </c:pt>
                <c:pt idx="77">
                  <c:v>24135.461905402834</c:v>
                </c:pt>
                <c:pt idx="78">
                  <c:v>9035.5089355065847</c:v>
                </c:pt>
                <c:pt idx="79">
                  <c:v>-11512.115043864824</c:v>
                </c:pt>
                <c:pt idx="80">
                  <c:v>-29942.575873501661</c:v>
                </c:pt>
                <c:pt idx="81">
                  <c:v>-31807.738034068618</c:v>
                </c:pt>
                <c:pt idx="82">
                  <c:v>-19849.338384994844</c:v>
                </c:pt>
                <c:pt idx="83">
                  <c:v>-8556.4728300846164</c:v>
                </c:pt>
                <c:pt idx="84">
                  <c:v>588.98337502532581</c:v>
                </c:pt>
                <c:pt idx="85">
                  <c:v>7225.4655458402231</c:v>
                </c:pt>
                <c:pt idx="86">
                  <c:v>14702.969673403668</c:v>
                </c:pt>
                <c:pt idx="87">
                  <c:v>26366.176148156963</c:v>
                </c:pt>
                <c:pt idx="88">
                  <c:v>30760.891800879039</c:v>
                </c:pt>
                <c:pt idx="89">
                  <c:v>24135.461905402834</c:v>
                </c:pt>
                <c:pt idx="90">
                  <c:v>9035.5089355065847</c:v>
                </c:pt>
                <c:pt idx="91">
                  <c:v>-11512.115043864824</c:v>
                </c:pt>
                <c:pt idx="92">
                  <c:v>-29942.575873501661</c:v>
                </c:pt>
                <c:pt idx="93">
                  <c:v>-31807.738034068618</c:v>
                </c:pt>
                <c:pt idx="94">
                  <c:v>-19849.338384994844</c:v>
                </c:pt>
                <c:pt idx="95">
                  <c:v>-8556.4728300846164</c:v>
                </c:pt>
                <c:pt idx="96">
                  <c:v>588.98337502532581</c:v>
                </c:pt>
                <c:pt idx="97">
                  <c:v>7225.4655458402231</c:v>
                </c:pt>
                <c:pt idx="98">
                  <c:v>14702.969673403668</c:v>
                </c:pt>
                <c:pt idx="99">
                  <c:v>26366.176148156963</c:v>
                </c:pt>
                <c:pt idx="100">
                  <c:v>30760.891800879039</c:v>
                </c:pt>
                <c:pt idx="101">
                  <c:v>24135.461905402834</c:v>
                </c:pt>
                <c:pt idx="102">
                  <c:v>9035.5089355065847</c:v>
                </c:pt>
                <c:pt idx="103">
                  <c:v>-11512.115043864824</c:v>
                </c:pt>
                <c:pt idx="104">
                  <c:v>-29942.575873501661</c:v>
                </c:pt>
                <c:pt idx="105">
                  <c:v>-31807.738034068618</c:v>
                </c:pt>
                <c:pt idx="106">
                  <c:v>-19849.338384994844</c:v>
                </c:pt>
                <c:pt idx="107">
                  <c:v>-8556.4728300846164</c:v>
                </c:pt>
                <c:pt idx="108">
                  <c:v>588.98337502532581</c:v>
                </c:pt>
                <c:pt idx="109">
                  <c:v>7225.4655458402231</c:v>
                </c:pt>
                <c:pt idx="110">
                  <c:v>14702.969673403668</c:v>
                </c:pt>
                <c:pt idx="111">
                  <c:v>26366.176148156963</c:v>
                </c:pt>
                <c:pt idx="112">
                  <c:v>30760.891800879039</c:v>
                </c:pt>
                <c:pt idx="113">
                  <c:v>24135.461905402834</c:v>
                </c:pt>
                <c:pt idx="114">
                  <c:v>9035.5089355065847</c:v>
                </c:pt>
                <c:pt idx="115">
                  <c:v>-11512.115043864824</c:v>
                </c:pt>
                <c:pt idx="116">
                  <c:v>-29942.575873501661</c:v>
                </c:pt>
                <c:pt idx="117">
                  <c:v>-31807.738034068618</c:v>
                </c:pt>
                <c:pt idx="118">
                  <c:v>-19849.338384994844</c:v>
                </c:pt>
                <c:pt idx="119">
                  <c:v>-8556.4728300846164</c:v>
                </c:pt>
                <c:pt idx="120">
                  <c:v>588.98337502532581</c:v>
                </c:pt>
                <c:pt idx="121">
                  <c:v>7225.4655458402231</c:v>
                </c:pt>
                <c:pt idx="122">
                  <c:v>14702.969673403668</c:v>
                </c:pt>
                <c:pt idx="123">
                  <c:v>26366.176148156963</c:v>
                </c:pt>
                <c:pt idx="124">
                  <c:v>30760.891800879039</c:v>
                </c:pt>
                <c:pt idx="125">
                  <c:v>24135.461905402834</c:v>
                </c:pt>
                <c:pt idx="126">
                  <c:v>9035.5089355065847</c:v>
                </c:pt>
                <c:pt idx="127">
                  <c:v>-11512.115043864824</c:v>
                </c:pt>
                <c:pt idx="128">
                  <c:v>-29942.575873501661</c:v>
                </c:pt>
                <c:pt idx="129">
                  <c:v>-31807.738034068618</c:v>
                </c:pt>
                <c:pt idx="130">
                  <c:v>-19849.338384994844</c:v>
                </c:pt>
                <c:pt idx="131">
                  <c:v>-8556.4728300846164</c:v>
                </c:pt>
                <c:pt idx="132">
                  <c:v>588.98337502532581</c:v>
                </c:pt>
                <c:pt idx="133">
                  <c:v>7225.4655458402231</c:v>
                </c:pt>
                <c:pt idx="134">
                  <c:v>14702.969673403668</c:v>
                </c:pt>
                <c:pt idx="135">
                  <c:v>26366.176148156963</c:v>
                </c:pt>
                <c:pt idx="136">
                  <c:v>30760.891800879039</c:v>
                </c:pt>
                <c:pt idx="137">
                  <c:v>24135.461905402834</c:v>
                </c:pt>
                <c:pt idx="138">
                  <c:v>9035.5089355065847</c:v>
                </c:pt>
                <c:pt idx="139">
                  <c:v>-11512.115043864824</c:v>
                </c:pt>
                <c:pt idx="140">
                  <c:v>-29942.575873501661</c:v>
                </c:pt>
                <c:pt idx="141">
                  <c:v>-31807.738034068618</c:v>
                </c:pt>
                <c:pt idx="142">
                  <c:v>-19849.338384994844</c:v>
                </c:pt>
                <c:pt idx="143">
                  <c:v>-8556.4728300846164</c:v>
                </c:pt>
                <c:pt idx="144">
                  <c:v>588.98337502532581</c:v>
                </c:pt>
                <c:pt idx="145">
                  <c:v>7225.4655458402231</c:v>
                </c:pt>
                <c:pt idx="146">
                  <c:v>14702.969673403668</c:v>
                </c:pt>
                <c:pt idx="147">
                  <c:v>26366.176148156963</c:v>
                </c:pt>
                <c:pt idx="148">
                  <c:v>30760.891800879039</c:v>
                </c:pt>
                <c:pt idx="149">
                  <c:v>24135.461905402834</c:v>
                </c:pt>
                <c:pt idx="150">
                  <c:v>9035.5089355065847</c:v>
                </c:pt>
                <c:pt idx="151">
                  <c:v>-11512.115043864824</c:v>
                </c:pt>
                <c:pt idx="152">
                  <c:v>-29942.575873501661</c:v>
                </c:pt>
                <c:pt idx="153">
                  <c:v>-31807.738034068618</c:v>
                </c:pt>
                <c:pt idx="154">
                  <c:v>-19849.338384994844</c:v>
                </c:pt>
                <c:pt idx="155">
                  <c:v>-8556.4728300846164</c:v>
                </c:pt>
                <c:pt idx="156">
                  <c:v>588.98337502532581</c:v>
                </c:pt>
                <c:pt idx="157">
                  <c:v>7225.4655458402231</c:v>
                </c:pt>
                <c:pt idx="158">
                  <c:v>14702.969673403668</c:v>
                </c:pt>
                <c:pt idx="159">
                  <c:v>26366.176148156963</c:v>
                </c:pt>
                <c:pt idx="160">
                  <c:v>30760.891800879039</c:v>
                </c:pt>
                <c:pt idx="161">
                  <c:v>24135.461905402834</c:v>
                </c:pt>
                <c:pt idx="162">
                  <c:v>9035.5089355065847</c:v>
                </c:pt>
                <c:pt idx="163">
                  <c:v>-11512.115043864824</c:v>
                </c:pt>
                <c:pt idx="164">
                  <c:v>-29942.575873501661</c:v>
                </c:pt>
                <c:pt idx="165">
                  <c:v>-31807.738034068618</c:v>
                </c:pt>
                <c:pt idx="166">
                  <c:v>-19849.338384994844</c:v>
                </c:pt>
                <c:pt idx="167">
                  <c:v>-8556.4728300846164</c:v>
                </c:pt>
                <c:pt idx="168">
                  <c:v>588.98337502532581</c:v>
                </c:pt>
                <c:pt idx="169">
                  <c:v>7225.4655458402231</c:v>
                </c:pt>
                <c:pt idx="170">
                  <c:v>14702.969673403668</c:v>
                </c:pt>
                <c:pt idx="171">
                  <c:v>26366.176148156963</c:v>
                </c:pt>
                <c:pt idx="172">
                  <c:v>30760.891800879039</c:v>
                </c:pt>
                <c:pt idx="173">
                  <c:v>24135.461905402834</c:v>
                </c:pt>
                <c:pt idx="174">
                  <c:v>9035.5089355065847</c:v>
                </c:pt>
                <c:pt idx="175">
                  <c:v>-11512.115043864824</c:v>
                </c:pt>
                <c:pt idx="176">
                  <c:v>-29942.575873501661</c:v>
                </c:pt>
                <c:pt idx="177">
                  <c:v>-31807.738034068618</c:v>
                </c:pt>
                <c:pt idx="178">
                  <c:v>-19849.338384994844</c:v>
                </c:pt>
                <c:pt idx="179">
                  <c:v>-8556.4728300846164</c:v>
                </c:pt>
                <c:pt idx="180">
                  <c:v>588.98337502532581</c:v>
                </c:pt>
                <c:pt idx="181">
                  <c:v>7225.4655458402231</c:v>
                </c:pt>
                <c:pt idx="182">
                  <c:v>14702.969673403668</c:v>
                </c:pt>
                <c:pt idx="183">
                  <c:v>26366.176148156963</c:v>
                </c:pt>
                <c:pt idx="184">
                  <c:v>30760.891800879039</c:v>
                </c:pt>
                <c:pt idx="185">
                  <c:v>24135.461905402834</c:v>
                </c:pt>
                <c:pt idx="186">
                  <c:v>9035.5089355065847</c:v>
                </c:pt>
                <c:pt idx="187">
                  <c:v>-11512.115043864824</c:v>
                </c:pt>
                <c:pt idx="188">
                  <c:v>-29942.575873501661</c:v>
                </c:pt>
                <c:pt idx="189">
                  <c:v>-31807.738034068618</c:v>
                </c:pt>
                <c:pt idx="190">
                  <c:v>-19849.338384994844</c:v>
                </c:pt>
                <c:pt idx="191">
                  <c:v>-8556.4728300846164</c:v>
                </c:pt>
                <c:pt idx="192">
                  <c:v>588.98337502532581</c:v>
                </c:pt>
                <c:pt idx="193">
                  <c:v>7225.4655458402231</c:v>
                </c:pt>
                <c:pt idx="194">
                  <c:v>14702.969673403668</c:v>
                </c:pt>
                <c:pt idx="195">
                  <c:v>26366.176148156963</c:v>
                </c:pt>
                <c:pt idx="196">
                  <c:v>30760.891800879039</c:v>
                </c:pt>
                <c:pt idx="197">
                  <c:v>24135.461905402834</c:v>
                </c:pt>
                <c:pt idx="198">
                  <c:v>9035.5089355065847</c:v>
                </c:pt>
                <c:pt idx="199">
                  <c:v>-11512.115043864824</c:v>
                </c:pt>
                <c:pt idx="200">
                  <c:v>-29942.575873501661</c:v>
                </c:pt>
                <c:pt idx="201">
                  <c:v>-31807.738034068618</c:v>
                </c:pt>
                <c:pt idx="202">
                  <c:v>-19849.338384994844</c:v>
                </c:pt>
                <c:pt idx="203">
                  <c:v>-8556.4728300846164</c:v>
                </c:pt>
                <c:pt idx="204">
                  <c:v>588.98337502532581</c:v>
                </c:pt>
                <c:pt idx="205">
                  <c:v>7225.4655458402231</c:v>
                </c:pt>
                <c:pt idx="206">
                  <c:v>14702.969673403668</c:v>
                </c:pt>
                <c:pt idx="207">
                  <c:v>26366.176148156963</c:v>
                </c:pt>
                <c:pt idx="208">
                  <c:v>30760.891800879039</c:v>
                </c:pt>
                <c:pt idx="209">
                  <c:v>24135.461905402834</c:v>
                </c:pt>
                <c:pt idx="210">
                  <c:v>9035.5089355065847</c:v>
                </c:pt>
                <c:pt idx="211">
                  <c:v>-11512.115043864824</c:v>
                </c:pt>
                <c:pt idx="212">
                  <c:v>-29942.575873501661</c:v>
                </c:pt>
                <c:pt idx="213">
                  <c:v>-31807.738034068618</c:v>
                </c:pt>
                <c:pt idx="214">
                  <c:v>-19849.338384994844</c:v>
                </c:pt>
                <c:pt idx="215">
                  <c:v>-8556.4728300846164</c:v>
                </c:pt>
                <c:pt idx="216">
                  <c:v>588.98337502532581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9CB-417C-B182-FEF955B04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&quot;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ax val="200000"/>
          <c:min val="-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TCSI!$J$1</c:f>
              <c:strCache>
                <c:ptCount val="1"/>
                <c:pt idx="0">
                  <c:v>S+I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TCSI!$J$2:$J$219</c:f>
              <c:numCache>
                <c:formatCode>0_);[Red]\(0\)</c:formatCode>
                <c:ptCount val="218"/>
                <c:pt idx="0">
                  <c:v>-1349.5137214599058</c:v>
                </c:pt>
                <c:pt idx="1">
                  <c:v>143.67997608660789</c:v>
                </c:pt>
                <c:pt idx="2">
                  <c:v>23795.428127039952</c:v>
                </c:pt>
                <c:pt idx="3">
                  <c:v>21740.060189934713</c:v>
                </c:pt>
                <c:pt idx="4">
                  <c:v>24713.347706584485</c:v>
                </c:pt>
                <c:pt idx="5">
                  <c:v>33019.710077759919</c:v>
                </c:pt>
                <c:pt idx="6">
                  <c:v>15525.931531331677</c:v>
                </c:pt>
                <c:pt idx="7">
                  <c:v>-14156.695899367582</c:v>
                </c:pt>
                <c:pt idx="8">
                  <c:v>-29172.053996620743</c:v>
                </c:pt>
                <c:pt idx="9">
                  <c:v>-30388.055563088892</c:v>
                </c:pt>
                <c:pt idx="10">
                  <c:v>-22411.684340841766</c:v>
                </c:pt>
                <c:pt idx="11">
                  <c:v>-11613.050449535689</c:v>
                </c:pt>
                <c:pt idx="12">
                  <c:v>4345.6698685302408</c:v>
                </c:pt>
                <c:pt idx="13">
                  <c:v>20107.666150291421</c:v>
                </c:pt>
                <c:pt idx="14">
                  <c:v>20410.255769346724</c:v>
                </c:pt>
                <c:pt idx="15">
                  <c:v>33986.843474914043</c:v>
                </c:pt>
                <c:pt idx="16">
                  <c:v>29550.429240538379</c:v>
                </c:pt>
                <c:pt idx="17">
                  <c:v>27535.110169054813</c:v>
                </c:pt>
                <c:pt idx="18">
                  <c:v>19613.75015865497</c:v>
                </c:pt>
                <c:pt idx="19">
                  <c:v>727.80019081559294</c:v>
                </c:pt>
                <c:pt idx="20">
                  <c:v>-37481.307155055067</c:v>
                </c:pt>
                <c:pt idx="21">
                  <c:v>-25801.41373253215</c:v>
                </c:pt>
                <c:pt idx="22">
                  <c:v>-26839.780645642386</c:v>
                </c:pt>
                <c:pt idx="23">
                  <c:v>-11073.907595162153</c:v>
                </c:pt>
                <c:pt idx="24">
                  <c:v>-666.51516309520184</c:v>
                </c:pt>
                <c:pt idx="25">
                  <c:v>19032.686523425255</c:v>
                </c:pt>
                <c:pt idx="26">
                  <c:v>17135.382247579324</c:v>
                </c:pt>
                <c:pt idx="27">
                  <c:v>34927.232569160064</c:v>
                </c:pt>
                <c:pt idx="28">
                  <c:v>31772.542252315725</c:v>
                </c:pt>
                <c:pt idx="29">
                  <c:v>29783.935432848815</c:v>
                </c:pt>
                <c:pt idx="30">
                  <c:v>16913.427114286813</c:v>
                </c:pt>
                <c:pt idx="31">
                  <c:v>-23062.664676668552</c:v>
                </c:pt>
                <c:pt idx="32">
                  <c:v>-34268.865958990311</c:v>
                </c:pt>
                <c:pt idx="33">
                  <c:v>-37212.726249658197</c:v>
                </c:pt>
                <c:pt idx="34">
                  <c:v>-23927.710774861614</c:v>
                </c:pt>
                <c:pt idx="35">
                  <c:v>-5925.8549789077206</c:v>
                </c:pt>
                <c:pt idx="36">
                  <c:v>4850.7122244848752</c:v>
                </c:pt>
                <c:pt idx="37">
                  <c:v>-15026.074499253991</c:v>
                </c:pt>
                <c:pt idx="38">
                  <c:v>9893.2275787163671</c:v>
                </c:pt>
                <c:pt idx="39">
                  <c:v>29873.583230907323</c:v>
                </c:pt>
                <c:pt idx="40">
                  <c:v>22037.930750525975</c:v>
                </c:pt>
                <c:pt idx="41">
                  <c:v>20598.27272764127</c:v>
                </c:pt>
                <c:pt idx="42">
                  <c:v>4632.9478757033557</c:v>
                </c:pt>
                <c:pt idx="43">
                  <c:v>-1262.4703146593129</c:v>
                </c:pt>
                <c:pt idx="44">
                  <c:v>-29253.043305439933</c:v>
                </c:pt>
                <c:pt idx="45">
                  <c:v>-37051.239277299377</c:v>
                </c:pt>
                <c:pt idx="46">
                  <c:v>-20288.604211685306</c:v>
                </c:pt>
                <c:pt idx="47">
                  <c:v>-14290.916717386554</c:v>
                </c:pt>
                <c:pt idx="48">
                  <c:v>2004.2721076418882</c:v>
                </c:pt>
                <c:pt idx="49">
                  <c:v>10169.635055294348</c:v>
                </c:pt>
                <c:pt idx="50">
                  <c:v>7717.1353957785195</c:v>
                </c:pt>
                <c:pt idx="51">
                  <c:v>20107.537141295026</c:v>
                </c:pt>
                <c:pt idx="52">
                  <c:v>38649.103602944619</c:v>
                </c:pt>
                <c:pt idx="53">
                  <c:v>29459.566674430855</c:v>
                </c:pt>
                <c:pt idx="54">
                  <c:v>20838.361552141094</c:v>
                </c:pt>
                <c:pt idx="55">
                  <c:v>-25026.182875381619</c:v>
                </c:pt>
                <c:pt idx="56">
                  <c:v>-30436.487936545356</c:v>
                </c:pt>
                <c:pt idx="57">
                  <c:v>-34617.823277160423</c:v>
                </c:pt>
                <c:pt idx="58">
                  <c:v>-24274.062284312738</c:v>
                </c:pt>
                <c:pt idx="59">
                  <c:v>495.10724126626155</c:v>
                </c:pt>
                <c:pt idx="60">
                  <c:v>-5935.4560943617234</c:v>
                </c:pt>
                <c:pt idx="61">
                  <c:v>850.89154504351427</c:v>
                </c:pt>
                <c:pt idx="62">
                  <c:v>14724.956376836799</c:v>
                </c:pt>
                <c:pt idx="63">
                  <c:v>11061.662288187563</c:v>
                </c:pt>
                <c:pt idx="64">
                  <c:v>31809.49845873372</c:v>
                </c:pt>
                <c:pt idx="65">
                  <c:v>23198.930368854271</c:v>
                </c:pt>
                <c:pt idx="66">
                  <c:v>11671.609661251596</c:v>
                </c:pt>
                <c:pt idx="67">
                  <c:v>-14438.494564288261</c:v>
                </c:pt>
                <c:pt idx="68">
                  <c:v>-34298.682938517028</c:v>
                </c:pt>
                <c:pt idx="69">
                  <c:v>-26014.412968153723</c:v>
                </c:pt>
                <c:pt idx="70">
                  <c:v>-8433.7926549629592</c:v>
                </c:pt>
                <c:pt idx="71">
                  <c:v>-8217.8501271923396</c:v>
                </c:pt>
                <c:pt idx="72">
                  <c:v>3928.525767238646</c:v>
                </c:pt>
                <c:pt idx="73">
                  <c:v>4948.1909964239594</c:v>
                </c:pt>
                <c:pt idx="74">
                  <c:v>12704.52712779379</c:v>
                </c:pt>
                <c:pt idx="75">
                  <c:v>26578.129964044168</c:v>
                </c:pt>
                <c:pt idx="76">
                  <c:v>31626.504037434745</c:v>
                </c:pt>
                <c:pt idx="77">
                  <c:v>12021.020938403644</c:v>
                </c:pt>
                <c:pt idx="78">
                  <c:v>7266.1249826692674</c:v>
                </c:pt>
                <c:pt idx="79">
                  <c:v>-12265.720637581609</c:v>
                </c:pt>
                <c:pt idx="80">
                  <c:v>-14352.418421113727</c:v>
                </c:pt>
                <c:pt idx="81">
                  <c:v>-43121.746900379461</c:v>
                </c:pt>
                <c:pt idx="82">
                  <c:v>-32991.580160986778</c:v>
                </c:pt>
                <c:pt idx="83">
                  <c:v>-5912.6817416447848</c:v>
                </c:pt>
                <c:pt idx="84">
                  <c:v>-3132.1047363447469</c:v>
                </c:pt>
                <c:pt idx="85">
                  <c:v>8642.1962578223465</c:v>
                </c:pt>
                <c:pt idx="86">
                  <c:v>13875.290024230362</c:v>
                </c:pt>
                <c:pt idx="87">
                  <c:v>36819.579340367658</c:v>
                </c:pt>
                <c:pt idx="88">
                  <c:v>35428.807358289894</c:v>
                </c:pt>
                <c:pt idx="89">
                  <c:v>24697.607528389537</c:v>
                </c:pt>
                <c:pt idx="90">
                  <c:v>4914.0625320792797</c:v>
                </c:pt>
                <c:pt idx="91">
                  <c:v>-7416.7288479111685</c:v>
                </c:pt>
                <c:pt idx="92">
                  <c:v>-35244.901472261379</c:v>
                </c:pt>
                <c:pt idx="93">
                  <c:v>-28789.670199252807</c:v>
                </c:pt>
                <c:pt idx="94">
                  <c:v>-27705.782607000772</c:v>
                </c:pt>
                <c:pt idx="95">
                  <c:v>-19335.761331394657</c:v>
                </c:pt>
                <c:pt idx="96">
                  <c:v>719.52897771462813</c:v>
                </c:pt>
                <c:pt idx="97">
                  <c:v>10975.579363149853</c:v>
                </c:pt>
                <c:pt idx="98">
                  <c:v>8686.2205004876923</c:v>
                </c:pt>
                <c:pt idx="99">
                  <c:v>39777.507299305405</c:v>
                </c:pt>
                <c:pt idx="100">
                  <c:v>40054.504723361482</c:v>
                </c:pt>
                <c:pt idx="101">
                  <c:v>19513.501091251594</c:v>
                </c:pt>
                <c:pt idx="102">
                  <c:v>14006.79965534308</c:v>
                </c:pt>
                <c:pt idx="103">
                  <c:v>-24961.86519892724</c:v>
                </c:pt>
                <c:pt idx="104">
                  <c:v>-33108.631096803416</c:v>
                </c:pt>
                <c:pt idx="105">
                  <c:v>-30690.351036545642</c:v>
                </c:pt>
                <c:pt idx="106">
                  <c:v>-24629.498913060503</c:v>
                </c:pt>
                <c:pt idx="107">
                  <c:v>-25633.008441088408</c:v>
                </c:pt>
                <c:pt idx="108">
                  <c:v>-10035.389660608969</c:v>
                </c:pt>
                <c:pt idx="109">
                  <c:v>2815.5041972472955</c:v>
                </c:pt>
                <c:pt idx="110">
                  <c:v>9287.4380234775927</c:v>
                </c:pt>
                <c:pt idx="111">
                  <c:v>34772.851427356167</c:v>
                </c:pt>
                <c:pt idx="112">
                  <c:v>27635.735212692547</c:v>
                </c:pt>
                <c:pt idx="113">
                  <c:v>11517.219150781395</c:v>
                </c:pt>
                <c:pt idx="114">
                  <c:v>8112.6345887722573</c:v>
                </c:pt>
                <c:pt idx="115">
                  <c:v>-12103.097005448304</c:v>
                </c:pt>
                <c:pt idx="116">
                  <c:v>-29056.39461482007</c:v>
                </c:pt>
                <c:pt idx="117">
                  <c:v>-26355.262063961411</c:v>
                </c:pt>
                <c:pt idx="118">
                  <c:v>-15507.667520877545</c:v>
                </c:pt>
                <c:pt idx="119">
                  <c:v>-9094.5562057067946</c:v>
                </c:pt>
                <c:pt idx="120">
                  <c:v>4211.376757468076</c:v>
                </c:pt>
                <c:pt idx="121">
                  <c:v>10812.089080716474</c:v>
                </c:pt>
                <c:pt idx="122">
                  <c:v>15429.570266535686</c:v>
                </c:pt>
                <c:pt idx="123">
                  <c:v>23470.569240751163</c:v>
                </c:pt>
                <c:pt idx="124">
                  <c:v>39799.335506240823</c:v>
                </c:pt>
                <c:pt idx="125">
                  <c:v>26836.766711671866</c:v>
                </c:pt>
                <c:pt idx="126">
                  <c:v>9103.4329116515091</c:v>
                </c:pt>
                <c:pt idx="127">
                  <c:v>-11790.167707329281</c:v>
                </c:pt>
                <c:pt idx="128">
                  <c:v>-40887.994884942884</c:v>
                </c:pt>
                <c:pt idx="129">
                  <c:v>-31161.102069952525</c:v>
                </c:pt>
                <c:pt idx="130">
                  <c:v>-13122.493048544547</c:v>
                </c:pt>
                <c:pt idx="131">
                  <c:v>1133.2167472267301</c:v>
                </c:pt>
                <c:pt idx="132">
                  <c:v>152.76157916764026</c:v>
                </c:pt>
                <c:pt idx="133">
                  <c:v>12462.28704718966</c:v>
                </c:pt>
                <c:pt idx="134">
                  <c:v>17055.523891853292</c:v>
                </c:pt>
                <c:pt idx="135">
                  <c:v>30241.998986093786</c:v>
                </c:pt>
                <c:pt idx="136">
                  <c:v>21966.324268476383</c:v>
                </c:pt>
                <c:pt idx="137">
                  <c:v>23124.919950441661</c:v>
                </c:pt>
                <c:pt idx="138">
                  <c:v>12198.48802590679</c:v>
                </c:pt>
                <c:pt idx="139">
                  <c:v>-17635.514952441063</c:v>
                </c:pt>
                <c:pt idx="140">
                  <c:v>-35624.341250750636</c:v>
                </c:pt>
                <c:pt idx="141">
                  <c:v>-20588.654550244504</c:v>
                </c:pt>
                <c:pt idx="142">
                  <c:v>-13189.254433479848</c:v>
                </c:pt>
                <c:pt idx="143">
                  <c:v>-6930.3279829096791</c:v>
                </c:pt>
                <c:pt idx="144">
                  <c:v>-1563.2945449609981</c:v>
                </c:pt>
                <c:pt idx="145">
                  <c:v>-1771.1850729592461</c:v>
                </c:pt>
                <c:pt idx="146">
                  <c:v>14432.671987051326</c:v>
                </c:pt>
                <c:pt idx="147">
                  <c:v>23877.554025217443</c:v>
                </c:pt>
                <c:pt idx="148">
                  <c:v>27554.235234168165</c:v>
                </c:pt>
                <c:pt idx="149">
                  <c:v>20686.017639290862</c:v>
                </c:pt>
                <c:pt idx="150">
                  <c:v>19137.443785909665</c:v>
                </c:pt>
                <c:pt idx="151">
                  <c:v>-8059.4919295828377</c:v>
                </c:pt>
                <c:pt idx="152">
                  <c:v>-33064.024043384961</c:v>
                </c:pt>
                <c:pt idx="153">
                  <c:v>-33385.83126500206</c:v>
                </c:pt>
                <c:pt idx="154">
                  <c:v>-14145.958386191291</c:v>
                </c:pt>
                <c:pt idx="155">
                  <c:v>-7473.4550493708803</c:v>
                </c:pt>
                <c:pt idx="156">
                  <c:v>2627.7274687007575</c:v>
                </c:pt>
                <c:pt idx="157">
                  <c:v>7997.8479161772784</c:v>
                </c:pt>
                <c:pt idx="158">
                  <c:v>24580.071773218002</c:v>
                </c:pt>
                <c:pt idx="159">
                  <c:v>33071.831035466545</c:v>
                </c:pt>
                <c:pt idx="160">
                  <c:v>26523.832177727876</c:v>
                </c:pt>
                <c:pt idx="161">
                  <c:v>36514.744103087607</c:v>
                </c:pt>
                <c:pt idx="162">
                  <c:v>-9037.6520372870782</c:v>
                </c:pt>
                <c:pt idx="163">
                  <c:v>-6168.9500329706079</c:v>
                </c:pt>
                <c:pt idx="164">
                  <c:v>-36435.200866560866</c:v>
                </c:pt>
                <c:pt idx="165">
                  <c:v>-25524.341548089462</c:v>
                </c:pt>
                <c:pt idx="166">
                  <c:v>-21928.660214401516</c:v>
                </c:pt>
                <c:pt idx="167">
                  <c:v>-6474.2495223962978</c:v>
                </c:pt>
                <c:pt idx="168">
                  <c:v>8289.4215577264513</c:v>
                </c:pt>
                <c:pt idx="169">
                  <c:v>-2573.9894130346947</c:v>
                </c:pt>
                <c:pt idx="170">
                  <c:v>19937.29719333379</c:v>
                </c:pt>
                <c:pt idx="171">
                  <c:v>27270.658574831443</c:v>
                </c:pt>
                <c:pt idx="172">
                  <c:v>40743.270789302638</c:v>
                </c:pt>
                <c:pt idx="173">
                  <c:v>24291.842332241747</c:v>
                </c:pt>
                <c:pt idx="174">
                  <c:v>13066.269349369059</c:v>
                </c:pt>
                <c:pt idx="175">
                  <c:v>-4730.8522700852573</c:v>
                </c:pt>
                <c:pt idx="176">
                  <c:v>-30167.593810806608</c:v>
                </c:pt>
                <c:pt idx="177">
                  <c:v>-39999.039784292683</c:v>
                </c:pt>
                <c:pt idx="178">
                  <c:v>-24228.547229038035</c:v>
                </c:pt>
                <c:pt idx="179">
                  <c:v>-13724.109750336102</c:v>
                </c:pt>
                <c:pt idx="180">
                  <c:v>4561.2975731954439</c:v>
                </c:pt>
                <c:pt idx="181">
                  <c:v>19402.241324805102</c:v>
                </c:pt>
                <c:pt idx="182">
                  <c:v>10077.853444261524</c:v>
                </c:pt>
                <c:pt idx="183">
                  <c:v>33317.863185716982</c:v>
                </c:pt>
                <c:pt idx="184">
                  <c:v>25866.947536164385</c:v>
                </c:pt>
                <c:pt idx="185">
                  <c:v>18478.349655320089</c:v>
                </c:pt>
                <c:pt idx="186">
                  <c:v>15015.299760190535</c:v>
                </c:pt>
                <c:pt idx="187">
                  <c:v>-18594.303672717564</c:v>
                </c:pt>
                <c:pt idx="188">
                  <c:v>-10795.313579302343</c:v>
                </c:pt>
                <c:pt idx="189">
                  <c:v>-33308.321056943372</c:v>
                </c:pt>
                <c:pt idx="190">
                  <c:v>-17558.153962843375</c:v>
                </c:pt>
                <c:pt idx="191">
                  <c:v>-14166.370716164332</c:v>
                </c:pt>
                <c:pt idx="192">
                  <c:v>-7986.9324224089105</c:v>
                </c:pt>
                <c:pt idx="193">
                  <c:v>2719.1480901626774</c:v>
                </c:pt>
                <c:pt idx="194">
                  <c:v>10362.284821180576</c:v>
                </c:pt>
                <c:pt idx="195">
                  <c:v>34490.97753501244</c:v>
                </c:pt>
                <c:pt idx="196">
                  <c:v>40439.873074904121</c:v>
                </c:pt>
                <c:pt idx="197">
                  <c:v>33094.516981468201</c:v>
                </c:pt>
                <c:pt idx="198">
                  <c:v>2204.8012456144379</c:v>
                </c:pt>
                <c:pt idx="199">
                  <c:v>3604.3280298079353</c:v>
                </c:pt>
                <c:pt idx="200">
                  <c:v>-33589.444709056472</c:v>
                </c:pt>
                <c:pt idx="201">
                  <c:v>-34746.41728948136</c:v>
                </c:pt>
                <c:pt idx="202">
                  <c:v>-19760.807397958783</c:v>
                </c:pt>
                <c:pt idx="203">
                  <c:v>-11256.337008244896</c:v>
                </c:pt>
                <c:pt idx="204">
                  <c:v>1971.189393457297</c:v>
                </c:pt>
                <c:pt idx="205">
                  <c:v>11989.731298348544</c:v>
                </c:pt>
                <c:pt idx="206">
                  <c:v>12435.971201502955</c:v>
                </c:pt>
                <c:pt idx="207">
                  <c:v>33116.553267200608</c:v>
                </c:pt>
                <c:pt idx="208">
                  <c:v>42275.759579178652</c:v>
                </c:pt>
                <c:pt idx="209">
                  <c:v>23184.26741383399</c:v>
                </c:pt>
                <c:pt idx="210">
                  <c:v>13044.69032730445</c:v>
                </c:pt>
                <c:pt idx="211">
                  <c:v>-15503.411628294654</c:v>
                </c:pt>
                <c:pt idx="212">
                  <c:v>-34476.776707386554</c:v>
                </c:pt>
                <c:pt idx="213">
                  <c:v>-32633.136837351158</c:v>
                </c:pt>
                <c:pt idx="214">
                  <c:v>-18371.542716681008</c:v>
                </c:pt>
                <c:pt idx="215">
                  <c:v>-5467.5896851718389</c:v>
                </c:pt>
                <c:pt idx="216">
                  <c:v>3678.8665199381057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81-443B-9D6C-1622BAEEB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&quot;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ax val="200000"/>
          <c:min val="-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Y-T (=S+I)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TCSI!$J$1</c:f>
              <c:strCache>
                <c:ptCount val="1"/>
                <c:pt idx="0">
                  <c:v>S+I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TCSI!$J$2:$J$219</c:f>
              <c:numCache>
                <c:formatCode>0_);[Red]\(0\)</c:formatCode>
                <c:ptCount val="218"/>
                <c:pt idx="0">
                  <c:v>-1349.5137214599058</c:v>
                </c:pt>
                <c:pt idx="1">
                  <c:v>143.67997608660789</c:v>
                </c:pt>
                <c:pt idx="2">
                  <c:v>23795.428127039952</c:v>
                </c:pt>
                <c:pt idx="3">
                  <c:v>21740.060189934713</c:v>
                </c:pt>
                <c:pt idx="4">
                  <c:v>24713.347706584485</c:v>
                </c:pt>
                <c:pt idx="5">
                  <c:v>33019.710077759919</c:v>
                </c:pt>
                <c:pt idx="6">
                  <c:v>15525.931531331677</c:v>
                </c:pt>
                <c:pt idx="7">
                  <c:v>-14156.695899367582</c:v>
                </c:pt>
                <c:pt idx="8">
                  <c:v>-29172.053996620743</c:v>
                </c:pt>
                <c:pt idx="9">
                  <c:v>-30388.055563088892</c:v>
                </c:pt>
                <c:pt idx="10">
                  <c:v>-22411.684340841766</c:v>
                </c:pt>
                <c:pt idx="11">
                  <c:v>-11613.050449535689</c:v>
                </c:pt>
                <c:pt idx="12">
                  <c:v>4345.6698685302408</c:v>
                </c:pt>
                <c:pt idx="13">
                  <c:v>20107.666150291421</c:v>
                </c:pt>
                <c:pt idx="14">
                  <c:v>20410.255769346724</c:v>
                </c:pt>
                <c:pt idx="15">
                  <c:v>33986.843474914043</c:v>
                </c:pt>
                <c:pt idx="16">
                  <c:v>29550.429240538379</c:v>
                </c:pt>
                <c:pt idx="17">
                  <c:v>27535.110169054813</c:v>
                </c:pt>
                <c:pt idx="18">
                  <c:v>19613.75015865497</c:v>
                </c:pt>
                <c:pt idx="19">
                  <c:v>727.80019081559294</c:v>
                </c:pt>
                <c:pt idx="20">
                  <c:v>-37481.307155055067</c:v>
                </c:pt>
                <c:pt idx="21">
                  <c:v>-25801.41373253215</c:v>
                </c:pt>
                <c:pt idx="22">
                  <c:v>-26839.780645642386</c:v>
                </c:pt>
                <c:pt idx="23">
                  <c:v>-11073.907595162153</c:v>
                </c:pt>
                <c:pt idx="24">
                  <c:v>-666.51516309520184</c:v>
                </c:pt>
                <c:pt idx="25">
                  <c:v>19032.686523425255</c:v>
                </c:pt>
                <c:pt idx="26">
                  <c:v>17135.382247579324</c:v>
                </c:pt>
                <c:pt idx="27">
                  <c:v>34927.232569160064</c:v>
                </c:pt>
                <c:pt idx="28">
                  <c:v>31772.542252315725</c:v>
                </c:pt>
                <c:pt idx="29">
                  <c:v>29783.935432848815</c:v>
                </c:pt>
                <c:pt idx="30">
                  <c:v>16913.427114286813</c:v>
                </c:pt>
                <c:pt idx="31">
                  <c:v>-23062.664676668552</c:v>
                </c:pt>
                <c:pt idx="32">
                  <c:v>-34268.865958990311</c:v>
                </c:pt>
                <c:pt idx="33">
                  <c:v>-37212.726249658197</c:v>
                </c:pt>
                <c:pt idx="34">
                  <c:v>-23927.710774861614</c:v>
                </c:pt>
                <c:pt idx="35">
                  <c:v>-5925.8549789077206</c:v>
                </c:pt>
                <c:pt idx="36">
                  <c:v>4850.7122244848752</c:v>
                </c:pt>
                <c:pt idx="37">
                  <c:v>-15026.074499253991</c:v>
                </c:pt>
                <c:pt idx="38">
                  <c:v>9893.2275787163671</c:v>
                </c:pt>
                <c:pt idx="39">
                  <c:v>29873.583230907323</c:v>
                </c:pt>
                <c:pt idx="40">
                  <c:v>22037.930750525975</c:v>
                </c:pt>
                <c:pt idx="41">
                  <c:v>20598.27272764127</c:v>
                </c:pt>
                <c:pt idx="42">
                  <c:v>4632.9478757033557</c:v>
                </c:pt>
                <c:pt idx="43">
                  <c:v>-1262.4703146593129</c:v>
                </c:pt>
                <c:pt idx="44">
                  <c:v>-29253.043305439933</c:v>
                </c:pt>
                <c:pt idx="45">
                  <c:v>-37051.239277299377</c:v>
                </c:pt>
                <c:pt idx="46">
                  <c:v>-20288.604211685306</c:v>
                </c:pt>
                <c:pt idx="47">
                  <c:v>-14290.916717386554</c:v>
                </c:pt>
                <c:pt idx="48">
                  <c:v>2004.2721076418882</c:v>
                </c:pt>
                <c:pt idx="49">
                  <c:v>10169.635055294348</c:v>
                </c:pt>
                <c:pt idx="50">
                  <c:v>7717.1353957785195</c:v>
                </c:pt>
                <c:pt idx="51">
                  <c:v>20107.537141295026</c:v>
                </c:pt>
                <c:pt idx="52">
                  <c:v>38649.103602944619</c:v>
                </c:pt>
                <c:pt idx="53">
                  <c:v>29459.566674430855</c:v>
                </c:pt>
                <c:pt idx="54">
                  <c:v>20838.361552141094</c:v>
                </c:pt>
                <c:pt idx="55">
                  <c:v>-25026.182875381619</c:v>
                </c:pt>
                <c:pt idx="56">
                  <c:v>-30436.487936545356</c:v>
                </c:pt>
                <c:pt idx="57">
                  <c:v>-34617.823277160423</c:v>
                </c:pt>
                <c:pt idx="58">
                  <c:v>-24274.062284312738</c:v>
                </c:pt>
                <c:pt idx="59">
                  <c:v>495.10724126626155</c:v>
                </c:pt>
                <c:pt idx="60">
                  <c:v>-5935.4560943617234</c:v>
                </c:pt>
                <c:pt idx="61">
                  <c:v>850.89154504351427</c:v>
                </c:pt>
                <c:pt idx="62">
                  <c:v>14724.956376836799</c:v>
                </c:pt>
                <c:pt idx="63">
                  <c:v>11061.662288187563</c:v>
                </c:pt>
                <c:pt idx="64">
                  <c:v>31809.49845873372</c:v>
                </c:pt>
                <c:pt idx="65">
                  <c:v>23198.930368854271</c:v>
                </c:pt>
                <c:pt idx="66">
                  <c:v>11671.609661251596</c:v>
                </c:pt>
                <c:pt idx="67">
                  <c:v>-14438.494564288261</c:v>
                </c:pt>
                <c:pt idx="68">
                  <c:v>-34298.682938517028</c:v>
                </c:pt>
                <c:pt idx="69">
                  <c:v>-26014.412968153723</c:v>
                </c:pt>
                <c:pt idx="70">
                  <c:v>-8433.7926549629592</c:v>
                </c:pt>
                <c:pt idx="71">
                  <c:v>-8217.8501271923396</c:v>
                </c:pt>
                <c:pt idx="72">
                  <c:v>3928.525767238646</c:v>
                </c:pt>
                <c:pt idx="73">
                  <c:v>4948.1909964239594</c:v>
                </c:pt>
                <c:pt idx="74">
                  <c:v>12704.52712779379</c:v>
                </c:pt>
                <c:pt idx="75">
                  <c:v>26578.129964044168</c:v>
                </c:pt>
                <c:pt idx="76">
                  <c:v>31626.504037434745</c:v>
                </c:pt>
                <c:pt idx="77">
                  <c:v>12021.020938403644</c:v>
                </c:pt>
                <c:pt idx="78">
                  <c:v>7266.1249826692674</c:v>
                </c:pt>
                <c:pt idx="79">
                  <c:v>-12265.720637581609</c:v>
                </c:pt>
                <c:pt idx="80">
                  <c:v>-14352.418421113727</c:v>
                </c:pt>
                <c:pt idx="81">
                  <c:v>-43121.746900379461</c:v>
                </c:pt>
                <c:pt idx="82">
                  <c:v>-32991.580160986778</c:v>
                </c:pt>
                <c:pt idx="83">
                  <c:v>-5912.6817416447848</c:v>
                </c:pt>
                <c:pt idx="84">
                  <c:v>-3132.1047363447469</c:v>
                </c:pt>
                <c:pt idx="85">
                  <c:v>8642.1962578223465</c:v>
                </c:pt>
                <c:pt idx="86">
                  <c:v>13875.290024230362</c:v>
                </c:pt>
                <c:pt idx="87">
                  <c:v>36819.579340367658</c:v>
                </c:pt>
                <c:pt idx="88">
                  <c:v>35428.807358289894</c:v>
                </c:pt>
                <c:pt idx="89">
                  <c:v>24697.607528389537</c:v>
                </c:pt>
                <c:pt idx="90">
                  <c:v>4914.0625320792797</c:v>
                </c:pt>
                <c:pt idx="91">
                  <c:v>-7416.7288479111685</c:v>
                </c:pt>
                <c:pt idx="92">
                  <c:v>-35244.901472261379</c:v>
                </c:pt>
                <c:pt idx="93">
                  <c:v>-28789.670199252807</c:v>
                </c:pt>
                <c:pt idx="94">
                  <c:v>-27705.782607000772</c:v>
                </c:pt>
                <c:pt idx="95">
                  <c:v>-19335.761331394657</c:v>
                </c:pt>
                <c:pt idx="96">
                  <c:v>719.52897771462813</c:v>
                </c:pt>
                <c:pt idx="97">
                  <c:v>10975.579363149853</c:v>
                </c:pt>
                <c:pt idx="98">
                  <c:v>8686.2205004876923</c:v>
                </c:pt>
                <c:pt idx="99">
                  <c:v>39777.507299305405</c:v>
                </c:pt>
                <c:pt idx="100">
                  <c:v>40054.504723361482</c:v>
                </c:pt>
                <c:pt idx="101">
                  <c:v>19513.501091251594</c:v>
                </c:pt>
                <c:pt idx="102">
                  <c:v>14006.79965534308</c:v>
                </c:pt>
                <c:pt idx="103">
                  <c:v>-24961.86519892724</c:v>
                </c:pt>
                <c:pt idx="104">
                  <c:v>-33108.631096803416</c:v>
                </c:pt>
                <c:pt idx="105">
                  <c:v>-30690.351036545642</c:v>
                </c:pt>
                <c:pt idx="106">
                  <c:v>-24629.498913060503</c:v>
                </c:pt>
                <c:pt idx="107">
                  <c:v>-25633.008441088408</c:v>
                </c:pt>
                <c:pt idx="108">
                  <c:v>-10035.389660608969</c:v>
                </c:pt>
                <c:pt idx="109">
                  <c:v>2815.5041972472955</c:v>
                </c:pt>
                <c:pt idx="110">
                  <c:v>9287.4380234775927</c:v>
                </c:pt>
                <c:pt idx="111">
                  <c:v>34772.851427356167</c:v>
                </c:pt>
                <c:pt idx="112">
                  <c:v>27635.735212692547</c:v>
                </c:pt>
                <c:pt idx="113">
                  <c:v>11517.219150781395</c:v>
                </c:pt>
                <c:pt idx="114">
                  <c:v>8112.6345887722573</c:v>
                </c:pt>
                <c:pt idx="115">
                  <c:v>-12103.097005448304</c:v>
                </c:pt>
                <c:pt idx="116">
                  <c:v>-29056.39461482007</c:v>
                </c:pt>
                <c:pt idx="117">
                  <c:v>-26355.262063961411</c:v>
                </c:pt>
                <c:pt idx="118">
                  <c:v>-15507.667520877545</c:v>
                </c:pt>
                <c:pt idx="119">
                  <c:v>-9094.5562057067946</c:v>
                </c:pt>
                <c:pt idx="120">
                  <c:v>4211.376757468076</c:v>
                </c:pt>
                <c:pt idx="121">
                  <c:v>10812.089080716474</c:v>
                </c:pt>
                <c:pt idx="122">
                  <c:v>15429.570266535686</c:v>
                </c:pt>
                <c:pt idx="123">
                  <c:v>23470.569240751163</c:v>
                </c:pt>
                <c:pt idx="124">
                  <c:v>39799.335506240823</c:v>
                </c:pt>
                <c:pt idx="125">
                  <c:v>26836.766711671866</c:v>
                </c:pt>
                <c:pt idx="126">
                  <c:v>9103.4329116515091</c:v>
                </c:pt>
                <c:pt idx="127">
                  <c:v>-11790.167707329281</c:v>
                </c:pt>
                <c:pt idx="128">
                  <c:v>-40887.994884942884</c:v>
                </c:pt>
                <c:pt idx="129">
                  <c:v>-31161.102069952525</c:v>
                </c:pt>
                <c:pt idx="130">
                  <c:v>-13122.493048544547</c:v>
                </c:pt>
                <c:pt idx="131">
                  <c:v>1133.2167472267301</c:v>
                </c:pt>
                <c:pt idx="132">
                  <c:v>152.76157916764026</c:v>
                </c:pt>
                <c:pt idx="133">
                  <c:v>12462.28704718966</c:v>
                </c:pt>
                <c:pt idx="134">
                  <c:v>17055.523891853292</c:v>
                </c:pt>
                <c:pt idx="135">
                  <c:v>30241.998986093786</c:v>
                </c:pt>
                <c:pt idx="136">
                  <c:v>21966.324268476383</c:v>
                </c:pt>
                <c:pt idx="137">
                  <c:v>23124.919950441661</c:v>
                </c:pt>
                <c:pt idx="138">
                  <c:v>12198.48802590679</c:v>
                </c:pt>
                <c:pt idx="139">
                  <c:v>-17635.514952441063</c:v>
                </c:pt>
                <c:pt idx="140">
                  <c:v>-35624.341250750636</c:v>
                </c:pt>
                <c:pt idx="141">
                  <c:v>-20588.654550244504</c:v>
                </c:pt>
                <c:pt idx="142">
                  <c:v>-13189.254433479848</c:v>
                </c:pt>
                <c:pt idx="143">
                  <c:v>-6930.3279829096791</c:v>
                </c:pt>
                <c:pt idx="144">
                  <c:v>-1563.2945449609981</c:v>
                </c:pt>
                <c:pt idx="145">
                  <c:v>-1771.1850729592461</c:v>
                </c:pt>
                <c:pt idx="146">
                  <c:v>14432.671987051326</c:v>
                </c:pt>
                <c:pt idx="147">
                  <c:v>23877.554025217443</c:v>
                </c:pt>
                <c:pt idx="148">
                  <c:v>27554.235234168165</c:v>
                </c:pt>
                <c:pt idx="149">
                  <c:v>20686.017639290862</c:v>
                </c:pt>
                <c:pt idx="150">
                  <c:v>19137.443785909665</c:v>
                </c:pt>
                <c:pt idx="151">
                  <c:v>-8059.4919295828377</c:v>
                </c:pt>
                <c:pt idx="152">
                  <c:v>-33064.024043384961</c:v>
                </c:pt>
                <c:pt idx="153">
                  <c:v>-33385.83126500206</c:v>
                </c:pt>
                <c:pt idx="154">
                  <c:v>-14145.958386191291</c:v>
                </c:pt>
                <c:pt idx="155">
                  <c:v>-7473.4550493708803</c:v>
                </c:pt>
                <c:pt idx="156">
                  <c:v>2627.7274687007575</c:v>
                </c:pt>
                <c:pt idx="157">
                  <c:v>7997.8479161772784</c:v>
                </c:pt>
                <c:pt idx="158">
                  <c:v>24580.071773218002</c:v>
                </c:pt>
                <c:pt idx="159">
                  <c:v>33071.831035466545</c:v>
                </c:pt>
                <c:pt idx="160">
                  <c:v>26523.832177727876</c:v>
                </c:pt>
                <c:pt idx="161">
                  <c:v>36514.744103087607</c:v>
                </c:pt>
                <c:pt idx="162">
                  <c:v>-9037.6520372870782</c:v>
                </c:pt>
                <c:pt idx="163">
                  <c:v>-6168.9500329706079</c:v>
                </c:pt>
                <c:pt idx="164">
                  <c:v>-36435.200866560866</c:v>
                </c:pt>
                <c:pt idx="165">
                  <c:v>-25524.341548089462</c:v>
                </c:pt>
                <c:pt idx="166">
                  <c:v>-21928.660214401516</c:v>
                </c:pt>
                <c:pt idx="167">
                  <c:v>-6474.2495223962978</c:v>
                </c:pt>
                <c:pt idx="168">
                  <c:v>8289.4215577264513</c:v>
                </c:pt>
                <c:pt idx="169">
                  <c:v>-2573.9894130346947</c:v>
                </c:pt>
                <c:pt idx="170">
                  <c:v>19937.29719333379</c:v>
                </c:pt>
                <c:pt idx="171">
                  <c:v>27270.658574831443</c:v>
                </c:pt>
                <c:pt idx="172">
                  <c:v>40743.270789302638</c:v>
                </c:pt>
                <c:pt idx="173">
                  <c:v>24291.842332241747</c:v>
                </c:pt>
                <c:pt idx="174">
                  <c:v>13066.269349369059</c:v>
                </c:pt>
                <c:pt idx="175">
                  <c:v>-4730.8522700852573</c:v>
                </c:pt>
                <c:pt idx="176">
                  <c:v>-30167.593810806608</c:v>
                </c:pt>
                <c:pt idx="177">
                  <c:v>-39999.039784292683</c:v>
                </c:pt>
                <c:pt idx="178">
                  <c:v>-24228.547229038035</c:v>
                </c:pt>
                <c:pt idx="179">
                  <c:v>-13724.109750336102</c:v>
                </c:pt>
                <c:pt idx="180">
                  <c:v>4561.2975731954439</c:v>
                </c:pt>
                <c:pt idx="181">
                  <c:v>19402.241324805102</c:v>
                </c:pt>
                <c:pt idx="182">
                  <c:v>10077.853444261524</c:v>
                </c:pt>
                <c:pt idx="183">
                  <c:v>33317.863185716982</c:v>
                </c:pt>
                <c:pt idx="184">
                  <c:v>25866.947536164385</c:v>
                </c:pt>
                <c:pt idx="185">
                  <c:v>18478.349655320089</c:v>
                </c:pt>
                <c:pt idx="186">
                  <c:v>15015.299760190535</c:v>
                </c:pt>
                <c:pt idx="187">
                  <c:v>-18594.303672717564</c:v>
                </c:pt>
                <c:pt idx="188">
                  <c:v>-10795.313579302343</c:v>
                </c:pt>
                <c:pt idx="189">
                  <c:v>-33308.321056943372</c:v>
                </c:pt>
                <c:pt idx="190">
                  <c:v>-17558.153962843375</c:v>
                </c:pt>
                <c:pt idx="191">
                  <c:v>-14166.370716164332</c:v>
                </c:pt>
                <c:pt idx="192">
                  <c:v>-7986.9324224089105</c:v>
                </c:pt>
                <c:pt idx="193">
                  <c:v>2719.1480901626774</c:v>
                </c:pt>
                <c:pt idx="194">
                  <c:v>10362.284821180576</c:v>
                </c:pt>
                <c:pt idx="195">
                  <c:v>34490.97753501244</c:v>
                </c:pt>
                <c:pt idx="196">
                  <c:v>40439.873074904121</c:v>
                </c:pt>
                <c:pt idx="197">
                  <c:v>33094.516981468201</c:v>
                </c:pt>
                <c:pt idx="198">
                  <c:v>2204.8012456144379</c:v>
                </c:pt>
                <c:pt idx="199">
                  <c:v>3604.3280298079353</c:v>
                </c:pt>
                <c:pt idx="200">
                  <c:v>-33589.444709056472</c:v>
                </c:pt>
                <c:pt idx="201">
                  <c:v>-34746.41728948136</c:v>
                </c:pt>
                <c:pt idx="202">
                  <c:v>-19760.807397958783</c:v>
                </c:pt>
                <c:pt idx="203">
                  <c:v>-11256.337008244896</c:v>
                </c:pt>
                <c:pt idx="204">
                  <c:v>1971.189393457297</c:v>
                </c:pt>
                <c:pt idx="205">
                  <c:v>11989.731298348544</c:v>
                </c:pt>
                <c:pt idx="206">
                  <c:v>12435.971201502955</c:v>
                </c:pt>
                <c:pt idx="207">
                  <c:v>33116.553267200608</c:v>
                </c:pt>
                <c:pt idx="208">
                  <c:v>42275.759579178652</c:v>
                </c:pt>
                <c:pt idx="209">
                  <c:v>23184.26741383399</c:v>
                </c:pt>
                <c:pt idx="210">
                  <c:v>13044.69032730445</c:v>
                </c:pt>
                <c:pt idx="211">
                  <c:v>-15503.411628294654</c:v>
                </c:pt>
                <c:pt idx="212">
                  <c:v>-34476.776707386554</c:v>
                </c:pt>
                <c:pt idx="213">
                  <c:v>-32633.136837351158</c:v>
                </c:pt>
                <c:pt idx="214">
                  <c:v>-18371.542716681008</c:v>
                </c:pt>
                <c:pt idx="215">
                  <c:v>-5467.5896851718389</c:v>
                </c:pt>
                <c:pt idx="216">
                  <c:v>3678.8665199381057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BE-4AAB-AD62-054D6035D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&quot;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ax val="200000"/>
          <c:min val="-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TCSI!$H$1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TCSI!$H$2:$H$219</c:f>
              <c:numCache>
                <c:formatCode>0_);[Red]\(0\)</c:formatCode>
                <c:ptCount val="218"/>
                <c:pt idx="0">
                  <c:v>237864.75278540078</c:v>
                </c:pt>
                <c:pt idx="1">
                  <c:v>243232.83457092615</c:v>
                </c:pt>
                <c:pt idx="2">
                  <c:v>270416.22627827903</c:v>
                </c:pt>
                <c:pt idx="3">
                  <c:v>272038.05151957041</c:v>
                </c:pt>
                <c:pt idx="4">
                  <c:v>278475.09745281382</c:v>
                </c:pt>
                <c:pt idx="5">
                  <c:v>290264.39626025298</c:v>
                </c:pt>
                <c:pt idx="6">
                  <c:v>276049.63906158268</c:v>
                </c:pt>
                <c:pt idx="7">
                  <c:v>249662.39281808783</c:v>
                </c:pt>
                <c:pt idx="8">
                  <c:v>237849.64105915211</c:v>
                </c:pt>
                <c:pt idx="9">
                  <c:v>239646.20003150075</c:v>
                </c:pt>
                <c:pt idx="10">
                  <c:v>250647.56361561638</c:v>
                </c:pt>
                <c:pt idx="11">
                  <c:v>264290.02043036767</c:v>
                </c:pt>
                <c:pt idx="12">
                  <c:v>283102.60063482996</c:v>
                </c:pt>
                <c:pt idx="13">
                  <c:v>301633.94364417117</c:v>
                </c:pt>
                <c:pt idx="14">
                  <c:v>304366.60202033573</c:v>
                </c:pt>
                <c:pt idx="15">
                  <c:v>320556.20953828073</c:v>
                </c:pt>
                <c:pt idx="16">
                  <c:v>318572.54237437184</c:v>
                </c:pt>
                <c:pt idx="17">
                  <c:v>319014.77773619932</c:v>
                </c:pt>
                <c:pt idx="18">
                  <c:v>313398.71381750761</c:v>
                </c:pt>
                <c:pt idx="19">
                  <c:v>296821.02959301864</c:v>
                </c:pt>
                <c:pt idx="20">
                  <c:v>260846.65896337939</c:v>
                </c:pt>
                <c:pt idx="21">
                  <c:v>274620.66183003742</c:v>
                </c:pt>
                <c:pt idx="22">
                  <c:v>275676.89272622159</c:v>
                </c:pt>
                <c:pt idx="23">
                  <c:v>293404.14987555915</c:v>
                </c:pt>
                <c:pt idx="24">
                  <c:v>305771.95793237089</c:v>
                </c:pt>
                <c:pt idx="25">
                  <c:v>327365.63899461454</c:v>
                </c:pt>
                <c:pt idx="26">
                  <c:v>327124.05522530898</c:v>
                </c:pt>
                <c:pt idx="27">
                  <c:v>346689.03963429446</c:v>
                </c:pt>
                <c:pt idx="28">
                  <c:v>345191.61820254364</c:v>
                </c:pt>
                <c:pt idx="29">
                  <c:v>344856.33138782281</c:v>
                </c:pt>
                <c:pt idx="30">
                  <c:v>333529.8883210214</c:v>
                </c:pt>
                <c:pt idx="31">
                  <c:v>295092.95440045389</c:v>
                </c:pt>
                <c:pt idx="32">
                  <c:v>285370.03206734761</c:v>
                </c:pt>
                <c:pt idx="33">
                  <c:v>283809.74163812387</c:v>
                </c:pt>
                <c:pt idx="34">
                  <c:v>298472.23231990368</c:v>
                </c:pt>
                <c:pt idx="35">
                  <c:v>317757.90631461842</c:v>
                </c:pt>
                <c:pt idx="36">
                  <c:v>329811.57699078432</c:v>
                </c:pt>
                <c:pt idx="37">
                  <c:v>311162.93876833143</c:v>
                </c:pt>
                <c:pt idx="38">
                  <c:v>337150.59716648923</c:v>
                </c:pt>
                <c:pt idx="39">
                  <c:v>358269.70085872943</c:v>
                </c:pt>
                <c:pt idx="40">
                  <c:v>351493.19052773615</c:v>
                </c:pt>
                <c:pt idx="41">
                  <c:v>351104.97808103409</c:v>
                </c:pt>
                <c:pt idx="42">
                  <c:v>336116.80072625139</c:v>
                </c:pt>
                <c:pt idx="43">
                  <c:v>331190.65292262292</c:v>
                </c:pt>
                <c:pt idx="44">
                  <c:v>304129.52599136264</c:v>
                </c:pt>
                <c:pt idx="45">
                  <c:v>297194.09105149226</c:v>
                </c:pt>
                <c:pt idx="46">
                  <c:v>314811.56408838654</c:v>
                </c:pt>
                <c:pt idx="47">
                  <c:v>321602.19643346965</c:v>
                </c:pt>
                <c:pt idx="48">
                  <c:v>338682.52250513935</c:v>
                </c:pt>
                <c:pt idx="49">
                  <c:v>347599.4535777627</c:v>
                </c:pt>
                <c:pt idx="50">
                  <c:v>345820.73603832192</c:v>
                </c:pt>
                <c:pt idx="51">
                  <c:v>358901.2266155539</c:v>
                </c:pt>
                <c:pt idx="52">
                  <c:v>378082.06215459749</c:v>
                </c:pt>
                <c:pt idx="53">
                  <c:v>369524.76010104635</c:v>
                </c:pt>
                <c:pt idx="54">
                  <c:v>361489.07342251629</c:v>
                </c:pt>
                <c:pt idx="55">
                  <c:v>316203.51114569471</c:v>
                </c:pt>
                <c:pt idx="56">
                  <c:v>311346.86061860982</c:v>
                </c:pt>
                <c:pt idx="57">
                  <c:v>307678.29193232243</c:v>
                </c:pt>
                <c:pt idx="58">
                  <c:v>318529.22848473419</c:v>
                </c:pt>
                <c:pt idx="59">
                  <c:v>343768.31568329054</c:v>
                </c:pt>
                <c:pt idx="60">
                  <c:v>337802.83028388926</c:v>
                </c:pt>
                <c:pt idx="61">
                  <c:v>345034.51296415832</c:v>
                </c:pt>
                <c:pt idx="62">
                  <c:v>359294.75950162724</c:v>
                </c:pt>
                <c:pt idx="63">
                  <c:v>356042.24753561226</c:v>
                </c:pt>
                <c:pt idx="64">
                  <c:v>377171.80923455476</c:v>
                </c:pt>
                <c:pt idx="65">
                  <c:v>368940.39420928311</c:v>
                </c:pt>
                <c:pt idx="66">
                  <c:v>357766.17352221778</c:v>
                </c:pt>
                <c:pt idx="67">
                  <c:v>332007.67000262963</c:v>
                </c:pt>
                <c:pt idx="68">
                  <c:v>312486.61454692995</c:v>
                </c:pt>
                <c:pt idx="69">
                  <c:v>321088.16628606501</c:v>
                </c:pt>
                <c:pt idx="70">
                  <c:v>338986.34983465075</c:v>
                </c:pt>
                <c:pt idx="71">
                  <c:v>339500.57712330524</c:v>
                </c:pt>
                <c:pt idx="72">
                  <c:v>351946.80341963167</c:v>
                </c:pt>
                <c:pt idx="73">
                  <c:v>353258.76742547995</c:v>
                </c:pt>
                <c:pt idx="74">
                  <c:v>361273.42494454596</c:v>
                </c:pt>
                <c:pt idx="75">
                  <c:v>375427.60215157893</c:v>
                </c:pt>
                <c:pt idx="76">
                  <c:v>380742.92892350513</c:v>
                </c:pt>
                <c:pt idx="77">
                  <c:v>361409.47762553167</c:v>
                </c:pt>
                <c:pt idx="78">
                  <c:v>356914.99685274193</c:v>
                </c:pt>
                <c:pt idx="79">
                  <c:v>337650.19270726957</c:v>
                </c:pt>
                <c:pt idx="80">
                  <c:v>335829.33357666567</c:v>
                </c:pt>
                <c:pt idx="81">
                  <c:v>307316.95510869351</c:v>
                </c:pt>
                <c:pt idx="82">
                  <c:v>317713.16188849666</c:v>
                </c:pt>
                <c:pt idx="83">
                  <c:v>345050.82833273557</c:v>
                </c:pt>
                <c:pt idx="84">
                  <c:v>348100.97919222555</c:v>
                </c:pt>
                <c:pt idx="85">
                  <c:v>360147.89891958848</c:v>
                </c:pt>
                <c:pt idx="86">
                  <c:v>365630.53381771321</c:v>
                </c:pt>
                <c:pt idx="87">
                  <c:v>388855.51083062805</c:v>
                </c:pt>
                <c:pt idx="88">
                  <c:v>387741.51751547545</c:v>
                </c:pt>
                <c:pt idx="89">
                  <c:v>377302.41134822654</c:v>
                </c:pt>
                <c:pt idx="90">
                  <c:v>357808.15880336054</c:v>
                </c:pt>
                <c:pt idx="91">
                  <c:v>345783.89491605078</c:v>
                </c:pt>
                <c:pt idx="92">
                  <c:v>318270.71730227472</c:v>
                </c:pt>
                <c:pt idx="93">
                  <c:v>325039.54915002856</c:v>
                </c:pt>
                <c:pt idx="94">
                  <c:v>326457.26645454852</c:v>
                </c:pt>
                <c:pt idx="95">
                  <c:v>335160.48484199244</c:v>
                </c:pt>
                <c:pt idx="96">
                  <c:v>355571.24764524266</c:v>
                </c:pt>
                <c:pt idx="97">
                  <c:v>366194.81738244009</c:v>
                </c:pt>
                <c:pt idx="98">
                  <c:v>364260.78541256534</c:v>
                </c:pt>
                <c:pt idx="99">
                  <c:v>395744.86113117542</c:v>
                </c:pt>
                <c:pt idx="100">
                  <c:v>396415.34080550482</c:v>
                </c:pt>
                <c:pt idx="101">
                  <c:v>376295.38486582955</c:v>
                </c:pt>
                <c:pt idx="102">
                  <c:v>371210.73424314748</c:v>
                </c:pt>
                <c:pt idx="103">
                  <c:v>332693.87798203138</c:v>
                </c:pt>
                <c:pt idx="104">
                  <c:v>325015.48408626864</c:v>
                </c:pt>
                <c:pt idx="105">
                  <c:v>327903.37455130822</c:v>
                </c:pt>
                <c:pt idx="106">
                  <c:v>334466.96756690467</c:v>
                </c:pt>
                <c:pt idx="107">
                  <c:v>333967.44369211729</c:v>
                </c:pt>
                <c:pt idx="108">
                  <c:v>350104.45463366446</c:v>
                </c:pt>
                <c:pt idx="109">
                  <c:v>363514.21331478324</c:v>
                </c:pt>
                <c:pt idx="110">
                  <c:v>370508.12759352598</c:v>
                </c:pt>
                <c:pt idx="111">
                  <c:v>396590.99137117312</c:v>
                </c:pt>
                <c:pt idx="112">
                  <c:v>390052.09296651062</c:v>
                </c:pt>
                <c:pt idx="113">
                  <c:v>374572.95152983465</c:v>
                </c:pt>
                <c:pt idx="114">
                  <c:v>371808.12434448971</c:v>
                </c:pt>
                <c:pt idx="115">
                  <c:v>352275.66954236594</c:v>
                </c:pt>
                <c:pt idx="116">
                  <c:v>336028.68959219806</c:v>
                </c:pt>
                <c:pt idx="117">
                  <c:v>339435.74242763984</c:v>
                </c:pt>
                <c:pt idx="118">
                  <c:v>351036.37419528438</c:v>
                </c:pt>
                <c:pt idx="119">
                  <c:v>358201.47967658885</c:v>
                </c:pt>
                <c:pt idx="120">
                  <c:v>372308.9276335559</c:v>
                </c:pt>
                <c:pt idx="121">
                  <c:v>379736.4369252607</c:v>
                </c:pt>
                <c:pt idx="122">
                  <c:v>385122.78241878602</c:v>
                </c:pt>
                <c:pt idx="123">
                  <c:v>394039.84635270311</c:v>
                </c:pt>
                <c:pt idx="124">
                  <c:v>411241.61587972229</c:v>
                </c:pt>
                <c:pt idx="125">
                  <c:v>399207.56530567346</c:v>
                </c:pt>
                <c:pt idx="126">
                  <c:v>382398.71008715429</c:v>
                </c:pt>
                <c:pt idx="127">
                  <c:v>362487.53474126913</c:v>
                </c:pt>
                <c:pt idx="128">
                  <c:v>334400.05729715363</c:v>
                </c:pt>
                <c:pt idx="129">
                  <c:v>345131.61732402403</c:v>
                </c:pt>
                <c:pt idx="130">
                  <c:v>364236.51007377647</c:v>
                </c:pt>
                <c:pt idx="131">
                  <c:v>379551.62455878209</c:v>
                </c:pt>
                <c:pt idx="132">
                  <c:v>379694.62122820463</c:v>
                </c:pt>
                <c:pt idx="133">
                  <c:v>393157.09607055661</c:v>
                </c:pt>
                <c:pt idx="134">
                  <c:v>398817.29727593256</c:v>
                </c:pt>
                <c:pt idx="135">
                  <c:v>413213.63897319644</c:v>
                </c:pt>
                <c:pt idx="136">
                  <c:v>406137.64239764953</c:v>
                </c:pt>
                <c:pt idx="137">
                  <c:v>408565.9510189399</c:v>
                </c:pt>
                <c:pt idx="138">
                  <c:v>398897.57357871585</c:v>
                </c:pt>
                <c:pt idx="139">
                  <c:v>370394.05963263946</c:v>
                </c:pt>
                <c:pt idx="140">
                  <c:v>353766.93683042563</c:v>
                </c:pt>
                <c:pt idx="141">
                  <c:v>370150.31556585606</c:v>
                </c:pt>
                <c:pt idx="142">
                  <c:v>378973.43189738668</c:v>
                </c:pt>
                <c:pt idx="143">
                  <c:v>386640.41694817378</c:v>
                </c:pt>
                <c:pt idx="144">
                  <c:v>393493.88944027072</c:v>
                </c:pt>
                <c:pt idx="145">
                  <c:v>394804.55759209068</c:v>
                </c:pt>
                <c:pt idx="146">
                  <c:v>412458.21233765542</c:v>
                </c:pt>
                <c:pt idx="147">
                  <c:v>423484.23400031292</c:v>
                </c:pt>
                <c:pt idx="148">
                  <c:v>428722.01746160013</c:v>
                </c:pt>
                <c:pt idx="149">
                  <c:v>423499.05088203883</c:v>
                </c:pt>
                <c:pt idx="150">
                  <c:v>423573.82888109144</c:v>
                </c:pt>
                <c:pt idx="151">
                  <c:v>398086.65995515237</c:v>
                </c:pt>
                <c:pt idx="152">
                  <c:v>374824.80825356307</c:v>
                </c:pt>
                <c:pt idx="153">
                  <c:v>376220.87043547654</c:v>
                </c:pt>
                <c:pt idx="154">
                  <c:v>397268.38378983235</c:v>
                </c:pt>
                <c:pt idx="155">
                  <c:v>405721.72116825235</c:v>
                </c:pt>
                <c:pt idx="156">
                  <c:v>417695.68901042984</c:v>
                </c:pt>
                <c:pt idx="157">
                  <c:v>424971.74394699495</c:v>
                </c:pt>
                <c:pt idx="158">
                  <c:v>443303.96099776716</c:v>
                </c:pt>
                <c:pt idx="159">
                  <c:v>453764.77317779133</c:v>
                </c:pt>
                <c:pt idx="160">
                  <c:v>449153.87942961883</c:v>
                </c:pt>
                <c:pt idx="161">
                  <c:v>461179.06997188175</c:v>
                </c:pt>
                <c:pt idx="162">
                  <c:v>417626.8534307502</c:v>
                </c:pt>
                <c:pt idx="163">
                  <c:v>422594.94029335101</c:v>
                </c:pt>
                <c:pt idx="164">
                  <c:v>394461.08726991637</c:v>
                </c:pt>
                <c:pt idx="165">
                  <c:v>407466.92901175388</c:v>
                </c:pt>
                <c:pt idx="166">
                  <c:v>413259.76866483595</c:v>
                </c:pt>
                <c:pt idx="167">
                  <c:v>430871.67984927149</c:v>
                </c:pt>
                <c:pt idx="168">
                  <c:v>447896.93074637983</c:v>
                </c:pt>
                <c:pt idx="169">
                  <c:v>439327.68042361143</c:v>
                </c:pt>
                <c:pt idx="170">
                  <c:v>463939.01509589684</c:v>
                </c:pt>
                <c:pt idx="171">
                  <c:v>473628.20016718586</c:v>
                </c:pt>
                <c:pt idx="172">
                  <c:v>489411.29812360316</c:v>
                </c:pt>
                <c:pt idx="173">
                  <c:v>475378.89916629775</c:v>
                </c:pt>
                <c:pt idx="174">
                  <c:v>466524.67826044047</c:v>
                </c:pt>
                <c:pt idx="175">
                  <c:v>451209.14875512017</c:v>
                </c:pt>
                <c:pt idx="176">
                  <c:v>428285.51891159179</c:v>
                </c:pt>
                <c:pt idx="177">
                  <c:v>420915.93887200783</c:v>
                </c:pt>
                <c:pt idx="178">
                  <c:v>439260.97014113271</c:v>
                </c:pt>
                <c:pt idx="179">
                  <c:v>452286.31226203073</c:v>
                </c:pt>
                <c:pt idx="180">
                  <c:v>473206.8226123869</c:v>
                </c:pt>
                <c:pt idx="181">
                  <c:v>490713.28932429088</c:v>
                </c:pt>
                <c:pt idx="182">
                  <c:v>483822.40370028466</c:v>
                </c:pt>
                <c:pt idx="183">
                  <c:v>509785.11312463635</c:v>
                </c:pt>
                <c:pt idx="184">
                  <c:v>504997.29457988334</c:v>
                </c:pt>
                <c:pt idx="185">
                  <c:v>500389.44873014675</c:v>
                </c:pt>
                <c:pt idx="186">
                  <c:v>499645.1216818291</c:v>
                </c:pt>
                <c:pt idx="187">
                  <c:v>468873.15580179071</c:v>
                </c:pt>
                <c:pt idx="188">
                  <c:v>479538.21728709608</c:v>
                </c:pt>
                <c:pt idx="189">
                  <c:v>459825.58423243201</c:v>
                </c:pt>
                <c:pt idx="190">
                  <c:v>478496.78293983784</c:v>
                </c:pt>
                <c:pt idx="191">
                  <c:v>484741.46777965885</c:v>
                </c:pt>
                <c:pt idx="192">
                  <c:v>493895.51162299147</c:v>
                </c:pt>
                <c:pt idx="193">
                  <c:v>507602.86448304268</c:v>
                </c:pt>
                <c:pt idx="194">
                  <c:v>518077.4375462035</c:v>
                </c:pt>
                <c:pt idx="195">
                  <c:v>545257.89170136105</c:v>
                </c:pt>
                <c:pt idx="196">
                  <c:v>554184.37245083391</c:v>
                </c:pt>
                <c:pt idx="197">
                  <c:v>549940.51675785868</c:v>
                </c:pt>
                <c:pt idx="198">
                  <c:v>522075.71274657024</c:v>
                </c:pt>
                <c:pt idx="199">
                  <c:v>526624.78711279912</c:v>
                </c:pt>
                <c:pt idx="200">
                  <c:v>492604.30300529912</c:v>
                </c:pt>
                <c:pt idx="201">
                  <c:v>494540.41600348993</c:v>
                </c:pt>
                <c:pt idx="202">
                  <c:v>512744.64471012767</c:v>
                </c:pt>
                <c:pt idx="203">
                  <c:v>524385.15446857328</c:v>
                </c:pt>
                <c:pt idx="204">
                  <c:v>540874.71867954789</c:v>
                </c:pt>
                <c:pt idx="205">
                  <c:v>554176.60332919483</c:v>
                </c:pt>
                <c:pt idx="206">
                  <c:v>557606.31650279439</c:v>
                </c:pt>
                <c:pt idx="207">
                  <c:v>581609.32207077253</c:v>
                </c:pt>
                <c:pt idx="208">
                  <c:v>594002.57898886828</c:v>
                </c:pt>
                <c:pt idx="209">
                  <c:v>578271.82207687513</c:v>
                </c:pt>
                <c:pt idx="210">
                  <c:v>571402.31025989831</c:v>
                </c:pt>
                <c:pt idx="211">
                  <c:v>546251.04012809519</c:v>
                </c:pt>
                <c:pt idx="212">
                  <c:v>530691.97408388415</c:v>
                </c:pt>
                <c:pt idx="213">
                  <c:v>535855.83456211118</c:v>
                </c:pt>
                <c:pt idx="214">
                  <c:v>553564.31793428014</c:v>
                </c:pt>
                <c:pt idx="215">
                  <c:v>569818.86312526092</c:v>
                </c:pt>
                <c:pt idx="216">
                  <c:v>582442.364255241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B0-4EE4-88E3-02EE01FEAE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in val="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TCSI!$B$1</c:f>
              <c:strCache>
                <c:ptCount val="1"/>
                <c:pt idx="0">
                  <c:v>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TCSI!$B$2:$B$219</c:f>
              <c:numCache>
                <c:formatCode>0_);[Red]\(0\)</c:formatCode>
                <c:ptCount val="218"/>
                <c:pt idx="0">
                  <c:v>271229.04452223581</c:v>
                </c:pt>
                <c:pt idx="1">
                  <c:v>272137.10998624656</c:v>
                </c:pt>
                <c:pt idx="2">
                  <c:v>272989.34267233248</c:v>
                </c:pt>
                <c:pt idx="3">
                  <c:v>273903.30155369191</c:v>
                </c:pt>
                <c:pt idx="4">
                  <c:v>274790.69122066704</c:v>
                </c:pt>
                <c:pt idx="5">
                  <c:v>275710.68095468887</c:v>
                </c:pt>
                <c:pt idx="6">
                  <c:v>276603.92615460441</c:v>
                </c:pt>
                <c:pt idx="7">
                  <c:v>277529.9865364976</c:v>
                </c:pt>
                <c:pt idx="8">
                  <c:v>278459.14733653265</c:v>
                </c:pt>
                <c:pt idx="9">
                  <c:v>279361.29699526064</c:v>
                </c:pt>
                <c:pt idx="10">
                  <c:v>280296.58895939926</c:v>
                </c:pt>
                <c:pt idx="11">
                  <c:v>281204.6915464073</c:v>
                </c:pt>
                <c:pt idx="12">
                  <c:v>282146.15513177251</c:v>
                </c:pt>
                <c:pt idx="13">
                  <c:v>283090.77070467232</c:v>
                </c:pt>
                <c:pt idx="14">
                  <c:v>283946.68984482484</c:v>
                </c:pt>
                <c:pt idx="15">
                  <c:v>284897.33354569506</c:v>
                </c:pt>
                <c:pt idx="16">
                  <c:v>285820.3415872312</c:v>
                </c:pt>
                <c:pt idx="17">
                  <c:v>286777.25820935832</c:v>
                </c:pt>
                <c:pt idx="18">
                  <c:v>287706.35681538115</c:v>
                </c:pt>
                <c:pt idx="19">
                  <c:v>288669.58775128791</c:v>
                </c:pt>
                <c:pt idx="20">
                  <c:v>289636.04355106689</c:v>
                </c:pt>
                <c:pt idx="21">
                  <c:v>290574.40402636235</c:v>
                </c:pt>
                <c:pt idx="22">
                  <c:v>291547.23708517611</c:v>
                </c:pt>
                <c:pt idx="23">
                  <c:v>292491.78942958743</c:v>
                </c:pt>
                <c:pt idx="24">
                  <c:v>293471.04182844301</c:v>
                </c:pt>
                <c:pt idx="25">
                  <c:v>294453.57273047429</c:v>
                </c:pt>
                <c:pt idx="26">
                  <c:v>295343.84706954565</c:v>
                </c:pt>
                <c:pt idx="27">
                  <c:v>296332.64805877721</c:v>
                </c:pt>
                <c:pt idx="28">
                  <c:v>297292.70413836115</c:v>
                </c:pt>
                <c:pt idx="29">
                  <c:v>298288.02983368188</c:v>
                </c:pt>
                <c:pt idx="30">
                  <c:v>299254.42094308179</c:v>
                </c:pt>
                <c:pt idx="31">
                  <c:v>300256.31439844391</c:v>
                </c:pt>
                <c:pt idx="32">
                  <c:v>301261.56215845613</c:v>
                </c:pt>
                <c:pt idx="33">
                  <c:v>302237.58689346211</c:v>
                </c:pt>
                <c:pt idx="34">
                  <c:v>303249.46788529074</c:v>
                </c:pt>
                <c:pt idx="35">
                  <c:v>304231.93302094506</c:v>
                </c:pt>
                <c:pt idx="36">
                  <c:v>305250.49101465911</c:v>
                </c:pt>
                <c:pt idx="37">
                  <c:v>306272.45910532156</c:v>
                </c:pt>
                <c:pt idx="38">
                  <c:v>307198.4676049886</c:v>
                </c:pt>
                <c:pt idx="39">
                  <c:v>308226.95745392912</c:v>
                </c:pt>
                <c:pt idx="40">
                  <c:v>309225.54861941142</c:v>
                </c:pt>
                <c:pt idx="41">
                  <c:v>310260.82506550715</c:v>
                </c:pt>
                <c:pt idx="42">
                  <c:v>311266.00553857448</c:v>
                </c:pt>
                <c:pt idx="43">
                  <c:v>312308.11336389201</c:v>
                </c:pt>
                <c:pt idx="44">
                  <c:v>313353.71013018041</c:v>
                </c:pt>
                <c:pt idx="45">
                  <c:v>314368.9109068804</c:v>
                </c:pt>
                <c:pt idx="46">
                  <c:v>315421.40715209593</c:v>
                </c:pt>
                <c:pt idx="47">
                  <c:v>316443.30683662626</c:v>
                </c:pt>
                <c:pt idx="48">
                  <c:v>317502.74808769824</c:v>
                </c:pt>
                <c:pt idx="49">
                  <c:v>318565.73631145078</c:v>
                </c:pt>
                <c:pt idx="50">
                  <c:v>319563.36626778182</c:v>
                </c:pt>
                <c:pt idx="51">
                  <c:v>320633.25336996122</c:v>
                </c:pt>
                <c:pt idx="52">
                  <c:v>321672.03835106653</c:v>
                </c:pt>
                <c:pt idx="53">
                  <c:v>322748.98521447828</c:v>
                </c:pt>
                <c:pt idx="54">
                  <c:v>323794.62472623878</c:v>
                </c:pt>
                <c:pt idx="55">
                  <c:v>324878.67793545162</c:v>
                </c:pt>
                <c:pt idx="56">
                  <c:v>325966.36051733053</c:v>
                </c:pt>
                <c:pt idx="57">
                  <c:v>327022.42365517491</c:v>
                </c:pt>
                <c:pt idx="58">
                  <c:v>328117.28342360893</c:v>
                </c:pt>
                <c:pt idx="59">
                  <c:v>329180.31510382087</c:v>
                </c:pt>
                <c:pt idx="60">
                  <c:v>330282.39941822138</c:v>
                </c:pt>
                <c:pt idx="61">
                  <c:v>331388.17347280477</c:v>
                </c:pt>
                <c:pt idx="62">
                  <c:v>332390.11881983781</c:v>
                </c:pt>
                <c:pt idx="63">
                  <c:v>333502.94944610936</c:v>
                </c:pt>
                <c:pt idx="64">
                  <c:v>334583.42956287129</c:v>
                </c:pt>
                <c:pt idx="65">
                  <c:v>335703.60331768182</c:v>
                </c:pt>
                <c:pt idx="66">
                  <c:v>336791.21309478424</c:v>
                </c:pt>
                <c:pt idx="67">
                  <c:v>337918.77843253181</c:v>
                </c:pt>
                <c:pt idx="68">
                  <c:v>339050.11882004741</c:v>
                </c:pt>
                <c:pt idx="69">
                  <c:v>340148.57061059156</c:v>
                </c:pt>
                <c:pt idx="70">
                  <c:v>341287.37626522937</c:v>
                </c:pt>
                <c:pt idx="71">
                  <c:v>342393.07630407118</c:v>
                </c:pt>
                <c:pt idx="72">
                  <c:v>343539.39648617333</c:v>
                </c:pt>
                <c:pt idx="73">
                  <c:v>344689.55450861342</c:v>
                </c:pt>
                <c:pt idx="74">
                  <c:v>345731.71630844951</c:v>
                </c:pt>
                <c:pt idx="75">
                  <c:v>346889.21414186136</c:v>
                </c:pt>
                <c:pt idx="76">
                  <c:v>348013.06296905148</c:v>
                </c:pt>
                <c:pt idx="77">
                  <c:v>349178.19867221068</c:v>
                </c:pt>
                <c:pt idx="78">
                  <c:v>350309.46333268483</c:v>
                </c:pt>
                <c:pt idx="79">
                  <c:v>351482.28730486933</c:v>
                </c:pt>
                <c:pt idx="80">
                  <c:v>352659.03785116534</c:v>
                </c:pt>
                <c:pt idx="81">
                  <c:v>353801.57970582548</c:v>
                </c:pt>
                <c:pt idx="82">
                  <c:v>354986.09516289626</c:v>
                </c:pt>
                <c:pt idx="83">
                  <c:v>356136.17619872425</c:v>
                </c:pt>
                <c:pt idx="84">
                  <c:v>357328.50780414056</c:v>
                </c:pt>
                <c:pt idx="85">
                  <c:v>358524.83129455004</c:v>
                </c:pt>
                <c:pt idx="86">
                  <c:v>359608.82377004152</c:v>
                </c:pt>
                <c:pt idx="87">
                  <c:v>360812.78167946934</c:v>
                </c:pt>
                <c:pt idx="88">
                  <c:v>361981.73996642209</c:v>
                </c:pt>
                <c:pt idx="89">
                  <c:v>363193.64231723727</c:v>
                </c:pt>
                <c:pt idx="90">
                  <c:v>364370.31409693242</c:v>
                </c:pt>
                <c:pt idx="91">
                  <c:v>365590.21331135766</c:v>
                </c:pt>
                <c:pt idx="92">
                  <c:v>366814.1967061786</c:v>
                </c:pt>
                <c:pt idx="93">
                  <c:v>368002.59832824901</c:v>
                </c:pt>
                <c:pt idx="94">
                  <c:v>369234.65830470383</c:v>
                </c:pt>
                <c:pt idx="95">
                  <c:v>370430.90171838336</c:v>
                </c:pt>
                <c:pt idx="96">
                  <c:v>371671.09157063661</c:v>
                </c:pt>
                <c:pt idx="97">
                  <c:v>372915.43353563815</c:v>
                </c:pt>
                <c:pt idx="98">
                  <c:v>374083.26662397076</c:v>
                </c:pt>
                <c:pt idx="99">
                  <c:v>375335.68446765607</c:v>
                </c:pt>
                <c:pt idx="100">
                  <c:v>376551.69393579441</c:v>
                </c:pt>
                <c:pt idx="101">
                  <c:v>377812.37598878081</c:v>
                </c:pt>
                <c:pt idx="102">
                  <c:v>379036.40942176973</c:v>
                </c:pt>
                <c:pt idx="103">
                  <c:v>380305.41021629988</c:v>
                </c:pt>
                <c:pt idx="104">
                  <c:v>381578.65958161827</c:v>
                </c:pt>
                <c:pt idx="105">
                  <c:v>382814.89498926111</c:v>
                </c:pt>
                <c:pt idx="106">
                  <c:v>384096.54602284043</c:v>
                </c:pt>
                <c:pt idx="107">
                  <c:v>385340.93885829765</c:v>
                </c:pt>
                <c:pt idx="108">
                  <c:v>386631.04699941829</c:v>
                </c:pt>
                <c:pt idx="109">
                  <c:v>387925.47437799396</c:v>
                </c:pt>
                <c:pt idx="110">
                  <c:v>389098.35909495648</c:v>
                </c:pt>
                <c:pt idx="111">
                  <c:v>390401.04694912699</c:v>
                </c:pt>
                <c:pt idx="112">
                  <c:v>391665.86505491025</c:v>
                </c:pt>
                <c:pt idx="113">
                  <c:v>392977.148830269</c:v>
                </c:pt>
                <c:pt idx="114">
                  <c:v>394250.31296977156</c:v>
                </c:pt>
                <c:pt idx="115">
                  <c:v>395570.24938739859</c:v>
                </c:pt>
                <c:pt idx="116">
                  <c:v>396894.60490651918</c:v>
                </c:pt>
                <c:pt idx="117">
                  <c:v>398180.46078804519</c:v>
                </c:pt>
                <c:pt idx="118">
                  <c:v>399513.55520469305</c:v>
                </c:pt>
                <c:pt idx="119">
                  <c:v>400807.89593988803</c:v>
                </c:pt>
                <c:pt idx="120">
                  <c:v>402149.78691858734</c:v>
                </c:pt>
                <c:pt idx="121">
                  <c:v>403496.17050189094</c:v>
                </c:pt>
                <c:pt idx="122">
                  <c:v>404716.13289929205</c:v>
                </c:pt>
                <c:pt idx="123">
                  <c:v>406071.10852021415</c:v>
                </c:pt>
                <c:pt idx="124">
                  <c:v>407386.69436278695</c:v>
                </c:pt>
                <c:pt idx="125">
                  <c:v>408750.61093116173</c:v>
                </c:pt>
                <c:pt idx="126">
                  <c:v>410074.87780364038</c:v>
                </c:pt>
                <c:pt idx="127">
                  <c:v>411447.79431723739</c:v>
                </c:pt>
                <c:pt idx="128">
                  <c:v>412825.30730785755</c:v>
                </c:pt>
                <c:pt idx="129">
                  <c:v>414162.77534819447</c:v>
                </c:pt>
                <c:pt idx="130">
                  <c:v>415549.37800144276</c:v>
                </c:pt>
                <c:pt idx="131">
                  <c:v>416895.67146364163</c:v>
                </c:pt>
                <c:pt idx="132">
                  <c:v>418291.42375860084</c:v>
                </c:pt>
                <c:pt idx="133">
                  <c:v>419691.84898398974</c:v>
                </c:pt>
                <c:pt idx="134">
                  <c:v>420960.77868317062</c:v>
                </c:pt>
                <c:pt idx="135">
                  <c:v>422370.14081656089</c:v>
                </c:pt>
                <c:pt idx="136">
                  <c:v>423738.53213011345</c:v>
                </c:pt>
                <c:pt idx="137">
                  <c:v>425157.19408600964</c:v>
                </c:pt>
                <c:pt idx="138">
                  <c:v>426534.61487185699</c:v>
                </c:pt>
                <c:pt idx="139">
                  <c:v>427962.63801610505</c:v>
                </c:pt>
                <c:pt idx="140">
                  <c:v>429395.44213247061</c:v>
                </c:pt>
                <c:pt idx="141">
                  <c:v>430786.59395953204</c:v>
                </c:pt>
                <c:pt idx="142">
                  <c:v>432228.85258276435</c:v>
                </c:pt>
                <c:pt idx="143">
                  <c:v>433629.18406973436</c:v>
                </c:pt>
                <c:pt idx="144">
                  <c:v>435080.95958638034</c:v>
                </c:pt>
                <c:pt idx="145">
                  <c:v>436537.59559726471</c:v>
                </c:pt>
                <c:pt idx="146">
                  <c:v>437904.66974489694</c:v>
                </c:pt>
                <c:pt idx="147">
                  <c:v>439370.75943976943</c:v>
                </c:pt>
                <c:pt idx="148">
                  <c:v>440794.22921792191</c:v>
                </c:pt>
                <c:pt idx="149">
                  <c:v>442269.99305801175</c:v>
                </c:pt>
                <c:pt idx="150">
                  <c:v>443702.85574943095</c:v>
                </c:pt>
                <c:pt idx="151">
                  <c:v>445188.35757058917</c:v>
                </c:pt>
                <c:pt idx="152">
                  <c:v>446678.83280048805</c:v>
                </c:pt>
                <c:pt idx="153">
                  <c:v>448125.97921469784</c:v>
                </c:pt>
                <c:pt idx="154">
                  <c:v>449626.28950029961</c:v>
                </c:pt>
                <c:pt idx="155">
                  <c:v>451082.98506052064</c:v>
                </c:pt>
                <c:pt idx="156">
                  <c:v>452593.19529946335</c:v>
                </c:pt>
                <c:pt idx="157">
                  <c:v>454108.46167007514</c:v>
                </c:pt>
                <c:pt idx="158">
                  <c:v>455481.44929196441</c:v>
                </c:pt>
                <c:pt idx="159">
                  <c:v>457006.38543708832</c:v>
                </c:pt>
                <c:pt idx="160">
                  <c:v>458486.99097151641</c:v>
                </c:pt>
                <c:pt idx="161">
                  <c:v>460021.98956627533</c:v>
                </c:pt>
                <c:pt idx="162">
                  <c:v>461512.36503019586</c:v>
                </c:pt>
                <c:pt idx="163">
                  <c:v>463057.49247270869</c:v>
                </c:pt>
                <c:pt idx="164">
                  <c:v>464607.79294847941</c:v>
                </c:pt>
                <c:pt idx="165">
                  <c:v>466113.02546053723</c:v>
                </c:pt>
                <c:pt idx="166">
                  <c:v>467673.55575511482</c:v>
                </c:pt>
                <c:pt idx="167">
                  <c:v>469188.72070033639</c:v>
                </c:pt>
                <c:pt idx="168">
                  <c:v>470759.54831624165</c:v>
                </c:pt>
                <c:pt idx="169">
                  <c:v>472335.6350086985</c:v>
                </c:pt>
                <c:pt idx="170">
                  <c:v>473763.7321154098</c:v>
                </c:pt>
                <c:pt idx="171">
                  <c:v>475349.87671136344</c:v>
                </c:pt>
                <c:pt idx="172">
                  <c:v>476889.91133817815</c:v>
                </c:pt>
                <c:pt idx="173">
                  <c:v>478486.52227409085</c:v>
                </c:pt>
                <c:pt idx="174">
                  <c:v>480036.71897944034</c:v>
                </c:pt>
                <c:pt idx="175">
                  <c:v>481643.86531854229</c:v>
                </c:pt>
                <c:pt idx="176">
                  <c:v>483256.39232802542</c:v>
                </c:pt>
                <c:pt idx="177">
                  <c:v>484822.04241920373</c:v>
                </c:pt>
                <c:pt idx="178">
                  <c:v>486445.20985574165</c:v>
                </c:pt>
                <c:pt idx="179">
                  <c:v>488021.19105175929</c:v>
                </c:pt>
                <c:pt idx="180">
                  <c:v>489655.0691273167</c:v>
                </c:pt>
                <c:pt idx="181">
                  <c:v>491294.41737018473</c:v>
                </c:pt>
                <c:pt idx="182">
                  <c:v>492779.83596659632</c:v>
                </c:pt>
                <c:pt idx="183">
                  <c:v>494429.64582081058</c:v>
                </c:pt>
                <c:pt idx="184">
                  <c:v>496031.49492689577</c:v>
                </c:pt>
                <c:pt idx="185">
                  <c:v>497692.1912228922</c:v>
                </c:pt>
                <c:pt idx="186">
                  <c:v>499304.6102967778</c:v>
                </c:pt>
                <c:pt idx="187">
                  <c:v>500976.264869873</c:v>
                </c:pt>
                <c:pt idx="188">
                  <c:v>502653.51608468493</c:v>
                </c:pt>
                <c:pt idx="189">
                  <c:v>504282.00881811342</c:v>
                </c:pt>
                <c:pt idx="190">
                  <c:v>505970.32754937728</c:v>
                </c:pt>
                <c:pt idx="191">
                  <c:v>507609.56606135017</c:v>
                </c:pt>
                <c:pt idx="192">
                  <c:v>509309.0253392217</c:v>
                </c:pt>
                <c:pt idx="193">
                  <c:v>511014.17434800201</c:v>
                </c:pt>
                <c:pt idx="194">
                  <c:v>512614.48156980862</c:v>
                </c:pt>
                <c:pt idx="195">
                  <c:v>514330.69713177031</c:v>
                </c:pt>
                <c:pt idx="196">
                  <c:v>515997.02150045865</c:v>
                </c:pt>
                <c:pt idx="197">
                  <c:v>517724.56168916548</c:v>
                </c:pt>
                <c:pt idx="198">
                  <c:v>519401.8814723742</c:v>
                </c:pt>
                <c:pt idx="199">
                  <c:v>521140.82101455366</c:v>
                </c:pt>
                <c:pt idx="200">
                  <c:v>522885.58246619999</c:v>
                </c:pt>
                <c:pt idx="201">
                  <c:v>524579.62288213789</c:v>
                </c:pt>
                <c:pt idx="202">
                  <c:v>526335.89732355007</c:v>
                </c:pt>
                <c:pt idx="203">
                  <c:v>528041.11604122748</c:v>
                </c:pt>
                <c:pt idx="204">
                  <c:v>529808.97944206407</c:v>
                </c:pt>
                <c:pt idx="205">
                  <c:v>531582.76158844633</c:v>
                </c:pt>
                <c:pt idx="206">
                  <c:v>533189.99116744706</c:v>
                </c:pt>
                <c:pt idx="207">
                  <c:v>534975.09282419609</c:v>
                </c:pt>
                <c:pt idx="208">
                  <c:v>536708.3007365081</c:v>
                </c:pt>
                <c:pt idx="209">
                  <c:v>538505.1815720587</c:v>
                </c:pt>
                <c:pt idx="210">
                  <c:v>540249.82623690565</c:v>
                </c:pt>
                <c:pt idx="211">
                  <c:v>542058.56397739239</c:v>
                </c:pt>
                <c:pt idx="212">
                  <c:v>543873.35730930092</c:v>
                </c:pt>
                <c:pt idx="213">
                  <c:v>545635.39374581585</c:v>
                </c:pt>
                <c:pt idx="214">
                  <c:v>547462.16218013025</c:v>
                </c:pt>
                <c:pt idx="215">
                  <c:v>549235.82559719309</c:v>
                </c:pt>
                <c:pt idx="216">
                  <c:v>551074.64815286919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5D-417A-8961-51D6C08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in val="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TCSI!$C$1</c:f>
              <c:strCache>
                <c:ptCount val="1"/>
                <c:pt idx="0">
                  <c:v>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TCSI!$C$2:$C$218</c:f>
              <c:numCache>
                <c:formatCode>0_);[Red]\(0\)</c:formatCode>
                <c:ptCount val="217"/>
                <c:pt idx="0">
                  <c:v>-32014.778015375137</c:v>
                </c:pt>
                <c:pt idx="1">
                  <c:v>-29047.955391407013</c:v>
                </c:pt>
                <c:pt idx="2">
                  <c:v>-26368.544521093369</c:v>
                </c:pt>
                <c:pt idx="3">
                  <c:v>-23605.310224056244</c:v>
                </c:pt>
                <c:pt idx="4">
                  <c:v>-21028.941474437714</c:v>
                </c:pt>
                <c:pt idx="5">
                  <c:v>-18465.994772195816</c:v>
                </c:pt>
                <c:pt idx="6">
                  <c:v>-16080.218624353409</c:v>
                </c:pt>
                <c:pt idx="7">
                  <c:v>-13710.897819042206</c:v>
                </c:pt>
                <c:pt idx="8">
                  <c:v>-11437.452280759811</c:v>
                </c:pt>
                <c:pt idx="9">
                  <c:v>-9327.0414006710052</c:v>
                </c:pt>
                <c:pt idx="10">
                  <c:v>-7237.3410029411316</c:v>
                </c:pt>
                <c:pt idx="11">
                  <c:v>-5301.6206665039063</c:v>
                </c:pt>
                <c:pt idx="12">
                  <c:v>-3389.2243654727936</c:v>
                </c:pt>
                <c:pt idx="13">
                  <c:v>-1564.4932107925415</c:v>
                </c:pt>
                <c:pt idx="14">
                  <c:v>9.6564061641693115</c:v>
                </c:pt>
                <c:pt idx="15">
                  <c:v>1672.0325176715851</c:v>
                </c:pt>
                <c:pt idx="16">
                  <c:v>3201.7715466022491</c:v>
                </c:pt>
                <c:pt idx="17">
                  <c:v>4702.4093577861786</c:v>
                </c:pt>
                <c:pt idx="18">
                  <c:v>6078.6068434715271</c:v>
                </c:pt>
                <c:pt idx="19">
                  <c:v>7423.6416509151459</c:v>
                </c:pt>
                <c:pt idx="20">
                  <c:v>8691.9225673675537</c:v>
                </c:pt>
                <c:pt idx="21">
                  <c:v>9847.6715362071991</c:v>
                </c:pt>
                <c:pt idx="22">
                  <c:v>10969.436286687851</c:v>
                </c:pt>
                <c:pt idx="23">
                  <c:v>11986.268041133881</c:v>
                </c:pt>
                <c:pt idx="24">
                  <c:v>12967.431267023087</c:v>
                </c:pt>
                <c:pt idx="25">
                  <c:v>13879.379740715027</c:v>
                </c:pt>
                <c:pt idx="26">
                  <c:v>14644.825908184052</c:v>
                </c:pt>
                <c:pt idx="27">
                  <c:v>15429.159006357193</c:v>
                </c:pt>
                <c:pt idx="28">
                  <c:v>16126.37181186676</c:v>
                </c:pt>
                <c:pt idx="29">
                  <c:v>16784.366121292114</c:v>
                </c:pt>
                <c:pt idx="30">
                  <c:v>17362.040263652802</c:v>
                </c:pt>
                <c:pt idx="31">
                  <c:v>17899.304678678513</c:v>
                </c:pt>
                <c:pt idx="32">
                  <c:v>18377.335867881775</c:v>
                </c:pt>
                <c:pt idx="33">
                  <c:v>18784.880994319916</c:v>
                </c:pt>
                <c:pt idx="34">
                  <c:v>19150.475209474564</c:v>
                </c:pt>
                <c:pt idx="35">
                  <c:v>19451.8282725811</c:v>
                </c:pt>
                <c:pt idx="36">
                  <c:v>19710.37375164032</c:v>
                </c:pt>
                <c:pt idx="37">
                  <c:v>19916.55416226387</c:v>
                </c:pt>
                <c:pt idx="38">
                  <c:v>20058.901982784271</c:v>
                </c:pt>
                <c:pt idx="39">
                  <c:v>20169.160173892975</c:v>
                </c:pt>
                <c:pt idx="40">
                  <c:v>20229.711157798767</c:v>
                </c:pt>
                <c:pt idx="41">
                  <c:v>20245.880287885666</c:v>
                </c:pt>
                <c:pt idx="42">
                  <c:v>20217.847311973572</c:v>
                </c:pt>
                <c:pt idx="43">
                  <c:v>20145.009873390198</c:v>
                </c:pt>
                <c:pt idx="44">
                  <c:v>20028.859166622162</c:v>
                </c:pt>
                <c:pt idx="45">
                  <c:v>19876.41942191124</c:v>
                </c:pt>
                <c:pt idx="46">
                  <c:v>19678.761147975922</c:v>
                </c:pt>
                <c:pt idx="47">
                  <c:v>19449.806314229965</c:v>
                </c:pt>
                <c:pt idx="48">
                  <c:v>19175.502309799194</c:v>
                </c:pt>
                <c:pt idx="49">
                  <c:v>18864.082211017609</c:v>
                </c:pt>
                <c:pt idx="50">
                  <c:v>18540.234374761581</c:v>
                </c:pt>
                <c:pt idx="51">
                  <c:v>18160.436104297638</c:v>
                </c:pt>
                <c:pt idx="52">
                  <c:v>17760.920200586319</c:v>
                </c:pt>
                <c:pt idx="53">
                  <c:v>17316.208212137222</c:v>
                </c:pt>
                <c:pt idx="54">
                  <c:v>16856.087144136429</c:v>
                </c:pt>
                <c:pt idx="55">
                  <c:v>16351.016085624695</c:v>
                </c:pt>
                <c:pt idx="56">
                  <c:v>15816.988037824631</c:v>
                </c:pt>
                <c:pt idx="57">
                  <c:v>15273.691554307938</c:v>
                </c:pt>
                <c:pt idx="58">
                  <c:v>14686.007345438004</c:v>
                </c:pt>
                <c:pt idx="59">
                  <c:v>14092.89333820343</c:v>
                </c:pt>
                <c:pt idx="60">
                  <c:v>13455.886960029602</c:v>
                </c:pt>
                <c:pt idx="61">
                  <c:v>12795.447946310043</c:v>
                </c:pt>
                <c:pt idx="62">
                  <c:v>12179.684304952621</c:v>
                </c:pt>
                <c:pt idx="63">
                  <c:v>11477.635801315308</c:v>
                </c:pt>
                <c:pt idx="64">
                  <c:v>10778.881212949753</c:v>
                </c:pt>
                <c:pt idx="65">
                  <c:v>10037.86052274704</c:v>
                </c:pt>
                <c:pt idx="66">
                  <c:v>9303.3507661819458</c:v>
                </c:pt>
                <c:pt idx="67">
                  <c:v>8527.3861343860626</c:v>
                </c:pt>
                <c:pt idx="68">
                  <c:v>7735.1786653995514</c:v>
                </c:pt>
                <c:pt idx="69">
                  <c:v>6954.0086436271667</c:v>
                </c:pt>
                <c:pt idx="70">
                  <c:v>6132.7662243843079</c:v>
                </c:pt>
                <c:pt idx="71">
                  <c:v>5325.3509464263916</c:v>
                </c:pt>
                <c:pt idx="72">
                  <c:v>4478.8811662197113</c:v>
                </c:pt>
                <c:pt idx="73">
                  <c:v>3621.0219204425812</c:v>
                </c:pt>
                <c:pt idx="74">
                  <c:v>2837.1815083026886</c:v>
                </c:pt>
                <c:pt idx="75">
                  <c:v>1960.2580456733704</c:v>
                </c:pt>
                <c:pt idx="76">
                  <c:v>1103.3619170188904</c:v>
                </c:pt>
                <c:pt idx="77">
                  <c:v>210.25801491737366</c:v>
                </c:pt>
                <c:pt idx="78">
                  <c:v>-660.5914626121521</c:v>
                </c:pt>
                <c:pt idx="79">
                  <c:v>-1566.373960018158</c:v>
                </c:pt>
                <c:pt idx="80">
                  <c:v>-2477.2858533859253</c:v>
                </c:pt>
                <c:pt idx="81">
                  <c:v>-3362.8776967525482</c:v>
                </c:pt>
                <c:pt idx="82">
                  <c:v>-4281.3531134128571</c:v>
                </c:pt>
                <c:pt idx="83">
                  <c:v>-5172.6661243438721</c:v>
                </c:pt>
                <c:pt idx="84">
                  <c:v>-6095.4238755702972</c:v>
                </c:pt>
                <c:pt idx="85">
                  <c:v>-7019.1286327838898</c:v>
                </c:pt>
                <c:pt idx="86">
                  <c:v>-7853.5799765586853</c:v>
                </c:pt>
                <c:pt idx="87">
                  <c:v>-8776.8501892089844</c:v>
                </c:pt>
                <c:pt idx="88">
                  <c:v>-9669.0298092365265</c:v>
                </c:pt>
                <c:pt idx="89">
                  <c:v>-10588.838497400284</c:v>
                </c:pt>
                <c:pt idx="90">
                  <c:v>-11476.217825651169</c:v>
                </c:pt>
                <c:pt idx="91">
                  <c:v>-12389.589547395706</c:v>
                </c:pt>
                <c:pt idx="92">
                  <c:v>-13298.577931642532</c:v>
                </c:pt>
                <c:pt idx="93">
                  <c:v>-14173.378978967667</c:v>
                </c:pt>
                <c:pt idx="94">
                  <c:v>-15071.609243154526</c:v>
                </c:pt>
                <c:pt idx="95">
                  <c:v>-15934.655544996262</c:v>
                </c:pt>
                <c:pt idx="96">
                  <c:v>-16819.372903108597</c:v>
                </c:pt>
                <c:pt idx="97">
                  <c:v>-17696.195516347885</c:v>
                </c:pt>
                <c:pt idx="98">
                  <c:v>-18508.701711893082</c:v>
                </c:pt>
                <c:pt idx="99">
                  <c:v>-19368.330635786057</c:v>
                </c:pt>
                <c:pt idx="100">
                  <c:v>-20190.857853651047</c:v>
                </c:pt>
                <c:pt idx="101">
                  <c:v>-21030.492214202881</c:v>
                </c:pt>
                <c:pt idx="102">
                  <c:v>-21832.474833965302</c:v>
                </c:pt>
                <c:pt idx="103">
                  <c:v>-22649.667035341263</c:v>
                </c:pt>
                <c:pt idx="104">
                  <c:v>-23454.544398546219</c:v>
                </c:pt>
                <c:pt idx="105">
                  <c:v>-24221.169401407242</c:v>
                </c:pt>
                <c:pt idx="106">
                  <c:v>-25000.07954287529</c:v>
                </c:pt>
                <c:pt idx="107">
                  <c:v>-25740.486725091934</c:v>
                </c:pt>
                <c:pt idx="108">
                  <c:v>-26491.202705144882</c:v>
                </c:pt>
                <c:pt idx="109">
                  <c:v>-27226.765260457993</c:v>
                </c:pt>
                <c:pt idx="110">
                  <c:v>-27877.669524908066</c:v>
                </c:pt>
                <c:pt idx="111">
                  <c:v>-28582.907005310059</c:v>
                </c:pt>
                <c:pt idx="112">
                  <c:v>-29249.507301092148</c:v>
                </c:pt>
                <c:pt idx="113">
                  <c:v>-29921.416451215744</c:v>
                </c:pt>
                <c:pt idx="114">
                  <c:v>-30554.823214054108</c:v>
                </c:pt>
                <c:pt idx="115">
                  <c:v>-31191.482839584351</c:v>
                </c:pt>
                <c:pt idx="116">
                  <c:v>-31809.520699501038</c:v>
                </c:pt>
                <c:pt idx="117">
                  <c:v>-32389.456296443939</c:v>
                </c:pt>
                <c:pt idx="118">
                  <c:v>-32969.513488531113</c:v>
                </c:pt>
                <c:pt idx="119">
                  <c:v>-33511.860057592392</c:v>
                </c:pt>
                <c:pt idx="120">
                  <c:v>-34052.236042499542</c:v>
                </c:pt>
                <c:pt idx="121">
                  <c:v>-34571.822657346725</c:v>
                </c:pt>
                <c:pt idx="122">
                  <c:v>-35022.920747041702</c:v>
                </c:pt>
                <c:pt idx="123">
                  <c:v>-35501.831408262253</c:v>
                </c:pt>
                <c:pt idx="124">
                  <c:v>-35944.413989305496</c:v>
                </c:pt>
                <c:pt idx="125">
                  <c:v>-36379.81233716011</c:v>
                </c:pt>
                <c:pt idx="126">
                  <c:v>-36779.600628137589</c:v>
                </c:pt>
                <c:pt idx="127">
                  <c:v>-37170.091868638992</c:v>
                </c:pt>
                <c:pt idx="128">
                  <c:v>-37537.255125761032</c:v>
                </c:pt>
                <c:pt idx="129">
                  <c:v>-37870.055954217911</c:v>
                </c:pt>
                <c:pt idx="130">
                  <c:v>-38190.37487912178</c:v>
                </c:pt>
                <c:pt idx="131">
                  <c:v>-38477.263652086258</c:v>
                </c:pt>
                <c:pt idx="132">
                  <c:v>-38749.564109563828</c:v>
                </c:pt>
                <c:pt idx="133">
                  <c:v>-38997.039960622787</c:v>
                </c:pt>
                <c:pt idx="134">
                  <c:v>-39199.005299091339</c:v>
                </c:pt>
                <c:pt idx="135">
                  <c:v>-39398.500829458237</c:v>
                </c:pt>
                <c:pt idx="136">
                  <c:v>-39567.214000940323</c:v>
                </c:pt>
                <c:pt idx="137">
                  <c:v>-39716.163017511368</c:v>
                </c:pt>
                <c:pt idx="138">
                  <c:v>-39835.529319047928</c:v>
                </c:pt>
                <c:pt idx="139">
                  <c:v>-39933.063431024551</c:v>
                </c:pt>
                <c:pt idx="140">
                  <c:v>-40004.164051294327</c:v>
                </c:pt>
                <c:pt idx="141">
                  <c:v>-40047.623843431473</c:v>
                </c:pt>
                <c:pt idx="142">
                  <c:v>-40066.166251897812</c:v>
                </c:pt>
                <c:pt idx="143">
                  <c:v>-40058.439138650894</c:v>
                </c:pt>
                <c:pt idx="144">
                  <c:v>-40023.775601148605</c:v>
                </c:pt>
                <c:pt idx="145">
                  <c:v>-39961.852932214737</c:v>
                </c:pt>
                <c:pt idx="146">
                  <c:v>-39879.129394292831</c:v>
                </c:pt>
                <c:pt idx="147">
                  <c:v>-39764.079464673996</c:v>
                </c:pt>
                <c:pt idx="148">
                  <c:v>-39626.44699048996</c:v>
                </c:pt>
                <c:pt idx="149">
                  <c:v>-39456.959815263748</c:v>
                </c:pt>
                <c:pt idx="150">
                  <c:v>-39266.470654249191</c:v>
                </c:pt>
                <c:pt idx="151">
                  <c:v>-39042.205685853958</c:v>
                </c:pt>
                <c:pt idx="152">
                  <c:v>-38790.000503540039</c:v>
                </c:pt>
                <c:pt idx="153">
                  <c:v>-38519.277514219284</c:v>
                </c:pt>
                <c:pt idx="154">
                  <c:v>-38211.94732427597</c:v>
                </c:pt>
                <c:pt idx="155">
                  <c:v>-37887.808842897415</c:v>
                </c:pt>
                <c:pt idx="156">
                  <c:v>-37525.233757734299</c:v>
                </c:pt>
                <c:pt idx="157">
                  <c:v>-37134.565639257431</c:v>
                </c:pt>
                <c:pt idx="158">
                  <c:v>-36757.560067415237</c:v>
                </c:pt>
                <c:pt idx="159">
                  <c:v>-36313.443294763565</c:v>
                </c:pt>
                <c:pt idx="160">
                  <c:v>-35856.943719625473</c:v>
                </c:pt>
                <c:pt idx="161">
                  <c:v>-35357.663697481155</c:v>
                </c:pt>
                <c:pt idx="162">
                  <c:v>-34847.859562158585</c:v>
                </c:pt>
                <c:pt idx="163">
                  <c:v>-34293.6021463871</c:v>
                </c:pt>
                <c:pt idx="164">
                  <c:v>-33711.504812002182</c:v>
                </c:pt>
                <c:pt idx="165">
                  <c:v>-33121.754900693893</c:v>
                </c:pt>
                <c:pt idx="166">
                  <c:v>-32485.12687587738</c:v>
                </c:pt>
                <c:pt idx="167">
                  <c:v>-31842.791328668594</c:v>
                </c:pt>
                <c:pt idx="168">
                  <c:v>-31152.039127588272</c:v>
                </c:pt>
                <c:pt idx="169">
                  <c:v>-30433.965172052383</c:v>
                </c:pt>
                <c:pt idx="170">
                  <c:v>-29762.014212846756</c:v>
                </c:pt>
                <c:pt idx="171">
                  <c:v>-28992.335119009018</c:v>
                </c:pt>
                <c:pt idx="172">
                  <c:v>-28221.88400387764</c:v>
                </c:pt>
                <c:pt idx="173">
                  <c:v>-27399.465440034866</c:v>
                </c:pt>
                <c:pt idx="174">
                  <c:v>-26578.310068368912</c:v>
                </c:pt>
                <c:pt idx="175">
                  <c:v>-25703.864293336868</c:v>
                </c:pt>
                <c:pt idx="176">
                  <c:v>-24803.27960562706</c:v>
                </c:pt>
                <c:pt idx="177">
                  <c:v>-23907.063762903214</c:v>
                </c:pt>
                <c:pt idx="178">
                  <c:v>-22955.692485570908</c:v>
                </c:pt>
                <c:pt idx="179">
                  <c:v>-22010.769039392471</c:v>
                </c:pt>
                <c:pt idx="180">
                  <c:v>-21009.544088125229</c:v>
                </c:pt>
                <c:pt idx="181">
                  <c:v>-19983.369370698929</c:v>
                </c:pt>
                <c:pt idx="182">
                  <c:v>-19035.285710573196</c:v>
                </c:pt>
                <c:pt idx="183">
                  <c:v>-17962.395881891251</c:v>
                </c:pt>
                <c:pt idx="184">
                  <c:v>-16901.147883176804</c:v>
                </c:pt>
                <c:pt idx="185">
                  <c:v>-15781.092148065567</c:v>
                </c:pt>
                <c:pt idx="186">
                  <c:v>-14674.788375139236</c:v>
                </c:pt>
                <c:pt idx="187">
                  <c:v>-13508.805395364761</c:v>
                </c:pt>
                <c:pt idx="188">
                  <c:v>-12319.985218286514</c:v>
                </c:pt>
                <c:pt idx="189">
                  <c:v>-11148.103528738022</c:v>
                </c:pt>
                <c:pt idx="190">
                  <c:v>-9915.3906466960907</c:v>
                </c:pt>
                <c:pt idx="191">
                  <c:v>-8701.7275655269623</c:v>
                </c:pt>
                <c:pt idx="192">
                  <c:v>-7426.5812938213348</c:v>
                </c:pt>
                <c:pt idx="193">
                  <c:v>-6130.457955121994</c:v>
                </c:pt>
                <c:pt idx="194">
                  <c:v>-4899.3288447856903</c:v>
                </c:pt>
                <c:pt idx="195">
                  <c:v>-3563.7829654216766</c:v>
                </c:pt>
                <c:pt idx="196">
                  <c:v>-2252.5221245288849</c:v>
                </c:pt>
                <c:pt idx="197">
                  <c:v>-878.56191277503967</c:v>
                </c:pt>
                <c:pt idx="198">
                  <c:v>469.03002858161926</c:v>
                </c:pt>
                <c:pt idx="199">
                  <c:v>1879.6380684375763</c:v>
                </c:pt>
                <c:pt idx="200">
                  <c:v>3308.1652481555939</c:v>
                </c:pt>
                <c:pt idx="201">
                  <c:v>4707.2104108333588</c:v>
                </c:pt>
                <c:pt idx="202">
                  <c:v>6169.5547845363617</c:v>
                </c:pt>
                <c:pt idx="203">
                  <c:v>7600.375435590744</c:v>
                </c:pt>
                <c:pt idx="204">
                  <c:v>9094.5498440265656</c:v>
                </c:pt>
                <c:pt idx="205">
                  <c:v>10604.110442399979</c:v>
                </c:pt>
                <c:pt idx="206">
                  <c:v>11980.354133844376</c:v>
                </c:pt>
                <c:pt idx="207">
                  <c:v>13517.675979375839</c:v>
                </c:pt>
                <c:pt idx="208">
                  <c:v>15018.518673181534</c:v>
                </c:pt>
                <c:pt idx="209">
                  <c:v>16582.373090982437</c:v>
                </c:pt>
                <c:pt idx="210">
                  <c:v>18107.793695688248</c:v>
                </c:pt>
                <c:pt idx="211">
                  <c:v>19695.887778997421</c:v>
                </c:pt>
                <c:pt idx="212">
                  <c:v>21295.393481969833</c:v>
                </c:pt>
                <c:pt idx="213">
                  <c:v>22853.577653646469</c:v>
                </c:pt>
                <c:pt idx="214">
                  <c:v>24473.698470830917</c:v>
                </c:pt>
                <c:pt idx="215">
                  <c:v>26050.62721323967</c:v>
                </c:pt>
                <c:pt idx="216">
                  <c:v>27688.849582433701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6B-4091-8402-7C6AC02C9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&quot;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ax val="200000"/>
          <c:min val="-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TCSI!$E$1</c:f>
              <c:strCache>
                <c:ptCount val="1"/>
                <c:pt idx="0">
                  <c:v>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TCSI!$E$2:$E$219</c:f>
              <c:numCache>
                <c:formatCode>0_);[Red]\(0\)</c:formatCode>
                <c:ptCount val="218"/>
                <c:pt idx="0">
                  <c:v>588.98337502532581</c:v>
                </c:pt>
                <c:pt idx="1">
                  <c:v>7225.4655458402231</c:v>
                </c:pt>
                <c:pt idx="2">
                  <c:v>14702.969673403668</c:v>
                </c:pt>
                <c:pt idx="3">
                  <c:v>26366.176148156963</c:v>
                </c:pt>
                <c:pt idx="4">
                  <c:v>30760.891800879039</c:v>
                </c:pt>
                <c:pt idx="5">
                  <c:v>24135.461905402834</c:v>
                </c:pt>
                <c:pt idx="6">
                  <c:v>9035.5089355065847</c:v>
                </c:pt>
                <c:pt idx="7">
                  <c:v>-11512.115043864824</c:v>
                </c:pt>
                <c:pt idx="8">
                  <c:v>-29942.575873501661</c:v>
                </c:pt>
                <c:pt idx="9">
                  <c:v>-31807.738034068618</c:v>
                </c:pt>
                <c:pt idx="10">
                  <c:v>-19849.338384994844</c:v>
                </c:pt>
                <c:pt idx="11">
                  <c:v>-8556.4728300846164</c:v>
                </c:pt>
                <c:pt idx="12">
                  <c:v>588.98337502532581</c:v>
                </c:pt>
                <c:pt idx="13">
                  <c:v>7225.4655458402231</c:v>
                </c:pt>
                <c:pt idx="14">
                  <c:v>14702.969673403668</c:v>
                </c:pt>
                <c:pt idx="15">
                  <c:v>26366.176148156963</c:v>
                </c:pt>
                <c:pt idx="16">
                  <c:v>30760.891800879039</c:v>
                </c:pt>
                <c:pt idx="17">
                  <c:v>24135.461905402834</c:v>
                </c:pt>
                <c:pt idx="18">
                  <c:v>9035.5089355065847</c:v>
                </c:pt>
                <c:pt idx="19">
                  <c:v>-11512.115043864824</c:v>
                </c:pt>
                <c:pt idx="20">
                  <c:v>-29942.575873501661</c:v>
                </c:pt>
                <c:pt idx="21">
                  <c:v>-31807.738034068618</c:v>
                </c:pt>
                <c:pt idx="22">
                  <c:v>-19849.338384994844</c:v>
                </c:pt>
                <c:pt idx="23">
                  <c:v>-8556.4728300846164</c:v>
                </c:pt>
                <c:pt idx="24">
                  <c:v>588.98337502532581</c:v>
                </c:pt>
                <c:pt idx="25">
                  <c:v>7225.4655458402231</c:v>
                </c:pt>
                <c:pt idx="26">
                  <c:v>14702.969673403668</c:v>
                </c:pt>
                <c:pt idx="27">
                  <c:v>26366.176148156963</c:v>
                </c:pt>
                <c:pt idx="28">
                  <c:v>30760.891800879039</c:v>
                </c:pt>
                <c:pt idx="29">
                  <c:v>24135.461905402834</c:v>
                </c:pt>
                <c:pt idx="30">
                  <c:v>9035.5089355065847</c:v>
                </c:pt>
                <c:pt idx="31">
                  <c:v>-11512.115043864824</c:v>
                </c:pt>
                <c:pt idx="32">
                  <c:v>-29942.575873501661</c:v>
                </c:pt>
                <c:pt idx="33">
                  <c:v>-31807.738034068618</c:v>
                </c:pt>
                <c:pt idx="34">
                  <c:v>-19849.338384994844</c:v>
                </c:pt>
                <c:pt idx="35">
                  <c:v>-8556.4728300846164</c:v>
                </c:pt>
                <c:pt idx="36">
                  <c:v>588.98337502532581</c:v>
                </c:pt>
                <c:pt idx="37">
                  <c:v>7225.4655458402231</c:v>
                </c:pt>
                <c:pt idx="38">
                  <c:v>14702.969673403668</c:v>
                </c:pt>
                <c:pt idx="39">
                  <c:v>26366.176148156963</c:v>
                </c:pt>
                <c:pt idx="40">
                  <c:v>30760.891800879039</c:v>
                </c:pt>
                <c:pt idx="41">
                  <c:v>24135.461905402834</c:v>
                </c:pt>
                <c:pt idx="42">
                  <c:v>9035.5089355065847</c:v>
                </c:pt>
                <c:pt idx="43">
                  <c:v>-11512.115043864824</c:v>
                </c:pt>
                <c:pt idx="44">
                  <c:v>-29942.575873501661</c:v>
                </c:pt>
                <c:pt idx="45">
                  <c:v>-31807.738034068618</c:v>
                </c:pt>
                <c:pt idx="46">
                  <c:v>-19849.338384994844</c:v>
                </c:pt>
                <c:pt idx="47">
                  <c:v>-8556.4728300846164</c:v>
                </c:pt>
                <c:pt idx="48">
                  <c:v>588.98337502532581</c:v>
                </c:pt>
                <c:pt idx="49">
                  <c:v>7225.4655458402231</c:v>
                </c:pt>
                <c:pt idx="50">
                  <c:v>14702.969673403668</c:v>
                </c:pt>
                <c:pt idx="51">
                  <c:v>26366.176148156963</c:v>
                </c:pt>
                <c:pt idx="52">
                  <c:v>30760.891800879039</c:v>
                </c:pt>
                <c:pt idx="53">
                  <c:v>24135.461905402834</c:v>
                </c:pt>
                <c:pt idx="54">
                  <c:v>9035.5089355065847</c:v>
                </c:pt>
                <c:pt idx="55">
                  <c:v>-11512.115043864824</c:v>
                </c:pt>
                <c:pt idx="56">
                  <c:v>-29942.575873501661</c:v>
                </c:pt>
                <c:pt idx="57">
                  <c:v>-31807.738034068618</c:v>
                </c:pt>
                <c:pt idx="58">
                  <c:v>-19849.338384994844</c:v>
                </c:pt>
                <c:pt idx="59">
                  <c:v>-8556.4728300846164</c:v>
                </c:pt>
                <c:pt idx="60">
                  <c:v>588.98337502532581</c:v>
                </c:pt>
                <c:pt idx="61">
                  <c:v>7225.4655458402231</c:v>
                </c:pt>
                <c:pt idx="62">
                  <c:v>14702.969673403668</c:v>
                </c:pt>
                <c:pt idx="63">
                  <c:v>26366.176148156963</c:v>
                </c:pt>
                <c:pt idx="64">
                  <c:v>30760.891800879039</c:v>
                </c:pt>
                <c:pt idx="65">
                  <c:v>24135.461905402834</c:v>
                </c:pt>
                <c:pt idx="66">
                  <c:v>9035.5089355065847</c:v>
                </c:pt>
                <c:pt idx="67">
                  <c:v>-11512.115043864824</c:v>
                </c:pt>
                <c:pt idx="68">
                  <c:v>-29942.575873501661</c:v>
                </c:pt>
                <c:pt idx="69">
                  <c:v>-31807.738034068618</c:v>
                </c:pt>
                <c:pt idx="70">
                  <c:v>-19849.338384994844</c:v>
                </c:pt>
                <c:pt idx="71">
                  <c:v>-8556.4728300846164</c:v>
                </c:pt>
                <c:pt idx="72">
                  <c:v>588.98337502532581</c:v>
                </c:pt>
                <c:pt idx="73">
                  <c:v>7225.4655458402231</c:v>
                </c:pt>
                <c:pt idx="74">
                  <c:v>14702.969673403668</c:v>
                </c:pt>
                <c:pt idx="75">
                  <c:v>26366.176148156963</c:v>
                </c:pt>
                <c:pt idx="76">
                  <c:v>30760.891800879039</c:v>
                </c:pt>
                <c:pt idx="77">
                  <c:v>24135.461905402834</c:v>
                </c:pt>
                <c:pt idx="78">
                  <c:v>9035.5089355065847</c:v>
                </c:pt>
                <c:pt idx="79">
                  <c:v>-11512.115043864824</c:v>
                </c:pt>
                <c:pt idx="80">
                  <c:v>-29942.575873501661</c:v>
                </c:pt>
                <c:pt idx="81">
                  <c:v>-31807.738034068618</c:v>
                </c:pt>
                <c:pt idx="82">
                  <c:v>-19849.338384994844</c:v>
                </c:pt>
                <c:pt idx="83">
                  <c:v>-8556.4728300846164</c:v>
                </c:pt>
                <c:pt idx="84">
                  <c:v>588.98337502532581</c:v>
                </c:pt>
                <c:pt idx="85">
                  <c:v>7225.4655458402231</c:v>
                </c:pt>
                <c:pt idx="86">
                  <c:v>14702.969673403668</c:v>
                </c:pt>
                <c:pt idx="87">
                  <c:v>26366.176148156963</c:v>
                </c:pt>
                <c:pt idx="88">
                  <c:v>30760.891800879039</c:v>
                </c:pt>
                <c:pt idx="89">
                  <c:v>24135.461905402834</c:v>
                </c:pt>
                <c:pt idx="90">
                  <c:v>9035.5089355065847</c:v>
                </c:pt>
                <c:pt idx="91">
                  <c:v>-11512.115043864824</c:v>
                </c:pt>
                <c:pt idx="92">
                  <c:v>-29942.575873501661</c:v>
                </c:pt>
                <c:pt idx="93">
                  <c:v>-31807.738034068618</c:v>
                </c:pt>
                <c:pt idx="94">
                  <c:v>-19849.338384994844</c:v>
                </c:pt>
                <c:pt idx="95">
                  <c:v>-8556.4728300846164</c:v>
                </c:pt>
                <c:pt idx="96">
                  <c:v>588.98337502532581</c:v>
                </c:pt>
                <c:pt idx="97">
                  <c:v>7225.4655458402231</c:v>
                </c:pt>
                <c:pt idx="98">
                  <c:v>14702.969673403668</c:v>
                </c:pt>
                <c:pt idx="99">
                  <c:v>26366.176148156963</c:v>
                </c:pt>
                <c:pt idx="100">
                  <c:v>30760.891800879039</c:v>
                </c:pt>
                <c:pt idx="101">
                  <c:v>24135.461905402834</c:v>
                </c:pt>
                <c:pt idx="102">
                  <c:v>9035.5089355065847</c:v>
                </c:pt>
                <c:pt idx="103">
                  <c:v>-11512.115043864824</c:v>
                </c:pt>
                <c:pt idx="104">
                  <c:v>-29942.575873501661</c:v>
                </c:pt>
                <c:pt idx="105">
                  <c:v>-31807.738034068618</c:v>
                </c:pt>
                <c:pt idx="106">
                  <c:v>-19849.338384994844</c:v>
                </c:pt>
                <c:pt idx="107">
                  <c:v>-8556.4728300846164</c:v>
                </c:pt>
                <c:pt idx="108">
                  <c:v>588.98337502532581</c:v>
                </c:pt>
                <c:pt idx="109">
                  <c:v>7225.4655458402231</c:v>
                </c:pt>
                <c:pt idx="110">
                  <c:v>14702.969673403668</c:v>
                </c:pt>
                <c:pt idx="111">
                  <c:v>26366.176148156963</c:v>
                </c:pt>
                <c:pt idx="112">
                  <c:v>30760.891800879039</c:v>
                </c:pt>
                <c:pt idx="113">
                  <c:v>24135.461905402834</c:v>
                </c:pt>
                <c:pt idx="114">
                  <c:v>9035.5089355065847</c:v>
                </c:pt>
                <c:pt idx="115">
                  <c:v>-11512.115043864824</c:v>
                </c:pt>
                <c:pt idx="116">
                  <c:v>-29942.575873501661</c:v>
                </c:pt>
                <c:pt idx="117">
                  <c:v>-31807.738034068618</c:v>
                </c:pt>
                <c:pt idx="118">
                  <c:v>-19849.338384994844</c:v>
                </c:pt>
                <c:pt idx="119">
                  <c:v>-8556.4728300846164</c:v>
                </c:pt>
                <c:pt idx="120">
                  <c:v>588.98337502532581</c:v>
                </c:pt>
                <c:pt idx="121">
                  <c:v>7225.4655458402231</c:v>
                </c:pt>
                <c:pt idx="122">
                  <c:v>14702.969673403668</c:v>
                </c:pt>
                <c:pt idx="123">
                  <c:v>26366.176148156963</c:v>
                </c:pt>
                <c:pt idx="124">
                  <c:v>30760.891800879039</c:v>
                </c:pt>
                <c:pt idx="125">
                  <c:v>24135.461905402834</c:v>
                </c:pt>
                <c:pt idx="126">
                  <c:v>9035.5089355065847</c:v>
                </c:pt>
                <c:pt idx="127">
                  <c:v>-11512.115043864824</c:v>
                </c:pt>
                <c:pt idx="128">
                  <c:v>-29942.575873501661</c:v>
                </c:pt>
                <c:pt idx="129">
                  <c:v>-31807.738034068618</c:v>
                </c:pt>
                <c:pt idx="130">
                  <c:v>-19849.338384994844</c:v>
                </c:pt>
                <c:pt idx="131">
                  <c:v>-8556.4728300846164</c:v>
                </c:pt>
                <c:pt idx="132">
                  <c:v>588.98337502532581</c:v>
                </c:pt>
                <c:pt idx="133">
                  <c:v>7225.4655458402231</c:v>
                </c:pt>
                <c:pt idx="134">
                  <c:v>14702.969673403668</c:v>
                </c:pt>
                <c:pt idx="135">
                  <c:v>26366.176148156963</c:v>
                </c:pt>
                <c:pt idx="136">
                  <c:v>30760.891800879039</c:v>
                </c:pt>
                <c:pt idx="137">
                  <c:v>24135.461905402834</c:v>
                </c:pt>
                <c:pt idx="138">
                  <c:v>9035.5089355065847</c:v>
                </c:pt>
                <c:pt idx="139">
                  <c:v>-11512.115043864824</c:v>
                </c:pt>
                <c:pt idx="140">
                  <c:v>-29942.575873501661</c:v>
                </c:pt>
                <c:pt idx="141">
                  <c:v>-31807.738034068618</c:v>
                </c:pt>
                <c:pt idx="142">
                  <c:v>-19849.338384994844</c:v>
                </c:pt>
                <c:pt idx="143">
                  <c:v>-8556.4728300846164</c:v>
                </c:pt>
                <c:pt idx="144">
                  <c:v>588.98337502532581</c:v>
                </c:pt>
                <c:pt idx="145">
                  <c:v>7225.4655458402231</c:v>
                </c:pt>
                <c:pt idx="146">
                  <c:v>14702.969673403668</c:v>
                </c:pt>
                <c:pt idx="147">
                  <c:v>26366.176148156963</c:v>
                </c:pt>
                <c:pt idx="148">
                  <c:v>30760.891800879039</c:v>
                </c:pt>
                <c:pt idx="149">
                  <c:v>24135.461905402834</c:v>
                </c:pt>
                <c:pt idx="150">
                  <c:v>9035.5089355065847</c:v>
                </c:pt>
                <c:pt idx="151">
                  <c:v>-11512.115043864824</c:v>
                </c:pt>
                <c:pt idx="152">
                  <c:v>-29942.575873501661</c:v>
                </c:pt>
                <c:pt idx="153">
                  <c:v>-31807.738034068618</c:v>
                </c:pt>
                <c:pt idx="154">
                  <c:v>-19849.338384994844</c:v>
                </c:pt>
                <c:pt idx="155">
                  <c:v>-8556.4728300846164</c:v>
                </c:pt>
                <c:pt idx="156">
                  <c:v>588.98337502532581</c:v>
                </c:pt>
                <c:pt idx="157">
                  <c:v>7225.4655458402231</c:v>
                </c:pt>
                <c:pt idx="158">
                  <c:v>14702.969673403668</c:v>
                </c:pt>
                <c:pt idx="159">
                  <c:v>26366.176148156963</c:v>
                </c:pt>
                <c:pt idx="160">
                  <c:v>30760.891800879039</c:v>
                </c:pt>
                <c:pt idx="161">
                  <c:v>24135.461905402834</c:v>
                </c:pt>
                <c:pt idx="162">
                  <c:v>9035.5089355065847</c:v>
                </c:pt>
                <c:pt idx="163">
                  <c:v>-11512.115043864824</c:v>
                </c:pt>
                <c:pt idx="164">
                  <c:v>-29942.575873501661</c:v>
                </c:pt>
                <c:pt idx="165">
                  <c:v>-31807.738034068618</c:v>
                </c:pt>
                <c:pt idx="166">
                  <c:v>-19849.338384994844</c:v>
                </c:pt>
                <c:pt idx="167">
                  <c:v>-8556.4728300846164</c:v>
                </c:pt>
                <c:pt idx="168">
                  <c:v>588.98337502532581</c:v>
                </c:pt>
                <c:pt idx="169">
                  <c:v>7225.4655458402231</c:v>
                </c:pt>
                <c:pt idx="170">
                  <c:v>14702.969673403668</c:v>
                </c:pt>
                <c:pt idx="171">
                  <c:v>26366.176148156963</c:v>
                </c:pt>
                <c:pt idx="172">
                  <c:v>30760.891800879039</c:v>
                </c:pt>
                <c:pt idx="173">
                  <c:v>24135.461905402834</c:v>
                </c:pt>
                <c:pt idx="174">
                  <c:v>9035.5089355065847</c:v>
                </c:pt>
                <c:pt idx="175">
                  <c:v>-11512.115043864824</c:v>
                </c:pt>
                <c:pt idx="176">
                  <c:v>-29942.575873501661</c:v>
                </c:pt>
                <c:pt idx="177">
                  <c:v>-31807.738034068618</c:v>
                </c:pt>
                <c:pt idx="178">
                  <c:v>-19849.338384994844</c:v>
                </c:pt>
                <c:pt idx="179">
                  <c:v>-8556.4728300846164</c:v>
                </c:pt>
                <c:pt idx="180">
                  <c:v>588.98337502532581</c:v>
                </c:pt>
                <c:pt idx="181">
                  <c:v>7225.4655458402231</c:v>
                </c:pt>
                <c:pt idx="182">
                  <c:v>14702.969673403668</c:v>
                </c:pt>
                <c:pt idx="183">
                  <c:v>26366.176148156963</c:v>
                </c:pt>
                <c:pt idx="184">
                  <c:v>30760.891800879039</c:v>
                </c:pt>
                <c:pt idx="185">
                  <c:v>24135.461905402834</c:v>
                </c:pt>
                <c:pt idx="186">
                  <c:v>9035.5089355065847</c:v>
                </c:pt>
                <c:pt idx="187">
                  <c:v>-11512.115043864824</c:v>
                </c:pt>
                <c:pt idx="188">
                  <c:v>-29942.575873501661</c:v>
                </c:pt>
                <c:pt idx="189">
                  <c:v>-31807.738034068618</c:v>
                </c:pt>
                <c:pt idx="190">
                  <c:v>-19849.338384994844</c:v>
                </c:pt>
                <c:pt idx="191">
                  <c:v>-8556.4728300846164</c:v>
                </c:pt>
                <c:pt idx="192">
                  <c:v>588.98337502532581</c:v>
                </c:pt>
                <c:pt idx="193">
                  <c:v>7225.4655458402231</c:v>
                </c:pt>
                <c:pt idx="194">
                  <c:v>14702.969673403668</c:v>
                </c:pt>
                <c:pt idx="195">
                  <c:v>26366.176148156963</c:v>
                </c:pt>
                <c:pt idx="196">
                  <c:v>30760.891800879039</c:v>
                </c:pt>
                <c:pt idx="197">
                  <c:v>24135.461905402834</c:v>
                </c:pt>
                <c:pt idx="198">
                  <c:v>9035.5089355065847</c:v>
                </c:pt>
                <c:pt idx="199">
                  <c:v>-11512.115043864824</c:v>
                </c:pt>
                <c:pt idx="200">
                  <c:v>-29942.575873501661</c:v>
                </c:pt>
                <c:pt idx="201">
                  <c:v>-31807.738034068618</c:v>
                </c:pt>
                <c:pt idx="202">
                  <c:v>-19849.338384994844</c:v>
                </c:pt>
                <c:pt idx="203">
                  <c:v>-8556.4728300846164</c:v>
                </c:pt>
                <c:pt idx="204">
                  <c:v>588.98337502532581</c:v>
                </c:pt>
                <c:pt idx="205">
                  <c:v>7225.4655458402231</c:v>
                </c:pt>
                <c:pt idx="206">
                  <c:v>14702.969673403668</c:v>
                </c:pt>
                <c:pt idx="207">
                  <c:v>26366.176148156963</c:v>
                </c:pt>
                <c:pt idx="208">
                  <c:v>30760.891800879039</c:v>
                </c:pt>
                <c:pt idx="209">
                  <c:v>24135.461905402834</c:v>
                </c:pt>
                <c:pt idx="210">
                  <c:v>9035.5089355065847</c:v>
                </c:pt>
                <c:pt idx="211">
                  <c:v>-11512.115043864824</c:v>
                </c:pt>
                <c:pt idx="212">
                  <c:v>-29942.575873501661</c:v>
                </c:pt>
                <c:pt idx="213">
                  <c:v>-31807.738034068618</c:v>
                </c:pt>
                <c:pt idx="214">
                  <c:v>-19849.338384994844</c:v>
                </c:pt>
                <c:pt idx="215">
                  <c:v>-8556.4728300846164</c:v>
                </c:pt>
                <c:pt idx="216">
                  <c:v>588.98337502532581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37-49E0-9371-586E56732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&quot;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ax val="200000"/>
          <c:min val="-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TCSI!$G$1</c:f>
              <c:strCache>
                <c:ptCount val="1"/>
                <c:pt idx="0">
                  <c:v>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TCSI!$G$2:$G$219</c:f>
              <c:numCache>
                <c:formatCode>0_);[Red]\(0\)</c:formatCode>
                <c:ptCount val="218"/>
                <c:pt idx="0">
                  <c:v>-1938.4970964852316</c:v>
                </c:pt>
                <c:pt idx="1">
                  <c:v>-7081.7855697536152</c:v>
                </c:pt>
                <c:pt idx="2">
                  <c:v>9092.4584536362818</c:v>
                </c:pt>
                <c:pt idx="3">
                  <c:v>-4626.1159582222499</c:v>
                </c:pt>
                <c:pt idx="4">
                  <c:v>-6047.5440942945534</c:v>
                </c:pt>
                <c:pt idx="5">
                  <c:v>8884.2481723570854</c:v>
                </c:pt>
                <c:pt idx="6">
                  <c:v>6490.4225958250918</c:v>
                </c:pt>
                <c:pt idx="7">
                  <c:v>-2644.5808555027584</c:v>
                </c:pt>
                <c:pt idx="8">
                  <c:v>770.52187688091715</c:v>
                </c:pt>
                <c:pt idx="9">
                  <c:v>1419.6824709797243</c:v>
                </c:pt>
                <c:pt idx="10">
                  <c:v>-2562.3459558469208</c:v>
                </c:pt>
                <c:pt idx="11">
                  <c:v>-3056.5776194510731</c:v>
                </c:pt>
                <c:pt idx="12">
                  <c:v>3756.6864935049148</c:v>
                </c:pt>
                <c:pt idx="13">
                  <c:v>12882.200604451198</c:v>
                </c:pt>
                <c:pt idx="14">
                  <c:v>5707.2860959430582</c:v>
                </c:pt>
                <c:pt idx="15">
                  <c:v>7620.6673267570832</c:v>
                </c:pt>
                <c:pt idx="16">
                  <c:v>-1210.4625603406616</c:v>
                </c:pt>
                <c:pt idx="17">
                  <c:v>3399.6482636519781</c:v>
                </c:pt>
                <c:pt idx="18">
                  <c:v>10578.241223148383</c:v>
                </c:pt>
                <c:pt idx="19">
                  <c:v>12239.915234680417</c:v>
                </c:pt>
                <c:pt idx="20">
                  <c:v>-7538.7312815534024</c:v>
                </c:pt>
                <c:pt idx="21">
                  <c:v>6006.3243015364687</c:v>
                </c:pt>
                <c:pt idx="22">
                  <c:v>-6990.4422606475437</c:v>
                </c:pt>
                <c:pt idx="23">
                  <c:v>-2517.4347650775353</c:v>
                </c:pt>
                <c:pt idx="24">
                  <c:v>-1255.4985381205277</c:v>
                </c:pt>
                <c:pt idx="25">
                  <c:v>11807.22097758503</c:v>
                </c:pt>
                <c:pt idx="26">
                  <c:v>2432.4125741756575</c:v>
                </c:pt>
                <c:pt idx="27">
                  <c:v>8561.0564210031007</c:v>
                </c:pt>
                <c:pt idx="28">
                  <c:v>1011.6504514366856</c:v>
                </c:pt>
                <c:pt idx="29">
                  <c:v>5648.4735274459817</c:v>
                </c:pt>
                <c:pt idx="30">
                  <c:v>7877.918178780229</c:v>
                </c:pt>
                <c:pt idx="31">
                  <c:v>-11550.549632803728</c:v>
                </c:pt>
                <c:pt idx="32">
                  <c:v>-4326.2900854886466</c:v>
                </c:pt>
                <c:pt idx="33">
                  <c:v>-5404.9882155895757</c:v>
                </c:pt>
                <c:pt idx="34">
                  <c:v>-4078.3723898667713</c:v>
                </c:pt>
                <c:pt idx="35">
                  <c:v>2630.6178511768958</c:v>
                </c:pt>
                <c:pt idx="36">
                  <c:v>4261.7288494595496</c:v>
                </c:pt>
                <c:pt idx="37">
                  <c:v>-22251.540045094214</c:v>
                </c:pt>
                <c:pt idx="38">
                  <c:v>-4809.7420946872999</c:v>
                </c:pt>
                <c:pt idx="39">
                  <c:v>3507.407082750362</c:v>
                </c:pt>
                <c:pt idx="40">
                  <c:v>-8722.9610503530639</c:v>
                </c:pt>
                <c:pt idx="41">
                  <c:v>-3537.189177761562</c:v>
                </c:pt>
                <c:pt idx="42">
                  <c:v>-4402.561059803229</c:v>
                </c:pt>
                <c:pt idx="43">
                  <c:v>10249.644729205511</c:v>
                </c:pt>
                <c:pt idx="44">
                  <c:v>689.53256806172772</c:v>
                </c:pt>
                <c:pt idx="45">
                  <c:v>-5243.5012432307612</c:v>
                </c:pt>
                <c:pt idx="46">
                  <c:v>-439.26582669046098</c:v>
                </c:pt>
                <c:pt idx="47">
                  <c:v>-5734.4438873019362</c:v>
                </c:pt>
                <c:pt idx="48">
                  <c:v>1415.2887326165624</c:v>
                </c:pt>
                <c:pt idx="49">
                  <c:v>2944.1695094541237</c:v>
                </c:pt>
                <c:pt idx="50">
                  <c:v>-6985.8342776251484</c:v>
                </c:pt>
                <c:pt idx="51">
                  <c:v>-6258.6390068619376</c:v>
                </c:pt>
                <c:pt idx="52">
                  <c:v>7888.2118020655798</c:v>
                </c:pt>
                <c:pt idx="53">
                  <c:v>5324.1047690280202</c:v>
                </c:pt>
                <c:pt idx="54">
                  <c:v>11802.852616634509</c:v>
                </c:pt>
                <c:pt idx="55">
                  <c:v>-13514.067831516795</c:v>
                </c:pt>
                <c:pt idx="56">
                  <c:v>-493.91206304369666</c:v>
                </c:pt>
                <c:pt idx="57">
                  <c:v>-2810.0852430918062</c:v>
                </c:pt>
                <c:pt idx="58">
                  <c:v>-4424.7238993178953</c:v>
                </c:pt>
                <c:pt idx="59">
                  <c:v>9051.5800713508779</c:v>
                </c:pt>
                <c:pt idx="60">
                  <c:v>-6524.439469387049</c:v>
                </c:pt>
                <c:pt idx="61">
                  <c:v>-6374.5740007967088</c:v>
                </c:pt>
                <c:pt idx="62">
                  <c:v>21.986703433131556</c:v>
                </c:pt>
                <c:pt idx="63">
                  <c:v>-15304.5138599694</c:v>
                </c:pt>
                <c:pt idx="64">
                  <c:v>1048.6066578546829</c:v>
                </c:pt>
                <c:pt idx="65">
                  <c:v>-936.53153654856237</c:v>
                </c:pt>
                <c:pt idx="66">
                  <c:v>2636.100725745011</c:v>
                </c:pt>
                <c:pt idx="67">
                  <c:v>-2926.379520423438</c:v>
                </c:pt>
                <c:pt idx="68">
                  <c:v>-4356.1070650153642</c:v>
                </c:pt>
                <c:pt idx="69">
                  <c:v>5793.3250659148944</c:v>
                </c:pt>
                <c:pt idx="70">
                  <c:v>11415.545730031885</c:v>
                </c:pt>
                <c:pt idx="71">
                  <c:v>338.622702892277</c:v>
                </c:pt>
                <c:pt idx="72">
                  <c:v>3339.5423922133205</c:v>
                </c:pt>
                <c:pt idx="73">
                  <c:v>-2277.2745494162637</c:v>
                </c:pt>
                <c:pt idx="74">
                  <c:v>-1998.442545609877</c:v>
                </c:pt>
                <c:pt idx="75">
                  <c:v>211.95381588720574</c:v>
                </c:pt>
                <c:pt idx="76">
                  <c:v>865.61223655570416</c:v>
                </c:pt>
                <c:pt idx="77">
                  <c:v>-12114.440966999189</c:v>
                </c:pt>
                <c:pt idx="78">
                  <c:v>-1769.3839528373173</c:v>
                </c:pt>
                <c:pt idx="79">
                  <c:v>-753.60559371678517</c:v>
                </c:pt>
                <c:pt idx="80">
                  <c:v>15590.157452387934</c:v>
                </c:pt>
                <c:pt idx="81">
                  <c:v>-11314.008866310842</c:v>
                </c:pt>
                <c:pt idx="82">
                  <c:v>-13142.241775991937</c:v>
                </c:pt>
                <c:pt idx="83">
                  <c:v>2643.7910884398311</c:v>
                </c:pt>
                <c:pt idx="84">
                  <c:v>-3721.0881113700725</c:v>
                </c:pt>
                <c:pt idx="85">
                  <c:v>1416.7307119821226</c:v>
                </c:pt>
                <c:pt idx="86">
                  <c:v>-827.6796491733063</c:v>
                </c:pt>
                <c:pt idx="87">
                  <c:v>10453.403192210697</c:v>
                </c:pt>
                <c:pt idx="88">
                  <c:v>4667.9155574108545</c:v>
                </c:pt>
                <c:pt idx="89">
                  <c:v>562.14562298670501</c:v>
                </c:pt>
                <c:pt idx="90">
                  <c:v>-4121.4464034273051</c:v>
                </c:pt>
                <c:pt idx="91">
                  <c:v>4095.3861959536557</c:v>
                </c:pt>
                <c:pt idx="92">
                  <c:v>-5302.3255987597213</c:v>
                </c:pt>
                <c:pt idx="93">
                  <c:v>3018.0678348158094</c:v>
                </c:pt>
                <c:pt idx="94">
                  <c:v>-7856.4442220059291</c:v>
                </c:pt>
                <c:pt idx="95">
                  <c:v>-10779.288501310042</c:v>
                </c:pt>
                <c:pt idx="96">
                  <c:v>130.54560268930231</c:v>
                </c:pt>
                <c:pt idx="97">
                  <c:v>3750.1138173096297</c:v>
                </c:pt>
                <c:pt idx="98">
                  <c:v>-6016.7491729159756</c:v>
                </c:pt>
                <c:pt idx="99">
                  <c:v>13411.331151148441</c:v>
                </c:pt>
                <c:pt idx="100">
                  <c:v>9293.6129224824435</c:v>
                </c:pt>
                <c:pt idx="101">
                  <c:v>-4621.9608141512399</c:v>
                </c:pt>
                <c:pt idx="102">
                  <c:v>4971.2907198364956</c:v>
                </c:pt>
                <c:pt idx="103">
                  <c:v>-13449.750155062418</c:v>
                </c:pt>
                <c:pt idx="104">
                  <c:v>-3166.0552233017524</c:v>
                </c:pt>
                <c:pt idx="105">
                  <c:v>1117.3869975229741</c:v>
                </c:pt>
                <c:pt idx="106">
                  <c:v>-4780.1605280656586</c:v>
                </c:pt>
                <c:pt idx="107">
                  <c:v>-17076.535611003794</c:v>
                </c:pt>
                <c:pt idx="108">
                  <c:v>-10624.373035634295</c:v>
                </c:pt>
                <c:pt idx="109">
                  <c:v>-4409.9613485929276</c:v>
                </c:pt>
                <c:pt idx="110">
                  <c:v>-5415.5316499260744</c:v>
                </c:pt>
                <c:pt idx="111">
                  <c:v>8406.6752791992058</c:v>
                </c:pt>
                <c:pt idx="112">
                  <c:v>-3125.1565881864904</c:v>
                </c:pt>
                <c:pt idx="113">
                  <c:v>-12618.242754621439</c:v>
                </c:pt>
                <c:pt idx="114">
                  <c:v>-922.87434673432756</c:v>
                </c:pt>
                <c:pt idx="115">
                  <c:v>-590.98196158347957</c:v>
                </c:pt>
                <c:pt idx="116">
                  <c:v>886.18125868158927</c:v>
                </c:pt>
                <c:pt idx="117">
                  <c:v>5452.475970107208</c:v>
                </c:pt>
                <c:pt idx="118">
                  <c:v>4341.6708641173</c:v>
                </c:pt>
                <c:pt idx="119">
                  <c:v>-538.08337562217753</c:v>
                </c:pt>
                <c:pt idx="120">
                  <c:v>3622.39338244275</c:v>
                </c:pt>
                <c:pt idx="121">
                  <c:v>3586.6235348762511</c:v>
                </c:pt>
                <c:pt idx="122">
                  <c:v>726.60059313201782</c:v>
                </c:pt>
                <c:pt idx="123">
                  <c:v>-2895.6069074057982</c:v>
                </c:pt>
                <c:pt idx="124">
                  <c:v>9038.4437053617821</c:v>
                </c:pt>
                <c:pt idx="125">
                  <c:v>2701.3048062690309</c:v>
                </c:pt>
                <c:pt idx="126">
                  <c:v>67.923976144924197</c:v>
                </c:pt>
                <c:pt idx="127">
                  <c:v>-278.05266346445705</c:v>
                </c:pt>
                <c:pt idx="128">
                  <c:v>-10945.419011441225</c:v>
                </c:pt>
                <c:pt idx="129">
                  <c:v>646.63596411609421</c:v>
                </c:pt>
                <c:pt idx="130">
                  <c:v>6726.8453364502957</c:v>
                </c:pt>
                <c:pt idx="131">
                  <c:v>9689.6895773113465</c:v>
                </c:pt>
                <c:pt idx="132">
                  <c:v>-436.22179585768555</c:v>
                </c:pt>
                <c:pt idx="133">
                  <c:v>5236.8215013494364</c:v>
                </c:pt>
                <c:pt idx="134">
                  <c:v>2352.5542184496235</c:v>
                </c:pt>
                <c:pt idx="135">
                  <c:v>3875.8228379368238</c:v>
                </c:pt>
                <c:pt idx="136">
                  <c:v>-8794.5675324026561</c:v>
                </c:pt>
                <c:pt idx="137">
                  <c:v>-1010.541954961174</c:v>
                </c:pt>
                <c:pt idx="138">
                  <c:v>3162.9790904002061</c:v>
                </c:pt>
                <c:pt idx="139">
                  <c:v>-6123.3999085762398</c:v>
                </c:pt>
                <c:pt idx="140">
                  <c:v>-5681.7653772489757</c:v>
                </c:pt>
                <c:pt idx="141">
                  <c:v>11219.083483824114</c:v>
                </c:pt>
                <c:pt idx="142">
                  <c:v>6660.0839515149964</c:v>
                </c:pt>
                <c:pt idx="143">
                  <c:v>1626.1448471749377</c:v>
                </c:pt>
                <c:pt idx="144">
                  <c:v>-2152.2779199863239</c:v>
                </c:pt>
                <c:pt idx="145">
                  <c:v>-8996.6506187994692</c:v>
                </c:pt>
                <c:pt idx="146">
                  <c:v>-270.29768635234223</c:v>
                </c:pt>
                <c:pt idx="147">
                  <c:v>-2488.622122939521</c:v>
                </c:pt>
                <c:pt idx="148">
                  <c:v>-3206.6565667108744</c:v>
                </c:pt>
                <c:pt idx="149">
                  <c:v>-3449.4442661119706</c:v>
                </c:pt>
                <c:pt idx="150">
                  <c:v>10101.93485040308</c:v>
                </c:pt>
                <c:pt idx="151">
                  <c:v>3452.6231142819861</c:v>
                </c:pt>
                <c:pt idx="152">
                  <c:v>-3121.4481698832974</c:v>
                </c:pt>
                <c:pt idx="153">
                  <c:v>-1578.0932309334387</c:v>
                </c:pt>
                <c:pt idx="154">
                  <c:v>5703.3799988035526</c:v>
                </c:pt>
                <c:pt idx="155">
                  <c:v>1083.0177807137363</c:v>
                </c:pt>
                <c:pt idx="156">
                  <c:v>2038.7440936754317</c:v>
                </c:pt>
                <c:pt idx="157">
                  <c:v>772.38237033705502</c:v>
                </c:pt>
                <c:pt idx="158">
                  <c:v>9877.102099814334</c:v>
                </c:pt>
                <c:pt idx="159">
                  <c:v>6705.6548873095799</c:v>
                </c:pt>
                <c:pt idx="160">
                  <c:v>-4237.0596231511645</c:v>
                </c:pt>
                <c:pt idx="161">
                  <c:v>12379.282197684772</c:v>
                </c:pt>
                <c:pt idx="162">
                  <c:v>-18073.160972793663</c:v>
                </c:pt>
                <c:pt idx="163">
                  <c:v>5343.1650108942158</c:v>
                </c:pt>
                <c:pt idx="164">
                  <c:v>-6492.6249930592048</c:v>
                </c:pt>
                <c:pt idx="165">
                  <c:v>6283.3964859791549</c:v>
                </c:pt>
                <c:pt idx="166">
                  <c:v>-2079.3218294066724</c:v>
                </c:pt>
                <c:pt idx="167">
                  <c:v>2082.223307688319</c:v>
                </c:pt>
                <c:pt idx="168">
                  <c:v>7700.4381827011248</c:v>
                </c:pt>
                <c:pt idx="169">
                  <c:v>-9799.4549588749178</c:v>
                </c:pt>
                <c:pt idx="170">
                  <c:v>5234.3275199301206</c:v>
                </c:pt>
                <c:pt idx="171">
                  <c:v>904.48242667447983</c:v>
                </c:pt>
                <c:pt idx="172">
                  <c:v>9982.3789884235957</c:v>
                </c:pt>
                <c:pt idx="173">
                  <c:v>156.38042683891467</c:v>
                </c:pt>
                <c:pt idx="174">
                  <c:v>4030.7604138624743</c:v>
                </c:pt>
                <c:pt idx="175">
                  <c:v>6781.2627737795665</c:v>
                </c:pt>
                <c:pt idx="176">
                  <c:v>-225.0179373049464</c:v>
                </c:pt>
                <c:pt idx="177">
                  <c:v>-8191.3017502240673</c:v>
                </c:pt>
                <c:pt idx="178">
                  <c:v>-4379.2088440431908</c:v>
                </c:pt>
                <c:pt idx="179">
                  <c:v>-5167.6369202514852</c:v>
                </c:pt>
                <c:pt idx="180">
                  <c:v>3972.3141981701183</c:v>
                </c:pt>
                <c:pt idx="181">
                  <c:v>12176.775778964879</c:v>
                </c:pt>
                <c:pt idx="182">
                  <c:v>-4625.1162291421442</c:v>
                </c:pt>
                <c:pt idx="183">
                  <c:v>6951.6870375600174</c:v>
                </c:pt>
                <c:pt idx="184">
                  <c:v>-4893.9442647146525</c:v>
                </c:pt>
                <c:pt idx="185">
                  <c:v>-5657.1122500827441</c:v>
                </c:pt>
                <c:pt idx="186">
                  <c:v>5979.7908246839506</c:v>
                </c:pt>
                <c:pt idx="187">
                  <c:v>-7082.1886288527403</c:v>
                </c:pt>
                <c:pt idx="188">
                  <c:v>19147.262294199318</c:v>
                </c:pt>
                <c:pt idx="189">
                  <c:v>-1500.5830228747561</c:v>
                </c:pt>
                <c:pt idx="190">
                  <c:v>2291.1844221514702</c:v>
                </c:pt>
                <c:pt idx="191">
                  <c:v>-5609.897886079716</c:v>
                </c:pt>
                <c:pt idx="192">
                  <c:v>-8575.9157974342361</c:v>
                </c:pt>
                <c:pt idx="193">
                  <c:v>-4506.3174556775457</c:v>
                </c:pt>
                <c:pt idx="194">
                  <c:v>-4340.6848522230912</c:v>
                </c:pt>
                <c:pt idx="195">
                  <c:v>8124.8013868554744</c:v>
                </c:pt>
                <c:pt idx="196">
                  <c:v>9678.9812740250836</c:v>
                </c:pt>
                <c:pt idx="197">
                  <c:v>8959.0550760653714</c:v>
                </c:pt>
                <c:pt idx="198">
                  <c:v>-6830.7076898921468</c:v>
                </c:pt>
                <c:pt idx="199">
                  <c:v>15116.443073672759</c:v>
                </c:pt>
                <c:pt idx="200">
                  <c:v>-3646.8688355548079</c:v>
                </c:pt>
                <c:pt idx="201">
                  <c:v>-2938.6792554127396</c:v>
                </c:pt>
                <c:pt idx="202">
                  <c:v>88.530987036061646</c:v>
                </c:pt>
                <c:pt idx="203">
                  <c:v>-2699.8641781602801</c:v>
                </c:pt>
                <c:pt idx="204">
                  <c:v>1382.2060184319712</c:v>
                </c:pt>
                <c:pt idx="205">
                  <c:v>4764.2657525083214</c:v>
                </c:pt>
                <c:pt idx="206">
                  <c:v>-2266.9984719007134</c:v>
                </c:pt>
                <c:pt idx="207">
                  <c:v>6750.3771190436464</c:v>
                </c:pt>
                <c:pt idx="208">
                  <c:v>11514.867778299613</c:v>
                </c:pt>
                <c:pt idx="209">
                  <c:v>-951.19449156884298</c:v>
                </c:pt>
                <c:pt idx="210">
                  <c:v>4009.1813917978657</c:v>
                </c:pt>
                <c:pt idx="211">
                  <c:v>-3991.2965844298305</c:v>
                </c:pt>
                <c:pt idx="212">
                  <c:v>-4534.2008338848918</c:v>
                </c:pt>
                <c:pt idx="213">
                  <c:v>-825.39880328253969</c:v>
                </c:pt>
                <c:pt idx="214">
                  <c:v>1477.7956683138359</c:v>
                </c:pt>
                <c:pt idx="215">
                  <c:v>3088.883144912777</c:v>
                </c:pt>
                <c:pt idx="216">
                  <c:v>3089.8831449127802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2A-412A-9F18-2B9E0F99A4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&quot;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ax val="200000"/>
          <c:min val="-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2000"/>
              <a:t>Y (=T+S+I)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TCSI!$H$1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TCSI!$H$2:$H$219</c:f>
              <c:numCache>
                <c:formatCode>0_);[Red]\(0\)</c:formatCode>
                <c:ptCount val="218"/>
                <c:pt idx="0">
                  <c:v>237864.75278540078</c:v>
                </c:pt>
                <c:pt idx="1">
                  <c:v>243232.83457092615</c:v>
                </c:pt>
                <c:pt idx="2">
                  <c:v>270416.22627827903</c:v>
                </c:pt>
                <c:pt idx="3">
                  <c:v>272038.05151957041</c:v>
                </c:pt>
                <c:pt idx="4">
                  <c:v>278475.09745281382</c:v>
                </c:pt>
                <c:pt idx="5">
                  <c:v>290264.39626025298</c:v>
                </c:pt>
                <c:pt idx="6">
                  <c:v>276049.63906158268</c:v>
                </c:pt>
                <c:pt idx="7">
                  <c:v>249662.39281808783</c:v>
                </c:pt>
                <c:pt idx="8">
                  <c:v>237849.64105915211</c:v>
                </c:pt>
                <c:pt idx="9">
                  <c:v>239646.20003150075</c:v>
                </c:pt>
                <c:pt idx="10">
                  <c:v>250647.56361561638</c:v>
                </c:pt>
                <c:pt idx="11">
                  <c:v>264290.02043036767</c:v>
                </c:pt>
                <c:pt idx="12">
                  <c:v>283102.60063482996</c:v>
                </c:pt>
                <c:pt idx="13">
                  <c:v>301633.94364417117</c:v>
                </c:pt>
                <c:pt idx="14">
                  <c:v>304366.60202033573</c:v>
                </c:pt>
                <c:pt idx="15">
                  <c:v>320556.20953828073</c:v>
                </c:pt>
                <c:pt idx="16">
                  <c:v>318572.54237437184</c:v>
                </c:pt>
                <c:pt idx="17">
                  <c:v>319014.77773619932</c:v>
                </c:pt>
                <c:pt idx="18">
                  <c:v>313398.71381750761</c:v>
                </c:pt>
                <c:pt idx="19">
                  <c:v>296821.02959301864</c:v>
                </c:pt>
                <c:pt idx="20">
                  <c:v>260846.65896337939</c:v>
                </c:pt>
                <c:pt idx="21">
                  <c:v>274620.66183003742</c:v>
                </c:pt>
                <c:pt idx="22">
                  <c:v>275676.89272622159</c:v>
                </c:pt>
                <c:pt idx="23">
                  <c:v>293404.14987555915</c:v>
                </c:pt>
                <c:pt idx="24">
                  <c:v>305771.95793237089</c:v>
                </c:pt>
                <c:pt idx="25">
                  <c:v>327365.63899461454</c:v>
                </c:pt>
                <c:pt idx="26">
                  <c:v>327124.05522530898</c:v>
                </c:pt>
                <c:pt idx="27">
                  <c:v>346689.03963429446</c:v>
                </c:pt>
                <c:pt idx="28">
                  <c:v>345191.61820254364</c:v>
                </c:pt>
                <c:pt idx="29">
                  <c:v>344856.33138782281</c:v>
                </c:pt>
                <c:pt idx="30">
                  <c:v>333529.8883210214</c:v>
                </c:pt>
                <c:pt idx="31">
                  <c:v>295092.95440045389</c:v>
                </c:pt>
                <c:pt idx="32">
                  <c:v>285370.03206734761</c:v>
                </c:pt>
                <c:pt idx="33">
                  <c:v>283809.74163812387</c:v>
                </c:pt>
                <c:pt idx="34">
                  <c:v>298472.23231990368</c:v>
                </c:pt>
                <c:pt idx="35">
                  <c:v>317757.90631461842</c:v>
                </c:pt>
                <c:pt idx="36">
                  <c:v>329811.57699078432</c:v>
                </c:pt>
                <c:pt idx="37">
                  <c:v>311162.93876833143</c:v>
                </c:pt>
                <c:pt idx="38">
                  <c:v>337150.59716648923</c:v>
                </c:pt>
                <c:pt idx="39">
                  <c:v>358269.70085872943</c:v>
                </c:pt>
                <c:pt idx="40">
                  <c:v>351493.19052773615</c:v>
                </c:pt>
                <c:pt idx="41">
                  <c:v>351104.97808103409</c:v>
                </c:pt>
                <c:pt idx="42">
                  <c:v>336116.80072625139</c:v>
                </c:pt>
                <c:pt idx="43">
                  <c:v>331190.65292262292</c:v>
                </c:pt>
                <c:pt idx="44">
                  <c:v>304129.52599136264</c:v>
                </c:pt>
                <c:pt idx="45">
                  <c:v>297194.09105149226</c:v>
                </c:pt>
                <c:pt idx="46">
                  <c:v>314811.56408838654</c:v>
                </c:pt>
                <c:pt idx="47">
                  <c:v>321602.19643346965</c:v>
                </c:pt>
                <c:pt idx="48">
                  <c:v>338682.52250513935</c:v>
                </c:pt>
                <c:pt idx="49">
                  <c:v>347599.4535777627</c:v>
                </c:pt>
                <c:pt idx="50">
                  <c:v>345820.73603832192</c:v>
                </c:pt>
                <c:pt idx="51">
                  <c:v>358901.2266155539</c:v>
                </c:pt>
                <c:pt idx="52">
                  <c:v>378082.06215459749</c:v>
                </c:pt>
                <c:pt idx="53">
                  <c:v>369524.76010104635</c:v>
                </c:pt>
                <c:pt idx="54">
                  <c:v>361489.07342251629</c:v>
                </c:pt>
                <c:pt idx="55">
                  <c:v>316203.51114569471</c:v>
                </c:pt>
                <c:pt idx="56">
                  <c:v>311346.86061860982</c:v>
                </c:pt>
                <c:pt idx="57">
                  <c:v>307678.29193232243</c:v>
                </c:pt>
                <c:pt idx="58">
                  <c:v>318529.22848473419</c:v>
                </c:pt>
                <c:pt idx="59">
                  <c:v>343768.31568329054</c:v>
                </c:pt>
                <c:pt idx="60">
                  <c:v>337802.83028388926</c:v>
                </c:pt>
                <c:pt idx="61">
                  <c:v>345034.51296415832</c:v>
                </c:pt>
                <c:pt idx="62">
                  <c:v>359294.75950162724</c:v>
                </c:pt>
                <c:pt idx="63">
                  <c:v>356042.24753561226</c:v>
                </c:pt>
                <c:pt idx="64">
                  <c:v>377171.80923455476</c:v>
                </c:pt>
                <c:pt idx="65">
                  <c:v>368940.39420928311</c:v>
                </c:pt>
                <c:pt idx="66">
                  <c:v>357766.17352221778</c:v>
                </c:pt>
                <c:pt idx="67">
                  <c:v>332007.67000262963</c:v>
                </c:pt>
                <c:pt idx="68">
                  <c:v>312486.61454692995</c:v>
                </c:pt>
                <c:pt idx="69">
                  <c:v>321088.16628606501</c:v>
                </c:pt>
                <c:pt idx="70">
                  <c:v>338986.34983465075</c:v>
                </c:pt>
                <c:pt idx="71">
                  <c:v>339500.57712330524</c:v>
                </c:pt>
                <c:pt idx="72">
                  <c:v>351946.80341963167</c:v>
                </c:pt>
                <c:pt idx="73">
                  <c:v>353258.76742547995</c:v>
                </c:pt>
                <c:pt idx="74">
                  <c:v>361273.42494454596</c:v>
                </c:pt>
                <c:pt idx="75">
                  <c:v>375427.60215157893</c:v>
                </c:pt>
                <c:pt idx="76">
                  <c:v>380742.92892350513</c:v>
                </c:pt>
                <c:pt idx="77">
                  <c:v>361409.47762553167</c:v>
                </c:pt>
                <c:pt idx="78">
                  <c:v>356914.99685274193</c:v>
                </c:pt>
                <c:pt idx="79">
                  <c:v>337650.19270726957</c:v>
                </c:pt>
                <c:pt idx="80">
                  <c:v>335829.33357666567</c:v>
                </c:pt>
                <c:pt idx="81">
                  <c:v>307316.95510869351</c:v>
                </c:pt>
                <c:pt idx="82">
                  <c:v>317713.16188849666</c:v>
                </c:pt>
                <c:pt idx="83">
                  <c:v>345050.82833273557</c:v>
                </c:pt>
                <c:pt idx="84">
                  <c:v>348100.97919222555</c:v>
                </c:pt>
                <c:pt idx="85">
                  <c:v>360147.89891958848</c:v>
                </c:pt>
                <c:pt idx="86">
                  <c:v>365630.53381771321</c:v>
                </c:pt>
                <c:pt idx="87">
                  <c:v>388855.51083062805</c:v>
                </c:pt>
                <c:pt idx="88">
                  <c:v>387741.51751547545</c:v>
                </c:pt>
                <c:pt idx="89">
                  <c:v>377302.41134822654</c:v>
                </c:pt>
                <c:pt idx="90">
                  <c:v>357808.15880336054</c:v>
                </c:pt>
                <c:pt idx="91">
                  <c:v>345783.89491605078</c:v>
                </c:pt>
                <c:pt idx="92">
                  <c:v>318270.71730227472</c:v>
                </c:pt>
                <c:pt idx="93">
                  <c:v>325039.54915002856</c:v>
                </c:pt>
                <c:pt idx="94">
                  <c:v>326457.26645454852</c:v>
                </c:pt>
                <c:pt idx="95">
                  <c:v>335160.48484199244</c:v>
                </c:pt>
                <c:pt idx="96">
                  <c:v>355571.24764524266</c:v>
                </c:pt>
                <c:pt idx="97">
                  <c:v>366194.81738244009</c:v>
                </c:pt>
                <c:pt idx="98">
                  <c:v>364260.78541256534</c:v>
                </c:pt>
                <c:pt idx="99">
                  <c:v>395744.86113117542</c:v>
                </c:pt>
                <c:pt idx="100">
                  <c:v>396415.34080550482</c:v>
                </c:pt>
                <c:pt idx="101">
                  <c:v>376295.38486582955</c:v>
                </c:pt>
                <c:pt idx="102">
                  <c:v>371210.73424314748</c:v>
                </c:pt>
                <c:pt idx="103">
                  <c:v>332693.87798203138</c:v>
                </c:pt>
                <c:pt idx="104">
                  <c:v>325015.48408626864</c:v>
                </c:pt>
                <c:pt idx="105">
                  <c:v>327903.37455130822</c:v>
                </c:pt>
                <c:pt idx="106">
                  <c:v>334466.96756690467</c:v>
                </c:pt>
                <c:pt idx="107">
                  <c:v>333967.44369211729</c:v>
                </c:pt>
                <c:pt idx="108">
                  <c:v>350104.45463366446</c:v>
                </c:pt>
                <c:pt idx="109">
                  <c:v>363514.21331478324</c:v>
                </c:pt>
                <c:pt idx="110">
                  <c:v>370508.12759352598</c:v>
                </c:pt>
                <c:pt idx="111">
                  <c:v>396590.99137117312</c:v>
                </c:pt>
                <c:pt idx="112">
                  <c:v>390052.09296651062</c:v>
                </c:pt>
                <c:pt idx="113">
                  <c:v>374572.95152983465</c:v>
                </c:pt>
                <c:pt idx="114">
                  <c:v>371808.12434448971</c:v>
                </c:pt>
                <c:pt idx="115">
                  <c:v>352275.66954236594</c:v>
                </c:pt>
                <c:pt idx="116">
                  <c:v>336028.68959219806</c:v>
                </c:pt>
                <c:pt idx="117">
                  <c:v>339435.74242763984</c:v>
                </c:pt>
                <c:pt idx="118">
                  <c:v>351036.37419528438</c:v>
                </c:pt>
                <c:pt idx="119">
                  <c:v>358201.47967658885</c:v>
                </c:pt>
                <c:pt idx="120">
                  <c:v>372308.9276335559</c:v>
                </c:pt>
                <c:pt idx="121">
                  <c:v>379736.4369252607</c:v>
                </c:pt>
                <c:pt idx="122">
                  <c:v>385122.78241878602</c:v>
                </c:pt>
                <c:pt idx="123">
                  <c:v>394039.84635270311</c:v>
                </c:pt>
                <c:pt idx="124">
                  <c:v>411241.61587972229</c:v>
                </c:pt>
                <c:pt idx="125">
                  <c:v>399207.56530567346</c:v>
                </c:pt>
                <c:pt idx="126">
                  <c:v>382398.71008715429</c:v>
                </c:pt>
                <c:pt idx="127">
                  <c:v>362487.53474126913</c:v>
                </c:pt>
                <c:pt idx="128">
                  <c:v>334400.05729715363</c:v>
                </c:pt>
                <c:pt idx="129">
                  <c:v>345131.61732402403</c:v>
                </c:pt>
                <c:pt idx="130">
                  <c:v>364236.51007377647</c:v>
                </c:pt>
                <c:pt idx="131">
                  <c:v>379551.62455878209</c:v>
                </c:pt>
                <c:pt idx="132">
                  <c:v>379694.62122820463</c:v>
                </c:pt>
                <c:pt idx="133">
                  <c:v>393157.09607055661</c:v>
                </c:pt>
                <c:pt idx="134">
                  <c:v>398817.29727593256</c:v>
                </c:pt>
                <c:pt idx="135">
                  <c:v>413213.63897319644</c:v>
                </c:pt>
                <c:pt idx="136">
                  <c:v>406137.64239764953</c:v>
                </c:pt>
                <c:pt idx="137">
                  <c:v>408565.9510189399</c:v>
                </c:pt>
                <c:pt idx="138">
                  <c:v>398897.57357871585</c:v>
                </c:pt>
                <c:pt idx="139">
                  <c:v>370394.05963263946</c:v>
                </c:pt>
                <c:pt idx="140">
                  <c:v>353766.93683042563</c:v>
                </c:pt>
                <c:pt idx="141">
                  <c:v>370150.31556585606</c:v>
                </c:pt>
                <c:pt idx="142">
                  <c:v>378973.43189738668</c:v>
                </c:pt>
                <c:pt idx="143">
                  <c:v>386640.41694817378</c:v>
                </c:pt>
                <c:pt idx="144">
                  <c:v>393493.88944027072</c:v>
                </c:pt>
                <c:pt idx="145">
                  <c:v>394804.55759209068</c:v>
                </c:pt>
                <c:pt idx="146">
                  <c:v>412458.21233765542</c:v>
                </c:pt>
                <c:pt idx="147">
                  <c:v>423484.23400031292</c:v>
                </c:pt>
                <c:pt idx="148">
                  <c:v>428722.01746160013</c:v>
                </c:pt>
                <c:pt idx="149">
                  <c:v>423499.05088203883</c:v>
                </c:pt>
                <c:pt idx="150">
                  <c:v>423573.82888109144</c:v>
                </c:pt>
                <c:pt idx="151">
                  <c:v>398086.65995515237</c:v>
                </c:pt>
                <c:pt idx="152">
                  <c:v>374824.80825356307</c:v>
                </c:pt>
                <c:pt idx="153">
                  <c:v>376220.87043547654</c:v>
                </c:pt>
                <c:pt idx="154">
                  <c:v>397268.38378983235</c:v>
                </c:pt>
                <c:pt idx="155">
                  <c:v>405721.72116825235</c:v>
                </c:pt>
                <c:pt idx="156">
                  <c:v>417695.68901042984</c:v>
                </c:pt>
                <c:pt idx="157">
                  <c:v>424971.74394699495</c:v>
                </c:pt>
                <c:pt idx="158">
                  <c:v>443303.96099776716</c:v>
                </c:pt>
                <c:pt idx="159">
                  <c:v>453764.77317779133</c:v>
                </c:pt>
                <c:pt idx="160">
                  <c:v>449153.87942961883</c:v>
                </c:pt>
                <c:pt idx="161">
                  <c:v>461179.06997188175</c:v>
                </c:pt>
                <c:pt idx="162">
                  <c:v>417626.8534307502</c:v>
                </c:pt>
                <c:pt idx="163">
                  <c:v>422594.94029335101</c:v>
                </c:pt>
                <c:pt idx="164">
                  <c:v>394461.08726991637</c:v>
                </c:pt>
                <c:pt idx="165">
                  <c:v>407466.92901175388</c:v>
                </c:pt>
                <c:pt idx="166">
                  <c:v>413259.76866483595</c:v>
                </c:pt>
                <c:pt idx="167">
                  <c:v>430871.67984927149</c:v>
                </c:pt>
                <c:pt idx="168">
                  <c:v>447896.93074637983</c:v>
                </c:pt>
                <c:pt idx="169">
                  <c:v>439327.68042361143</c:v>
                </c:pt>
                <c:pt idx="170">
                  <c:v>463939.01509589684</c:v>
                </c:pt>
                <c:pt idx="171">
                  <c:v>473628.20016718586</c:v>
                </c:pt>
                <c:pt idx="172">
                  <c:v>489411.29812360316</c:v>
                </c:pt>
                <c:pt idx="173">
                  <c:v>475378.89916629775</c:v>
                </c:pt>
                <c:pt idx="174">
                  <c:v>466524.67826044047</c:v>
                </c:pt>
                <c:pt idx="175">
                  <c:v>451209.14875512017</c:v>
                </c:pt>
                <c:pt idx="176">
                  <c:v>428285.51891159179</c:v>
                </c:pt>
                <c:pt idx="177">
                  <c:v>420915.93887200783</c:v>
                </c:pt>
                <c:pt idx="178">
                  <c:v>439260.97014113271</c:v>
                </c:pt>
                <c:pt idx="179">
                  <c:v>452286.31226203073</c:v>
                </c:pt>
                <c:pt idx="180">
                  <c:v>473206.8226123869</c:v>
                </c:pt>
                <c:pt idx="181">
                  <c:v>490713.28932429088</c:v>
                </c:pt>
                <c:pt idx="182">
                  <c:v>483822.40370028466</c:v>
                </c:pt>
                <c:pt idx="183">
                  <c:v>509785.11312463635</c:v>
                </c:pt>
                <c:pt idx="184">
                  <c:v>504997.29457988334</c:v>
                </c:pt>
                <c:pt idx="185">
                  <c:v>500389.44873014675</c:v>
                </c:pt>
                <c:pt idx="186">
                  <c:v>499645.1216818291</c:v>
                </c:pt>
                <c:pt idx="187">
                  <c:v>468873.15580179071</c:v>
                </c:pt>
                <c:pt idx="188">
                  <c:v>479538.21728709608</c:v>
                </c:pt>
                <c:pt idx="189">
                  <c:v>459825.58423243201</c:v>
                </c:pt>
                <c:pt idx="190">
                  <c:v>478496.78293983784</c:v>
                </c:pt>
                <c:pt idx="191">
                  <c:v>484741.46777965885</c:v>
                </c:pt>
                <c:pt idx="192">
                  <c:v>493895.51162299147</c:v>
                </c:pt>
                <c:pt idx="193">
                  <c:v>507602.86448304268</c:v>
                </c:pt>
                <c:pt idx="194">
                  <c:v>518077.4375462035</c:v>
                </c:pt>
                <c:pt idx="195">
                  <c:v>545257.89170136105</c:v>
                </c:pt>
                <c:pt idx="196">
                  <c:v>554184.37245083391</c:v>
                </c:pt>
                <c:pt idx="197">
                  <c:v>549940.51675785868</c:v>
                </c:pt>
                <c:pt idx="198">
                  <c:v>522075.71274657024</c:v>
                </c:pt>
                <c:pt idx="199">
                  <c:v>526624.78711279912</c:v>
                </c:pt>
                <c:pt idx="200">
                  <c:v>492604.30300529912</c:v>
                </c:pt>
                <c:pt idx="201">
                  <c:v>494540.41600348993</c:v>
                </c:pt>
                <c:pt idx="202">
                  <c:v>512744.64471012767</c:v>
                </c:pt>
                <c:pt idx="203">
                  <c:v>524385.15446857328</c:v>
                </c:pt>
                <c:pt idx="204">
                  <c:v>540874.71867954789</c:v>
                </c:pt>
                <c:pt idx="205">
                  <c:v>554176.60332919483</c:v>
                </c:pt>
                <c:pt idx="206">
                  <c:v>557606.31650279439</c:v>
                </c:pt>
                <c:pt idx="207">
                  <c:v>581609.32207077253</c:v>
                </c:pt>
                <c:pt idx="208">
                  <c:v>594002.57898886828</c:v>
                </c:pt>
                <c:pt idx="209">
                  <c:v>578271.82207687513</c:v>
                </c:pt>
                <c:pt idx="210">
                  <c:v>571402.31025989831</c:v>
                </c:pt>
                <c:pt idx="211">
                  <c:v>546251.04012809519</c:v>
                </c:pt>
                <c:pt idx="212">
                  <c:v>530691.97408388415</c:v>
                </c:pt>
                <c:pt idx="213">
                  <c:v>535855.83456211118</c:v>
                </c:pt>
                <c:pt idx="214">
                  <c:v>553564.31793428014</c:v>
                </c:pt>
                <c:pt idx="215">
                  <c:v>569818.86312526092</c:v>
                </c:pt>
                <c:pt idx="216">
                  <c:v>582442.364255241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D9-46BE-88A7-6E87D02406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in val="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TCSI!$E$1</c:f>
              <c:strCache>
                <c:ptCount val="1"/>
                <c:pt idx="0">
                  <c:v>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TCSI!$E$2:$E$219</c:f>
              <c:numCache>
                <c:formatCode>0_);[Red]\(0\)</c:formatCode>
                <c:ptCount val="218"/>
                <c:pt idx="0">
                  <c:v>588.98337502532581</c:v>
                </c:pt>
                <c:pt idx="1">
                  <c:v>7225.4655458402231</c:v>
                </c:pt>
                <c:pt idx="2">
                  <c:v>14702.969673403668</c:v>
                </c:pt>
                <c:pt idx="3">
                  <c:v>26366.176148156963</c:v>
                </c:pt>
                <c:pt idx="4">
                  <c:v>30760.891800879039</c:v>
                </c:pt>
                <c:pt idx="5">
                  <c:v>24135.461905402834</c:v>
                </c:pt>
                <c:pt idx="6">
                  <c:v>9035.5089355065847</c:v>
                </c:pt>
                <c:pt idx="7">
                  <c:v>-11512.115043864824</c:v>
                </c:pt>
                <c:pt idx="8">
                  <c:v>-29942.575873501661</c:v>
                </c:pt>
                <c:pt idx="9">
                  <c:v>-31807.738034068618</c:v>
                </c:pt>
                <c:pt idx="10">
                  <c:v>-19849.338384994844</c:v>
                </c:pt>
                <c:pt idx="11">
                  <c:v>-8556.4728300846164</c:v>
                </c:pt>
                <c:pt idx="12">
                  <c:v>588.98337502532581</c:v>
                </c:pt>
                <c:pt idx="13">
                  <c:v>7225.4655458402231</c:v>
                </c:pt>
                <c:pt idx="14">
                  <c:v>14702.969673403668</c:v>
                </c:pt>
                <c:pt idx="15">
                  <c:v>26366.176148156963</c:v>
                </c:pt>
                <c:pt idx="16">
                  <c:v>30760.891800879039</c:v>
                </c:pt>
                <c:pt idx="17">
                  <c:v>24135.461905402834</c:v>
                </c:pt>
                <c:pt idx="18">
                  <c:v>9035.5089355065847</c:v>
                </c:pt>
                <c:pt idx="19">
                  <c:v>-11512.115043864824</c:v>
                </c:pt>
                <c:pt idx="20">
                  <c:v>-29942.575873501661</c:v>
                </c:pt>
                <c:pt idx="21">
                  <c:v>-31807.738034068618</c:v>
                </c:pt>
                <c:pt idx="22">
                  <c:v>-19849.338384994844</c:v>
                </c:pt>
                <c:pt idx="23">
                  <c:v>-8556.4728300846164</c:v>
                </c:pt>
                <c:pt idx="24">
                  <c:v>588.98337502532581</c:v>
                </c:pt>
                <c:pt idx="25">
                  <c:v>7225.4655458402231</c:v>
                </c:pt>
                <c:pt idx="26">
                  <c:v>14702.969673403668</c:v>
                </c:pt>
                <c:pt idx="27">
                  <c:v>26366.176148156963</c:v>
                </c:pt>
                <c:pt idx="28">
                  <c:v>30760.891800879039</c:v>
                </c:pt>
                <c:pt idx="29">
                  <c:v>24135.461905402834</c:v>
                </c:pt>
                <c:pt idx="30">
                  <c:v>9035.5089355065847</c:v>
                </c:pt>
                <c:pt idx="31">
                  <c:v>-11512.115043864824</c:v>
                </c:pt>
                <c:pt idx="32">
                  <c:v>-29942.575873501661</c:v>
                </c:pt>
                <c:pt idx="33">
                  <c:v>-31807.738034068618</c:v>
                </c:pt>
                <c:pt idx="34">
                  <c:v>-19849.338384994844</c:v>
                </c:pt>
                <c:pt idx="35">
                  <c:v>-8556.4728300846164</c:v>
                </c:pt>
                <c:pt idx="36">
                  <c:v>588.98337502532581</c:v>
                </c:pt>
                <c:pt idx="37">
                  <c:v>7225.4655458402231</c:v>
                </c:pt>
                <c:pt idx="38">
                  <c:v>14702.969673403668</c:v>
                </c:pt>
                <c:pt idx="39">
                  <c:v>26366.176148156963</c:v>
                </c:pt>
                <c:pt idx="40">
                  <c:v>30760.891800879039</c:v>
                </c:pt>
                <c:pt idx="41">
                  <c:v>24135.461905402834</c:v>
                </c:pt>
                <c:pt idx="42">
                  <c:v>9035.5089355065847</c:v>
                </c:pt>
                <c:pt idx="43">
                  <c:v>-11512.115043864824</c:v>
                </c:pt>
                <c:pt idx="44">
                  <c:v>-29942.575873501661</c:v>
                </c:pt>
                <c:pt idx="45">
                  <c:v>-31807.738034068618</c:v>
                </c:pt>
                <c:pt idx="46">
                  <c:v>-19849.338384994844</c:v>
                </c:pt>
                <c:pt idx="47">
                  <c:v>-8556.4728300846164</c:v>
                </c:pt>
                <c:pt idx="48">
                  <c:v>588.98337502532581</c:v>
                </c:pt>
                <c:pt idx="49">
                  <c:v>7225.4655458402231</c:v>
                </c:pt>
                <c:pt idx="50">
                  <c:v>14702.969673403668</c:v>
                </c:pt>
                <c:pt idx="51">
                  <c:v>26366.176148156963</c:v>
                </c:pt>
                <c:pt idx="52">
                  <c:v>30760.891800879039</c:v>
                </c:pt>
                <c:pt idx="53">
                  <c:v>24135.461905402834</c:v>
                </c:pt>
                <c:pt idx="54">
                  <c:v>9035.5089355065847</c:v>
                </c:pt>
                <c:pt idx="55">
                  <c:v>-11512.115043864824</c:v>
                </c:pt>
                <c:pt idx="56">
                  <c:v>-29942.575873501661</c:v>
                </c:pt>
                <c:pt idx="57">
                  <c:v>-31807.738034068618</c:v>
                </c:pt>
                <c:pt idx="58">
                  <c:v>-19849.338384994844</c:v>
                </c:pt>
                <c:pt idx="59">
                  <c:v>-8556.4728300846164</c:v>
                </c:pt>
                <c:pt idx="60">
                  <c:v>588.98337502532581</c:v>
                </c:pt>
                <c:pt idx="61">
                  <c:v>7225.4655458402231</c:v>
                </c:pt>
                <c:pt idx="62">
                  <c:v>14702.969673403668</c:v>
                </c:pt>
                <c:pt idx="63">
                  <c:v>26366.176148156963</c:v>
                </c:pt>
                <c:pt idx="64">
                  <c:v>30760.891800879039</c:v>
                </c:pt>
                <c:pt idx="65">
                  <c:v>24135.461905402834</c:v>
                </c:pt>
                <c:pt idx="66">
                  <c:v>9035.5089355065847</c:v>
                </c:pt>
                <c:pt idx="67">
                  <c:v>-11512.115043864824</c:v>
                </c:pt>
                <c:pt idx="68">
                  <c:v>-29942.575873501661</c:v>
                </c:pt>
                <c:pt idx="69">
                  <c:v>-31807.738034068618</c:v>
                </c:pt>
                <c:pt idx="70">
                  <c:v>-19849.338384994844</c:v>
                </c:pt>
                <c:pt idx="71">
                  <c:v>-8556.4728300846164</c:v>
                </c:pt>
                <c:pt idx="72">
                  <c:v>588.98337502532581</c:v>
                </c:pt>
                <c:pt idx="73">
                  <c:v>7225.4655458402231</c:v>
                </c:pt>
                <c:pt idx="74">
                  <c:v>14702.969673403668</c:v>
                </c:pt>
                <c:pt idx="75">
                  <c:v>26366.176148156963</c:v>
                </c:pt>
                <c:pt idx="76">
                  <c:v>30760.891800879039</c:v>
                </c:pt>
                <c:pt idx="77">
                  <c:v>24135.461905402834</c:v>
                </c:pt>
                <c:pt idx="78">
                  <c:v>9035.5089355065847</c:v>
                </c:pt>
                <c:pt idx="79">
                  <c:v>-11512.115043864824</c:v>
                </c:pt>
                <c:pt idx="80">
                  <c:v>-29942.575873501661</c:v>
                </c:pt>
                <c:pt idx="81">
                  <c:v>-31807.738034068618</c:v>
                </c:pt>
                <c:pt idx="82">
                  <c:v>-19849.338384994844</c:v>
                </c:pt>
                <c:pt idx="83">
                  <c:v>-8556.4728300846164</c:v>
                </c:pt>
                <c:pt idx="84">
                  <c:v>588.98337502532581</c:v>
                </c:pt>
                <c:pt idx="85">
                  <c:v>7225.4655458402231</c:v>
                </c:pt>
                <c:pt idx="86">
                  <c:v>14702.969673403668</c:v>
                </c:pt>
                <c:pt idx="87">
                  <c:v>26366.176148156963</c:v>
                </c:pt>
                <c:pt idx="88">
                  <c:v>30760.891800879039</c:v>
                </c:pt>
                <c:pt idx="89">
                  <c:v>24135.461905402834</c:v>
                </c:pt>
                <c:pt idx="90">
                  <c:v>9035.5089355065847</c:v>
                </c:pt>
                <c:pt idx="91">
                  <c:v>-11512.115043864824</c:v>
                </c:pt>
                <c:pt idx="92">
                  <c:v>-29942.575873501661</c:v>
                </c:pt>
                <c:pt idx="93">
                  <c:v>-31807.738034068618</c:v>
                </c:pt>
                <c:pt idx="94">
                  <c:v>-19849.338384994844</c:v>
                </c:pt>
                <c:pt idx="95">
                  <c:v>-8556.4728300846164</c:v>
                </c:pt>
                <c:pt idx="96">
                  <c:v>588.98337502532581</c:v>
                </c:pt>
                <c:pt idx="97">
                  <c:v>7225.4655458402231</c:v>
                </c:pt>
                <c:pt idx="98">
                  <c:v>14702.969673403668</c:v>
                </c:pt>
                <c:pt idx="99">
                  <c:v>26366.176148156963</c:v>
                </c:pt>
                <c:pt idx="100">
                  <c:v>30760.891800879039</c:v>
                </c:pt>
                <c:pt idx="101">
                  <c:v>24135.461905402834</c:v>
                </c:pt>
                <c:pt idx="102">
                  <c:v>9035.5089355065847</c:v>
                </c:pt>
                <c:pt idx="103">
                  <c:v>-11512.115043864824</c:v>
                </c:pt>
                <c:pt idx="104">
                  <c:v>-29942.575873501661</c:v>
                </c:pt>
                <c:pt idx="105">
                  <c:v>-31807.738034068618</c:v>
                </c:pt>
                <c:pt idx="106">
                  <c:v>-19849.338384994844</c:v>
                </c:pt>
                <c:pt idx="107">
                  <c:v>-8556.4728300846164</c:v>
                </c:pt>
                <c:pt idx="108">
                  <c:v>588.98337502532581</c:v>
                </c:pt>
                <c:pt idx="109">
                  <c:v>7225.4655458402231</c:v>
                </c:pt>
                <c:pt idx="110">
                  <c:v>14702.969673403668</c:v>
                </c:pt>
                <c:pt idx="111">
                  <c:v>26366.176148156963</c:v>
                </c:pt>
                <c:pt idx="112">
                  <c:v>30760.891800879039</c:v>
                </c:pt>
                <c:pt idx="113">
                  <c:v>24135.461905402834</c:v>
                </c:pt>
                <c:pt idx="114">
                  <c:v>9035.5089355065847</c:v>
                </c:pt>
                <c:pt idx="115">
                  <c:v>-11512.115043864824</c:v>
                </c:pt>
                <c:pt idx="116">
                  <c:v>-29942.575873501661</c:v>
                </c:pt>
                <c:pt idx="117">
                  <c:v>-31807.738034068618</c:v>
                </c:pt>
                <c:pt idx="118">
                  <c:v>-19849.338384994844</c:v>
                </c:pt>
                <c:pt idx="119">
                  <c:v>-8556.4728300846164</c:v>
                </c:pt>
                <c:pt idx="120">
                  <c:v>588.98337502532581</c:v>
                </c:pt>
                <c:pt idx="121">
                  <c:v>7225.4655458402231</c:v>
                </c:pt>
                <c:pt idx="122">
                  <c:v>14702.969673403668</c:v>
                </c:pt>
                <c:pt idx="123">
                  <c:v>26366.176148156963</c:v>
                </c:pt>
                <c:pt idx="124">
                  <c:v>30760.891800879039</c:v>
                </c:pt>
                <c:pt idx="125">
                  <c:v>24135.461905402834</c:v>
                </c:pt>
                <c:pt idx="126">
                  <c:v>9035.5089355065847</c:v>
                </c:pt>
                <c:pt idx="127">
                  <c:v>-11512.115043864824</c:v>
                </c:pt>
                <c:pt idx="128">
                  <c:v>-29942.575873501661</c:v>
                </c:pt>
                <c:pt idx="129">
                  <c:v>-31807.738034068618</c:v>
                </c:pt>
                <c:pt idx="130">
                  <c:v>-19849.338384994844</c:v>
                </c:pt>
                <c:pt idx="131">
                  <c:v>-8556.4728300846164</c:v>
                </c:pt>
                <c:pt idx="132">
                  <c:v>588.98337502532581</c:v>
                </c:pt>
                <c:pt idx="133">
                  <c:v>7225.4655458402231</c:v>
                </c:pt>
                <c:pt idx="134">
                  <c:v>14702.969673403668</c:v>
                </c:pt>
                <c:pt idx="135">
                  <c:v>26366.176148156963</c:v>
                </c:pt>
                <c:pt idx="136">
                  <c:v>30760.891800879039</c:v>
                </c:pt>
                <c:pt idx="137">
                  <c:v>24135.461905402834</c:v>
                </c:pt>
                <c:pt idx="138">
                  <c:v>9035.5089355065847</c:v>
                </c:pt>
                <c:pt idx="139">
                  <c:v>-11512.115043864824</c:v>
                </c:pt>
                <c:pt idx="140">
                  <c:v>-29942.575873501661</c:v>
                </c:pt>
                <c:pt idx="141">
                  <c:v>-31807.738034068618</c:v>
                </c:pt>
                <c:pt idx="142">
                  <c:v>-19849.338384994844</c:v>
                </c:pt>
                <c:pt idx="143">
                  <c:v>-8556.4728300846164</c:v>
                </c:pt>
                <c:pt idx="144">
                  <c:v>588.98337502532581</c:v>
                </c:pt>
                <c:pt idx="145">
                  <c:v>7225.4655458402231</c:v>
                </c:pt>
                <c:pt idx="146">
                  <c:v>14702.969673403668</c:v>
                </c:pt>
                <c:pt idx="147">
                  <c:v>26366.176148156963</c:v>
                </c:pt>
                <c:pt idx="148">
                  <c:v>30760.891800879039</c:v>
                </c:pt>
                <c:pt idx="149">
                  <c:v>24135.461905402834</c:v>
                </c:pt>
                <c:pt idx="150">
                  <c:v>9035.5089355065847</c:v>
                </c:pt>
                <c:pt idx="151">
                  <c:v>-11512.115043864824</c:v>
                </c:pt>
                <c:pt idx="152">
                  <c:v>-29942.575873501661</c:v>
                </c:pt>
                <c:pt idx="153">
                  <c:v>-31807.738034068618</c:v>
                </c:pt>
                <c:pt idx="154">
                  <c:v>-19849.338384994844</c:v>
                </c:pt>
                <c:pt idx="155">
                  <c:v>-8556.4728300846164</c:v>
                </c:pt>
                <c:pt idx="156">
                  <c:v>588.98337502532581</c:v>
                </c:pt>
                <c:pt idx="157">
                  <c:v>7225.4655458402231</c:v>
                </c:pt>
                <c:pt idx="158">
                  <c:v>14702.969673403668</c:v>
                </c:pt>
                <c:pt idx="159">
                  <c:v>26366.176148156963</c:v>
                </c:pt>
                <c:pt idx="160">
                  <c:v>30760.891800879039</c:v>
                </c:pt>
                <c:pt idx="161">
                  <c:v>24135.461905402834</c:v>
                </c:pt>
                <c:pt idx="162">
                  <c:v>9035.5089355065847</c:v>
                </c:pt>
                <c:pt idx="163">
                  <c:v>-11512.115043864824</c:v>
                </c:pt>
                <c:pt idx="164">
                  <c:v>-29942.575873501661</c:v>
                </c:pt>
                <c:pt idx="165">
                  <c:v>-31807.738034068618</c:v>
                </c:pt>
                <c:pt idx="166">
                  <c:v>-19849.338384994844</c:v>
                </c:pt>
                <c:pt idx="167">
                  <c:v>-8556.4728300846164</c:v>
                </c:pt>
                <c:pt idx="168">
                  <c:v>588.98337502532581</c:v>
                </c:pt>
                <c:pt idx="169">
                  <c:v>7225.4655458402231</c:v>
                </c:pt>
                <c:pt idx="170">
                  <c:v>14702.969673403668</c:v>
                </c:pt>
                <c:pt idx="171">
                  <c:v>26366.176148156963</c:v>
                </c:pt>
                <c:pt idx="172">
                  <c:v>30760.891800879039</c:v>
                </c:pt>
                <c:pt idx="173">
                  <c:v>24135.461905402834</c:v>
                </c:pt>
                <c:pt idx="174">
                  <c:v>9035.5089355065847</c:v>
                </c:pt>
                <c:pt idx="175">
                  <c:v>-11512.115043864824</c:v>
                </c:pt>
                <c:pt idx="176">
                  <c:v>-29942.575873501661</c:v>
                </c:pt>
                <c:pt idx="177">
                  <c:v>-31807.738034068618</c:v>
                </c:pt>
                <c:pt idx="178">
                  <c:v>-19849.338384994844</c:v>
                </c:pt>
                <c:pt idx="179">
                  <c:v>-8556.4728300846164</c:v>
                </c:pt>
                <c:pt idx="180">
                  <c:v>588.98337502532581</c:v>
                </c:pt>
                <c:pt idx="181">
                  <c:v>7225.4655458402231</c:v>
                </c:pt>
                <c:pt idx="182">
                  <c:v>14702.969673403668</c:v>
                </c:pt>
                <c:pt idx="183">
                  <c:v>26366.176148156963</c:v>
                </c:pt>
                <c:pt idx="184">
                  <c:v>30760.891800879039</c:v>
                </c:pt>
                <c:pt idx="185">
                  <c:v>24135.461905402834</c:v>
                </c:pt>
                <c:pt idx="186">
                  <c:v>9035.5089355065847</c:v>
                </c:pt>
                <c:pt idx="187">
                  <c:v>-11512.115043864824</c:v>
                </c:pt>
                <c:pt idx="188">
                  <c:v>-29942.575873501661</c:v>
                </c:pt>
                <c:pt idx="189">
                  <c:v>-31807.738034068618</c:v>
                </c:pt>
                <c:pt idx="190">
                  <c:v>-19849.338384994844</c:v>
                </c:pt>
                <c:pt idx="191">
                  <c:v>-8556.4728300846164</c:v>
                </c:pt>
                <c:pt idx="192">
                  <c:v>588.98337502532581</c:v>
                </c:pt>
                <c:pt idx="193">
                  <c:v>7225.4655458402231</c:v>
                </c:pt>
                <c:pt idx="194">
                  <c:v>14702.969673403668</c:v>
                </c:pt>
                <c:pt idx="195">
                  <c:v>26366.176148156963</c:v>
                </c:pt>
                <c:pt idx="196">
                  <c:v>30760.891800879039</c:v>
                </c:pt>
                <c:pt idx="197">
                  <c:v>24135.461905402834</c:v>
                </c:pt>
                <c:pt idx="198">
                  <c:v>9035.5089355065847</c:v>
                </c:pt>
                <c:pt idx="199">
                  <c:v>-11512.115043864824</c:v>
                </c:pt>
                <c:pt idx="200">
                  <c:v>-29942.575873501661</c:v>
                </c:pt>
                <c:pt idx="201">
                  <c:v>-31807.738034068618</c:v>
                </c:pt>
                <c:pt idx="202">
                  <c:v>-19849.338384994844</c:v>
                </c:pt>
                <c:pt idx="203">
                  <c:v>-8556.4728300846164</c:v>
                </c:pt>
                <c:pt idx="204">
                  <c:v>588.98337502532581</c:v>
                </c:pt>
                <c:pt idx="205">
                  <c:v>7225.4655458402231</c:v>
                </c:pt>
                <c:pt idx="206">
                  <c:v>14702.969673403668</c:v>
                </c:pt>
                <c:pt idx="207">
                  <c:v>26366.176148156963</c:v>
                </c:pt>
                <c:pt idx="208">
                  <c:v>30760.891800879039</c:v>
                </c:pt>
                <c:pt idx="209">
                  <c:v>24135.461905402834</c:v>
                </c:pt>
                <c:pt idx="210">
                  <c:v>9035.5089355065847</c:v>
                </c:pt>
                <c:pt idx="211">
                  <c:v>-11512.115043864824</c:v>
                </c:pt>
                <c:pt idx="212">
                  <c:v>-29942.575873501661</c:v>
                </c:pt>
                <c:pt idx="213">
                  <c:v>-31807.738034068618</c:v>
                </c:pt>
                <c:pt idx="214">
                  <c:v>-19849.338384994844</c:v>
                </c:pt>
                <c:pt idx="215">
                  <c:v>-8556.4728300846164</c:v>
                </c:pt>
                <c:pt idx="216">
                  <c:v>588.98337502532581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61C-4A65-ABB3-5E672C2E65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&quot;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ax val="200000"/>
          <c:min val="-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2000"/>
              <a:t>Y-S (= T+I)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TCSI!$I$1</c:f>
              <c:strCache>
                <c:ptCount val="1"/>
                <c:pt idx="0">
                  <c:v>T+C+I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TCSI!$I$2:$I$219</c:f>
              <c:numCache>
                <c:formatCode>0_);[Red]\(0\)</c:formatCode>
                <c:ptCount val="218"/>
                <c:pt idx="0">
                  <c:v>237275.76941037545</c:v>
                </c:pt>
                <c:pt idx="1">
                  <c:v>236007.36902508594</c:v>
                </c:pt>
                <c:pt idx="2">
                  <c:v>255713.25660487538</c:v>
                </c:pt>
                <c:pt idx="3">
                  <c:v>245671.87537141342</c:v>
                </c:pt>
                <c:pt idx="4">
                  <c:v>247714.20565193478</c:v>
                </c:pt>
                <c:pt idx="5">
                  <c:v>266128.93435485015</c:v>
                </c:pt>
                <c:pt idx="6">
                  <c:v>267014.13012607611</c:v>
                </c:pt>
                <c:pt idx="7">
                  <c:v>261174.50786195265</c:v>
                </c:pt>
                <c:pt idx="8">
                  <c:v>267792.21693265374</c:v>
                </c:pt>
                <c:pt idx="9">
                  <c:v>271453.93806556938</c:v>
                </c:pt>
                <c:pt idx="10">
                  <c:v>270496.90200061118</c:v>
                </c:pt>
                <c:pt idx="11">
                  <c:v>272846.49326045229</c:v>
                </c:pt>
                <c:pt idx="12">
                  <c:v>282513.61725980463</c:v>
                </c:pt>
                <c:pt idx="13">
                  <c:v>294408.47809833096</c:v>
                </c:pt>
                <c:pt idx="14">
                  <c:v>289663.63234693208</c:v>
                </c:pt>
                <c:pt idx="15">
                  <c:v>294190.03339012375</c:v>
                </c:pt>
                <c:pt idx="16">
                  <c:v>287811.65057349281</c:v>
                </c:pt>
                <c:pt idx="17">
                  <c:v>294879.31583079649</c:v>
                </c:pt>
                <c:pt idx="18">
                  <c:v>304363.20488200104</c:v>
                </c:pt>
                <c:pt idx="19">
                  <c:v>308333.14463688346</c:v>
                </c:pt>
                <c:pt idx="20">
                  <c:v>290789.23483688105</c:v>
                </c:pt>
                <c:pt idx="21">
                  <c:v>306428.39986410603</c:v>
                </c:pt>
                <c:pt idx="22">
                  <c:v>295526.23111121642</c:v>
                </c:pt>
                <c:pt idx="23">
                  <c:v>301960.62270564376</c:v>
                </c:pt>
                <c:pt idx="24">
                  <c:v>305182.97455734556</c:v>
                </c:pt>
                <c:pt idx="25">
                  <c:v>320140.17344877432</c:v>
                </c:pt>
                <c:pt idx="26">
                  <c:v>312421.08555190533</c:v>
                </c:pt>
                <c:pt idx="27">
                  <c:v>320322.86348613747</c:v>
                </c:pt>
                <c:pt idx="28">
                  <c:v>314430.72640166461</c:v>
                </c:pt>
                <c:pt idx="29">
                  <c:v>320720.86948241998</c:v>
                </c:pt>
                <c:pt idx="30">
                  <c:v>324494.37938551483</c:v>
                </c:pt>
                <c:pt idx="31">
                  <c:v>306605.06944431871</c:v>
                </c:pt>
                <c:pt idx="32">
                  <c:v>315312.60794084927</c:v>
                </c:pt>
                <c:pt idx="33">
                  <c:v>315617.47967219248</c:v>
                </c:pt>
                <c:pt idx="34">
                  <c:v>318321.57070489851</c:v>
                </c:pt>
                <c:pt idx="35">
                  <c:v>326314.37914470304</c:v>
                </c:pt>
                <c:pt idx="36">
                  <c:v>329222.59361575899</c:v>
                </c:pt>
                <c:pt idx="37">
                  <c:v>303937.47322249121</c:v>
                </c:pt>
                <c:pt idx="38">
                  <c:v>322447.62749308557</c:v>
                </c:pt>
                <c:pt idx="39">
                  <c:v>331903.52471057244</c:v>
                </c:pt>
                <c:pt idx="40">
                  <c:v>320732.29872685712</c:v>
                </c:pt>
                <c:pt idx="41">
                  <c:v>326969.51617563126</c:v>
                </c:pt>
                <c:pt idx="42">
                  <c:v>327081.29179074481</c:v>
                </c:pt>
                <c:pt idx="43">
                  <c:v>342702.76796648774</c:v>
                </c:pt>
                <c:pt idx="44">
                  <c:v>334072.10186486429</c:v>
                </c:pt>
                <c:pt idx="45">
                  <c:v>329001.82908556086</c:v>
                </c:pt>
                <c:pt idx="46">
                  <c:v>334660.90247338137</c:v>
                </c:pt>
                <c:pt idx="47">
                  <c:v>330158.66926355427</c:v>
                </c:pt>
                <c:pt idx="48">
                  <c:v>338093.53913011402</c:v>
                </c:pt>
                <c:pt idx="49">
                  <c:v>340373.98803192249</c:v>
                </c:pt>
                <c:pt idx="50">
                  <c:v>331117.76636491827</c:v>
                </c:pt>
                <c:pt idx="51">
                  <c:v>332535.05046739691</c:v>
                </c:pt>
                <c:pt idx="52">
                  <c:v>347321.17035371845</c:v>
                </c:pt>
                <c:pt idx="53">
                  <c:v>345389.29819564353</c:v>
                </c:pt>
                <c:pt idx="54">
                  <c:v>352453.56448700972</c:v>
                </c:pt>
                <c:pt idx="55">
                  <c:v>327715.62618955952</c:v>
                </c:pt>
                <c:pt idx="56">
                  <c:v>341289.43649211148</c:v>
                </c:pt>
                <c:pt idx="57">
                  <c:v>339486.02996639104</c:v>
                </c:pt>
                <c:pt idx="58">
                  <c:v>338378.56686972902</c:v>
                </c:pt>
                <c:pt idx="59">
                  <c:v>352324.78851337516</c:v>
                </c:pt>
                <c:pt idx="60">
                  <c:v>337213.84690886392</c:v>
                </c:pt>
                <c:pt idx="61">
                  <c:v>337809.04741831811</c:v>
                </c:pt>
                <c:pt idx="62">
                  <c:v>344591.78982822358</c:v>
                </c:pt>
                <c:pt idx="63">
                  <c:v>329676.07138745527</c:v>
                </c:pt>
                <c:pt idx="64">
                  <c:v>346410.91743367573</c:v>
                </c:pt>
                <c:pt idx="65">
                  <c:v>344804.93230388028</c:v>
                </c:pt>
                <c:pt idx="66">
                  <c:v>348730.66458671121</c:v>
                </c:pt>
                <c:pt idx="67">
                  <c:v>343519.78504649445</c:v>
                </c:pt>
                <c:pt idx="68">
                  <c:v>342429.19042043161</c:v>
                </c:pt>
                <c:pt idx="69">
                  <c:v>352895.90432013362</c:v>
                </c:pt>
                <c:pt idx="70">
                  <c:v>358835.68821964558</c:v>
                </c:pt>
                <c:pt idx="71">
                  <c:v>348057.04995338985</c:v>
                </c:pt>
                <c:pt idx="72">
                  <c:v>351357.82004460634</c:v>
                </c:pt>
                <c:pt idx="73">
                  <c:v>346033.30187963974</c:v>
                </c:pt>
                <c:pt idx="74">
                  <c:v>346570.4552711423</c:v>
                </c:pt>
                <c:pt idx="75">
                  <c:v>349061.42600342195</c:v>
                </c:pt>
                <c:pt idx="76">
                  <c:v>349982.03712262609</c:v>
                </c:pt>
                <c:pt idx="77">
                  <c:v>337274.01572012884</c:v>
                </c:pt>
                <c:pt idx="78">
                  <c:v>347879.48791723535</c:v>
                </c:pt>
                <c:pt idx="79">
                  <c:v>349162.30775113439</c:v>
                </c:pt>
                <c:pt idx="80">
                  <c:v>365771.90945016732</c:v>
                </c:pt>
                <c:pt idx="81">
                  <c:v>339124.69314276212</c:v>
                </c:pt>
                <c:pt idx="82">
                  <c:v>337562.50027349149</c:v>
                </c:pt>
                <c:pt idx="83">
                  <c:v>353607.30116282019</c:v>
                </c:pt>
                <c:pt idx="84">
                  <c:v>347511.99581720022</c:v>
                </c:pt>
                <c:pt idx="85">
                  <c:v>352922.43337374827</c:v>
                </c:pt>
                <c:pt idx="86">
                  <c:v>350927.56414430955</c:v>
                </c:pt>
                <c:pt idx="87">
                  <c:v>362489.33468247106</c:v>
                </c:pt>
                <c:pt idx="88">
                  <c:v>356980.62571459642</c:v>
                </c:pt>
                <c:pt idx="89">
                  <c:v>353166.94944282371</c:v>
                </c:pt>
                <c:pt idx="90">
                  <c:v>348772.64986785396</c:v>
                </c:pt>
                <c:pt idx="91">
                  <c:v>357296.00995991559</c:v>
                </c:pt>
                <c:pt idx="92">
                  <c:v>348213.29317577637</c:v>
                </c:pt>
                <c:pt idx="93">
                  <c:v>356847.28718409716</c:v>
                </c:pt>
                <c:pt idx="94">
                  <c:v>346306.60483954335</c:v>
                </c:pt>
                <c:pt idx="95">
                  <c:v>343716.95767207706</c:v>
                </c:pt>
                <c:pt idx="96">
                  <c:v>354982.26427021733</c:v>
                </c:pt>
                <c:pt idx="97">
                  <c:v>358969.35183659988</c:v>
                </c:pt>
                <c:pt idx="98">
                  <c:v>349557.81573916168</c:v>
                </c:pt>
                <c:pt idx="99">
                  <c:v>369378.68498301844</c:v>
                </c:pt>
                <c:pt idx="100">
                  <c:v>365654.44900462579</c:v>
                </c:pt>
                <c:pt idx="101">
                  <c:v>352159.92296042672</c:v>
                </c:pt>
                <c:pt idx="102">
                  <c:v>362175.22530764091</c:v>
                </c:pt>
                <c:pt idx="103">
                  <c:v>344205.9930258962</c:v>
                </c:pt>
                <c:pt idx="104">
                  <c:v>354958.0599597703</c:v>
                </c:pt>
                <c:pt idx="105">
                  <c:v>359711.11258537683</c:v>
                </c:pt>
                <c:pt idx="106">
                  <c:v>354316.3059518995</c:v>
                </c:pt>
                <c:pt idx="107">
                  <c:v>342523.91652220191</c:v>
                </c:pt>
                <c:pt idx="108">
                  <c:v>349515.47125863913</c:v>
                </c:pt>
                <c:pt idx="109">
                  <c:v>356288.74776894302</c:v>
                </c:pt>
                <c:pt idx="110">
                  <c:v>355805.15792012232</c:v>
                </c:pt>
                <c:pt idx="111">
                  <c:v>370224.81522301614</c:v>
                </c:pt>
                <c:pt idx="112">
                  <c:v>359291.20116563159</c:v>
                </c:pt>
                <c:pt idx="113">
                  <c:v>350437.48962443182</c:v>
                </c:pt>
                <c:pt idx="114">
                  <c:v>362772.61540898314</c:v>
                </c:pt>
                <c:pt idx="115">
                  <c:v>363787.78458623076</c:v>
                </c:pt>
                <c:pt idx="116">
                  <c:v>365971.26546569972</c:v>
                </c:pt>
                <c:pt idx="117">
                  <c:v>371243.48046170844</c:v>
                </c:pt>
                <c:pt idx="118">
                  <c:v>370885.71258027921</c:v>
                </c:pt>
                <c:pt idx="119">
                  <c:v>366757.95250667346</c:v>
                </c:pt>
                <c:pt idx="120">
                  <c:v>371719.94425853057</c:v>
                </c:pt>
                <c:pt idx="121">
                  <c:v>372510.97137942049</c:v>
                </c:pt>
                <c:pt idx="122">
                  <c:v>370419.81274538237</c:v>
                </c:pt>
                <c:pt idx="123">
                  <c:v>367673.67020454613</c:v>
                </c:pt>
                <c:pt idx="124">
                  <c:v>380480.72407884325</c:v>
                </c:pt>
                <c:pt idx="125">
                  <c:v>375072.10340027063</c:v>
                </c:pt>
                <c:pt idx="126">
                  <c:v>373363.20115164772</c:v>
                </c:pt>
                <c:pt idx="127">
                  <c:v>373999.64978513395</c:v>
                </c:pt>
                <c:pt idx="128">
                  <c:v>364342.63317065529</c:v>
                </c:pt>
                <c:pt idx="129">
                  <c:v>376939.35535809264</c:v>
                </c:pt>
                <c:pt idx="130">
                  <c:v>384085.8484587713</c:v>
                </c:pt>
                <c:pt idx="131">
                  <c:v>388108.09738886671</c:v>
                </c:pt>
                <c:pt idx="132">
                  <c:v>379105.6378531793</c:v>
                </c:pt>
                <c:pt idx="133">
                  <c:v>385931.6305247164</c:v>
                </c:pt>
                <c:pt idx="134">
                  <c:v>384114.32760252891</c:v>
                </c:pt>
                <c:pt idx="135">
                  <c:v>386847.46282503946</c:v>
                </c:pt>
                <c:pt idx="136">
                  <c:v>375376.75059677049</c:v>
                </c:pt>
                <c:pt idx="137">
                  <c:v>384430.48911353707</c:v>
                </c:pt>
                <c:pt idx="138">
                  <c:v>389862.06464320928</c:v>
                </c:pt>
                <c:pt idx="139">
                  <c:v>381906.17467650428</c:v>
                </c:pt>
                <c:pt idx="140">
                  <c:v>383709.51270392729</c:v>
                </c:pt>
                <c:pt idx="141">
                  <c:v>401958.05359992466</c:v>
                </c:pt>
                <c:pt idx="142">
                  <c:v>398822.77028238151</c:v>
                </c:pt>
                <c:pt idx="143">
                  <c:v>395196.8897782584</c:v>
                </c:pt>
                <c:pt idx="144">
                  <c:v>392904.90606524539</c:v>
                </c:pt>
                <c:pt idx="145">
                  <c:v>387579.09204625047</c:v>
                </c:pt>
                <c:pt idx="146">
                  <c:v>397755.24266425177</c:v>
                </c:pt>
                <c:pt idx="147">
                  <c:v>397118.05785215594</c:v>
                </c:pt>
                <c:pt idx="148">
                  <c:v>397961.1256607211</c:v>
                </c:pt>
                <c:pt idx="149">
                  <c:v>399363.58897663601</c:v>
                </c:pt>
                <c:pt idx="150">
                  <c:v>414538.31994558487</c:v>
                </c:pt>
                <c:pt idx="151">
                  <c:v>409598.77499901719</c:v>
                </c:pt>
                <c:pt idx="152">
                  <c:v>404767.38412706472</c:v>
                </c:pt>
                <c:pt idx="153">
                  <c:v>408028.60846954514</c:v>
                </c:pt>
                <c:pt idx="154">
                  <c:v>417117.72217482718</c:v>
                </c:pt>
                <c:pt idx="155">
                  <c:v>414278.19399833697</c:v>
                </c:pt>
                <c:pt idx="156">
                  <c:v>417106.70563540451</c:v>
                </c:pt>
                <c:pt idx="157">
                  <c:v>417746.27840115473</c:v>
                </c:pt>
                <c:pt idx="158">
                  <c:v>428600.99132436351</c:v>
                </c:pt>
                <c:pt idx="159">
                  <c:v>427398.59702963434</c:v>
                </c:pt>
                <c:pt idx="160">
                  <c:v>418392.98762873979</c:v>
                </c:pt>
                <c:pt idx="161">
                  <c:v>437043.60806647892</c:v>
                </c:pt>
                <c:pt idx="162">
                  <c:v>408591.34449524363</c:v>
                </c:pt>
                <c:pt idx="163">
                  <c:v>434107.05533721583</c:v>
                </c:pt>
                <c:pt idx="164">
                  <c:v>424403.66314341803</c:v>
                </c:pt>
                <c:pt idx="165">
                  <c:v>439274.66704582248</c:v>
                </c:pt>
                <c:pt idx="166">
                  <c:v>433109.10704983078</c:v>
                </c:pt>
                <c:pt idx="167">
                  <c:v>439428.15267935611</c:v>
                </c:pt>
                <c:pt idx="168">
                  <c:v>447307.9473713545</c:v>
                </c:pt>
                <c:pt idx="169">
                  <c:v>432102.21487777121</c:v>
                </c:pt>
                <c:pt idx="170">
                  <c:v>449236.04542249319</c:v>
                </c:pt>
                <c:pt idx="171">
                  <c:v>447262.02401902888</c:v>
                </c:pt>
                <c:pt idx="172">
                  <c:v>458650.40632272413</c:v>
                </c:pt>
                <c:pt idx="173">
                  <c:v>451243.43726089492</c:v>
                </c:pt>
                <c:pt idx="174">
                  <c:v>457489.1693249339</c:v>
                </c:pt>
                <c:pt idx="175">
                  <c:v>462721.26379898499</c:v>
                </c:pt>
                <c:pt idx="176">
                  <c:v>458228.09478509345</c:v>
                </c:pt>
                <c:pt idx="177">
                  <c:v>452723.67690607643</c:v>
                </c:pt>
                <c:pt idx="178">
                  <c:v>459110.30852612754</c:v>
                </c:pt>
                <c:pt idx="179">
                  <c:v>460842.78509211534</c:v>
                </c:pt>
                <c:pt idx="180">
                  <c:v>472617.83923736156</c:v>
                </c:pt>
                <c:pt idx="181">
                  <c:v>483487.82377845066</c:v>
                </c:pt>
                <c:pt idx="182">
                  <c:v>469119.434026881</c:v>
                </c:pt>
                <c:pt idx="183">
                  <c:v>483418.93697647937</c:v>
                </c:pt>
                <c:pt idx="184">
                  <c:v>474236.4027790043</c:v>
                </c:pt>
                <c:pt idx="185">
                  <c:v>476253.98682474392</c:v>
                </c:pt>
                <c:pt idx="186">
                  <c:v>490609.61274632253</c:v>
                </c:pt>
                <c:pt idx="187">
                  <c:v>480385.27084565553</c:v>
                </c:pt>
                <c:pt idx="188">
                  <c:v>509480.79316059774</c:v>
                </c:pt>
                <c:pt idx="189">
                  <c:v>491633.32226650062</c:v>
                </c:pt>
                <c:pt idx="190">
                  <c:v>498346.12132483267</c:v>
                </c:pt>
                <c:pt idx="191">
                  <c:v>493297.94060974347</c:v>
                </c:pt>
                <c:pt idx="192">
                  <c:v>493306.52824796614</c:v>
                </c:pt>
                <c:pt idx="193">
                  <c:v>500377.39893720247</c:v>
                </c:pt>
                <c:pt idx="194">
                  <c:v>503374.46787279984</c:v>
                </c:pt>
                <c:pt idx="195">
                  <c:v>518891.71555320412</c:v>
                </c:pt>
                <c:pt idx="196">
                  <c:v>523423.48064995487</c:v>
                </c:pt>
                <c:pt idx="197">
                  <c:v>525805.05485245585</c:v>
                </c:pt>
                <c:pt idx="198">
                  <c:v>513040.20381106366</c:v>
                </c:pt>
                <c:pt idx="199">
                  <c:v>538136.90215666394</c:v>
                </c:pt>
                <c:pt idx="200">
                  <c:v>522546.87887880078</c:v>
                </c:pt>
                <c:pt idx="201">
                  <c:v>526348.15403755847</c:v>
                </c:pt>
                <c:pt idx="202">
                  <c:v>532593.9830951225</c:v>
                </c:pt>
                <c:pt idx="203">
                  <c:v>532941.6272986579</c:v>
                </c:pt>
                <c:pt idx="204">
                  <c:v>540285.73530452256</c:v>
                </c:pt>
                <c:pt idx="205">
                  <c:v>546951.13778335461</c:v>
                </c:pt>
                <c:pt idx="206">
                  <c:v>542903.34682939074</c:v>
                </c:pt>
                <c:pt idx="207">
                  <c:v>555243.14592261554</c:v>
                </c:pt>
                <c:pt idx="208">
                  <c:v>563241.68718798924</c:v>
                </c:pt>
                <c:pt idx="209">
                  <c:v>554136.3601714723</c:v>
                </c:pt>
                <c:pt idx="210">
                  <c:v>562366.80132439174</c:v>
                </c:pt>
                <c:pt idx="211">
                  <c:v>557763.15517196001</c:v>
                </c:pt>
                <c:pt idx="212">
                  <c:v>560634.54995738587</c:v>
                </c:pt>
                <c:pt idx="213">
                  <c:v>567663.57259617979</c:v>
                </c:pt>
                <c:pt idx="214">
                  <c:v>573413.65631927503</c:v>
                </c:pt>
                <c:pt idx="215">
                  <c:v>578375.33595534554</c:v>
                </c:pt>
                <c:pt idx="216">
                  <c:v>581853.38088021567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714-49FD-A063-82F0E0BCC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in val="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2000"/>
              <a:t>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TCSI!$D$1</c:f>
              <c:strCache>
                <c:ptCount val="1"/>
                <c:pt idx="0">
                  <c:v>T+C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TCSI!$D$2:$D$219</c:f>
              <c:numCache>
                <c:formatCode>0_);[Red]\(0\)</c:formatCode>
                <c:ptCount val="218"/>
                <c:pt idx="0">
                  <c:v>239214.26650686067</c:v>
                </c:pt>
                <c:pt idx="1">
                  <c:v>243089.15459483955</c:v>
                </c:pt>
                <c:pt idx="2">
                  <c:v>246620.79815123911</c:v>
                </c:pt>
                <c:pt idx="3">
                  <c:v>250297.99132963567</c:v>
                </c:pt>
                <c:pt idx="4">
                  <c:v>253761.74974622932</c:v>
                </c:pt>
                <c:pt idx="5">
                  <c:v>257244.68618249305</c:v>
                </c:pt>
                <c:pt idx="6">
                  <c:v>260523.70753025101</c:v>
                </c:pt>
                <c:pt idx="7">
                  <c:v>263819.08871745539</c:v>
                </c:pt>
                <c:pt idx="8">
                  <c:v>267021.69505577284</c:v>
                </c:pt>
                <c:pt idx="9">
                  <c:v>270034.25559458963</c:v>
                </c:pt>
                <c:pt idx="10">
                  <c:v>273059.24795645813</c:v>
                </c:pt>
                <c:pt idx="11">
                  <c:v>275903.07087990339</c:v>
                </c:pt>
                <c:pt idx="12">
                  <c:v>278756.93076629972</c:v>
                </c:pt>
                <c:pt idx="13">
                  <c:v>281526.27749387978</c:v>
                </c:pt>
                <c:pt idx="14">
                  <c:v>283956.34625098901</c:v>
                </c:pt>
                <c:pt idx="15">
                  <c:v>286569.36606336664</c:v>
                </c:pt>
                <c:pt idx="16">
                  <c:v>289022.11313383345</c:v>
                </c:pt>
                <c:pt idx="17">
                  <c:v>291479.6675671445</c:v>
                </c:pt>
                <c:pt idx="18">
                  <c:v>293784.96365885268</c:v>
                </c:pt>
                <c:pt idx="19">
                  <c:v>296093.22940220305</c:v>
                </c:pt>
                <c:pt idx="20">
                  <c:v>298327.96611843444</c:v>
                </c:pt>
                <c:pt idx="21">
                  <c:v>300422.07556256955</c:v>
                </c:pt>
                <c:pt idx="22">
                  <c:v>302516.67337186396</c:v>
                </c:pt>
                <c:pt idx="23">
                  <c:v>304478.05747072131</c:v>
                </c:pt>
                <c:pt idx="24">
                  <c:v>306438.47309546609</c:v>
                </c:pt>
                <c:pt idx="25">
                  <c:v>308332.95247118932</c:v>
                </c:pt>
                <c:pt idx="26">
                  <c:v>309988.6729777297</c:v>
                </c:pt>
                <c:pt idx="27">
                  <c:v>311761.8070651344</c:v>
                </c:pt>
                <c:pt idx="28">
                  <c:v>313419.07595022791</c:v>
                </c:pt>
                <c:pt idx="29">
                  <c:v>315072.395954974</c:v>
                </c:pt>
                <c:pt idx="30">
                  <c:v>316616.46120673459</c:v>
                </c:pt>
                <c:pt idx="31">
                  <c:v>318155.61907712242</c:v>
                </c:pt>
                <c:pt idx="32">
                  <c:v>319638.89802633791</c:v>
                </c:pt>
                <c:pt idx="33">
                  <c:v>321022.46788778203</c:v>
                </c:pt>
                <c:pt idx="34">
                  <c:v>322399.9430947653</c:v>
                </c:pt>
                <c:pt idx="35">
                  <c:v>323683.76129352616</c:v>
                </c:pt>
                <c:pt idx="36">
                  <c:v>324960.86476629943</c:v>
                </c:pt>
                <c:pt idx="37">
                  <c:v>326189.01326758543</c:v>
                </c:pt>
                <c:pt idx="38">
                  <c:v>327257.36958777288</c:v>
                </c:pt>
                <c:pt idx="39">
                  <c:v>328396.1176278221</c:v>
                </c:pt>
                <c:pt idx="40">
                  <c:v>329455.25977721019</c:v>
                </c:pt>
                <c:pt idx="41">
                  <c:v>330506.70535339281</c:v>
                </c:pt>
                <c:pt idx="42">
                  <c:v>331483.85285054805</c:v>
                </c:pt>
                <c:pt idx="43">
                  <c:v>332453.12323728221</c:v>
                </c:pt>
                <c:pt idx="44">
                  <c:v>333382.56929680257</c:v>
                </c:pt>
                <c:pt idx="45">
                  <c:v>334245.33032879164</c:v>
                </c:pt>
                <c:pt idx="46">
                  <c:v>335100.16830007185</c:v>
                </c:pt>
                <c:pt idx="47">
                  <c:v>335893.11315085622</c:v>
                </c:pt>
                <c:pt idx="48">
                  <c:v>336678.25039749744</c:v>
                </c:pt>
                <c:pt idx="49">
                  <c:v>337429.81852246838</c:v>
                </c:pt>
                <c:pt idx="50">
                  <c:v>338103.6006425434</c:v>
                </c:pt>
                <c:pt idx="51">
                  <c:v>338793.68947425886</c:v>
                </c:pt>
                <c:pt idx="52">
                  <c:v>339432.95855165285</c:v>
                </c:pt>
                <c:pt idx="53">
                  <c:v>340065.1934266155</c:v>
                </c:pt>
                <c:pt idx="54">
                  <c:v>340650.71187037521</c:v>
                </c:pt>
                <c:pt idx="55">
                  <c:v>341229.69402107631</c:v>
                </c:pt>
                <c:pt idx="56">
                  <c:v>341783.34855515516</c:v>
                </c:pt>
                <c:pt idx="57">
                  <c:v>342296.11520948284</c:v>
                </c:pt>
                <c:pt idx="58">
                  <c:v>342803.29076904693</c:v>
                </c:pt>
                <c:pt idx="59">
                  <c:v>343273.2084420243</c:v>
                </c:pt>
                <c:pt idx="60">
                  <c:v>343738.28637825098</c:v>
                </c:pt>
                <c:pt idx="61">
                  <c:v>344183.62141911482</c:v>
                </c:pt>
                <c:pt idx="62">
                  <c:v>344569.80312479043</c:v>
                </c:pt>
                <c:pt idx="63">
                  <c:v>344980.58524742466</c:v>
                </c:pt>
                <c:pt idx="64">
                  <c:v>345362.31077582104</c:v>
                </c:pt>
                <c:pt idx="65">
                  <c:v>345741.46384042886</c:v>
                </c:pt>
                <c:pt idx="66">
                  <c:v>346094.56386096618</c:v>
                </c:pt>
                <c:pt idx="67">
                  <c:v>346446.16456691787</c:v>
                </c:pt>
                <c:pt idx="68">
                  <c:v>346785.29748544696</c:v>
                </c:pt>
                <c:pt idx="69">
                  <c:v>347102.57925421873</c:v>
                </c:pt>
                <c:pt idx="70">
                  <c:v>347420.14248961367</c:v>
                </c:pt>
                <c:pt idx="71">
                  <c:v>347718.42725049757</c:v>
                </c:pt>
                <c:pt idx="72">
                  <c:v>348018.27765239304</c:v>
                </c:pt>
                <c:pt idx="73">
                  <c:v>348310.576429056</c:v>
                </c:pt>
                <c:pt idx="74">
                  <c:v>348568.8978167522</c:v>
                </c:pt>
                <c:pt idx="75">
                  <c:v>348849.47218753473</c:v>
                </c:pt>
                <c:pt idx="76">
                  <c:v>349116.42488607037</c:v>
                </c:pt>
                <c:pt idx="77">
                  <c:v>349388.45668712805</c:v>
                </c:pt>
                <c:pt idx="78">
                  <c:v>349648.87187007267</c:v>
                </c:pt>
                <c:pt idx="79">
                  <c:v>349915.91334485117</c:v>
                </c:pt>
                <c:pt idx="80">
                  <c:v>350181.75199777941</c:v>
                </c:pt>
                <c:pt idx="81">
                  <c:v>350438.70200907293</c:v>
                </c:pt>
                <c:pt idx="82">
                  <c:v>350704.74204948341</c:v>
                </c:pt>
                <c:pt idx="83">
                  <c:v>350963.51007438038</c:v>
                </c:pt>
                <c:pt idx="84">
                  <c:v>351233.08392857027</c:v>
                </c:pt>
                <c:pt idx="85">
                  <c:v>351505.70266176615</c:v>
                </c:pt>
                <c:pt idx="86">
                  <c:v>351755.24379348283</c:v>
                </c:pt>
                <c:pt idx="87">
                  <c:v>352035.93149026035</c:v>
                </c:pt>
                <c:pt idx="88">
                  <c:v>352312.71015718556</c:v>
                </c:pt>
                <c:pt idx="89">
                  <c:v>352604.80381983699</c:v>
                </c:pt>
                <c:pt idx="90">
                  <c:v>352894.09627128125</c:v>
                </c:pt>
                <c:pt idx="91">
                  <c:v>353200.62376396195</c:v>
                </c:pt>
                <c:pt idx="92">
                  <c:v>353515.61877453607</c:v>
                </c:pt>
                <c:pt idx="93">
                  <c:v>353829.21934928134</c:v>
                </c:pt>
                <c:pt idx="94">
                  <c:v>354163.0490615493</c:v>
                </c:pt>
                <c:pt idx="95">
                  <c:v>354496.2461733871</c:v>
                </c:pt>
                <c:pt idx="96">
                  <c:v>354851.71866752801</c:v>
                </c:pt>
                <c:pt idx="97">
                  <c:v>355219.23801929026</c:v>
                </c:pt>
                <c:pt idx="98">
                  <c:v>355574.56491207768</c:v>
                </c:pt>
                <c:pt idx="99">
                  <c:v>355967.35383187002</c:v>
                </c:pt>
                <c:pt idx="100">
                  <c:v>356360.83608214336</c:v>
                </c:pt>
                <c:pt idx="101">
                  <c:v>356781.88377457793</c:v>
                </c:pt>
                <c:pt idx="102">
                  <c:v>357203.93458780443</c:v>
                </c:pt>
                <c:pt idx="103">
                  <c:v>357655.74318095861</c:v>
                </c:pt>
                <c:pt idx="104">
                  <c:v>358124.11518307205</c:v>
                </c:pt>
                <c:pt idx="105">
                  <c:v>358593.72558785387</c:v>
                </c:pt>
                <c:pt idx="106">
                  <c:v>359096.46647996514</c:v>
                </c:pt>
                <c:pt idx="107">
                  <c:v>359600.45213320572</c:v>
                </c:pt>
                <c:pt idx="108">
                  <c:v>360139.84429427341</c:v>
                </c:pt>
                <c:pt idx="109">
                  <c:v>360698.70911753597</c:v>
                </c:pt>
                <c:pt idx="110">
                  <c:v>361220.68957004842</c:v>
                </c:pt>
                <c:pt idx="111">
                  <c:v>361818.13994381693</c:v>
                </c:pt>
                <c:pt idx="112">
                  <c:v>362416.3577538181</c:v>
                </c:pt>
                <c:pt idx="113">
                  <c:v>363055.73237905325</c:v>
                </c:pt>
                <c:pt idx="114">
                  <c:v>363695.48975571746</c:v>
                </c:pt>
                <c:pt idx="115">
                  <c:v>364378.76654781424</c:v>
                </c:pt>
                <c:pt idx="116">
                  <c:v>365085.08420701814</c:v>
                </c:pt>
                <c:pt idx="117">
                  <c:v>365791.00449160126</c:v>
                </c:pt>
                <c:pt idx="118">
                  <c:v>366544.04171616194</c:v>
                </c:pt>
                <c:pt idx="119">
                  <c:v>367296.03588229563</c:v>
                </c:pt>
                <c:pt idx="120">
                  <c:v>368097.5508760878</c:v>
                </c:pt>
                <c:pt idx="121">
                  <c:v>368924.34784454422</c:v>
                </c:pt>
                <c:pt idx="122">
                  <c:v>369693.21215225034</c:v>
                </c:pt>
                <c:pt idx="123">
                  <c:v>370569.2771119519</c:v>
                </c:pt>
                <c:pt idx="124">
                  <c:v>371442.28037348145</c:v>
                </c:pt>
                <c:pt idx="125">
                  <c:v>372370.79859400162</c:v>
                </c:pt>
                <c:pt idx="126">
                  <c:v>373295.27717550279</c:v>
                </c:pt>
                <c:pt idx="127">
                  <c:v>374277.7024485984</c:v>
                </c:pt>
                <c:pt idx="128">
                  <c:v>375288.05218209652</c:v>
                </c:pt>
                <c:pt idx="129">
                  <c:v>376292.71939397656</c:v>
                </c:pt>
                <c:pt idx="130">
                  <c:v>377359.00312232098</c:v>
                </c:pt>
                <c:pt idx="131">
                  <c:v>378418.40781155537</c:v>
                </c:pt>
                <c:pt idx="132">
                  <c:v>379541.85964903701</c:v>
                </c:pt>
                <c:pt idx="133">
                  <c:v>380694.80902336695</c:v>
                </c:pt>
                <c:pt idx="134">
                  <c:v>381761.77338407928</c:v>
                </c:pt>
                <c:pt idx="135">
                  <c:v>382971.63998710265</c:v>
                </c:pt>
                <c:pt idx="136">
                  <c:v>384171.31812917313</c:v>
                </c:pt>
                <c:pt idx="137">
                  <c:v>385441.03106849827</c:v>
                </c:pt>
                <c:pt idx="138">
                  <c:v>386699.08555280906</c:v>
                </c:pt>
                <c:pt idx="139">
                  <c:v>388029.5745850805</c:v>
                </c:pt>
                <c:pt idx="140">
                  <c:v>389391.27808117628</c:v>
                </c:pt>
                <c:pt idx="141">
                  <c:v>390738.97011610057</c:v>
                </c:pt>
                <c:pt idx="142">
                  <c:v>392162.68633086653</c:v>
                </c:pt>
                <c:pt idx="143">
                  <c:v>393570.74493108346</c:v>
                </c:pt>
                <c:pt idx="144">
                  <c:v>395057.18398523174</c:v>
                </c:pt>
                <c:pt idx="145">
                  <c:v>396575.74266504997</c:v>
                </c:pt>
                <c:pt idx="146">
                  <c:v>398025.5403506041</c:v>
                </c:pt>
                <c:pt idx="147">
                  <c:v>399606.67997509544</c:v>
                </c:pt>
                <c:pt idx="148">
                  <c:v>401167.78222743195</c:v>
                </c:pt>
                <c:pt idx="149">
                  <c:v>402813.033242748</c:v>
                </c:pt>
                <c:pt idx="150">
                  <c:v>404436.38509518176</c:v>
                </c:pt>
                <c:pt idx="151">
                  <c:v>406146.15188473521</c:v>
                </c:pt>
                <c:pt idx="152">
                  <c:v>407888.83229694801</c:v>
                </c:pt>
                <c:pt idx="153">
                  <c:v>409606.70170047856</c:v>
                </c:pt>
                <c:pt idx="154">
                  <c:v>411414.34217602364</c:v>
                </c:pt>
                <c:pt idx="155">
                  <c:v>413195.17621762323</c:v>
                </c:pt>
                <c:pt idx="156">
                  <c:v>415067.96154172905</c:v>
                </c:pt>
                <c:pt idx="157">
                  <c:v>416973.8960308177</c:v>
                </c:pt>
                <c:pt idx="158">
                  <c:v>418723.88922454917</c:v>
                </c:pt>
                <c:pt idx="159">
                  <c:v>420692.94214232475</c:v>
                </c:pt>
                <c:pt idx="160">
                  <c:v>422630.04725189094</c:v>
                </c:pt>
                <c:pt idx="161">
                  <c:v>424664.32586879417</c:v>
                </c:pt>
                <c:pt idx="162">
                  <c:v>426664.50546803727</c:v>
                </c:pt>
                <c:pt idx="163">
                  <c:v>428763.89032632159</c:v>
                </c:pt>
                <c:pt idx="164">
                  <c:v>430896.28813647723</c:v>
                </c:pt>
                <c:pt idx="165">
                  <c:v>432991.27055984334</c:v>
                </c:pt>
                <c:pt idx="166">
                  <c:v>435188.42887923744</c:v>
                </c:pt>
                <c:pt idx="167">
                  <c:v>437345.92937166779</c:v>
                </c:pt>
                <c:pt idx="168">
                  <c:v>439607.50918865338</c:v>
                </c:pt>
                <c:pt idx="169">
                  <c:v>441901.66983664612</c:v>
                </c:pt>
                <c:pt idx="170">
                  <c:v>444001.71790256305</c:v>
                </c:pt>
                <c:pt idx="171">
                  <c:v>446357.54159235442</c:v>
                </c:pt>
                <c:pt idx="172">
                  <c:v>448668.02733430051</c:v>
                </c:pt>
                <c:pt idx="173">
                  <c:v>451087.05683405598</c:v>
                </c:pt>
                <c:pt idx="174">
                  <c:v>453458.40891107143</c:v>
                </c:pt>
                <c:pt idx="175">
                  <c:v>455940.00102520542</c:v>
                </c:pt>
                <c:pt idx="176">
                  <c:v>458453.11272239836</c:v>
                </c:pt>
                <c:pt idx="177">
                  <c:v>460914.97865630052</c:v>
                </c:pt>
                <c:pt idx="178">
                  <c:v>463489.51737017074</c:v>
                </c:pt>
                <c:pt idx="179">
                  <c:v>466010.42201236682</c:v>
                </c:pt>
                <c:pt idx="180">
                  <c:v>468645.52503919147</c:v>
                </c:pt>
                <c:pt idx="181">
                  <c:v>471311.0479994858</c:v>
                </c:pt>
                <c:pt idx="182">
                  <c:v>473744.55025602313</c:v>
                </c:pt>
                <c:pt idx="183">
                  <c:v>476467.24993891933</c:v>
                </c:pt>
                <c:pt idx="184">
                  <c:v>479130.34704371897</c:v>
                </c:pt>
                <c:pt idx="185">
                  <c:v>481911.09907482663</c:v>
                </c:pt>
                <c:pt idx="186">
                  <c:v>484629.82192163856</c:v>
                </c:pt>
                <c:pt idx="187">
                  <c:v>487467.45947450824</c:v>
                </c:pt>
                <c:pt idx="188">
                  <c:v>490333.53086639842</c:v>
                </c:pt>
                <c:pt idx="189">
                  <c:v>493133.9052893754</c:v>
                </c:pt>
                <c:pt idx="190">
                  <c:v>496054.93690268119</c:v>
                </c:pt>
                <c:pt idx="191">
                  <c:v>498907.83849582321</c:v>
                </c:pt>
                <c:pt idx="192">
                  <c:v>501882.44404540036</c:v>
                </c:pt>
                <c:pt idx="193">
                  <c:v>504883.71639288001</c:v>
                </c:pt>
                <c:pt idx="194">
                  <c:v>507715.15272502293</c:v>
                </c:pt>
                <c:pt idx="195">
                  <c:v>510766.91416634864</c:v>
                </c:pt>
                <c:pt idx="196">
                  <c:v>513744.49937592976</c:v>
                </c:pt>
                <c:pt idx="197">
                  <c:v>516845.99977639044</c:v>
                </c:pt>
                <c:pt idx="198">
                  <c:v>519870.91150095582</c:v>
                </c:pt>
                <c:pt idx="199">
                  <c:v>523020.45908299123</c:v>
                </c:pt>
                <c:pt idx="200">
                  <c:v>526193.74771435559</c:v>
                </c:pt>
                <c:pt idx="201">
                  <c:v>529286.83329297125</c:v>
                </c:pt>
                <c:pt idx="202">
                  <c:v>532505.45210808644</c:v>
                </c:pt>
                <c:pt idx="203">
                  <c:v>535641.49147681822</c:v>
                </c:pt>
                <c:pt idx="204">
                  <c:v>538903.52928609063</c:v>
                </c:pt>
                <c:pt idx="205">
                  <c:v>542186.87203084631</c:v>
                </c:pt>
                <c:pt idx="206">
                  <c:v>545170.34530129144</c:v>
                </c:pt>
                <c:pt idx="207">
                  <c:v>548492.76880357193</c:v>
                </c:pt>
                <c:pt idx="208">
                  <c:v>551726.81940968963</c:v>
                </c:pt>
                <c:pt idx="209">
                  <c:v>555087.55466304114</c:v>
                </c:pt>
                <c:pt idx="210">
                  <c:v>558357.61993259389</c:v>
                </c:pt>
                <c:pt idx="211">
                  <c:v>561754.45175638981</c:v>
                </c:pt>
                <c:pt idx="212">
                  <c:v>565168.75079127075</c:v>
                </c:pt>
                <c:pt idx="213">
                  <c:v>568488.97139946232</c:v>
                </c:pt>
                <c:pt idx="214">
                  <c:v>571935.86065096117</c:v>
                </c:pt>
                <c:pt idx="215">
                  <c:v>575286.45281043276</c:v>
                </c:pt>
                <c:pt idx="216">
                  <c:v>578763.4977353029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888-4B99-89D8-61FC579D83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in val="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2000"/>
              <a:t>Y-S-T (= 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TCSI!$G$1</c:f>
              <c:strCache>
                <c:ptCount val="1"/>
                <c:pt idx="0">
                  <c:v>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TCSI!$G$2:$G$219</c:f>
              <c:numCache>
                <c:formatCode>0_);[Red]\(0\)</c:formatCode>
                <c:ptCount val="218"/>
                <c:pt idx="0">
                  <c:v>-1938.4970964852316</c:v>
                </c:pt>
                <c:pt idx="1">
                  <c:v>-7081.7855697536152</c:v>
                </c:pt>
                <c:pt idx="2">
                  <c:v>9092.4584536362818</c:v>
                </c:pt>
                <c:pt idx="3">
                  <c:v>-4626.1159582222499</c:v>
                </c:pt>
                <c:pt idx="4">
                  <c:v>-6047.5440942945534</c:v>
                </c:pt>
                <c:pt idx="5">
                  <c:v>8884.2481723570854</c:v>
                </c:pt>
                <c:pt idx="6">
                  <c:v>6490.4225958250918</c:v>
                </c:pt>
                <c:pt idx="7">
                  <c:v>-2644.5808555027584</c:v>
                </c:pt>
                <c:pt idx="8">
                  <c:v>770.52187688091715</c:v>
                </c:pt>
                <c:pt idx="9">
                  <c:v>1419.6824709797243</c:v>
                </c:pt>
                <c:pt idx="10">
                  <c:v>-2562.3459558469208</c:v>
                </c:pt>
                <c:pt idx="11">
                  <c:v>-3056.5776194510731</c:v>
                </c:pt>
                <c:pt idx="12">
                  <c:v>3756.6864935049148</c:v>
                </c:pt>
                <c:pt idx="13">
                  <c:v>12882.200604451198</c:v>
                </c:pt>
                <c:pt idx="14">
                  <c:v>5707.2860959430582</c:v>
                </c:pt>
                <c:pt idx="15">
                  <c:v>7620.6673267570832</c:v>
                </c:pt>
                <c:pt idx="16">
                  <c:v>-1210.4625603406616</c:v>
                </c:pt>
                <c:pt idx="17">
                  <c:v>3399.6482636519781</c:v>
                </c:pt>
                <c:pt idx="18">
                  <c:v>10578.241223148383</c:v>
                </c:pt>
                <c:pt idx="19">
                  <c:v>12239.915234680417</c:v>
                </c:pt>
                <c:pt idx="20">
                  <c:v>-7538.7312815534024</c:v>
                </c:pt>
                <c:pt idx="21">
                  <c:v>6006.3243015364687</c:v>
                </c:pt>
                <c:pt idx="22">
                  <c:v>-6990.4422606475437</c:v>
                </c:pt>
                <c:pt idx="23">
                  <c:v>-2517.4347650775353</c:v>
                </c:pt>
                <c:pt idx="24">
                  <c:v>-1255.4985381205277</c:v>
                </c:pt>
                <c:pt idx="25">
                  <c:v>11807.22097758503</c:v>
                </c:pt>
                <c:pt idx="26">
                  <c:v>2432.4125741756575</c:v>
                </c:pt>
                <c:pt idx="27">
                  <c:v>8561.0564210031007</c:v>
                </c:pt>
                <c:pt idx="28">
                  <c:v>1011.6504514366856</c:v>
                </c:pt>
                <c:pt idx="29">
                  <c:v>5648.4735274459817</c:v>
                </c:pt>
                <c:pt idx="30">
                  <c:v>7877.918178780229</c:v>
                </c:pt>
                <c:pt idx="31">
                  <c:v>-11550.549632803728</c:v>
                </c:pt>
                <c:pt idx="32">
                  <c:v>-4326.2900854886466</c:v>
                </c:pt>
                <c:pt idx="33">
                  <c:v>-5404.9882155895757</c:v>
                </c:pt>
                <c:pt idx="34">
                  <c:v>-4078.3723898667713</c:v>
                </c:pt>
                <c:pt idx="35">
                  <c:v>2630.6178511768958</c:v>
                </c:pt>
                <c:pt idx="36">
                  <c:v>4261.7288494595496</c:v>
                </c:pt>
                <c:pt idx="37">
                  <c:v>-22251.540045094214</c:v>
                </c:pt>
                <c:pt idx="38">
                  <c:v>-4809.7420946872999</c:v>
                </c:pt>
                <c:pt idx="39">
                  <c:v>3507.407082750362</c:v>
                </c:pt>
                <c:pt idx="40">
                  <c:v>-8722.9610503530639</c:v>
                </c:pt>
                <c:pt idx="41">
                  <c:v>-3537.189177761562</c:v>
                </c:pt>
                <c:pt idx="42">
                  <c:v>-4402.561059803229</c:v>
                </c:pt>
                <c:pt idx="43">
                  <c:v>10249.644729205511</c:v>
                </c:pt>
                <c:pt idx="44">
                  <c:v>689.53256806172772</c:v>
                </c:pt>
                <c:pt idx="45">
                  <c:v>-5243.5012432307612</c:v>
                </c:pt>
                <c:pt idx="46">
                  <c:v>-439.26582669046098</c:v>
                </c:pt>
                <c:pt idx="47">
                  <c:v>-5734.4438873019362</c:v>
                </c:pt>
                <c:pt idx="48">
                  <c:v>1415.2887326165624</c:v>
                </c:pt>
                <c:pt idx="49">
                  <c:v>2944.1695094541237</c:v>
                </c:pt>
                <c:pt idx="50">
                  <c:v>-6985.8342776251484</c:v>
                </c:pt>
                <c:pt idx="51">
                  <c:v>-6258.6390068619376</c:v>
                </c:pt>
                <c:pt idx="52">
                  <c:v>7888.2118020655798</c:v>
                </c:pt>
                <c:pt idx="53">
                  <c:v>5324.1047690280202</c:v>
                </c:pt>
                <c:pt idx="54">
                  <c:v>11802.852616634509</c:v>
                </c:pt>
                <c:pt idx="55">
                  <c:v>-13514.067831516795</c:v>
                </c:pt>
                <c:pt idx="56">
                  <c:v>-493.91206304369666</c:v>
                </c:pt>
                <c:pt idx="57">
                  <c:v>-2810.0852430918062</c:v>
                </c:pt>
                <c:pt idx="58">
                  <c:v>-4424.7238993178953</c:v>
                </c:pt>
                <c:pt idx="59">
                  <c:v>9051.5800713508779</c:v>
                </c:pt>
                <c:pt idx="60">
                  <c:v>-6524.439469387049</c:v>
                </c:pt>
                <c:pt idx="61">
                  <c:v>-6374.5740007967088</c:v>
                </c:pt>
                <c:pt idx="62">
                  <c:v>21.986703433131556</c:v>
                </c:pt>
                <c:pt idx="63">
                  <c:v>-15304.5138599694</c:v>
                </c:pt>
                <c:pt idx="64">
                  <c:v>1048.6066578546829</c:v>
                </c:pt>
                <c:pt idx="65">
                  <c:v>-936.53153654856237</c:v>
                </c:pt>
                <c:pt idx="66">
                  <c:v>2636.100725745011</c:v>
                </c:pt>
                <c:pt idx="67">
                  <c:v>-2926.379520423438</c:v>
                </c:pt>
                <c:pt idx="68">
                  <c:v>-4356.1070650153642</c:v>
                </c:pt>
                <c:pt idx="69">
                  <c:v>5793.3250659148944</c:v>
                </c:pt>
                <c:pt idx="70">
                  <c:v>11415.545730031885</c:v>
                </c:pt>
                <c:pt idx="71">
                  <c:v>338.622702892277</c:v>
                </c:pt>
                <c:pt idx="72">
                  <c:v>3339.5423922133205</c:v>
                </c:pt>
                <c:pt idx="73">
                  <c:v>-2277.2745494162637</c:v>
                </c:pt>
                <c:pt idx="74">
                  <c:v>-1998.442545609877</c:v>
                </c:pt>
                <c:pt idx="75">
                  <c:v>211.95381588720574</c:v>
                </c:pt>
                <c:pt idx="76">
                  <c:v>865.61223655570416</c:v>
                </c:pt>
                <c:pt idx="77">
                  <c:v>-12114.440966999189</c:v>
                </c:pt>
                <c:pt idx="78">
                  <c:v>-1769.3839528373173</c:v>
                </c:pt>
                <c:pt idx="79">
                  <c:v>-753.60559371678517</c:v>
                </c:pt>
                <c:pt idx="80">
                  <c:v>15590.157452387934</c:v>
                </c:pt>
                <c:pt idx="81">
                  <c:v>-11314.008866310842</c:v>
                </c:pt>
                <c:pt idx="82">
                  <c:v>-13142.241775991937</c:v>
                </c:pt>
                <c:pt idx="83">
                  <c:v>2643.7910884398311</c:v>
                </c:pt>
                <c:pt idx="84">
                  <c:v>-3721.0881113700725</c:v>
                </c:pt>
                <c:pt idx="85">
                  <c:v>1416.7307119821226</c:v>
                </c:pt>
                <c:pt idx="86">
                  <c:v>-827.6796491733063</c:v>
                </c:pt>
                <c:pt idx="87">
                  <c:v>10453.403192210697</c:v>
                </c:pt>
                <c:pt idx="88">
                  <c:v>4667.9155574108545</c:v>
                </c:pt>
                <c:pt idx="89">
                  <c:v>562.14562298670501</c:v>
                </c:pt>
                <c:pt idx="90">
                  <c:v>-4121.4464034273051</c:v>
                </c:pt>
                <c:pt idx="91">
                  <c:v>4095.3861959536557</c:v>
                </c:pt>
                <c:pt idx="92">
                  <c:v>-5302.3255987597213</c:v>
                </c:pt>
                <c:pt idx="93">
                  <c:v>3018.0678348158094</c:v>
                </c:pt>
                <c:pt idx="94">
                  <c:v>-7856.4442220059291</c:v>
                </c:pt>
                <c:pt idx="95">
                  <c:v>-10779.288501310042</c:v>
                </c:pt>
                <c:pt idx="96">
                  <c:v>130.54560268930231</c:v>
                </c:pt>
                <c:pt idx="97">
                  <c:v>3750.1138173096297</c:v>
                </c:pt>
                <c:pt idx="98">
                  <c:v>-6016.7491729159756</c:v>
                </c:pt>
                <c:pt idx="99">
                  <c:v>13411.331151148441</c:v>
                </c:pt>
                <c:pt idx="100">
                  <c:v>9293.6129224824435</c:v>
                </c:pt>
                <c:pt idx="101">
                  <c:v>-4621.9608141512399</c:v>
                </c:pt>
                <c:pt idx="102">
                  <c:v>4971.2907198364956</c:v>
                </c:pt>
                <c:pt idx="103">
                  <c:v>-13449.750155062418</c:v>
                </c:pt>
                <c:pt idx="104">
                  <c:v>-3166.0552233017524</c:v>
                </c:pt>
                <c:pt idx="105">
                  <c:v>1117.3869975229741</c:v>
                </c:pt>
                <c:pt idx="106">
                  <c:v>-4780.1605280656586</c:v>
                </c:pt>
                <c:pt idx="107">
                  <c:v>-17076.535611003794</c:v>
                </c:pt>
                <c:pt idx="108">
                  <c:v>-10624.373035634295</c:v>
                </c:pt>
                <c:pt idx="109">
                  <c:v>-4409.9613485929276</c:v>
                </c:pt>
                <c:pt idx="110">
                  <c:v>-5415.5316499260744</c:v>
                </c:pt>
                <c:pt idx="111">
                  <c:v>8406.6752791992058</c:v>
                </c:pt>
                <c:pt idx="112">
                  <c:v>-3125.1565881864904</c:v>
                </c:pt>
                <c:pt idx="113">
                  <c:v>-12618.242754621439</c:v>
                </c:pt>
                <c:pt idx="114">
                  <c:v>-922.87434673432756</c:v>
                </c:pt>
                <c:pt idx="115">
                  <c:v>-590.98196158347957</c:v>
                </c:pt>
                <c:pt idx="116">
                  <c:v>886.18125868158927</c:v>
                </c:pt>
                <c:pt idx="117">
                  <c:v>5452.475970107208</c:v>
                </c:pt>
                <c:pt idx="118">
                  <c:v>4341.6708641173</c:v>
                </c:pt>
                <c:pt idx="119">
                  <c:v>-538.08337562217753</c:v>
                </c:pt>
                <c:pt idx="120">
                  <c:v>3622.39338244275</c:v>
                </c:pt>
                <c:pt idx="121">
                  <c:v>3586.6235348762511</c:v>
                </c:pt>
                <c:pt idx="122">
                  <c:v>726.60059313201782</c:v>
                </c:pt>
                <c:pt idx="123">
                  <c:v>-2895.6069074057982</c:v>
                </c:pt>
                <c:pt idx="124">
                  <c:v>9038.4437053617821</c:v>
                </c:pt>
                <c:pt idx="125">
                  <c:v>2701.3048062690309</c:v>
                </c:pt>
                <c:pt idx="126">
                  <c:v>67.923976144924197</c:v>
                </c:pt>
                <c:pt idx="127">
                  <c:v>-278.05266346445705</c:v>
                </c:pt>
                <c:pt idx="128">
                  <c:v>-10945.419011441225</c:v>
                </c:pt>
                <c:pt idx="129">
                  <c:v>646.63596411609421</c:v>
                </c:pt>
                <c:pt idx="130">
                  <c:v>6726.8453364502957</c:v>
                </c:pt>
                <c:pt idx="131">
                  <c:v>9689.6895773113465</c:v>
                </c:pt>
                <c:pt idx="132">
                  <c:v>-436.22179585768555</c:v>
                </c:pt>
                <c:pt idx="133">
                  <c:v>5236.8215013494364</c:v>
                </c:pt>
                <c:pt idx="134">
                  <c:v>2352.5542184496235</c:v>
                </c:pt>
                <c:pt idx="135">
                  <c:v>3875.8228379368238</c:v>
                </c:pt>
                <c:pt idx="136">
                  <c:v>-8794.5675324026561</c:v>
                </c:pt>
                <c:pt idx="137">
                  <c:v>-1010.541954961174</c:v>
                </c:pt>
                <c:pt idx="138">
                  <c:v>3162.9790904002061</c:v>
                </c:pt>
                <c:pt idx="139">
                  <c:v>-6123.3999085762398</c:v>
                </c:pt>
                <c:pt idx="140">
                  <c:v>-5681.7653772489757</c:v>
                </c:pt>
                <c:pt idx="141">
                  <c:v>11219.083483824114</c:v>
                </c:pt>
                <c:pt idx="142">
                  <c:v>6660.0839515149964</c:v>
                </c:pt>
                <c:pt idx="143">
                  <c:v>1626.1448471749377</c:v>
                </c:pt>
                <c:pt idx="144">
                  <c:v>-2152.2779199863239</c:v>
                </c:pt>
                <c:pt idx="145">
                  <c:v>-8996.6506187994692</c:v>
                </c:pt>
                <c:pt idx="146">
                  <c:v>-270.29768635234223</c:v>
                </c:pt>
                <c:pt idx="147">
                  <c:v>-2488.622122939521</c:v>
                </c:pt>
                <c:pt idx="148">
                  <c:v>-3206.6565667108744</c:v>
                </c:pt>
                <c:pt idx="149">
                  <c:v>-3449.4442661119706</c:v>
                </c:pt>
                <c:pt idx="150">
                  <c:v>10101.93485040308</c:v>
                </c:pt>
                <c:pt idx="151">
                  <c:v>3452.6231142819861</c:v>
                </c:pt>
                <c:pt idx="152">
                  <c:v>-3121.4481698832974</c:v>
                </c:pt>
                <c:pt idx="153">
                  <c:v>-1578.0932309334387</c:v>
                </c:pt>
                <c:pt idx="154">
                  <c:v>5703.3799988035526</c:v>
                </c:pt>
                <c:pt idx="155">
                  <c:v>1083.0177807137363</c:v>
                </c:pt>
                <c:pt idx="156">
                  <c:v>2038.7440936754317</c:v>
                </c:pt>
                <c:pt idx="157">
                  <c:v>772.38237033705502</c:v>
                </c:pt>
                <c:pt idx="158">
                  <c:v>9877.102099814334</c:v>
                </c:pt>
                <c:pt idx="159">
                  <c:v>6705.6548873095799</c:v>
                </c:pt>
                <c:pt idx="160">
                  <c:v>-4237.0596231511645</c:v>
                </c:pt>
                <c:pt idx="161">
                  <c:v>12379.282197684772</c:v>
                </c:pt>
                <c:pt idx="162">
                  <c:v>-18073.160972793663</c:v>
                </c:pt>
                <c:pt idx="163">
                  <c:v>5343.1650108942158</c:v>
                </c:pt>
                <c:pt idx="164">
                  <c:v>-6492.6249930592048</c:v>
                </c:pt>
                <c:pt idx="165">
                  <c:v>6283.3964859791549</c:v>
                </c:pt>
                <c:pt idx="166">
                  <c:v>-2079.3218294066724</c:v>
                </c:pt>
                <c:pt idx="167">
                  <c:v>2082.223307688319</c:v>
                </c:pt>
                <c:pt idx="168">
                  <c:v>7700.4381827011248</c:v>
                </c:pt>
                <c:pt idx="169">
                  <c:v>-9799.4549588749178</c:v>
                </c:pt>
                <c:pt idx="170">
                  <c:v>5234.3275199301206</c:v>
                </c:pt>
                <c:pt idx="171">
                  <c:v>904.48242667447983</c:v>
                </c:pt>
                <c:pt idx="172">
                  <c:v>9982.3789884235957</c:v>
                </c:pt>
                <c:pt idx="173">
                  <c:v>156.38042683891467</c:v>
                </c:pt>
                <c:pt idx="174">
                  <c:v>4030.7604138624743</c:v>
                </c:pt>
                <c:pt idx="175">
                  <c:v>6781.2627737795665</c:v>
                </c:pt>
                <c:pt idx="176">
                  <c:v>-225.0179373049464</c:v>
                </c:pt>
                <c:pt idx="177">
                  <c:v>-8191.3017502240673</c:v>
                </c:pt>
                <c:pt idx="178">
                  <c:v>-4379.2088440431908</c:v>
                </c:pt>
                <c:pt idx="179">
                  <c:v>-5167.6369202514852</c:v>
                </c:pt>
                <c:pt idx="180">
                  <c:v>3972.3141981701183</c:v>
                </c:pt>
                <c:pt idx="181">
                  <c:v>12176.775778964879</c:v>
                </c:pt>
                <c:pt idx="182">
                  <c:v>-4625.1162291421442</c:v>
                </c:pt>
                <c:pt idx="183">
                  <c:v>6951.6870375600174</c:v>
                </c:pt>
                <c:pt idx="184">
                  <c:v>-4893.9442647146525</c:v>
                </c:pt>
                <c:pt idx="185">
                  <c:v>-5657.1122500827441</c:v>
                </c:pt>
                <c:pt idx="186">
                  <c:v>5979.7908246839506</c:v>
                </c:pt>
                <c:pt idx="187">
                  <c:v>-7082.1886288527403</c:v>
                </c:pt>
                <c:pt idx="188">
                  <c:v>19147.262294199318</c:v>
                </c:pt>
                <c:pt idx="189">
                  <c:v>-1500.5830228747561</c:v>
                </c:pt>
                <c:pt idx="190">
                  <c:v>2291.1844221514702</c:v>
                </c:pt>
                <c:pt idx="191">
                  <c:v>-5609.897886079716</c:v>
                </c:pt>
                <c:pt idx="192">
                  <c:v>-8575.9157974342361</c:v>
                </c:pt>
                <c:pt idx="193">
                  <c:v>-4506.3174556775457</c:v>
                </c:pt>
                <c:pt idx="194">
                  <c:v>-4340.6848522230912</c:v>
                </c:pt>
                <c:pt idx="195">
                  <c:v>8124.8013868554744</c:v>
                </c:pt>
                <c:pt idx="196">
                  <c:v>9678.9812740250836</c:v>
                </c:pt>
                <c:pt idx="197">
                  <c:v>8959.0550760653714</c:v>
                </c:pt>
                <c:pt idx="198">
                  <c:v>-6830.7076898921468</c:v>
                </c:pt>
                <c:pt idx="199">
                  <c:v>15116.443073672759</c:v>
                </c:pt>
                <c:pt idx="200">
                  <c:v>-3646.8688355548079</c:v>
                </c:pt>
                <c:pt idx="201">
                  <c:v>-2938.6792554127396</c:v>
                </c:pt>
                <c:pt idx="202">
                  <c:v>88.530987036061646</c:v>
                </c:pt>
                <c:pt idx="203">
                  <c:v>-2699.8641781602801</c:v>
                </c:pt>
                <c:pt idx="204">
                  <c:v>1382.2060184319712</c:v>
                </c:pt>
                <c:pt idx="205">
                  <c:v>4764.2657525083214</c:v>
                </c:pt>
                <c:pt idx="206">
                  <c:v>-2266.9984719007134</c:v>
                </c:pt>
                <c:pt idx="207">
                  <c:v>6750.3771190436464</c:v>
                </c:pt>
                <c:pt idx="208">
                  <c:v>11514.867778299613</c:v>
                </c:pt>
                <c:pt idx="209">
                  <c:v>-951.19449156884298</c:v>
                </c:pt>
                <c:pt idx="210">
                  <c:v>4009.1813917978657</c:v>
                </c:pt>
                <c:pt idx="211">
                  <c:v>-3991.2965844298305</c:v>
                </c:pt>
                <c:pt idx="212">
                  <c:v>-4534.2008338848918</c:v>
                </c:pt>
                <c:pt idx="213">
                  <c:v>-825.39880328253969</c:v>
                </c:pt>
                <c:pt idx="214">
                  <c:v>1477.7956683138359</c:v>
                </c:pt>
                <c:pt idx="215">
                  <c:v>3088.883144912777</c:v>
                </c:pt>
                <c:pt idx="216">
                  <c:v>3089.8831449127802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28-4712-B484-F52446E2F6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&quot;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ax val="200000"/>
          <c:min val="-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Y (=T+S+I)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TCSI!$H$1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TCSI!$H$2:$H$219</c:f>
              <c:numCache>
                <c:formatCode>0_);[Red]\(0\)</c:formatCode>
                <c:ptCount val="218"/>
                <c:pt idx="0">
                  <c:v>237864.75278540078</c:v>
                </c:pt>
                <c:pt idx="1">
                  <c:v>243232.83457092615</c:v>
                </c:pt>
                <c:pt idx="2">
                  <c:v>270416.22627827903</c:v>
                </c:pt>
                <c:pt idx="3">
                  <c:v>272038.05151957041</c:v>
                </c:pt>
                <c:pt idx="4">
                  <c:v>278475.09745281382</c:v>
                </c:pt>
                <c:pt idx="5">
                  <c:v>290264.39626025298</c:v>
                </c:pt>
                <c:pt idx="6">
                  <c:v>276049.63906158268</c:v>
                </c:pt>
                <c:pt idx="7">
                  <c:v>249662.39281808783</c:v>
                </c:pt>
                <c:pt idx="8">
                  <c:v>237849.64105915211</c:v>
                </c:pt>
                <c:pt idx="9">
                  <c:v>239646.20003150075</c:v>
                </c:pt>
                <c:pt idx="10">
                  <c:v>250647.56361561638</c:v>
                </c:pt>
                <c:pt idx="11">
                  <c:v>264290.02043036767</c:v>
                </c:pt>
                <c:pt idx="12">
                  <c:v>283102.60063482996</c:v>
                </c:pt>
                <c:pt idx="13">
                  <c:v>301633.94364417117</c:v>
                </c:pt>
                <c:pt idx="14">
                  <c:v>304366.60202033573</c:v>
                </c:pt>
                <c:pt idx="15">
                  <c:v>320556.20953828073</c:v>
                </c:pt>
                <c:pt idx="16">
                  <c:v>318572.54237437184</c:v>
                </c:pt>
                <c:pt idx="17">
                  <c:v>319014.77773619932</c:v>
                </c:pt>
                <c:pt idx="18">
                  <c:v>313398.71381750761</c:v>
                </c:pt>
                <c:pt idx="19">
                  <c:v>296821.02959301864</c:v>
                </c:pt>
                <c:pt idx="20">
                  <c:v>260846.65896337939</c:v>
                </c:pt>
                <c:pt idx="21">
                  <c:v>274620.66183003742</c:v>
                </c:pt>
                <c:pt idx="22">
                  <c:v>275676.89272622159</c:v>
                </c:pt>
                <c:pt idx="23">
                  <c:v>293404.14987555915</c:v>
                </c:pt>
                <c:pt idx="24">
                  <c:v>305771.95793237089</c:v>
                </c:pt>
                <c:pt idx="25">
                  <c:v>327365.63899461454</c:v>
                </c:pt>
                <c:pt idx="26">
                  <c:v>327124.05522530898</c:v>
                </c:pt>
                <c:pt idx="27">
                  <c:v>346689.03963429446</c:v>
                </c:pt>
                <c:pt idx="28">
                  <c:v>345191.61820254364</c:v>
                </c:pt>
                <c:pt idx="29">
                  <c:v>344856.33138782281</c:v>
                </c:pt>
                <c:pt idx="30">
                  <c:v>333529.8883210214</c:v>
                </c:pt>
                <c:pt idx="31">
                  <c:v>295092.95440045389</c:v>
                </c:pt>
                <c:pt idx="32">
                  <c:v>285370.03206734761</c:v>
                </c:pt>
                <c:pt idx="33">
                  <c:v>283809.74163812387</c:v>
                </c:pt>
                <c:pt idx="34">
                  <c:v>298472.23231990368</c:v>
                </c:pt>
                <c:pt idx="35">
                  <c:v>317757.90631461842</c:v>
                </c:pt>
                <c:pt idx="36">
                  <c:v>329811.57699078432</c:v>
                </c:pt>
                <c:pt idx="37">
                  <c:v>311162.93876833143</c:v>
                </c:pt>
                <c:pt idx="38">
                  <c:v>337150.59716648923</c:v>
                </c:pt>
                <c:pt idx="39">
                  <c:v>358269.70085872943</c:v>
                </c:pt>
                <c:pt idx="40">
                  <c:v>351493.19052773615</c:v>
                </c:pt>
                <c:pt idx="41">
                  <c:v>351104.97808103409</c:v>
                </c:pt>
                <c:pt idx="42">
                  <c:v>336116.80072625139</c:v>
                </c:pt>
                <c:pt idx="43">
                  <c:v>331190.65292262292</c:v>
                </c:pt>
                <c:pt idx="44">
                  <c:v>304129.52599136264</c:v>
                </c:pt>
                <c:pt idx="45">
                  <c:v>297194.09105149226</c:v>
                </c:pt>
                <c:pt idx="46">
                  <c:v>314811.56408838654</c:v>
                </c:pt>
                <c:pt idx="47">
                  <c:v>321602.19643346965</c:v>
                </c:pt>
                <c:pt idx="48">
                  <c:v>338682.52250513935</c:v>
                </c:pt>
                <c:pt idx="49">
                  <c:v>347599.4535777627</c:v>
                </c:pt>
                <c:pt idx="50">
                  <c:v>345820.73603832192</c:v>
                </c:pt>
                <c:pt idx="51">
                  <c:v>358901.2266155539</c:v>
                </c:pt>
                <c:pt idx="52">
                  <c:v>378082.06215459749</c:v>
                </c:pt>
                <c:pt idx="53">
                  <c:v>369524.76010104635</c:v>
                </c:pt>
                <c:pt idx="54">
                  <c:v>361489.07342251629</c:v>
                </c:pt>
                <c:pt idx="55">
                  <c:v>316203.51114569471</c:v>
                </c:pt>
                <c:pt idx="56">
                  <c:v>311346.86061860982</c:v>
                </c:pt>
                <c:pt idx="57">
                  <c:v>307678.29193232243</c:v>
                </c:pt>
                <c:pt idx="58">
                  <c:v>318529.22848473419</c:v>
                </c:pt>
                <c:pt idx="59">
                  <c:v>343768.31568329054</c:v>
                </c:pt>
                <c:pt idx="60">
                  <c:v>337802.83028388926</c:v>
                </c:pt>
                <c:pt idx="61">
                  <c:v>345034.51296415832</c:v>
                </c:pt>
                <c:pt idx="62">
                  <c:v>359294.75950162724</c:v>
                </c:pt>
                <c:pt idx="63">
                  <c:v>356042.24753561226</c:v>
                </c:pt>
                <c:pt idx="64">
                  <c:v>377171.80923455476</c:v>
                </c:pt>
                <c:pt idx="65">
                  <c:v>368940.39420928311</c:v>
                </c:pt>
                <c:pt idx="66">
                  <c:v>357766.17352221778</c:v>
                </c:pt>
                <c:pt idx="67">
                  <c:v>332007.67000262963</c:v>
                </c:pt>
                <c:pt idx="68">
                  <c:v>312486.61454692995</c:v>
                </c:pt>
                <c:pt idx="69">
                  <c:v>321088.16628606501</c:v>
                </c:pt>
                <c:pt idx="70">
                  <c:v>338986.34983465075</c:v>
                </c:pt>
                <c:pt idx="71">
                  <c:v>339500.57712330524</c:v>
                </c:pt>
                <c:pt idx="72">
                  <c:v>351946.80341963167</c:v>
                </c:pt>
                <c:pt idx="73">
                  <c:v>353258.76742547995</c:v>
                </c:pt>
                <c:pt idx="74">
                  <c:v>361273.42494454596</c:v>
                </c:pt>
                <c:pt idx="75">
                  <c:v>375427.60215157893</c:v>
                </c:pt>
                <c:pt idx="76">
                  <c:v>380742.92892350513</c:v>
                </c:pt>
                <c:pt idx="77">
                  <c:v>361409.47762553167</c:v>
                </c:pt>
                <c:pt idx="78">
                  <c:v>356914.99685274193</c:v>
                </c:pt>
                <c:pt idx="79">
                  <c:v>337650.19270726957</c:v>
                </c:pt>
                <c:pt idx="80">
                  <c:v>335829.33357666567</c:v>
                </c:pt>
                <c:pt idx="81">
                  <c:v>307316.95510869351</c:v>
                </c:pt>
                <c:pt idx="82">
                  <c:v>317713.16188849666</c:v>
                </c:pt>
                <c:pt idx="83">
                  <c:v>345050.82833273557</c:v>
                </c:pt>
                <c:pt idx="84">
                  <c:v>348100.97919222555</c:v>
                </c:pt>
                <c:pt idx="85">
                  <c:v>360147.89891958848</c:v>
                </c:pt>
                <c:pt idx="86">
                  <c:v>365630.53381771321</c:v>
                </c:pt>
                <c:pt idx="87">
                  <c:v>388855.51083062805</c:v>
                </c:pt>
                <c:pt idx="88">
                  <c:v>387741.51751547545</c:v>
                </c:pt>
                <c:pt idx="89">
                  <c:v>377302.41134822654</c:v>
                </c:pt>
                <c:pt idx="90">
                  <c:v>357808.15880336054</c:v>
                </c:pt>
                <c:pt idx="91">
                  <c:v>345783.89491605078</c:v>
                </c:pt>
                <c:pt idx="92">
                  <c:v>318270.71730227472</c:v>
                </c:pt>
                <c:pt idx="93">
                  <c:v>325039.54915002856</c:v>
                </c:pt>
                <c:pt idx="94">
                  <c:v>326457.26645454852</c:v>
                </c:pt>
                <c:pt idx="95">
                  <c:v>335160.48484199244</c:v>
                </c:pt>
                <c:pt idx="96">
                  <c:v>355571.24764524266</c:v>
                </c:pt>
                <c:pt idx="97">
                  <c:v>366194.81738244009</c:v>
                </c:pt>
                <c:pt idx="98">
                  <c:v>364260.78541256534</c:v>
                </c:pt>
                <c:pt idx="99">
                  <c:v>395744.86113117542</c:v>
                </c:pt>
                <c:pt idx="100">
                  <c:v>396415.34080550482</c:v>
                </c:pt>
                <c:pt idx="101">
                  <c:v>376295.38486582955</c:v>
                </c:pt>
                <c:pt idx="102">
                  <c:v>371210.73424314748</c:v>
                </c:pt>
                <c:pt idx="103">
                  <c:v>332693.87798203138</c:v>
                </c:pt>
                <c:pt idx="104">
                  <c:v>325015.48408626864</c:v>
                </c:pt>
                <c:pt idx="105">
                  <c:v>327903.37455130822</c:v>
                </c:pt>
                <c:pt idx="106">
                  <c:v>334466.96756690467</c:v>
                </c:pt>
                <c:pt idx="107">
                  <c:v>333967.44369211729</c:v>
                </c:pt>
                <c:pt idx="108">
                  <c:v>350104.45463366446</c:v>
                </c:pt>
                <c:pt idx="109">
                  <c:v>363514.21331478324</c:v>
                </c:pt>
                <c:pt idx="110">
                  <c:v>370508.12759352598</c:v>
                </c:pt>
                <c:pt idx="111">
                  <c:v>396590.99137117312</c:v>
                </c:pt>
                <c:pt idx="112">
                  <c:v>390052.09296651062</c:v>
                </c:pt>
                <c:pt idx="113">
                  <c:v>374572.95152983465</c:v>
                </c:pt>
                <c:pt idx="114">
                  <c:v>371808.12434448971</c:v>
                </c:pt>
                <c:pt idx="115">
                  <c:v>352275.66954236594</c:v>
                </c:pt>
                <c:pt idx="116">
                  <c:v>336028.68959219806</c:v>
                </c:pt>
                <c:pt idx="117">
                  <c:v>339435.74242763984</c:v>
                </c:pt>
                <c:pt idx="118">
                  <c:v>351036.37419528438</c:v>
                </c:pt>
                <c:pt idx="119">
                  <c:v>358201.47967658885</c:v>
                </c:pt>
                <c:pt idx="120">
                  <c:v>372308.9276335559</c:v>
                </c:pt>
                <c:pt idx="121">
                  <c:v>379736.4369252607</c:v>
                </c:pt>
                <c:pt idx="122">
                  <c:v>385122.78241878602</c:v>
                </c:pt>
                <c:pt idx="123">
                  <c:v>394039.84635270311</c:v>
                </c:pt>
                <c:pt idx="124">
                  <c:v>411241.61587972229</c:v>
                </c:pt>
                <c:pt idx="125">
                  <c:v>399207.56530567346</c:v>
                </c:pt>
                <c:pt idx="126">
                  <c:v>382398.71008715429</c:v>
                </c:pt>
                <c:pt idx="127">
                  <c:v>362487.53474126913</c:v>
                </c:pt>
                <c:pt idx="128">
                  <c:v>334400.05729715363</c:v>
                </c:pt>
                <c:pt idx="129">
                  <c:v>345131.61732402403</c:v>
                </c:pt>
                <c:pt idx="130">
                  <c:v>364236.51007377647</c:v>
                </c:pt>
                <c:pt idx="131">
                  <c:v>379551.62455878209</c:v>
                </c:pt>
                <c:pt idx="132">
                  <c:v>379694.62122820463</c:v>
                </c:pt>
                <c:pt idx="133">
                  <c:v>393157.09607055661</c:v>
                </c:pt>
                <c:pt idx="134">
                  <c:v>398817.29727593256</c:v>
                </c:pt>
                <c:pt idx="135">
                  <c:v>413213.63897319644</c:v>
                </c:pt>
                <c:pt idx="136">
                  <c:v>406137.64239764953</c:v>
                </c:pt>
                <c:pt idx="137">
                  <c:v>408565.9510189399</c:v>
                </c:pt>
                <c:pt idx="138">
                  <c:v>398897.57357871585</c:v>
                </c:pt>
                <c:pt idx="139">
                  <c:v>370394.05963263946</c:v>
                </c:pt>
                <c:pt idx="140">
                  <c:v>353766.93683042563</c:v>
                </c:pt>
                <c:pt idx="141">
                  <c:v>370150.31556585606</c:v>
                </c:pt>
                <c:pt idx="142">
                  <c:v>378973.43189738668</c:v>
                </c:pt>
                <c:pt idx="143">
                  <c:v>386640.41694817378</c:v>
                </c:pt>
                <c:pt idx="144">
                  <c:v>393493.88944027072</c:v>
                </c:pt>
                <c:pt idx="145">
                  <c:v>394804.55759209068</c:v>
                </c:pt>
                <c:pt idx="146">
                  <c:v>412458.21233765542</c:v>
                </c:pt>
                <c:pt idx="147">
                  <c:v>423484.23400031292</c:v>
                </c:pt>
                <c:pt idx="148">
                  <c:v>428722.01746160013</c:v>
                </c:pt>
                <c:pt idx="149">
                  <c:v>423499.05088203883</c:v>
                </c:pt>
                <c:pt idx="150">
                  <c:v>423573.82888109144</c:v>
                </c:pt>
                <c:pt idx="151">
                  <c:v>398086.65995515237</c:v>
                </c:pt>
                <c:pt idx="152">
                  <c:v>374824.80825356307</c:v>
                </c:pt>
                <c:pt idx="153">
                  <c:v>376220.87043547654</c:v>
                </c:pt>
                <c:pt idx="154">
                  <c:v>397268.38378983235</c:v>
                </c:pt>
                <c:pt idx="155">
                  <c:v>405721.72116825235</c:v>
                </c:pt>
                <c:pt idx="156">
                  <c:v>417695.68901042984</c:v>
                </c:pt>
                <c:pt idx="157">
                  <c:v>424971.74394699495</c:v>
                </c:pt>
                <c:pt idx="158">
                  <c:v>443303.96099776716</c:v>
                </c:pt>
                <c:pt idx="159">
                  <c:v>453764.77317779133</c:v>
                </c:pt>
                <c:pt idx="160">
                  <c:v>449153.87942961883</c:v>
                </c:pt>
                <c:pt idx="161">
                  <c:v>461179.06997188175</c:v>
                </c:pt>
                <c:pt idx="162">
                  <c:v>417626.8534307502</c:v>
                </c:pt>
                <c:pt idx="163">
                  <c:v>422594.94029335101</c:v>
                </c:pt>
                <c:pt idx="164">
                  <c:v>394461.08726991637</c:v>
                </c:pt>
                <c:pt idx="165">
                  <c:v>407466.92901175388</c:v>
                </c:pt>
                <c:pt idx="166">
                  <c:v>413259.76866483595</c:v>
                </c:pt>
                <c:pt idx="167">
                  <c:v>430871.67984927149</c:v>
                </c:pt>
                <c:pt idx="168">
                  <c:v>447896.93074637983</c:v>
                </c:pt>
                <c:pt idx="169">
                  <c:v>439327.68042361143</c:v>
                </c:pt>
                <c:pt idx="170">
                  <c:v>463939.01509589684</c:v>
                </c:pt>
                <c:pt idx="171">
                  <c:v>473628.20016718586</c:v>
                </c:pt>
                <c:pt idx="172">
                  <c:v>489411.29812360316</c:v>
                </c:pt>
                <c:pt idx="173">
                  <c:v>475378.89916629775</c:v>
                </c:pt>
                <c:pt idx="174">
                  <c:v>466524.67826044047</c:v>
                </c:pt>
                <c:pt idx="175">
                  <c:v>451209.14875512017</c:v>
                </c:pt>
                <c:pt idx="176">
                  <c:v>428285.51891159179</c:v>
                </c:pt>
                <c:pt idx="177">
                  <c:v>420915.93887200783</c:v>
                </c:pt>
                <c:pt idx="178">
                  <c:v>439260.97014113271</c:v>
                </c:pt>
                <c:pt idx="179">
                  <c:v>452286.31226203073</c:v>
                </c:pt>
                <c:pt idx="180">
                  <c:v>473206.8226123869</c:v>
                </c:pt>
                <c:pt idx="181">
                  <c:v>490713.28932429088</c:v>
                </c:pt>
                <c:pt idx="182">
                  <c:v>483822.40370028466</c:v>
                </c:pt>
                <c:pt idx="183">
                  <c:v>509785.11312463635</c:v>
                </c:pt>
                <c:pt idx="184">
                  <c:v>504997.29457988334</c:v>
                </c:pt>
                <c:pt idx="185">
                  <c:v>500389.44873014675</c:v>
                </c:pt>
                <c:pt idx="186">
                  <c:v>499645.1216818291</c:v>
                </c:pt>
                <c:pt idx="187">
                  <c:v>468873.15580179071</c:v>
                </c:pt>
                <c:pt idx="188">
                  <c:v>479538.21728709608</c:v>
                </c:pt>
                <c:pt idx="189">
                  <c:v>459825.58423243201</c:v>
                </c:pt>
                <c:pt idx="190">
                  <c:v>478496.78293983784</c:v>
                </c:pt>
                <c:pt idx="191">
                  <c:v>484741.46777965885</c:v>
                </c:pt>
                <c:pt idx="192">
                  <c:v>493895.51162299147</c:v>
                </c:pt>
                <c:pt idx="193">
                  <c:v>507602.86448304268</c:v>
                </c:pt>
                <c:pt idx="194">
                  <c:v>518077.4375462035</c:v>
                </c:pt>
                <c:pt idx="195">
                  <c:v>545257.89170136105</c:v>
                </c:pt>
                <c:pt idx="196">
                  <c:v>554184.37245083391</c:v>
                </c:pt>
                <c:pt idx="197">
                  <c:v>549940.51675785868</c:v>
                </c:pt>
                <c:pt idx="198">
                  <c:v>522075.71274657024</c:v>
                </c:pt>
                <c:pt idx="199">
                  <c:v>526624.78711279912</c:v>
                </c:pt>
                <c:pt idx="200">
                  <c:v>492604.30300529912</c:v>
                </c:pt>
                <c:pt idx="201">
                  <c:v>494540.41600348993</c:v>
                </c:pt>
                <c:pt idx="202">
                  <c:v>512744.64471012767</c:v>
                </c:pt>
                <c:pt idx="203">
                  <c:v>524385.15446857328</c:v>
                </c:pt>
                <c:pt idx="204">
                  <c:v>540874.71867954789</c:v>
                </c:pt>
                <c:pt idx="205">
                  <c:v>554176.60332919483</c:v>
                </c:pt>
                <c:pt idx="206">
                  <c:v>557606.31650279439</c:v>
                </c:pt>
                <c:pt idx="207">
                  <c:v>581609.32207077253</c:v>
                </c:pt>
                <c:pt idx="208">
                  <c:v>594002.57898886828</c:v>
                </c:pt>
                <c:pt idx="209">
                  <c:v>578271.82207687513</c:v>
                </c:pt>
                <c:pt idx="210">
                  <c:v>571402.31025989831</c:v>
                </c:pt>
                <c:pt idx="211">
                  <c:v>546251.04012809519</c:v>
                </c:pt>
                <c:pt idx="212">
                  <c:v>530691.97408388415</c:v>
                </c:pt>
                <c:pt idx="213">
                  <c:v>535855.83456211118</c:v>
                </c:pt>
                <c:pt idx="214">
                  <c:v>553564.31793428014</c:v>
                </c:pt>
                <c:pt idx="215">
                  <c:v>569818.86312526092</c:v>
                </c:pt>
                <c:pt idx="216">
                  <c:v>582442.364255241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407-42F7-A14D-21C8DCF34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in val="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8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2000"/>
              <a:t>Y-T (=S+I)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TCSI!$J$1</c:f>
              <c:strCache>
                <c:ptCount val="1"/>
                <c:pt idx="0">
                  <c:v>S+I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TCSI!$J$2:$J$219</c:f>
              <c:numCache>
                <c:formatCode>0_);[Red]\(0\)</c:formatCode>
                <c:ptCount val="218"/>
                <c:pt idx="0">
                  <c:v>-1349.5137214599058</c:v>
                </c:pt>
                <c:pt idx="1">
                  <c:v>143.67997608660789</c:v>
                </c:pt>
                <c:pt idx="2">
                  <c:v>23795.428127039952</c:v>
                </c:pt>
                <c:pt idx="3">
                  <c:v>21740.060189934713</c:v>
                </c:pt>
                <c:pt idx="4">
                  <c:v>24713.347706584485</c:v>
                </c:pt>
                <c:pt idx="5">
                  <c:v>33019.710077759919</c:v>
                </c:pt>
                <c:pt idx="6">
                  <c:v>15525.931531331677</c:v>
                </c:pt>
                <c:pt idx="7">
                  <c:v>-14156.695899367582</c:v>
                </c:pt>
                <c:pt idx="8">
                  <c:v>-29172.053996620743</c:v>
                </c:pt>
                <c:pt idx="9">
                  <c:v>-30388.055563088892</c:v>
                </c:pt>
                <c:pt idx="10">
                  <c:v>-22411.684340841766</c:v>
                </c:pt>
                <c:pt idx="11">
                  <c:v>-11613.050449535689</c:v>
                </c:pt>
                <c:pt idx="12">
                  <c:v>4345.6698685302408</c:v>
                </c:pt>
                <c:pt idx="13">
                  <c:v>20107.666150291421</c:v>
                </c:pt>
                <c:pt idx="14">
                  <c:v>20410.255769346724</c:v>
                </c:pt>
                <c:pt idx="15">
                  <c:v>33986.843474914043</c:v>
                </c:pt>
                <c:pt idx="16">
                  <c:v>29550.429240538379</c:v>
                </c:pt>
                <c:pt idx="17">
                  <c:v>27535.110169054813</c:v>
                </c:pt>
                <c:pt idx="18">
                  <c:v>19613.75015865497</c:v>
                </c:pt>
                <c:pt idx="19">
                  <c:v>727.80019081559294</c:v>
                </c:pt>
                <c:pt idx="20">
                  <c:v>-37481.307155055067</c:v>
                </c:pt>
                <c:pt idx="21">
                  <c:v>-25801.41373253215</c:v>
                </c:pt>
                <c:pt idx="22">
                  <c:v>-26839.780645642386</c:v>
                </c:pt>
                <c:pt idx="23">
                  <c:v>-11073.907595162153</c:v>
                </c:pt>
                <c:pt idx="24">
                  <c:v>-666.51516309520184</c:v>
                </c:pt>
                <c:pt idx="25">
                  <c:v>19032.686523425255</c:v>
                </c:pt>
                <c:pt idx="26">
                  <c:v>17135.382247579324</c:v>
                </c:pt>
                <c:pt idx="27">
                  <c:v>34927.232569160064</c:v>
                </c:pt>
                <c:pt idx="28">
                  <c:v>31772.542252315725</c:v>
                </c:pt>
                <c:pt idx="29">
                  <c:v>29783.935432848815</c:v>
                </c:pt>
                <c:pt idx="30">
                  <c:v>16913.427114286813</c:v>
                </c:pt>
                <c:pt idx="31">
                  <c:v>-23062.664676668552</c:v>
                </c:pt>
                <c:pt idx="32">
                  <c:v>-34268.865958990311</c:v>
                </c:pt>
                <c:pt idx="33">
                  <c:v>-37212.726249658197</c:v>
                </c:pt>
                <c:pt idx="34">
                  <c:v>-23927.710774861614</c:v>
                </c:pt>
                <c:pt idx="35">
                  <c:v>-5925.8549789077206</c:v>
                </c:pt>
                <c:pt idx="36">
                  <c:v>4850.7122244848752</c:v>
                </c:pt>
                <c:pt idx="37">
                  <c:v>-15026.074499253991</c:v>
                </c:pt>
                <c:pt idx="38">
                  <c:v>9893.2275787163671</c:v>
                </c:pt>
                <c:pt idx="39">
                  <c:v>29873.583230907323</c:v>
                </c:pt>
                <c:pt idx="40">
                  <c:v>22037.930750525975</c:v>
                </c:pt>
                <c:pt idx="41">
                  <c:v>20598.27272764127</c:v>
                </c:pt>
                <c:pt idx="42">
                  <c:v>4632.9478757033557</c:v>
                </c:pt>
                <c:pt idx="43">
                  <c:v>-1262.4703146593129</c:v>
                </c:pt>
                <c:pt idx="44">
                  <c:v>-29253.043305439933</c:v>
                </c:pt>
                <c:pt idx="45">
                  <c:v>-37051.239277299377</c:v>
                </c:pt>
                <c:pt idx="46">
                  <c:v>-20288.604211685306</c:v>
                </c:pt>
                <c:pt idx="47">
                  <c:v>-14290.916717386554</c:v>
                </c:pt>
                <c:pt idx="48">
                  <c:v>2004.2721076418882</c:v>
                </c:pt>
                <c:pt idx="49">
                  <c:v>10169.635055294348</c:v>
                </c:pt>
                <c:pt idx="50">
                  <c:v>7717.1353957785195</c:v>
                </c:pt>
                <c:pt idx="51">
                  <c:v>20107.537141295026</c:v>
                </c:pt>
                <c:pt idx="52">
                  <c:v>38649.103602944619</c:v>
                </c:pt>
                <c:pt idx="53">
                  <c:v>29459.566674430855</c:v>
                </c:pt>
                <c:pt idx="54">
                  <c:v>20838.361552141094</c:v>
                </c:pt>
                <c:pt idx="55">
                  <c:v>-25026.182875381619</c:v>
                </c:pt>
                <c:pt idx="56">
                  <c:v>-30436.487936545356</c:v>
                </c:pt>
                <c:pt idx="57">
                  <c:v>-34617.823277160423</c:v>
                </c:pt>
                <c:pt idx="58">
                  <c:v>-24274.062284312738</c:v>
                </c:pt>
                <c:pt idx="59">
                  <c:v>495.10724126626155</c:v>
                </c:pt>
                <c:pt idx="60">
                  <c:v>-5935.4560943617234</c:v>
                </c:pt>
                <c:pt idx="61">
                  <c:v>850.89154504351427</c:v>
                </c:pt>
                <c:pt idx="62">
                  <c:v>14724.956376836799</c:v>
                </c:pt>
                <c:pt idx="63">
                  <c:v>11061.662288187563</c:v>
                </c:pt>
                <c:pt idx="64">
                  <c:v>31809.49845873372</c:v>
                </c:pt>
                <c:pt idx="65">
                  <c:v>23198.930368854271</c:v>
                </c:pt>
                <c:pt idx="66">
                  <c:v>11671.609661251596</c:v>
                </c:pt>
                <c:pt idx="67">
                  <c:v>-14438.494564288261</c:v>
                </c:pt>
                <c:pt idx="68">
                  <c:v>-34298.682938517028</c:v>
                </c:pt>
                <c:pt idx="69">
                  <c:v>-26014.412968153723</c:v>
                </c:pt>
                <c:pt idx="70">
                  <c:v>-8433.7926549629592</c:v>
                </c:pt>
                <c:pt idx="71">
                  <c:v>-8217.8501271923396</c:v>
                </c:pt>
                <c:pt idx="72">
                  <c:v>3928.525767238646</c:v>
                </c:pt>
                <c:pt idx="73">
                  <c:v>4948.1909964239594</c:v>
                </c:pt>
                <c:pt idx="74">
                  <c:v>12704.52712779379</c:v>
                </c:pt>
                <c:pt idx="75">
                  <c:v>26578.129964044168</c:v>
                </c:pt>
                <c:pt idx="76">
                  <c:v>31626.504037434745</c:v>
                </c:pt>
                <c:pt idx="77">
                  <c:v>12021.020938403644</c:v>
                </c:pt>
                <c:pt idx="78">
                  <c:v>7266.1249826692674</c:v>
                </c:pt>
                <c:pt idx="79">
                  <c:v>-12265.720637581609</c:v>
                </c:pt>
                <c:pt idx="80">
                  <c:v>-14352.418421113727</c:v>
                </c:pt>
                <c:pt idx="81">
                  <c:v>-43121.746900379461</c:v>
                </c:pt>
                <c:pt idx="82">
                  <c:v>-32991.580160986778</c:v>
                </c:pt>
                <c:pt idx="83">
                  <c:v>-5912.6817416447848</c:v>
                </c:pt>
                <c:pt idx="84">
                  <c:v>-3132.1047363447469</c:v>
                </c:pt>
                <c:pt idx="85">
                  <c:v>8642.1962578223465</c:v>
                </c:pt>
                <c:pt idx="86">
                  <c:v>13875.290024230362</c:v>
                </c:pt>
                <c:pt idx="87">
                  <c:v>36819.579340367658</c:v>
                </c:pt>
                <c:pt idx="88">
                  <c:v>35428.807358289894</c:v>
                </c:pt>
                <c:pt idx="89">
                  <c:v>24697.607528389537</c:v>
                </c:pt>
                <c:pt idx="90">
                  <c:v>4914.0625320792797</c:v>
                </c:pt>
                <c:pt idx="91">
                  <c:v>-7416.7288479111685</c:v>
                </c:pt>
                <c:pt idx="92">
                  <c:v>-35244.901472261379</c:v>
                </c:pt>
                <c:pt idx="93">
                  <c:v>-28789.670199252807</c:v>
                </c:pt>
                <c:pt idx="94">
                  <c:v>-27705.782607000772</c:v>
                </c:pt>
                <c:pt idx="95">
                  <c:v>-19335.761331394657</c:v>
                </c:pt>
                <c:pt idx="96">
                  <c:v>719.52897771462813</c:v>
                </c:pt>
                <c:pt idx="97">
                  <c:v>10975.579363149853</c:v>
                </c:pt>
                <c:pt idx="98">
                  <c:v>8686.2205004876923</c:v>
                </c:pt>
                <c:pt idx="99">
                  <c:v>39777.507299305405</c:v>
                </c:pt>
                <c:pt idx="100">
                  <c:v>40054.504723361482</c:v>
                </c:pt>
                <c:pt idx="101">
                  <c:v>19513.501091251594</c:v>
                </c:pt>
                <c:pt idx="102">
                  <c:v>14006.79965534308</c:v>
                </c:pt>
                <c:pt idx="103">
                  <c:v>-24961.86519892724</c:v>
                </c:pt>
                <c:pt idx="104">
                  <c:v>-33108.631096803416</c:v>
                </c:pt>
                <c:pt idx="105">
                  <c:v>-30690.351036545642</c:v>
                </c:pt>
                <c:pt idx="106">
                  <c:v>-24629.498913060503</c:v>
                </c:pt>
                <c:pt idx="107">
                  <c:v>-25633.008441088408</c:v>
                </c:pt>
                <c:pt idx="108">
                  <c:v>-10035.389660608969</c:v>
                </c:pt>
                <c:pt idx="109">
                  <c:v>2815.5041972472955</c:v>
                </c:pt>
                <c:pt idx="110">
                  <c:v>9287.4380234775927</c:v>
                </c:pt>
                <c:pt idx="111">
                  <c:v>34772.851427356167</c:v>
                </c:pt>
                <c:pt idx="112">
                  <c:v>27635.735212692547</c:v>
                </c:pt>
                <c:pt idx="113">
                  <c:v>11517.219150781395</c:v>
                </c:pt>
                <c:pt idx="114">
                  <c:v>8112.6345887722573</c:v>
                </c:pt>
                <c:pt idx="115">
                  <c:v>-12103.097005448304</c:v>
                </c:pt>
                <c:pt idx="116">
                  <c:v>-29056.39461482007</c:v>
                </c:pt>
                <c:pt idx="117">
                  <c:v>-26355.262063961411</c:v>
                </c:pt>
                <c:pt idx="118">
                  <c:v>-15507.667520877545</c:v>
                </c:pt>
                <c:pt idx="119">
                  <c:v>-9094.5562057067946</c:v>
                </c:pt>
                <c:pt idx="120">
                  <c:v>4211.376757468076</c:v>
                </c:pt>
                <c:pt idx="121">
                  <c:v>10812.089080716474</c:v>
                </c:pt>
                <c:pt idx="122">
                  <c:v>15429.570266535686</c:v>
                </c:pt>
                <c:pt idx="123">
                  <c:v>23470.569240751163</c:v>
                </c:pt>
                <c:pt idx="124">
                  <c:v>39799.335506240823</c:v>
                </c:pt>
                <c:pt idx="125">
                  <c:v>26836.766711671866</c:v>
                </c:pt>
                <c:pt idx="126">
                  <c:v>9103.4329116515091</c:v>
                </c:pt>
                <c:pt idx="127">
                  <c:v>-11790.167707329281</c:v>
                </c:pt>
                <c:pt idx="128">
                  <c:v>-40887.994884942884</c:v>
                </c:pt>
                <c:pt idx="129">
                  <c:v>-31161.102069952525</c:v>
                </c:pt>
                <c:pt idx="130">
                  <c:v>-13122.493048544547</c:v>
                </c:pt>
                <c:pt idx="131">
                  <c:v>1133.2167472267301</c:v>
                </c:pt>
                <c:pt idx="132">
                  <c:v>152.76157916764026</c:v>
                </c:pt>
                <c:pt idx="133">
                  <c:v>12462.28704718966</c:v>
                </c:pt>
                <c:pt idx="134">
                  <c:v>17055.523891853292</c:v>
                </c:pt>
                <c:pt idx="135">
                  <c:v>30241.998986093786</c:v>
                </c:pt>
                <c:pt idx="136">
                  <c:v>21966.324268476383</c:v>
                </c:pt>
                <c:pt idx="137">
                  <c:v>23124.919950441661</c:v>
                </c:pt>
                <c:pt idx="138">
                  <c:v>12198.48802590679</c:v>
                </c:pt>
                <c:pt idx="139">
                  <c:v>-17635.514952441063</c:v>
                </c:pt>
                <c:pt idx="140">
                  <c:v>-35624.341250750636</c:v>
                </c:pt>
                <c:pt idx="141">
                  <c:v>-20588.654550244504</c:v>
                </c:pt>
                <c:pt idx="142">
                  <c:v>-13189.254433479848</c:v>
                </c:pt>
                <c:pt idx="143">
                  <c:v>-6930.3279829096791</c:v>
                </c:pt>
                <c:pt idx="144">
                  <c:v>-1563.2945449609981</c:v>
                </c:pt>
                <c:pt idx="145">
                  <c:v>-1771.1850729592461</c:v>
                </c:pt>
                <c:pt idx="146">
                  <c:v>14432.671987051326</c:v>
                </c:pt>
                <c:pt idx="147">
                  <c:v>23877.554025217443</c:v>
                </c:pt>
                <c:pt idx="148">
                  <c:v>27554.235234168165</c:v>
                </c:pt>
                <c:pt idx="149">
                  <c:v>20686.017639290862</c:v>
                </c:pt>
                <c:pt idx="150">
                  <c:v>19137.443785909665</c:v>
                </c:pt>
                <c:pt idx="151">
                  <c:v>-8059.4919295828377</c:v>
                </c:pt>
                <c:pt idx="152">
                  <c:v>-33064.024043384961</c:v>
                </c:pt>
                <c:pt idx="153">
                  <c:v>-33385.83126500206</c:v>
                </c:pt>
                <c:pt idx="154">
                  <c:v>-14145.958386191291</c:v>
                </c:pt>
                <c:pt idx="155">
                  <c:v>-7473.4550493708803</c:v>
                </c:pt>
                <c:pt idx="156">
                  <c:v>2627.7274687007575</c:v>
                </c:pt>
                <c:pt idx="157">
                  <c:v>7997.8479161772784</c:v>
                </c:pt>
                <c:pt idx="158">
                  <c:v>24580.071773218002</c:v>
                </c:pt>
                <c:pt idx="159">
                  <c:v>33071.831035466545</c:v>
                </c:pt>
                <c:pt idx="160">
                  <c:v>26523.832177727876</c:v>
                </c:pt>
                <c:pt idx="161">
                  <c:v>36514.744103087607</c:v>
                </c:pt>
                <c:pt idx="162">
                  <c:v>-9037.6520372870782</c:v>
                </c:pt>
                <c:pt idx="163">
                  <c:v>-6168.9500329706079</c:v>
                </c:pt>
                <c:pt idx="164">
                  <c:v>-36435.200866560866</c:v>
                </c:pt>
                <c:pt idx="165">
                  <c:v>-25524.341548089462</c:v>
                </c:pt>
                <c:pt idx="166">
                  <c:v>-21928.660214401516</c:v>
                </c:pt>
                <c:pt idx="167">
                  <c:v>-6474.2495223962978</c:v>
                </c:pt>
                <c:pt idx="168">
                  <c:v>8289.4215577264513</c:v>
                </c:pt>
                <c:pt idx="169">
                  <c:v>-2573.9894130346947</c:v>
                </c:pt>
                <c:pt idx="170">
                  <c:v>19937.29719333379</c:v>
                </c:pt>
                <c:pt idx="171">
                  <c:v>27270.658574831443</c:v>
                </c:pt>
                <c:pt idx="172">
                  <c:v>40743.270789302638</c:v>
                </c:pt>
                <c:pt idx="173">
                  <c:v>24291.842332241747</c:v>
                </c:pt>
                <c:pt idx="174">
                  <c:v>13066.269349369059</c:v>
                </c:pt>
                <c:pt idx="175">
                  <c:v>-4730.8522700852573</c:v>
                </c:pt>
                <c:pt idx="176">
                  <c:v>-30167.593810806608</c:v>
                </c:pt>
                <c:pt idx="177">
                  <c:v>-39999.039784292683</c:v>
                </c:pt>
                <c:pt idx="178">
                  <c:v>-24228.547229038035</c:v>
                </c:pt>
                <c:pt idx="179">
                  <c:v>-13724.109750336102</c:v>
                </c:pt>
                <c:pt idx="180">
                  <c:v>4561.2975731954439</c:v>
                </c:pt>
                <c:pt idx="181">
                  <c:v>19402.241324805102</c:v>
                </c:pt>
                <c:pt idx="182">
                  <c:v>10077.853444261524</c:v>
                </c:pt>
                <c:pt idx="183">
                  <c:v>33317.863185716982</c:v>
                </c:pt>
                <c:pt idx="184">
                  <c:v>25866.947536164385</c:v>
                </c:pt>
                <c:pt idx="185">
                  <c:v>18478.349655320089</c:v>
                </c:pt>
                <c:pt idx="186">
                  <c:v>15015.299760190535</c:v>
                </c:pt>
                <c:pt idx="187">
                  <c:v>-18594.303672717564</c:v>
                </c:pt>
                <c:pt idx="188">
                  <c:v>-10795.313579302343</c:v>
                </c:pt>
                <c:pt idx="189">
                  <c:v>-33308.321056943372</c:v>
                </c:pt>
                <c:pt idx="190">
                  <c:v>-17558.153962843375</c:v>
                </c:pt>
                <c:pt idx="191">
                  <c:v>-14166.370716164332</c:v>
                </c:pt>
                <c:pt idx="192">
                  <c:v>-7986.9324224089105</c:v>
                </c:pt>
                <c:pt idx="193">
                  <c:v>2719.1480901626774</c:v>
                </c:pt>
                <c:pt idx="194">
                  <c:v>10362.284821180576</c:v>
                </c:pt>
                <c:pt idx="195">
                  <c:v>34490.97753501244</c:v>
                </c:pt>
                <c:pt idx="196">
                  <c:v>40439.873074904121</c:v>
                </c:pt>
                <c:pt idx="197">
                  <c:v>33094.516981468201</c:v>
                </c:pt>
                <c:pt idx="198">
                  <c:v>2204.8012456144379</c:v>
                </c:pt>
                <c:pt idx="199">
                  <c:v>3604.3280298079353</c:v>
                </c:pt>
                <c:pt idx="200">
                  <c:v>-33589.444709056472</c:v>
                </c:pt>
                <c:pt idx="201">
                  <c:v>-34746.41728948136</c:v>
                </c:pt>
                <c:pt idx="202">
                  <c:v>-19760.807397958783</c:v>
                </c:pt>
                <c:pt idx="203">
                  <c:v>-11256.337008244896</c:v>
                </c:pt>
                <c:pt idx="204">
                  <c:v>1971.189393457297</c:v>
                </c:pt>
                <c:pt idx="205">
                  <c:v>11989.731298348544</c:v>
                </c:pt>
                <c:pt idx="206">
                  <c:v>12435.971201502955</c:v>
                </c:pt>
                <c:pt idx="207">
                  <c:v>33116.553267200608</c:v>
                </c:pt>
                <c:pt idx="208">
                  <c:v>42275.759579178652</c:v>
                </c:pt>
                <c:pt idx="209">
                  <c:v>23184.26741383399</c:v>
                </c:pt>
                <c:pt idx="210">
                  <c:v>13044.69032730445</c:v>
                </c:pt>
                <c:pt idx="211">
                  <c:v>-15503.411628294654</c:v>
                </c:pt>
                <c:pt idx="212">
                  <c:v>-34476.776707386554</c:v>
                </c:pt>
                <c:pt idx="213">
                  <c:v>-32633.136837351158</c:v>
                </c:pt>
                <c:pt idx="214">
                  <c:v>-18371.542716681008</c:v>
                </c:pt>
                <c:pt idx="215">
                  <c:v>-5467.5896851718389</c:v>
                </c:pt>
                <c:pt idx="216">
                  <c:v>3678.8665199381057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7B0-4C08-A404-29348E0B52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&quot;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ax val="200000"/>
          <c:min val="-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TCSI!$D$1</c:f>
              <c:strCache>
                <c:ptCount val="1"/>
                <c:pt idx="0">
                  <c:v>T+C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TCSI!$D$2:$D$219</c:f>
              <c:numCache>
                <c:formatCode>0_);[Red]\(0\)</c:formatCode>
                <c:ptCount val="218"/>
                <c:pt idx="0">
                  <c:v>239214.26650686067</c:v>
                </c:pt>
                <c:pt idx="1">
                  <c:v>243089.15459483955</c:v>
                </c:pt>
                <c:pt idx="2">
                  <c:v>246620.79815123911</c:v>
                </c:pt>
                <c:pt idx="3">
                  <c:v>250297.99132963567</c:v>
                </c:pt>
                <c:pt idx="4">
                  <c:v>253761.74974622932</c:v>
                </c:pt>
                <c:pt idx="5">
                  <c:v>257244.68618249305</c:v>
                </c:pt>
                <c:pt idx="6">
                  <c:v>260523.70753025101</c:v>
                </c:pt>
                <c:pt idx="7">
                  <c:v>263819.08871745539</c:v>
                </c:pt>
                <c:pt idx="8">
                  <c:v>267021.69505577284</c:v>
                </c:pt>
                <c:pt idx="9">
                  <c:v>270034.25559458963</c:v>
                </c:pt>
                <c:pt idx="10">
                  <c:v>273059.24795645813</c:v>
                </c:pt>
                <c:pt idx="11">
                  <c:v>275903.07087990339</c:v>
                </c:pt>
                <c:pt idx="12">
                  <c:v>278756.93076629972</c:v>
                </c:pt>
                <c:pt idx="13">
                  <c:v>281526.27749387978</c:v>
                </c:pt>
                <c:pt idx="14">
                  <c:v>283956.34625098901</c:v>
                </c:pt>
                <c:pt idx="15">
                  <c:v>286569.36606336664</c:v>
                </c:pt>
                <c:pt idx="16">
                  <c:v>289022.11313383345</c:v>
                </c:pt>
                <c:pt idx="17">
                  <c:v>291479.6675671445</c:v>
                </c:pt>
                <c:pt idx="18">
                  <c:v>293784.96365885268</c:v>
                </c:pt>
                <c:pt idx="19">
                  <c:v>296093.22940220305</c:v>
                </c:pt>
                <c:pt idx="20">
                  <c:v>298327.96611843444</c:v>
                </c:pt>
                <c:pt idx="21">
                  <c:v>300422.07556256955</c:v>
                </c:pt>
                <c:pt idx="22">
                  <c:v>302516.67337186396</c:v>
                </c:pt>
                <c:pt idx="23">
                  <c:v>304478.05747072131</c:v>
                </c:pt>
                <c:pt idx="24">
                  <c:v>306438.47309546609</c:v>
                </c:pt>
                <c:pt idx="25">
                  <c:v>308332.95247118932</c:v>
                </c:pt>
                <c:pt idx="26">
                  <c:v>309988.6729777297</c:v>
                </c:pt>
                <c:pt idx="27">
                  <c:v>311761.8070651344</c:v>
                </c:pt>
                <c:pt idx="28">
                  <c:v>313419.07595022791</c:v>
                </c:pt>
                <c:pt idx="29">
                  <c:v>315072.395954974</c:v>
                </c:pt>
                <c:pt idx="30">
                  <c:v>316616.46120673459</c:v>
                </c:pt>
                <c:pt idx="31">
                  <c:v>318155.61907712242</c:v>
                </c:pt>
                <c:pt idx="32">
                  <c:v>319638.89802633791</c:v>
                </c:pt>
                <c:pt idx="33">
                  <c:v>321022.46788778203</c:v>
                </c:pt>
                <c:pt idx="34">
                  <c:v>322399.9430947653</c:v>
                </c:pt>
                <c:pt idx="35">
                  <c:v>323683.76129352616</c:v>
                </c:pt>
                <c:pt idx="36">
                  <c:v>324960.86476629943</c:v>
                </c:pt>
                <c:pt idx="37">
                  <c:v>326189.01326758543</c:v>
                </c:pt>
                <c:pt idx="38">
                  <c:v>327257.36958777288</c:v>
                </c:pt>
                <c:pt idx="39">
                  <c:v>328396.1176278221</c:v>
                </c:pt>
                <c:pt idx="40">
                  <c:v>329455.25977721019</c:v>
                </c:pt>
                <c:pt idx="41">
                  <c:v>330506.70535339281</c:v>
                </c:pt>
                <c:pt idx="42">
                  <c:v>331483.85285054805</c:v>
                </c:pt>
                <c:pt idx="43">
                  <c:v>332453.12323728221</c:v>
                </c:pt>
                <c:pt idx="44">
                  <c:v>333382.56929680257</c:v>
                </c:pt>
                <c:pt idx="45">
                  <c:v>334245.33032879164</c:v>
                </c:pt>
                <c:pt idx="46">
                  <c:v>335100.16830007185</c:v>
                </c:pt>
                <c:pt idx="47">
                  <c:v>335893.11315085622</c:v>
                </c:pt>
                <c:pt idx="48">
                  <c:v>336678.25039749744</c:v>
                </c:pt>
                <c:pt idx="49">
                  <c:v>337429.81852246838</c:v>
                </c:pt>
                <c:pt idx="50">
                  <c:v>338103.6006425434</c:v>
                </c:pt>
                <c:pt idx="51">
                  <c:v>338793.68947425886</c:v>
                </c:pt>
                <c:pt idx="52">
                  <c:v>339432.95855165285</c:v>
                </c:pt>
                <c:pt idx="53">
                  <c:v>340065.1934266155</c:v>
                </c:pt>
                <c:pt idx="54">
                  <c:v>340650.71187037521</c:v>
                </c:pt>
                <c:pt idx="55">
                  <c:v>341229.69402107631</c:v>
                </c:pt>
                <c:pt idx="56">
                  <c:v>341783.34855515516</c:v>
                </c:pt>
                <c:pt idx="57">
                  <c:v>342296.11520948284</c:v>
                </c:pt>
                <c:pt idx="58">
                  <c:v>342803.29076904693</c:v>
                </c:pt>
                <c:pt idx="59">
                  <c:v>343273.2084420243</c:v>
                </c:pt>
                <c:pt idx="60">
                  <c:v>343738.28637825098</c:v>
                </c:pt>
                <c:pt idx="61">
                  <c:v>344183.62141911482</c:v>
                </c:pt>
                <c:pt idx="62">
                  <c:v>344569.80312479043</c:v>
                </c:pt>
                <c:pt idx="63">
                  <c:v>344980.58524742466</c:v>
                </c:pt>
                <c:pt idx="64">
                  <c:v>345362.31077582104</c:v>
                </c:pt>
                <c:pt idx="65">
                  <c:v>345741.46384042886</c:v>
                </c:pt>
                <c:pt idx="66">
                  <c:v>346094.56386096618</c:v>
                </c:pt>
                <c:pt idx="67">
                  <c:v>346446.16456691787</c:v>
                </c:pt>
                <c:pt idx="68">
                  <c:v>346785.29748544696</c:v>
                </c:pt>
                <c:pt idx="69">
                  <c:v>347102.57925421873</c:v>
                </c:pt>
                <c:pt idx="70">
                  <c:v>347420.14248961367</c:v>
                </c:pt>
                <c:pt idx="71">
                  <c:v>347718.42725049757</c:v>
                </c:pt>
                <c:pt idx="72">
                  <c:v>348018.27765239304</c:v>
                </c:pt>
                <c:pt idx="73">
                  <c:v>348310.576429056</c:v>
                </c:pt>
                <c:pt idx="74">
                  <c:v>348568.8978167522</c:v>
                </c:pt>
                <c:pt idx="75">
                  <c:v>348849.47218753473</c:v>
                </c:pt>
                <c:pt idx="76">
                  <c:v>349116.42488607037</c:v>
                </c:pt>
                <c:pt idx="77">
                  <c:v>349388.45668712805</c:v>
                </c:pt>
                <c:pt idx="78">
                  <c:v>349648.87187007267</c:v>
                </c:pt>
                <c:pt idx="79">
                  <c:v>349915.91334485117</c:v>
                </c:pt>
                <c:pt idx="80">
                  <c:v>350181.75199777941</c:v>
                </c:pt>
                <c:pt idx="81">
                  <c:v>350438.70200907293</c:v>
                </c:pt>
                <c:pt idx="82">
                  <c:v>350704.74204948341</c:v>
                </c:pt>
                <c:pt idx="83">
                  <c:v>350963.51007438038</c:v>
                </c:pt>
                <c:pt idx="84">
                  <c:v>351233.08392857027</c:v>
                </c:pt>
                <c:pt idx="85">
                  <c:v>351505.70266176615</c:v>
                </c:pt>
                <c:pt idx="86">
                  <c:v>351755.24379348283</c:v>
                </c:pt>
                <c:pt idx="87">
                  <c:v>352035.93149026035</c:v>
                </c:pt>
                <c:pt idx="88">
                  <c:v>352312.71015718556</c:v>
                </c:pt>
                <c:pt idx="89">
                  <c:v>352604.80381983699</c:v>
                </c:pt>
                <c:pt idx="90">
                  <c:v>352894.09627128125</c:v>
                </c:pt>
                <c:pt idx="91">
                  <c:v>353200.62376396195</c:v>
                </c:pt>
                <c:pt idx="92">
                  <c:v>353515.61877453607</c:v>
                </c:pt>
                <c:pt idx="93">
                  <c:v>353829.21934928134</c:v>
                </c:pt>
                <c:pt idx="94">
                  <c:v>354163.0490615493</c:v>
                </c:pt>
                <c:pt idx="95">
                  <c:v>354496.2461733871</c:v>
                </c:pt>
                <c:pt idx="96">
                  <c:v>354851.71866752801</c:v>
                </c:pt>
                <c:pt idx="97">
                  <c:v>355219.23801929026</c:v>
                </c:pt>
                <c:pt idx="98">
                  <c:v>355574.56491207768</c:v>
                </c:pt>
                <c:pt idx="99">
                  <c:v>355967.35383187002</c:v>
                </c:pt>
                <c:pt idx="100">
                  <c:v>356360.83608214336</c:v>
                </c:pt>
                <c:pt idx="101">
                  <c:v>356781.88377457793</c:v>
                </c:pt>
                <c:pt idx="102">
                  <c:v>357203.93458780443</c:v>
                </c:pt>
                <c:pt idx="103">
                  <c:v>357655.74318095861</c:v>
                </c:pt>
                <c:pt idx="104">
                  <c:v>358124.11518307205</c:v>
                </c:pt>
                <c:pt idx="105">
                  <c:v>358593.72558785387</c:v>
                </c:pt>
                <c:pt idx="106">
                  <c:v>359096.46647996514</c:v>
                </c:pt>
                <c:pt idx="107">
                  <c:v>359600.45213320572</c:v>
                </c:pt>
                <c:pt idx="108">
                  <c:v>360139.84429427341</c:v>
                </c:pt>
                <c:pt idx="109">
                  <c:v>360698.70911753597</c:v>
                </c:pt>
                <c:pt idx="110">
                  <c:v>361220.68957004842</c:v>
                </c:pt>
                <c:pt idx="111">
                  <c:v>361818.13994381693</c:v>
                </c:pt>
                <c:pt idx="112">
                  <c:v>362416.3577538181</c:v>
                </c:pt>
                <c:pt idx="113">
                  <c:v>363055.73237905325</c:v>
                </c:pt>
                <c:pt idx="114">
                  <c:v>363695.48975571746</c:v>
                </c:pt>
                <c:pt idx="115">
                  <c:v>364378.76654781424</c:v>
                </c:pt>
                <c:pt idx="116">
                  <c:v>365085.08420701814</c:v>
                </c:pt>
                <c:pt idx="117">
                  <c:v>365791.00449160126</c:v>
                </c:pt>
                <c:pt idx="118">
                  <c:v>366544.04171616194</c:v>
                </c:pt>
                <c:pt idx="119">
                  <c:v>367296.03588229563</c:v>
                </c:pt>
                <c:pt idx="120">
                  <c:v>368097.5508760878</c:v>
                </c:pt>
                <c:pt idx="121">
                  <c:v>368924.34784454422</c:v>
                </c:pt>
                <c:pt idx="122">
                  <c:v>369693.21215225034</c:v>
                </c:pt>
                <c:pt idx="123">
                  <c:v>370569.2771119519</c:v>
                </c:pt>
                <c:pt idx="124">
                  <c:v>371442.28037348145</c:v>
                </c:pt>
                <c:pt idx="125">
                  <c:v>372370.79859400162</c:v>
                </c:pt>
                <c:pt idx="126">
                  <c:v>373295.27717550279</c:v>
                </c:pt>
                <c:pt idx="127">
                  <c:v>374277.7024485984</c:v>
                </c:pt>
                <c:pt idx="128">
                  <c:v>375288.05218209652</c:v>
                </c:pt>
                <c:pt idx="129">
                  <c:v>376292.71939397656</c:v>
                </c:pt>
                <c:pt idx="130">
                  <c:v>377359.00312232098</c:v>
                </c:pt>
                <c:pt idx="131">
                  <c:v>378418.40781155537</c:v>
                </c:pt>
                <c:pt idx="132">
                  <c:v>379541.85964903701</c:v>
                </c:pt>
                <c:pt idx="133">
                  <c:v>380694.80902336695</c:v>
                </c:pt>
                <c:pt idx="134">
                  <c:v>381761.77338407928</c:v>
                </c:pt>
                <c:pt idx="135">
                  <c:v>382971.63998710265</c:v>
                </c:pt>
                <c:pt idx="136">
                  <c:v>384171.31812917313</c:v>
                </c:pt>
                <c:pt idx="137">
                  <c:v>385441.03106849827</c:v>
                </c:pt>
                <c:pt idx="138">
                  <c:v>386699.08555280906</c:v>
                </c:pt>
                <c:pt idx="139">
                  <c:v>388029.5745850805</c:v>
                </c:pt>
                <c:pt idx="140">
                  <c:v>389391.27808117628</c:v>
                </c:pt>
                <c:pt idx="141">
                  <c:v>390738.97011610057</c:v>
                </c:pt>
                <c:pt idx="142">
                  <c:v>392162.68633086653</c:v>
                </c:pt>
                <c:pt idx="143">
                  <c:v>393570.74493108346</c:v>
                </c:pt>
                <c:pt idx="144">
                  <c:v>395057.18398523174</c:v>
                </c:pt>
                <c:pt idx="145">
                  <c:v>396575.74266504997</c:v>
                </c:pt>
                <c:pt idx="146">
                  <c:v>398025.5403506041</c:v>
                </c:pt>
                <c:pt idx="147">
                  <c:v>399606.67997509544</c:v>
                </c:pt>
                <c:pt idx="148">
                  <c:v>401167.78222743195</c:v>
                </c:pt>
                <c:pt idx="149">
                  <c:v>402813.033242748</c:v>
                </c:pt>
                <c:pt idx="150">
                  <c:v>404436.38509518176</c:v>
                </c:pt>
                <c:pt idx="151">
                  <c:v>406146.15188473521</c:v>
                </c:pt>
                <c:pt idx="152">
                  <c:v>407888.83229694801</c:v>
                </c:pt>
                <c:pt idx="153">
                  <c:v>409606.70170047856</c:v>
                </c:pt>
                <c:pt idx="154">
                  <c:v>411414.34217602364</c:v>
                </c:pt>
                <c:pt idx="155">
                  <c:v>413195.17621762323</c:v>
                </c:pt>
                <c:pt idx="156">
                  <c:v>415067.96154172905</c:v>
                </c:pt>
                <c:pt idx="157">
                  <c:v>416973.8960308177</c:v>
                </c:pt>
                <c:pt idx="158">
                  <c:v>418723.88922454917</c:v>
                </c:pt>
                <c:pt idx="159">
                  <c:v>420692.94214232475</c:v>
                </c:pt>
                <c:pt idx="160">
                  <c:v>422630.04725189094</c:v>
                </c:pt>
                <c:pt idx="161">
                  <c:v>424664.32586879417</c:v>
                </c:pt>
                <c:pt idx="162">
                  <c:v>426664.50546803727</c:v>
                </c:pt>
                <c:pt idx="163">
                  <c:v>428763.89032632159</c:v>
                </c:pt>
                <c:pt idx="164">
                  <c:v>430896.28813647723</c:v>
                </c:pt>
                <c:pt idx="165">
                  <c:v>432991.27055984334</c:v>
                </c:pt>
                <c:pt idx="166">
                  <c:v>435188.42887923744</c:v>
                </c:pt>
                <c:pt idx="167">
                  <c:v>437345.92937166779</c:v>
                </c:pt>
                <c:pt idx="168">
                  <c:v>439607.50918865338</c:v>
                </c:pt>
                <c:pt idx="169">
                  <c:v>441901.66983664612</c:v>
                </c:pt>
                <c:pt idx="170">
                  <c:v>444001.71790256305</c:v>
                </c:pt>
                <c:pt idx="171">
                  <c:v>446357.54159235442</c:v>
                </c:pt>
                <c:pt idx="172">
                  <c:v>448668.02733430051</c:v>
                </c:pt>
                <c:pt idx="173">
                  <c:v>451087.05683405598</c:v>
                </c:pt>
                <c:pt idx="174">
                  <c:v>453458.40891107143</c:v>
                </c:pt>
                <c:pt idx="175">
                  <c:v>455940.00102520542</c:v>
                </c:pt>
                <c:pt idx="176">
                  <c:v>458453.11272239836</c:v>
                </c:pt>
                <c:pt idx="177">
                  <c:v>460914.97865630052</c:v>
                </c:pt>
                <c:pt idx="178">
                  <c:v>463489.51737017074</c:v>
                </c:pt>
                <c:pt idx="179">
                  <c:v>466010.42201236682</c:v>
                </c:pt>
                <c:pt idx="180">
                  <c:v>468645.52503919147</c:v>
                </c:pt>
                <c:pt idx="181">
                  <c:v>471311.0479994858</c:v>
                </c:pt>
                <c:pt idx="182">
                  <c:v>473744.55025602313</c:v>
                </c:pt>
                <c:pt idx="183">
                  <c:v>476467.24993891933</c:v>
                </c:pt>
                <c:pt idx="184">
                  <c:v>479130.34704371897</c:v>
                </c:pt>
                <c:pt idx="185">
                  <c:v>481911.09907482663</c:v>
                </c:pt>
                <c:pt idx="186">
                  <c:v>484629.82192163856</c:v>
                </c:pt>
                <c:pt idx="187">
                  <c:v>487467.45947450824</c:v>
                </c:pt>
                <c:pt idx="188">
                  <c:v>490333.53086639842</c:v>
                </c:pt>
                <c:pt idx="189">
                  <c:v>493133.9052893754</c:v>
                </c:pt>
                <c:pt idx="190">
                  <c:v>496054.93690268119</c:v>
                </c:pt>
                <c:pt idx="191">
                  <c:v>498907.83849582321</c:v>
                </c:pt>
                <c:pt idx="192">
                  <c:v>501882.44404540036</c:v>
                </c:pt>
                <c:pt idx="193">
                  <c:v>504883.71639288001</c:v>
                </c:pt>
                <c:pt idx="194">
                  <c:v>507715.15272502293</c:v>
                </c:pt>
                <c:pt idx="195">
                  <c:v>510766.91416634864</c:v>
                </c:pt>
                <c:pt idx="196">
                  <c:v>513744.49937592976</c:v>
                </c:pt>
                <c:pt idx="197">
                  <c:v>516845.99977639044</c:v>
                </c:pt>
                <c:pt idx="198">
                  <c:v>519870.91150095582</c:v>
                </c:pt>
                <c:pt idx="199">
                  <c:v>523020.45908299123</c:v>
                </c:pt>
                <c:pt idx="200">
                  <c:v>526193.74771435559</c:v>
                </c:pt>
                <c:pt idx="201">
                  <c:v>529286.83329297125</c:v>
                </c:pt>
                <c:pt idx="202">
                  <c:v>532505.45210808644</c:v>
                </c:pt>
                <c:pt idx="203">
                  <c:v>535641.49147681822</c:v>
                </c:pt>
                <c:pt idx="204">
                  <c:v>538903.52928609063</c:v>
                </c:pt>
                <c:pt idx="205">
                  <c:v>542186.87203084631</c:v>
                </c:pt>
                <c:pt idx="206">
                  <c:v>545170.34530129144</c:v>
                </c:pt>
                <c:pt idx="207">
                  <c:v>548492.76880357193</c:v>
                </c:pt>
                <c:pt idx="208">
                  <c:v>551726.81940968963</c:v>
                </c:pt>
                <c:pt idx="209">
                  <c:v>555087.55466304114</c:v>
                </c:pt>
                <c:pt idx="210">
                  <c:v>558357.61993259389</c:v>
                </c:pt>
                <c:pt idx="211">
                  <c:v>561754.45175638981</c:v>
                </c:pt>
                <c:pt idx="212">
                  <c:v>565168.75079127075</c:v>
                </c:pt>
                <c:pt idx="213">
                  <c:v>568488.97139946232</c:v>
                </c:pt>
                <c:pt idx="214">
                  <c:v>571935.86065096117</c:v>
                </c:pt>
                <c:pt idx="215">
                  <c:v>575286.45281043276</c:v>
                </c:pt>
                <c:pt idx="216">
                  <c:v>578763.4977353029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24-441A-8AB4-1E8677C81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out"/>
        <c:minorTickMark val="none"/>
        <c:tickLblPos val="nextTo"/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in val="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sz="16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TCSI!$E$1</c:f>
              <c:strCache>
                <c:ptCount val="1"/>
                <c:pt idx="0">
                  <c:v>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TCSI!$E$2:$E$219</c:f>
              <c:numCache>
                <c:formatCode>0_);[Red]\(0\)</c:formatCode>
                <c:ptCount val="218"/>
                <c:pt idx="0">
                  <c:v>588.98337502532581</c:v>
                </c:pt>
                <c:pt idx="1">
                  <c:v>7225.4655458402231</c:v>
                </c:pt>
                <c:pt idx="2">
                  <c:v>14702.969673403668</c:v>
                </c:pt>
                <c:pt idx="3">
                  <c:v>26366.176148156963</c:v>
                </c:pt>
                <c:pt idx="4">
                  <c:v>30760.891800879039</c:v>
                </c:pt>
                <c:pt idx="5">
                  <c:v>24135.461905402834</c:v>
                </c:pt>
                <c:pt idx="6">
                  <c:v>9035.5089355065847</c:v>
                </c:pt>
                <c:pt idx="7">
                  <c:v>-11512.115043864824</c:v>
                </c:pt>
                <c:pt idx="8">
                  <c:v>-29942.575873501661</c:v>
                </c:pt>
                <c:pt idx="9">
                  <c:v>-31807.738034068618</c:v>
                </c:pt>
                <c:pt idx="10">
                  <c:v>-19849.338384994844</c:v>
                </c:pt>
                <c:pt idx="11">
                  <c:v>-8556.4728300846164</c:v>
                </c:pt>
                <c:pt idx="12">
                  <c:v>588.98337502532581</c:v>
                </c:pt>
                <c:pt idx="13">
                  <c:v>7225.4655458402231</c:v>
                </c:pt>
                <c:pt idx="14">
                  <c:v>14702.969673403668</c:v>
                </c:pt>
                <c:pt idx="15">
                  <c:v>26366.176148156963</c:v>
                </c:pt>
                <c:pt idx="16">
                  <c:v>30760.891800879039</c:v>
                </c:pt>
                <c:pt idx="17">
                  <c:v>24135.461905402834</c:v>
                </c:pt>
                <c:pt idx="18">
                  <c:v>9035.5089355065847</c:v>
                </c:pt>
                <c:pt idx="19">
                  <c:v>-11512.115043864824</c:v>
                </c:pt>
                <c:pt idx="20">
                  <c:v>-29942.575873501661</c:v>
                </c:pt>
                <c:pt idx="21">
                  <c:v>-31807.738034068618</c:v>
                </c:pt>
                <c:pt idx="22">
                  <c:v>-19849.338384994844</c:v>
                </c:pt>
                <c:pt idx="23">
                  <c:v>-8556.4728300846164</c:v>
                </c:pt>
                <c:pt idx="24">
                  <c:v>588.98337502532581</c:v>
                </c:pt>
                <c:pt idx="25">
                  <c:v>7225.4655458402231</c:v>
                </c:pt>
                <c:pt idx="26">
                  <c:v>14702.969673403668</c:v>
                </c:pt>
                <c:pt idx="27">
                  <c:v>26366.176148156963</c:v>
                </c:pt>
                <c:pt idx="28">
                  <c:v>30760.891800879039</c:v>
                </c:pt>
                <c:pt idx="29">
                  <c:v>24135.461905402834</c:v>
                </c:pt>
                <c:pt idx="30">
                  <c:v>9035.5089355065847</c:v>
                </c:pt>
                <c:pt idx="31">
                  <c:v>-11512.115043864824</c:v>
                </c:pt>
                <c:pt idx="32">
                  <c:v>-29942.575873501661</c:v>
                </c:pt>
                <c:pt idx="33">
                  <c:v>-31807.738034068618</c:v>
                </c:pt>
                <c:pt idx="34">
                  <c:v>-19849.338384994844</c:v>
                </c:pt>
                <c:pt idx="35">
                  <c:v>-8556.4728300846164</c:v>
                </c:pt>
                <c:pt idx="36">
                  <c:v>588.98337502532581</c:v>
                </c:pt>
                <c:pt idx="37">
                  <c:v>7225.4655458402231</c:v>
                </c:pt>
                <c:pt idx="38">
                  <c:v>14702.969673403668</c:v>
                </c:pt>
                <c:pt idx="39">
                  <c:v>26366.176148156963</c:v>
                </c:pt>
                <c:pt idx="40">
                  <c:v>30760.891800879039</c:v>
                </c:pt>
                <c:pt idx="41">
                  <c:v>24135.461905402834</c:v>
                </c:pt>
                <c:pt idx="42">
                  <c:v>9035.5089355065847</c:v>
                </c:pt>
                <c:pt idx="43">
                  <c:v>-11512.115043864824</c:v>
                </c:pt>
                <c:pt idx="44">
                  <c:v>-29942.575873501661</c:v>
                </c:pt>
                <c:pt idx="45">
                  <c:v>-31807.738034068618</c:v>
                </c:pt>
                <c:pt idx="46">
                  <c:v>-19849.338384994844</c:v>
                </c:pt>
                <c:pt idx="47">
                  <c:v>-8556.4728300846164</c:v>
                </c:pt>
                <c:pt idx="48">
                  <c:v>588.98337502532581</c:v>
                </c:pt>
                <c:pt idx="49">
                  <c:v>7225.4655458402231</c:v>
                </c:pt>
                <c:pt idx="50">
                  <c:v>14702.969673403668</c:v>
                </c:pt>
                <c:pt idx="51">
                  <c:v>26366.176148156963</c:v>
                </c:pt>
                <c:pt idx="52">
                  <c:v>30760.891800879039</c:v>
                </c:pt>
                <c:pt idx="53">
                  <c:v>24135.461905402834</c:v>
                </c:pt>
                <c:pt idx="54">
                  <c:v>9035.5089355065847</c:v>
                </c:pt>
                <c:pt idx="55">
                  <c:v>-11512.115043864824</c:v>
                </c:pt>
                <c:pt idx="56">
                  <c:v>-29942.575873501661</c:v>
                </c:pt>
                <c:pt idx="57">
                  <c:v>-31807.738034068618</c:v>
                </c:pt>
                <c:pt idx="58">
                  <c:v>-19849.338384994844</c:v>
                </c:pt>
                <c:pt idx="59">
                  <c:v>-8556.4728300846164</c:v>
                </c:pt>
                <c:pt idx="60">
                  <c:v>588.98337502532581</c:v>
                </c:pt>
                <c:pt idx="61">
                  <c:v>7225.4655458402231</c:v>
                </c:pt>
                <c:pt idx="62">
                  <c:v>14702.969673403668</c:v>
                </c:pt>
                <c:pt idx="63">
                  <c:v>26366.176148156963</c:v>
                </c:pt>
                <c:pt idx="64">
                  <c:v>30760.891800879039</c:v>
                </c:pt>
                <c:pt idx="65">
                  <c:v>24135.461905402834</c:v>
                </c:pt>
                <c:pt idx="66">
                  <c:v>9035.5089355065847</c:v>
                </c:pt>
                <c:pt idx="67">
                  <c:v>-11512.115043864824</c:v>
                </c:pt>
                <c:pt idx="68">
                  <c:v>-29942.575873501661</c:v>
                </c:pt>
                <c:pt idx="69">
                  <c:v>-31807.738034068618</c:v>
                </c:pt>
                <c:pt idx="70">
                  <c:v>-19849.338384994844</c:v>
                </c:pt>
                <c:pt idx="71">
                  <c:v>-8556.4728300846164</c:v>
                </c:pt>
                <c:pt idx="72">
                  <c:v>588.98337502532581</c:v>
                </c:pt>
                <c:pt idx="73">
                  <c:v>7225.4655458402231</c:v>
                </c:pt>
                <c:pt idx="74">
                  <c:v>14702.969673403668</c:v>
                </c:pt>
                <c:pt idx="75">
                  <c:v>26366.176148156963</c:v>
                </c:pt>
                <c:pt idx="76">
                  <c:v>30760.891800879039</c:v>
                </c:pt>
                <c:pt idx="77">
                  <c:v>24135.461905402834</c:v>
                </c:pt>
                <c:pt idx="78">
                  <c:v>9035.5089355065847</c:v>
                </c:pt>
                <c:pt idx="79">
                  <c:v>-11512.115043864824</c:v>
                </c:pt>
                <c:pt idx="80">
                  <c:v>-29942.575873501661</c:v>
                </c:pt>
                <c:pt idx="81">
                  <c:v>-31807.738034068618</c:v>
                </c:pt>
                <c:pt idx="82">
                  <c:v>-19849.338384994844</c:v>
                </c:pt>
                <c:pt idx="83">
                  <c:v>-8556.4728300846164</c:v>
                </c:pt>
                <c:pt idx="84">
                  <c:v>588.98337502532581</c:v>
                </c:pt>
                <c:pt idx="85">
                  <c:v>7225.4655458402231</c:v>
                </c:pt>
                <c:pt idx="86">
                  <c:v>14702.969673403668</c:v>
                </c:pt>
                <c:pt idx="87">
                  <c:v>26366.176148156963</c:v>
                </c:pt>
                <c:pt idx="88">
                  <c:v>30760.891800879039</c:v>
                </c:pt>
                <c:pt idx="89">
                  <c:v>24135.461905402834</c:v>
                </c:pt>
                <c:pt idx="90">
                  <c:v>9035.5089355065847</c:v>
                </c:pt>
                <c:pt idx="91">
                  <c:v>-11512.115043864824</c:v>
                </c:pt>
                <c:pt idx="92">
                  <c:v>-29942.575873501661</c:v>
                </c:pt>
                <c:pt idx="93">
                  <c:v>-31807.738034068618</c:v>
                </c:pt>
                <c:pt idx="94">
                  <c:v>-19849.338384994844</c:v>
                </c:pt>
                <c:pt idx="95">
                  <c:v>-8556.4728300846164</c:v>
                </c:pt>
                <c:pt idx="96">
                  <c:v>588.98337502532581</c:v>
                </c:pt>
                <c:pt idx="97">
                  <c:v>7225.4655458402231</c:v>
                </c:pt>
                <c:pt idx="98">
                  <c:v>14702.969673403668</c:v>
                </c:pt>
                <c:pt idx="99">
                  <c:v>26366.176148156963</c:v>
                </c:pt>
                <c:pt idx="100">
                  <c:v>30760.891800879039</c:v>
                </c:pt>
                <c:pt idx="101">
                  <c:v>24135.461905402834</c:v>
                </c:pt>
                <c:pt idx="102">
                  <c:v>9035.5089355065847</c:v>
                </c:pt>
                <c:pt idx="103">
                  <c:v>-11512.115043864824</c:v>
                </c:pt>
                <c:pt idx="104">
                  <c:v>-29942.575873501661</c:v>
                </c:pt>
                <c:pt idx="105">
                  <c:v>-31807.738034068618</c:v>
                </c:pt>
                <c:pt idx="106">
                  <c:v>-19849.338384994844</c:v>
                </c:pt>
                <c:pt idx="107">
                  <c:v>-8556.4728300846164</c:v>
                </c:pt>
                <c:pt idx="108">
                  <c:v>588.98337502532581</c:v>
                </c:pt>
                <c:pt idx="109">
                  <c:v>7225.4655458402231</c:v>
                </c:pt>
                <c:pt idx="110">
                  <c:v>14702.969673403668</c:v>
                </c:pt>
                <c:pt idx="111">
                  <c:v>26366.176148156963</c:v>
                </c:pt>
                <c:pt idx="112">
                  <c:v>30760.891800879039</c:v>
                </c:pt>
                <c:pt idx="113">
                  <c:v>24135.461905402834</c:v>
                </c:pt>
                <c:pt idx="114">
                  <c:v>9035.5089355065847</c:v>
                </c:pt>
                <c:pt idx="115">
                  <c:v>-11512.115043864824</c:v>
                </c:pt>
                <c:pt idx="116">
                  <c:v>-29942.575873501661</c:v>
                </c:pt>
                <c:pt idx="117">
                  <c:v>-31807.738034068618</c:v>
                </c:pt>
                <c:pt idx="118">
                  <c:v>-19849.338384994844</c:v>
                </c:pt>
                <c:pt idx="119">
                  <c:v>-8556.4728300846164</c:v>
                </c:pt>
                <c:pt idx="120">
                  <c:v>588.98337502532581</c:v>
                </c:pt>
                <c:pt idx="121">
                  <c:v>7225.4655458402231</c:v>
                </c:pt>
                <c:pt idx="122">
                  <c:v>14702.969673403668</c:v>
                </c:pt>
                <c:pt idx="123">
                  <c:v>26366.176148156963</c:v>
                </c:pt>
                <c:pt idx="124">
                  <c:v>30760.891800879039</c:v>
                </c:pt>
                <c:pt idx="125">
                  <c:v>24135.461905402834</c:v>
                </c:pt>
                <c:pt idx="126">
                  <c:v>9035.5089355065847</c:v>
                </c:pt>
                <c:pt idx="127">
                  <c:v>-11512.115043864824</c:v>
                </c:pt>
                <c:pt idx="128">
                  <c:v>-29942.575873501661</c:v>
                </c:pt>
                <c:pt idx="129">
                  <c:v>-31807.738034068618</c:v>
                </c:pt>
                <c:pt idx="130">
                  <c:v>-19849.338384994844</c:v>
                </c:pt>
                <c:pt idx="131">
                  <c:v>-8556.4728300846164</c:v>
                </c:pt>
                <c:pt idx="132">
                  <c:v>588.98337502532581</c:v>
                </c:pt>
                <c:pt idx="133">
                  <c:v>7225.4655458402231</c:v>
                </c:pt>
                <c:pt idx="134">
                  <c:v>14702.969673403668</c:v>
                </c:pt>
                <c:pt idx="135">
                  <c:v>26366.176148156963</c:v>
                </c:pt>
                <c:pt idx="136">
                  <c:v>30760.891800879039</c:v>
                </c:pt>
                <c:pt idx="137">
                  <c:v>24135.461905402834</c:v>
                </c:pt>
                <c:pt idx="138">
                  <c:v>9035.5089355065847</c:v>
                </c:pt>
                <c:pt idx="139">
                  <c:v>-11512.115043864824</c:v>
                </c:pt>
                <c:pt idx="140">
                  <c:v>-29942.575873501661</c:v>
                </c:pt>
                <c:pt idx="141">
                  <c:v>-31807.738034068618</c:v>
                </c:pt>
                <c:pt idx="142">
                  <c:v>-19849.338384994844</c:v>
                </c:pt>
                <c:pt idx="143">
                  <c:v>-8556.4728300846164</c:v>
                </c:pt>
                <c:pt idx="144">
                  <c:v>588.98337502532581</c:v>
                </c:pt>
                <c:pt idx="145">
                  <c:v>7225.4655458402231</c:v>
                </c:pt>
                <c:pt idx="146">
                  <c:v>14702.969673403668</c:v>
                </c:pt>
                <c:pt idx="147">
                  <c:v>26366.176148156963</c:v>
                </c:pt>
                <c:pt idx="148">
                  <c:v>30760.891800879039</c:v>
                </c:pt>
                <c:pt idx="149">
                  <c:v>24135.461905402834</c:v>
                </c:pt>
                <c:pt idx="150">
                  <c:v>9035.5089355065847</c:v>
                </c:pt>
                <c:pt idx="151">
                  <c:v>-11512.115043864824</c:v>
                </c:pt>
                <c:pt idx="152">
                  <c:v>-29942.575873501661</c:v>
                </c:pt>
                <c:pt idx="153">
                  <c:v>-31807.738034068618</c:v>
                </c:pt>
                <c:pt idx="154">
                  <c:v>-19849.338384994844</c:v>
                </c:pt>
                <c:pt idx="155">
                  <c:v>-8556.4728300846164</c:v>
                </c:pt>
                <c:pt idx="156">
                  <c:v>588.98337502532581</c:v>
                </c:pt>
                <c:pt idx="157">
                  <c:v>7225.4655458402231</c:v>
                </c:pt>
                <c:pt idx="158">
                  <c:v>14702.969673403668</c:v>
                </c:pt>
                <c:pt idx="159">
                  <c:v>26366.176148156963</c:v>
                </c:pt>
                <c:pt idx="160">
                  <c:v>30760.891800879039</c:v>
                </c:pt>
                <c:pt idx="161">
                  <c:v>24135.461905402834</c:v>
                </c:pt>
                <c:pt idx="162">
                  <c:v>9035.5089355065847</c:v>
                </c:pt>
                <c:pt idx="163">
                  <c:v>-11512.115043864824</c:v>
                </c:pt>
                <c:pt idx="164">
                  <c:v>-29942.575873501661</c:v>
                </c:pt>
                <c:pt idx="165">
                  <c:v>-31807.738034068618</c:v>
                </c:pt>
                <c:pt idx="166">
                  <c:v>-19849.338384994844</c:v>
                </c:pt>
                <c:pt idx="167">
                  <c:v>-8556.4728300846164</c:v>
                </c:pt>
                <c:pt idx="168">
                  <c:v>588.98337502532581</c:v>
                </c:pt>
                <c:pt idx="169">
                  <c:v>7225.4655458402231</c:v>
                </c:pt>
                <c:pt idx="170">
                  <c:v>14702.969673403668</c:v>
                </c:pt>
                <c:pt idx="171">
                  <c:v>26366.176148156963</c:v>
                </c:pt>
                <c:pt idx="172">
                  <c:v>30760.891800879039</c:v>
                </c:pt>
                <c:pt idx="173">
                  <c:v>24135.461905402834</c:v>
                </c:pt>
                <c:pt idx="174">
                  <c:v>9035.5089355065847</c:v>
                </c:pt>
                <c:pt idx="175">
                  <c:v>-11512.115043864824</c:v>
                </c:pt>
                <c:pt idx="176">
                  <c:v>-29942.575873501661</c:v>
                </c:pt>
                <c:pt idx="177">
                  <c:v>-31807.738034068618</c:v>
                </c:pt>
                <c:pt idx="178">
                  <c:v>-19849.338384994844</c:v>
                </c:pt>
                <c:pt idx="179">
                  <c:v>-8556.4728300846164</c:v>
                </c:pt>
                <c:pt idx="180">
                  <c:v>588.98337502532581</c:v>
                </c:pt>
                <c:pt idx="181">
                  <c:v>7225.4655458402231</c:v>
                </c:pt>
                <c:pt idx="182">
                  <c:v>14702.969673403668</c:v>
                </c:pt>
                <c:pt idx="183">
                  <c:v>26366.176148156963</c:v>
                </c:pt>
                <c:pt idx="184">
                  <c:v>30760.891800879039</c:v>
                </c:pt>
                <c:pt idx="185">
                  <c:v>24135.461905402834</c:v>
                </c:pt>
                <c:pt idx="186">
                  <c:v>9035.5089355065847</c:v>
                </c:pt>
                <c:pt idx="187">
                  <c:v>-11512.115043864824</c:v>
                </c:pt>
                <c:pt idx="188">
                  <c:v>-29942.575873501661</c:v>
                </c:pt>
                <c:pt idx="189">
                  <c:v>-31807.738034068618</c:v>
                </c:pt>
                <c:pt idx="190">
                  <c:v>-19849.338384994844</c:v>
                </c:pt>
                <c:pt idx="191">
                  <c:v>-8556.4728300846164</c:v>
                </c:pt>
                <c:pt idx="192">
                  <c:v>588.98337502532581</c:v>
                </c:pt>
                <c:pt idx="193">
                  <c:v>7225.4655458402231</c:v>
                </c:pt>
                <c:pt idx="194">
                  <c:v>14702.969673403668</c:v>
                </c:pt>
                <c:pt idx="195">
                  <c:v>26366.176148156963</c:v>
                </c:pt>
                <c:pt idx="196">
                  <c:v>30760.891800879039</c:v>
                </c:pt>
                <c:pt idx="197">
                  <c:v>24135.461905402834</c:v>
                </c:pt>
                <c:pt idx="198">
                  <c:v>9035.5089355065847</c:v>
                </c:pt>
                <c:pt idx="199">
                  <c:v>-11512.115043864824</c:v>
                </c:pt>
                <c:pt idx="200">
                  <c:v>-29942.575873501661</c:v>
                </c:pt>
                <c:pt idx="201">
                  <c:v>-31807.738034068618</c:v>
                </c:pt>
                <c:pt idx="202">
                  <c:v>-19849.338384994844</c:v>
                </c:pt>
                <c:pt idx="203">
                  <c:v>-8556.4728300846164</c:v>
                </c:pt>
                <c:pt idx="204">
                  <c:v>588.98337502532581</c:v>
                </c:pt>
                <c:pt idx="205">
                  <c:v>7225.4655458402231</c:v>
                </c:pt>
                <c:pt idx="206">
                  <c:v>14702.969673403668</c:v>
                </c:pt>
                <c:pt idx="207">
                  <c:v>26366.176148156963</c:v>
                </c:pt>
                <c:pt idx="208">
                  <c:v>30760.891800879039</c:v>
                </c:pt>
                <c:pt idx="209">
                  <c:v>24135.461905402834</c:v>
                </c:pt>
                <c:pt idx="210">
                  <c:v>9035.5089355065847</c:v>
                </c:pt>
                <c:pt idx="211">
                  <c:v>-11512.115043864824</c:v>
                </c:pt>
                <c:pt idx="212">
                  <c:v>-29942.575873501661</c:v>
                </c:pt>
                <c:pt idx="213">
                  <c:v>-31807.738034068618</c:v>
                </c:pt>
                <c:pt idx="214">
                  <c:v>-19849.338384994844</c:v>
                </c:pt>
                <c:pt idx="215">
                  <c:v>-8556.4728300846164</c:v>
                </c:pt>
                <c:pt idx="216">
                  <c:v>588.98337502532581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B0-4552-AD57-8C51543D5C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&quot;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ax val="200000"/>
          <c:min val="-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sz="2000"/>
              <a:t>Y-T-S (= I)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TCSI!$G$1</c:f>
              <c:strCache>
                <c:ptCount val="1"/>
                <c:pt idx="0">
                  <c:v>I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TCSI!$A$2:$A$219</c:f>
              <c:numCache>
                <c:formatCode>m/d/yyyy</c:formatCode>
                <c:ptCount val="218"/>
                <c:pt idx="0">
                  <c:v>29221</c:v>
                </c:pt>
                <c:pt idx="1">
                  <c:v>29252</c:v>
                </c:pt>
                <c:pt idx="2">
                  <c:v>29281</c:v>
                </c:pt>
                <c:pt idx="3">
                  <c:v>29312</c:v>
                </c:pt>
                <c:pt idx="4">
                  <c:v>29342</c:v>
                </c:pt>
                <c:pt idx="5">
                  <c:v>29373</c:v>
                </c:pt>
                <c:pt idx="6">
                  <c:v>29403</c:v>
                </c:pt>
                <c:pt idx="7">
                  <c:v>29434</c:v>
                </c:pt>
                <c:pt idx="8">
                  <c:v>29465</c:v>
                </c:pt>
                <c:pt idx="9">
                  <c:v>29495</c:v>
                </c:pt>
                <c:pt idx="10">
                  <c:v>29526</c:v>
                </c:pt>
                <c:pt idx="11">
                  <c:v>29556</c:v>
                </c:pt>
                <c:pt idx="12">
                  <c:v>29587</c:v>
                </c:pt>
                <c:pt idx="13">
                  <c:v>29618</c:v>
                </c:pt>
                <c:pt idx="14">
                  <c:v>29646</c:v>
                </c:pt>
                <c:pt idx="15">
                  <c:v>29677</c:v>
                </c:pt>
                <c:pt idx="16">
                  <c:v>29707</c:v>
                </c:pt>
                <c:pt idx="17">
                  <c:v>29738</c:v>
                </c:pt>
                <c:pt idx="18">
                  <c:v>29768</c:v>
                </c:pt>
                <c:pt idx="19">
                  <c:v>29799</c:v>
                </c:pt>
                <c:pt idx="20">
                  <c:v>29830</c:v>
                </c:pt>
                <c:pt idx="21">
                  <c:v>29860</c:v>
                </c:pt>
                <c:pt idx="22">
                  <c:v>29891</c:v>
                </c:pt>
                <c:pt idx="23">
                  <c:v>29921</c:v>
                </c:pt>
                <c:pt idx="24">
                  <c:v>29952</c:v>
                </c:pt>
                <c:pt idx="25">
                  <c:v>29983</c:v>
                </c:pt>
                <c:pt idx="26">
                  <c:v>30011</c:v>
                </c:pt>
                <c:pt idx="27">
                  <c:v>30042</c:v>
                </c:pt>
                <c:pt idx="28">
                  <c:v>30072</c:v>
                </c:pt>
                <c:pt idx="29">
                  <c:v>30103</c:v>
                </c:pt>
                <c:pt idx="30">
                  <c:v>30133</c:v>
                </c:pt>
                <c:pt idx="31">
                  <c:v>30164</c:v>
                </c:pt>
                <c:pt idx="32">
                  <c:v>30195</c:v>
                </c:pt>
                <c:pt idx="33">
                  <c:v>30225</c:v>
                </c:pt>
                <c:pt idx="34">
                  <c:v>30256</c:v>
                </c:pt>
                <c:pt idx="35">
                  <c:v>30286</c:v>
                </c:pt>
                <c:pt idx="36">
                  <c:v>30317</c:v>
                </c:pt>
                <c:pt idx="37">
                  <c:v>30348</c:v>
                </c:pt>
                <c:pt idx="38">
                  <c:v>30376</c:v>
                </c:pt>
                <c:pt idx="39">
                  <c:v>30407</c:v>
                </c:pt>
                <c:pt idx="40">
                  <c:v>30437</c:v>
                </c:pt>
                <c:pt idx="41">
                  <c:v>30468</c:v>
                </c:pt>
                <c:pt idx="42">
                  <c:v>30498</c:v>
                </c:pt>
                <c:pt idx="43">
                  <c:v>30529</c:v>
                </c:pt>
                <c:pt idx="44">
                  <c:v>30560</c:v>
                </c:pt>
                <c:pt idx="45">
                  <c:v>30590</c:v>
                </c:pt>
                <c:pt idx="46">
                  <c:v>30621</c:v>
                </c:pt>
                <c:pt idx="47">
                  <c:v>30651</c:v>
                </c:pt>
                <c:pt idx="48">
                  <c:v>30682</c:v>
                </c:pt>
                <c:pt idx="49">
                  <c:v>30713</c:v>
                </c:pt>
                <c:pt idx="50">
                  <c:v>30742</c:v>
                </c:pt>
                <c:pt idx="51">
                  <c:v>30773</c:v>
                </c:pt>
                <c:pt idx="52">
                  <c:v>30803</c:v>
                </c:pt>
                <c:pt idx="53">
                  <c:v>30834</c:v>
                </c:pt>
                <c:pt idx="54">
                  <c:v>30864</c:v>
                </c:pt>
                <c:pt idx="55">
                  <c:v>30895</c:v>
                </c:pt>
                <c:pt idx="56">
                  <c:v>30926</c:v>
                </c:pt>
                <c:pt idx="57">
                  <c:v>30956</c:v>
                </c:pt>
                <c:pt idx="58">
                  <c:v>30987</c:v>
                </c:pt>
                <c:pt idx="59">
                  <c:v>31017</c:v>
                </c:pt>
                <c:pt idx="60">
                  <c:v>31048</c:v>
                </c:pt>
                <c:pt idx="61">
                  <c:v>31079</c:v>
                </c:pt>
                <c:pt idx="62">
                  <c:v>31107</c:v>
                </c:pt>
                <c:pt idx="63">
                  <c:v>31138</c:v>
                </c:pt>
                <c:pt idx="64">
                  <c:v>31168</c:v>
                </c:pt>
                <c:pt idx="65">
                  <c:v>31199</c:v>
                </c:pt>
                <c:pt idx="66">
                  <c:v>31229</c:v>
                </c:pt>
                <c:pt idx="67">
                  <c:v>31260</c:v>
                </c:pt>
                <c:pt idx="68">
                  <c:v>31291</c:v>
                </c:pt>
                <c:pt idx="69">
                  <c:v>31321</c:v>
                </c:pt>
                <c:pt idx="70">
                  <c:v>31352</c:v>
                </c:pt>
                <c:pt idx="71">
                  <c:v>31382</c:v>
                </c:pt>
                <c:pt idx="72">
                  <c:v>31413</c:v>
                </c:pt>
                <c:pt idx="73">
                  <c:v>31444</c:v>
                </c:pt>
                <c:pt idx="74">
                  <c:v>31472</c:v>
                </c:pt>
                <c:pt idx="75">
                  <c:v>31503</c:v>
                </c:pt>
                <c:pt idx="76">
                  <c:v>31533</c:v>
                </c:pt>
                <c:pt idx="77">
                  <c:v>31564</c:v>
                </c:pt>
                <c:pt idx="78">
                  <c:v>31594</c:v>
                </c:pt>
                <c:pt idx="79">
                  <c:v>31625</c:v>
                </c:pt>
                <c:pt idx="80">
                  <c:v>31656</c:v>
                </c:pt>
                <c:pt idx="81">
                  <c:v>31686</c:v>
                </c:pt>
                <c:pt idx="82">
                  <c:v>31717</c:v>
                </c:pt>
                <c:pt idx="83">
                  <c:v>31747</c:v>
                </c:pt>
                <c:pt idx="84">
                  <c:v>31778</c:v>
                </c:pt>
                <c:pt idx="85">
                  <c:v>31809</c:v>
                </c:pt>
                <c:pt idx="86">
                  <c:v>31837</c:v>
                </c:pt>
                <c:pt idx="87">
                  <c:v>31868</c:v>
                </c:pt>
                <c:pt idx="88">
                  <c:v>31898</c:v>
                </c:pt>
                <c:pt idx="89">
                  <c:v>31929</c:v>
                </c:pt>
                <c:pt idx="90">
                  <c:v>31959</c:v>
                </c:pt>
                <c:pt idx="91">
                  <c:v>31990</c:v>
                </c:pt>
                <c:pt idx="92">
                  <c:v>32021</c:v>
                </c:pt>
                <c:pt idx="93">
                  <c:v>32051</c:v>
                </c:pt>
                <c:pt idx="94">
                  <c:v>32082</c:v>
                </c:pt>
                <c:pt idx="95">
                  <c:v>32112</c:v>
                </c:pt>
                <c:pt idx="96">
                  <c:v>32143</c:v>
                </c:pt>
                <c:pt idx="97">
                  <c:v>32174</c:v>
                </c:pt>
                <c:pt idx="98">
                  <c:v>32203</c:v>
                </c:pt>
                <c:pt idx="99">
                  <c:v>32234</c:v>
                </c:pt>
                <c:pt idx="100">
                  <c:v>32264</c:v>
                </c:pt>
                <c:pt idx="101">
                  <c:v>32295</c:v>
                </c:pt>
                <c:pt idx="102">
                  <c:v>32325</c:v>
                </c:pt>
                <c:pt idx="103">
                  <c:v>32356</c:v>
                </c:pt>
                <c:pt idx="104">
                  <c:v>32387</c:v>
                </c:pt>
                <c:pt idx="105">
                  <c:v>32417</c:v>
                </c:pt>
                <c:pt idx="106">
                  <c:v>32448</c:v>
                </c:pt>
                <c:pt idx="107">
                  <c:v>32478</c:v>
                </c:pt>
                <c:pt idx="108">
                  <c:v>32509</c:v>
                </c:pt>
                <c:pt idx="109">
                  <c:v>32540</c:v>
                </c:pt>
                <c:pt idx="110">
                  <c:v>32568</c:v>
                </c:pt>
                <c:pt idx="111">
                  <c:v>32599</c:v>
                </c:pt>
                <c:pt idx="112">
                  <c:v>32629</c:v>
                </c:pt>
                <c:pt idx="113">
                  <c:v>32660</c:v>
                </c:pt>
                <c:pt idx="114">
                  <c:v>32690</c:v>
                </c:pt>
                <c:pt idx="115">
                  <c:v>32721</c:v>
                </c:pt>
                <c:pt idx="116">
                  <c:v>32752</c:v>
                </c:pt>
                <c:pt idx="117">
                  <c:v>32782</c:v>
                </c:pt>
                <c:pt idx="118">
                  <c:v>32813</c:v>
                </c:pt>
                <c:pt idx="119">
                  <c:v>32843</c:v>
                </c:pt>
                <c:pt idx="120">
                  <c:v>32874</c:v>
                </c:pt>
                <c:pt idx="121">
                  <c:v>32905</c:v>
                </c:pt>
                <c:pt idx="122">
                  <c:v>32933</c:v>
                </c:pt>
                <c:pt idx="123">
                  <c:v>32964</c:v>
                </c:pt>
                <c:pt idx="124">
                  <c:v>32994</c:v>
                </c:pt>
                <c:pt idx="125">
                  <c:v>33025</c:v>
                </c:pt>
                <c:pt idx="126">
                  <c:v>33055</c:v>
                </c:pt>
                <c:pt idx="127">
                  <c:v>33086</c:v>
                </c:pt>
                <c:pt idx="128">
                  <c:v>33117</c:v>
                </c:pt>
                <c:pt idx="129">
                  <c:v>33147</c:v>
                </c:pt>
                <c:pt idx="130">
                  <c:v>33178</c:v>
                </c:pt>
                <c:pt idx="131">
                  <c:v>33208</c:v>
                </c:pt>
                <c:pt idx="132">
                  <c:v>33239</c:v>
                </c:pt>
                <c:pt idx="133">
                  <c:v>33270</c:v>
                </c:pt>
                <c:pt idx="134">
                  <c:v>33298</c:v>
                </c:pt>
                <c:pt idx="135">
                  <c:v>33329</c:v>
                </c:pt>
                <c:pt idx="136">
                  <c:v>33359</c:v>
                </c:pt>
                <c:pt idx="137">
                  <c:v>33390</c:v>
                </c:pt>
                <c:pt idx="138">
                  <c:v>33420</c:v>
                </c:pt>
                <c:pt idx="139">
                  <c:v>33451</c:v>
                </c:pt>
                <c:pt idx="140">
                  <c:v>33482</c:v>
                </c:pt>
                <c:pt idx="141">
                  <c:v>33512</c:v>
                </c:pt>
                <c:pt idx="142">
                  <c:v>33543</c:v>
                </c:pt>
                <c:pt idx="143">
                  <c:v>33573</c:v>
                </c:pt>
                <c:pt idx="144">
                  <c:v>33604</c:v>
                </c:pt>
                <c:pt idx="145">
                  <c:v>33635</c:v>
                </c:pt>
                <c:pt idx="146">
                  <c:v>33664</c:v>
                </c:pt>
                <c:pt idx="147">
                  <c:v>33695</c:v>
                </c:pt>
                <c:pt idx="148">
                  <c:v>33725</c:v>
                </c:pt>
                <c:pt idx="149">
                  <c:v>33756</c:v>
                </c:pt>
                <c:pt idx="150">
                  <c:v>33786</c:v>
                </c:pt>
                <c:pt idx="151">
                  <c:v>33817</c:v>
                </c:pt>
                <c:pt idx="152">
                  <c:v>33848</c:v>
                </c:pt>
                <c:pt idx="153">
                  <c:v>33878</c:v>
                </c:pt>
                <c:pt idx="154">
                  <c:v>33909</c:v>
                </c:pt>
                <c:pt idx="155">
                  <c:v>33939</c:v>
                </c:pt>
                <c:pt idx="156">
                  <c:v>33970</c:v>
                </c:pt>
                <c:pt idx="157">
                  <c:v>34001</c:v>
                </c:pt>
                <c:pt idx="158">
                  <c:v>34029</c:v>
                </c:pt>
                <c:pt idx="159">
                  <c:v>34060</c:v>
                </c:pt>
                <c:pt idx="160">
                  <c:v>34090</c:v>
                </c:pt>
                <c:pt idx="161">
                  <c:v>34121</c:v>
                </c:pt>
                <c:pt idx="162">
                  <c:v>34151</c:v>
                </c:pt>
                <c:pt idx="163">
                  <c:v>34182</c:v>
                </c:pt>
                <c:pt idx="164">
                  <c:v>34213</c:v>
                </c:pt>
                <c:pt idx="165">
                  <c:v>34243</c:v>
                </c:pt>
                <c:pt idx="166">
                  <c:v>34274</c:v>
                </c:pt>
                <c:pt idx="167">
                  <c:v>34304</c:v>
                </c:pt>
                <c:pt idx="168">
                  <c:v>34335</c:v>
                </c:pt>
                <c:pt idx="169">
                  <c:v>34366</c:v>
                </c:pt>
                <c:pt idx="170">
                  <c:v>34394</c:v>
                </c:pt>
                <c:pt idx="171">
                  <c:v>34425</c:v>
                </c:pt>
                <c:pt idx="172">
                  <c:v>34455</c:v>
                </c:pt>
                <c:pt idx="173">
                  <c:v>34486</c:v>
                </c:pt>
                <c:pt idx="174">
                  <c:v>34516</c:v>
                </c:pt>
                <c:pt idx="175">
                  <c:v>34547</c:v>
                </c:pt>
                <c:pt idx="176">
                  <c:v>34578</c:v>
                </c:pt>
                <c:pt idx="177">
                  <c:v>34608</c:v>
                </c:pt>
                <c:pt idx="178">
                  <c:v>34639</c:v>
                </c:pt>
                <c:pt idx="179">
                  <c:v>34669</c:v>
                </c:pt>
                <c:pt idx="180">
                  <c:v>34700</c:v>
                </c:pt>
                <c:pt idx="181">
                  <c:v>34731</c:v>
                </c:pt>
                <c:pt idx="182">
                  <c:v>34759</c:v>
                </c:pt>
                <c:pt idx="183">
                  <c:v>34790</c:v>
                </c:pt>
                <c:pt idx="184">
                  <c:v>34820</c:v>
                </c:pt>
                <c:pt idx="185">
                  <c:v>34851</c:v>
                </c:pt>
                <c:pt idx="186">
                  <c:v>34881</c:v>
                </c:pt>
                <c:pt idx="187">
                  <c:v>34912</c:v>
                </c:pt>
                <c:pt idx="188">
                  <c:v>34943</c:v>
                </c:pt>
                <c:pt idx="189">
                  <c:v>34973</c:v>
                </c:pt>
                <c:pt idx="190">
                  <c:v>35004</c:v>
                </c:pt>
                <c:pt idx="191">
                  <c:v>35034</c:v>
                </c:pt>
                <c:pt idx="192">
                  <c:v>35065</c:v>
                </c:pt>
                <c:pt idx="193">
                  <c:v>35096</c:v>
                </c:pt>
                <c:pt idx="194">
                  <c:v>35125</c:v>
                </c:pt>
                <c:pt idx="195">
                  <c:v>35156</c:v>
                </c:pt>
                <c:pt idx="196">
                  <c:v>35186</c:v>
                </c:pt>
                <c:pt idx="197">
                  <c:v>35217</c:v>
                </c:pt>
                <c:pt idx="198">
                  <c:v>35247</c:v>
                </c:pt>
                <c:pt idx="199">
                  <c:v>35278</c:v>
                </c:pt>
                <c:pt idx="200">
                  <c:v>35309</c:v>
                </c:pt>
                <c:pt idx="201">
                  <c:v>35339</c:v>
                </c:pt>
                <c:pt idx="202">
                  <c:v>35370</c:v>
                </c:pt>
                <c:pt idx="203">
                  <c:v>35400</c:v>
                </c:pt>
                <c:pt idx="204">
                  <c:v>35431</c:v>
                </c:pt>
                <c:pt idx="205">
                  <c:v>35462</c:v>
                </c:pt>
                <c:pt idx="206">
                  <c:v>35490</c:v>
                </c:pt>
                <c:pt idx="207">
                  <c:v>35521</c:v>
                </c:pt>
                <c:pt idx="208">
                  <c:v>35551</c:v>
                </c:pt>
                <c:pt idx="209">
                  <c:v>35582</c:v>
                </c:pt>
                <c:pt idx="210">
                  <c:v>35612</c:v>
                </c:pt>
                <c:pt idx="211">
                  <c:v>35643</c:v>
                </c:pt>
                <c:pt idx="212">
                  <c:v>35674</c:v>
                </c:pt>
                <c:pt idx="213">
                  <c:v>35704</c:v>
                </c:pt>
                <c:pt idx="214">
                  <c:v>35735</c:v>
                </c:pt>
                <c:pt idx="215">
                  <c:v>35765</c:v>
                </c:pt>
                <c:pt idx="216">
                  <c:v>35796</c:v>
                </c:pt>
              </c:numCache>
            </c:numRef>
          </c:xVal>
          <c:yVal>
            <c:numRef>
              <c:f>TCSI!$G$2:$G$219</c:f>
              <c:numCache>
                <c:formatCode>0_);[Red]\(0\)</c:formatCode>
                <c:ptCount val="218"/>
                <c:pt idx="0">
                  <c:v>-1938.4970964852316</c:v>
                </c:pt>
                <c:pt idx="1">
                  <c:v>-7081.7855697536152</c:v>
                </c:pt>
                <c:pt idx="2">
                  <c:v>9092.4584536362818</c:v>
                </c:pt>
                <c:pt idx="3">
                  <c:v>-4626.1159582222499</c:v>
                </c:pt>
                <c:pt idx="4">
                  <c:v>-6047.5440942945534</c:v>
                </c:pt>
                <c:pt idx="5">
                  <c:v>8884.2481723570854</c:v>
                </c:pt>
                <c:pt idx="6">
                  <c:v>6490.4225958250918</c:v>
                </c:pt>
                <c:pt idx="7">
                  <c:v>-2644.5808555027584</c:v>
                </c:pt>
                <c:pt idx="8">
                  <c:v>770.52187688091715</c:v>
                </c:pt>
                <c:pt idx="9">
                  <c:v>1419.6824709797243</c:v>
                </c:pt>
                <c:pt idx="10">
                  <c:v>-2562.3459558469208</c:v>
                </c:pt>
                <c:pt idx="11">
                  <c:v>-3056.5776194510731</c:v>
                </c:pt>
                <c:pt idx="12">
                  <c:v>3756.6864935049148</c:v>
                </c:pt>
                <c:pt idx="13">
                  <c:v>12882.200604451198</c:v>
                </c:pt>
                <c:pt idx="14">
                  <c:v>5707.2860959430582</c:v>
                </c:pt>
                <c:pt idx="15">
                  <c:v>7620.6673267570832</c:v>
                </c:pt>
                <c:pt idx="16">
                  <c:v>-1210.4625603406616</c:v>
                </c:pt>
                <c:pt idx="17">
                  <c:v>3399.6482636519781</c:v>
                </c:pt>
                <c:pt idx="18">
                  <c:v>10578.241223148383</c:v>
                </c:pt>
                <c:pt idx="19">
                  <c:v>12239.915234680417</c:v>
                </c:pt>
                <c:pt idx="20">
                  <c:v>-7538.7312815534024</c:v>
                </c:pt>
                <c:pt idx="21">
                  <c:v>6006.3243015364687</c:v>
                </c:pt>
                <c:pt idx="22">
                  <c:v>-6990.4422606475437</c:v>
                </c:pt>
                <c:pt idx="23">
                  <c:v>-2517.4347650775353</c:v>
                </c:pt>
                <c:pt idx="24">
                  <c:v>-1255.4985381205277</c:v>
                </c:pt>
                <c:pt idx="25">
                  <c:v>11807.22097758503</c:v>
                </c:pt>
                <c:pt idx="26">
                  <c:v>2432.4125741756575</c:v>
                </c:pt>
                <c:pt idx="27">
                  <c:v>8561.0564210031007</c:v>
                </c:pt>
                <c:pt idx="28">
                  <c:v>1011.6504514366856</c:v>
                </c:pt>
                <c:pt idx="29">
                  <c:v>5648.4735274459817</c:v>
                </c:pt>
                <c:pt idx="30">
                  <c:v>7877.918178780229</c:v>
                </c:pt>
                <c:pt idx="31">
                  <c:v>-11550.549632803728</c:v>
                </c:pt>
                <c:pt idx="32">
                  <c:v>-4326.2900854886466</c:v>
                </c:pt>
                <c:pt idx="33">
                  <c:v>-5404.9882155895757</c:v>
                </c:pt>
                <c:pt idx="34">
                  <c:v>-4078.3723898667713</c:v>
                </c:pt>
                <c:pt idx="35">
                  <c:v>2630.6178511768958</c:v>
                </c:pt>
                <c:pt idx="36">
                  <c:v>4261.7288494595496</c:v>
                </c:pt>
                <c:pt idx="37">
                  <c:v>-22251.540045094214</c:v>
                </c:pt>
                <c:pt idx="38">
                  <c:v>-4809.7420946872999</c:v>
                </c:pt>
                <c:pt idx="39">
                  <c:v>3507.407082750362</c:v>
                </c:pt>
                <c:pt idx="40">
                  <c:v>-8722.9610503530639</c:v>
                </c:pt>
                <c:pt idx="41">
                  <c:v>-3537.189177761562</c:v>
                </c:pt>
                <c:pt idx="42">
                  <c:v>-4402.561059803229</c:v>
                </c:pt>
                <c:pt idx="43">
                  <c:v>10249.644729205511</c:v>
                </c:pt>
                <c:pt idx="44">
                  <c:v>689.53256806172772</c:v>
                </c:pt>
                <c:pt idx="45">
                  <c:v>-5243.5012432307612</c:v>
                </c:pt>
                <c:pt idx="46">
                  <c:v>-439.26582669046098</c:v>
                </c:pt>
                <c:pt idx="47">
                  <c:v>-5734.4438873019362</c:v>
                </c:pt>
                <c:pt idx="48">
                  <c:v>1415.2887326165624</c:v>
                </c:pt>
                <c:pt idx="49">
                  <c:v>2944.1695094541237</c:v>
                </c:pt>
                <c:pt idx="50">
                  <c:v>-6985.8342776251484</c:v>
                </c:pt>
                <c:pt idx="51">
                  <c:v>-6258.6390068619376</c:v>
                </c:pt>
                <c:pt idx="52">
                  <c:v>7888.2118020655798</c:v>
                </c:pt>
                <c:pt idx="53">
                  <c:v>5324.1047690280202</c:v>
                </c:pt>
                <c:pt idx="54">
                  <c:v>11802.852616634509</c:v>
                </c:pt>
                <c:pt idx="55">
                  <c:v>-13514.067831516795</c:v>
                </c:pt>
                <c:pt idx="56">
                  <c:v>-493.91206304369666</c:v>
                </c:pt>
                <c:pt idx="57">
                  <c:v>-2810.0852430918062</c:v>
                </c:pt>
                <c:pt idx="58">
                  <c:v>-4424.7238993178953</c:v>
                </c:pt>
                <c:pt idx="59">
                  <c:v>9051.5800713508779</c:v>
                </c:pt>
                <c:pt idx="60">
                  <c:v>-6524.439469387049</c:v>
                </c:pt>
                <c:pt idx="61">
                  <c:v>-6374.5740007967088</c:v>
                </c:pt>
                <c:pt idx="62">
                  <c:v>21.986703433131556</c:v>
                </c:pt>
                <c:pt idx="63">
                  <c:v>-15304.5138599694</c:v>
                </c:pt>
                <c:pt idx="64">
                  <c:v>1048.6066578546829</c:v>
                </c:pt>
                <c:pt idx="65">
                  <c:v>-936.53153654856237</c:v>
                </c:pt>
                <c:pt idx="66">
                  <c:v>2636.100725745011</c:v>
                </c:pt>
                <c:pt idx="67">
                  <c:v>-2926.379520423438</c:v>
                </c:pt>
                <c:pt idx="68">
                  <c:v>-4356.1070650153642</c:v>
                </c:pt>
                <c:pt idx="69">
                  <c:v>5793.3250659148944</c:v>
                </c:pt>
                <c:pt idx="70">
                  <c:v>11415.545730031885</c:v>
                </c:pt>
                <c:pt idx="71">
                  <c:v>338.622702892277</c:v>
                </c:pt>
                <c:pt idx="72">
                  <c:v>3339.5423922133205</c:v>
                </c:pt>
                <c:pt idx="73">
                  <c:v>-2277.2745494162637</c:v>
                </c:pt>
                <c:pt idx="74">
                  <c:v>-1998.442545609877</c:v>
                </c:pt>
                <c:pt idx="75">
                  <c:v>211.95381588720574</c:v>
                </c:pt>
                <c:pt idx="76">
                  <c:v>865.61223655570416</c:v>
                </c:pt>
                <c:pt idx="77">
                  <c:v>-12114.440966999189</c:v>
                </c:pt>
                <c:pt idx="78">
                  <c:v>-1769.3839528373173</c:v>
                </c:pt>
                <c:pt idx="79">
                  <c:v>-753.60559371678517</c:v>
                </c:pt>
                <c:pt idx="80">
                  <c:v>15590.157452387934</c:v>
                </c:pt>
                <c:pt idx="81">
                  <c:v>-11314.008866310842</c:v>
                </c:pt>
                <c:pt idx="82">
                  <c:v>-13142.241775991937</c:v>
                </c:pt>
                <c:pt idx="83">
                  <c:v>2643.7910884398311</c:v>
                </c:pt>
                <c:pt idx="84">
                  <c:v>-3721.0881113700725</c:v>
                </c:pt>
                <c:pt idx="85">
                  <c:v>1416.7307119821226</c:v>
                </c:pt>
                <c:pt idx="86">
                  <c:v>-827.6796491733063</c:v>
                </c:pt>
                <c:pt idx="87">
                  <c:v>10453.403192210697</c:v>
                </c:pt>
                <c:pt idx="88">
                  <c:v>4667.9155574108545</c:v>
                </c:pt>
                <c:pt idx="89">
                  <c:v>562.14562298670501</c:v>
                </c:pt>
                <c:pt idx="90">
                  <c:v>-4121.4464034273051</c:v>
                </c:pt>
                <c:pt idx="91">
                  <c:v>4095.3861959536557</c:v>
                </c:pt>
                <c:pt idx="92">
                  <c:v>-5302.3255987597213</c:v>
                </c:pt>
                <c:pt idx="93">
                  <c:v>3018.0678348158094</c:v>
                </c:pt>
                <c:pt idx="94">
                  <c:v>-7856.4442220059291</c:v>
                </c:pt>
                <c:pt idx="95">
                  <c:v>-10779.288501310042</c:v>
                </c:pt>
                <c:pt idx="96">
                  <c:v>130.54560268930231</c:v>
                </c:pt>
                <c:pt idx="97">
                  <c:v>3750.1138173096297</c:v>
                </c:pt>
                <c:pt idx="98">
                  <c:v>-6016.7491729159756</c:v>
                </c:pt>
                <c:pt idx="99">
                  <c:v>13411.331151148441</c:v>
                </c:pt>
                <c:pt idx="100">
                  <c:v>9293.6129224824435</c:v>
                </c:pt>
                <c:pt idx="101">
                  <c:v>-4621.9608141512399</c:v>
                </c:pt>
                <c:pt idx="102">
                  <c:v>4971.2907198364956</c:v>
                </c:pt>
                <c:pt idx="103">
                  <c:v>-13449.750155062418</c:v>
                </c:pt>
                <c:pt idx="104">
                  <c:v>-3166.0552233017524</c:v>
                </c:pt>
                <c:pt idx="105">
                  <c:v>1117.3869975229741</c:v>
                </c:pt>
                <c:pt idx="106">
                  <c:v>-4780.1605280656586</c:v>
                </c:pt>
                <c:pt idx="107">
                  <c:v>-17076.535611003794</c:v>
                </c:pt>
                <c:pt idx="108">
                  <c:v>-10624.373035634295</c:v>
                </c:pt>
                <c:pt idx="109">
                  <c:v>-4409.9613485929276</c:v>
                </c:pt>
                <c:pt idx="110">
                  <c:v>-5415.5316499260744</c:v>
                </c:pt>
                <c:pt idx="111">
                  <c:v>8406.6752791992058</c:v>
                </c:pt>
                <c:pt idx="112">
                  <c:v>-3125.1565881864904</c:v>
                </c:pt>
                <c:pt idx="113">
                  <c:v>-12618.242754621439</c:v>
                </c:pt>
                <c:pt idx="114">
                  <c:v>-922.87434673432756</c:v>
                </c:pt>
                <c:pt idx="115">
                  <c:v>-590.98196158347957</c:v>
                </c:pt>
                <c:pt idx="116">
                  <c:v>886.18125868158927</c:v>
                </c:pt>
                <c:pt idx="117">
                  <c:v>5452.475970107208</c:v>
                </c:pt>
                <c:pt idx="118">
                  <c:v>4341.6708641173</c:v>
                </c:pt>
                <c:pt idx="119">
                  <c:v>-538.08337562217753</c:v>
                </c:pt>
                <c:pt idx="120">
                  <c:v>3622.39338244275</c:v>
                </c:pt>
                <c:pt idx="121">
                  <c:v>3586.6235348762511</c:v>
                </c:pt>
                <c:pt idx="122">
                  <c:v>726.60059313201782</c:v>
                </c:pt>
                <c:pt idx="123">
                  <c:v>-2895.6069074057982</c:v>
                </c:pt>
                <c:pt idx="124">
                  <c:v>9038.4437053617821</c:v>
                </c:pt>
                <c:pt idx="125">
                  <c:v>2701.3048062690309</c:v>
                </c:pt>
                <c:pt idx="126">
                  <c:v>67.923976144924197</c:v>
                </c:pt>
                <c:pt idx="127">
                  <c:v>-278.05266346445705</c:v>
                </c:pt>
                <c:pt idx="128">
                  <c:v>-10945.419011441225</c:v>
                </c:pt>
                <c:pt idx="129">
                  <c:v>646.63596411609421</c:v>
                </c:pt>
                <c:pt idx="130">
                  <c:v>6726.8453364502957</c:v>
                </c:pt>
                <c:pt idx="131">
                  <c:v>9689.6895773113465</c:v>
                </c:pt>
                <c:pt idx="132">
                  <c:v>-436.22179585768555</c:v>
                </c:pt>
                <c:pt idx="133">
                  <c:v>5236.8215013494364</c:v>
                </c:pt>
                <c:pt idx="134">
                  <c:v>2352.5542184496235</c:v>
                </c:pt>
                <c:pt idx="135">
                  <c:v>3875.8228379368238</c:v>
                </c:pt>
                <c:pt idx="136">
                  <c:v>-8794.5675324026561</c:v>
                </c:pt>
                <c:pt idx="137">
                  <c:v>-1010.541954961174</c:v>
                </c:pt>
                <c:pt idx="138">
                  <c:v>3162.9790904002061</c:v>
                </c:pt>
                <c:pt idx="139">
                  <c:v>-6123.3999085762398</c:v>
                </c:pt>
                <c:pt idx="140">
                  <c:v>-5681.7653772489757</c:v>
                </c:pt>
                <c:pt idx="141">
                  <c:v>11219.083483824114</c:v>
                </c:pt>
                <c:pt idx="142">
                  <c:v>6660.0839515149964</c:v>
                </c:pt>
                <c:pt idx="143">
                  <c:v>1626.1448471749377</c:v>
                </c:pt>
                <c:pt idx="144">
                  <c:v>-2152.2779199863239</c:v>
                </c:pt>
                <c:pt idx="145">
                  <c:v>-8996.6506187994692</c:v>
                </c:pt>
                <c:pt idx="146">
                  <c:v>-270.29768635234223</c:v>
                </c:pt>
                <c:pt idx="147">
                  <c:v>-2488.622122939521</c:v>
                </c:pt>
                <c:pt idx="148">
                  <c:v>-3206.6565667108744</c:v>
                </c:pt>
                <c:pt idx="149">
                  <c:v>-3449.4442661119706</c:v>
                </c:pt>
                <c:pt idx="150">
                  <c:v>10101.93485040308</c:v>
                </c:pt>
                <c:pt idx="151">
                  <c:v>3452.6231142819861</c:v>
                </c:pt>
                <c:pt idx="152">
                  <c:v>-3121.4481698832974</c:v>
                </c:pt>
                <c:pt idx="153">
                  <c:v>-1578.0932309334387</c:v>
                </c:pt>
                <c:pt idx="154">
                  <c:v>5703.3799988035526</c:v>
                </c:pt>
                <c:pt idx="155">
                  <c:v>1083.0177807137363</c:v>
                </c:pt>
                <c:pt idx="156">
                  <c:v>2038.7440936754317</c:v>
                </c:pt>
                <c:pt idx="157">
                  <c:v>772.38237033705502</c:v>
                </c:pt>
                <c:pt idx="158">
                  <c:v>9877.102099814334</c:v>
                </c:pt>
                <c:pt idx="159">
                  <c:v>6705.6548873095799</c:v>
                </c:pt>
                <c:pt idx="160">
                  <c:v>-4237.0596231511645</c:v>
                </c:pt>
                <c:pt idx="161">
                  <c:v>12379.282197684772</c:v>
                </c:pt>
                <c:pt idx="162">
                  <c:v>-18073.160972793663</c:v>
                </c:pt>
                <c:pt idx="163">
                  <c:v>5343.1650108942158</c:v>
                </c:pt>
                <c:pt idx="164">
                  <c:v>-6492.6249930592048</c:v>
                </c:pt>
                <c:pt idx="165">
                  <c:v>6283.3964859791549</c:v>
                </c:pt>
                <c:pt idx="166">
                  <c:v>-2079.3218294066724</c:v>
                </c:pt>
                <c:pt idx="167">
                  <c:v>2082.223307688319</c:v>
                </c:pt>
                <c:pt idx="168">
                  <c:v>7700.4381827011248</c:v>
                </c:pt>
                <c:pt idx="169">
                  <c:v>-9799.4549588749178</c:v>
                </c:pt>
                <c:pt idx="170">
                  <c:v>5234.3275199301206</c:v>
                </c:pt>
                <c:pt idx="171">
                  <c:v>904.48242667447983</c:v>
                </c:pt>
                <c:pt idx="172">
                  <c:v>9982.3789884235957</c:v>
                </c:pt>
                <c:pt idx="173">
                  <c:v>156.38042683891467</c:v>
                </c:pt>
                <c:pt idx="174">
                  <c:v>4030.7604138624743</c:v>
                </c:pt>
                <c:pt idx="175">
                  <c:v>6781.2627737795665</c:v>
                </c:pt>
                <c:pt idx="176">
                  <c:v>-225.0179373049464</c:v>
                </c:pt>
                <c:pt idx="177">
                  <c:v>-8191.3017502240673</c:v>
                </c:pt>
                <c:pt idx="178">
                  <c:v>-4379.2088440431908</c:v>
                </c:pt>
                <c:pt idx="179">
                  <c:v>-5167.6369202514852</c:v>
                </c:pt>
                <c:pt idx="180">
                  <c:v>3972.3141981701183</c:v>
                </c:pt>
                <c:pt idx="181">
                  <c:v>12176.775778964879</c:v>
                </c:pt>
                <c:pt idx="182">
                  <c:v>-4625.1162291421442</c:v>
                </c:pt>
                <c:pt idx="183">
                  <c:v>6951.6870375600174</c:v>
                </c:pt>
                <c:pt idx="184">
                  <c:v>-4893.9442647146525</c:v>
                </c:pt>
                <c:pt idx="185">
                  <c:v>-5657.1122500827441</c:v>
                </c:pt>
                <c:pt idx="186">
                  <c:v>5979.7908246839506</c:v>
                </c:pt>
                <c:pt idx="187">
                  <c:v>-7082.1886288527403</c:v>
                </c:pt>
                <c:pt idx="188">
                  <c:v>19147.262294199318</c:v>
                </c:pt>
                <c:pt idx="189">
                  <c:v>-1500.5830228747561</c:v>
                </c:pt>
                <c:pt idx="190">
                  <c:v>2291.1844221514702</c:v>
                </c:pt>
                <c:pt idx="191">
                  <c:v>-5609.897886079716</c:v>
                </c:pt>
                <c:pt idx="192">
                  <c:v>-8575.9157974342361</c:v>
                </c:pt>
                <c:pt idx="193">
                  <c:v>-4506.3174556775457</c:v>
                </c:pt>
                <c:pt idx="194">
                  <c:v>-4340.6848522230912</c:v>
                </c:pt>
                <c:pt idx="195">
                  <c:v>8124.8013868554744</c:v>
                </c:pt>
                <c:pt idx="196">
                  <c:v>9678.9812740250836</c:v>
                </c:pt>
                <c:pt idx="197">
                  <c:v>8959.0550760653714</c:v>
                </c:pt>
                <c:pt idx="198">
                  <c:v>-6830.7076898921468</c:v>
                </c:pt>
                <c:pt idx="199">
                  <c:v>15116.443073672759</c:v>
                </c:pt>
                <c:pt idx="200">
                  <c:v>-3646.8688355548079</c:v>
                </c:pt>
                <c:pt idx="201">
                  <c:v>-2938.6792554127396</c:v>
                </c:pt>
                <c:pt idx="202">
                  <c:v>88.530987036061646</c:v>
                </c:pt>
                <c:pt idx="203">
                  <c:v>-2699.8641781602801</c:v>
                </c:pt>
                <c:pt idx="204">
                  <c:v>1382.2060184319712</c:v>
                </c:pt>
                <c:pt idx="205">
                  <c:v>4764.2657525083214</c:v>
                </c:pt>
                <c:pt idx="206">
                  <c:v>-2266.9984719007134</c:v>
                </c:pt>
                <c:pt idx="207">
                  <c:v>6750.3771190436464</c:v>
                </c:pt>
                <c:pt idx="208">
                  <c:v>11514.867778299613</c:v>
                </c:pt>
                <c:pt idx="209">
                  <c:v>-951.19449156884298</c:v>
                </c:pt>
                <c:pt idx="210">
                  <c:v>4009.1813917978657</c:v>
                </c:pt>
                <c:pt idx="211">
                  <c:v>-3991.2965844298305</c:v>
                </c:pt>
                <c:pt idx="212">
                  <c:v>-4534.2008338848918</c:v>
                </c:pt>
                <c:pt idx="213">
                  <c:v>-825.39880328253969</c:v>
                </c:pt>
                <c:pt idx="214">
                  <c:v>1477.7956683138359</c:v>
                </c:pt>
                <c:pt idx="215">
                  <c:v>3088.883144912777</c:v>
                </c:pt>
                <c:pt idx="216">
                  <c:v>3089.8831449127802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985-486A-BC8D-D0F4FBD09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6002864"/>
        <c:axId val="1326003280"/>
      </c:scatterChart>
      <c:valAx>
        <c:axId val="1326002864"/>
        <c:scaling>
          <c:orientation val="minMax"/>
          <c:max val="35796"/>
          <c:min val="2922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&quot;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26003280"/>
        <c:crosses val="autoZero"/>
        <c:crossBetween val="midCat"/>
        <c:majorUnit val="365.25"/>
      </c:valAx>
      <c:valAx>
        <c:axId val="1326003280"/>
        <c:scaling>
          <c:orientation val="minMax"/>
          <c:max val="200000"/>
          <c:min val="-20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out"/>
        <c:minorTickMark val="none"/>
        <c:tickLblPos val="nextTo"/>
        <c:crossAx val="1326002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3.xml"/><Relationship Id="rId13" Type="http://schemas.openxmlformats.org/officeDocument/2006/relationships/chart" Target="../charts/chart28.xml"/><Relationship Id="rId18" Type="http://schemas.openxmlformats.org/officeDocument/2006/relationships/chart" Target="../charts/chart33.xml"/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12" Type="http://schemas.openxmlformats.org/officeDocument/2006/relationships/chart" Target="../charts/chart27.xml"/><Relationship Id="rId17" Type="http://schemas.openxmlformats.org/officeDocument/2006/relationships/chart" Target="../charts/chart32.xml"/><Relationship Id="rId2" Type="http://schemas.openxmlformats.org/officeDocument/2006/relationships/chart" Target="../charts/chart17.xml"/><Relationship Id="rId16" Type="http://schemas.openxmlformats.org/officeDocument/2006/relationships/chart" Target="../charts/chart31.xml"/><Relationship Id="rId1" Type="http://schemas.openxmlformats.org/officeDocument/2006/relationships/chart" Target="../charts/chart16.xml"/><Relationship Id="rId6" Type="http://schemas.openxmlformats.org/officeDocument/2006/relationships/chart" Target="../charts/chart21.xml"/><Relationship Id="rId11" Type="http://schemas.openxmlformats.org/officeDocument/2006/relationships/chart" Target="../charts/chart26.xml"/><Relationship Id="rId5" Type="http://schemas.openxmlformats.org/officeDocument/2006/relationships/chart" Target="../charts/chart20.xml"/><Relationship Id="rId15" Type="http://schemas.openxmlformats.org/officeDocument/2006/relationships/chart" Target="../charts/chart30.xml"/><Relationship Id="rId10" Type="http://schemas.openxmlformats.org/officeDocument/2006/relationships/chart" Target="../charts/chart25.xml"/><Relationship Id="rId4" Type="http://schemas.openxmlformats.org/officeDocument/2006/relationships/chart" Target="../charts/chart19.xml"/><Relationship Id="rId9" Type="http://schemas.openxmlformats.org/officeDocument/2006/relationships/chart" Target="../charts/chart24.xml"/><Relationship Id="rId14" Type="http://schemas.openxmlformats.org/officeDocument/2006/relationships/chart" Target="../charts/chart29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1.xml"/><Relationship Id="rId13" Type="http://schemas.openxmlformats.org/officeDocument/2006/relationships/chart" Target="../charts/chart46.xml"/><Relationship Id="rId3" Type="http://schemas.openxmlformats.org/officeDocument/2006/relationships/chart" Target="../charts/chart36.xml"/><Relationship Id="rId7" Type="http://schemas.openxmlformats.org/officeDocument/2006/relationships/chart" Target="../charts/chart40.xml"/><Relationship Id="rId12" Type="http://schemas.openxmlformats.org/officeDocument/2006/relationships/chart" Target="../charts/chart45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11" Type="http://schemas.openxmlformats.org/officeDocument/2006/relationships/chart" Target="../charts/chart44.xml"/><Relationship Id="rId5" Type="http://schemas.openxmlformats.org/officeDocument/2006/relationships/chart" Target="../charts/chart38.xml"/><Relationship Id="rId15" Type="http://schemas.openxmlformats.org/officeDocument/2006/relationships/chart" Target="../charts/chart48.xml"/><Relationship Id="rId10" Type="http://schemas.openxmlformats.org/officeDocument/2006/relationships/chart" Target="../charts/chart43.xml"/><Relationship Id="rId4" Type="http://schemas.openxmlformats.org/officeDocument/2006/relationships/chart" Target="../charts/chart37.xml"/><Relationship Id="rId9" Type="http://schemas.openxmlformats.org/officeDocument/2006/relationships/chart" Target="../charts/chart42.xml"/><Relationship Id="rId14" Type="http://schemas.openxmlformats.org/officeDocument/2006/relationships/chart" Target="../charts/chart4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13</xdr:col>
      <xdr:colOff>457200</xdr:colOff>
      <xdr:row>18</xdr:row>
      <xdr:rowOff>0</xdr:rowOff>
    </xdr:to>
    <xdr:grpSp>
      <xdr:nvGrpSpPr>
        <xdr:cNvPr id="3" name="グループ化 2">
          <a:extLst>
            <a:ext uri="{FF2B5EF4-FFF2-40B4-BE49-F238E27FC236}">
              <a16:creationId xmlns:a16="http://schemas.microsoft.com/office/drawing/2014/main" id="{41F37DD4-6C01-202D-8263-6F9FC69E4FCA}"/>
            </a:ext>
          </a:extLst>
        </xdr:cNvPr>
        <xdr:cNvGrpSpPr/>
      </xdr:nvGrpSpPr>
      <xdr:grpSpPr>
        <a:xfrm>
          <a:off x="4800600" y="238125"/>
          <a:ext cx="4572000" cy="4048125"/>
          <a:chOff x="4800600" y="241300"/>
          <a:chExt cx="4572000" cy="4102100"/>
        </a:xfrm>
      </xdr:grpSpPr>
      <xdr:graphicFrame macro="">
        <xdr:nvGraphicFramePr>
          <xdr:cNvPr id="5" name="グラフ 4">
            <a:extLst>
              <a:ext uri="{FF2B5EF4-FFF2-40B4-BE49-F238E27FC236}">
                <a16:creationId xmlns:a16="http://schemas.microsoft.com/office/drawing/2014/main" id="{20D27769-927F-4D2B-BBC2-7F0D9EA49193}"/>
              </a:ext>
            </a:extLst>
          </xdr:cNvPr>
          <xdr:cNvGraphicFramePr>
            <a:graphicFrameLocks/>
          </xdr:cNvGraphicFramePr>
        </xdr:nvGraphicFramePr>
        <xdr:xfrm>
          <a:off x="4800600" y="3378200"/>
          <a:ext cx="4572000" cy="965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" name="グラフ 1">
            <a:extLst>
              <a:ext uri="{FF2B5EF4-FFF2-40B4-BE49-F238E27FC236}">
                <a16:creationId xmlns:a16="http://schemas.microsoft.com/office/drawing/2014/main" id="{4E78CC66-D8D6-4523-9CCC-B03404914C26}"/>
              </a:ext>
            </a:extLst>
          </xdr:cNvPr>
          <xdr:cNvGraphicFramePr>
            <a:graphicFrameLocks/>
          </xdr:cNvGraphicFramePr>
        </xdr:nvGraphicFramePr>
        <xdr:xfrm>
          <a:off x="4800600" y="241300"/>
          <a:ext cx="4572000" cy="31369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0</xdr:row>
      <xdr:rowOff>241788</xdr:rowOff>
    </xdr:from>
    <xdr:to>
      <xdr:col>13</xdr:col>
      <xdr:colOff>457200</xdr:colOff>
      <xdr:row>18</xdr:row>
      <xdr:rowOff>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F1030E65-A6FD-6391-C382-FDC7DDD59B0F}"/>
            </a:ext>
          </a:extLst>
        </xdr:cNvPr>
        <xdr:cNvGrpSpPr/>
      </xdr:nvGrpSpPr>
      <xdr:grpSpPr>
        <a:xfrm>
          <a:off x="4800600" y="241788"/>
          <a:ext cx="4572000" cy="4044462"/>
          <a:chOff x="4821115" y="241788"/>
          <a:chExt cx="4589585" cy="4110404"/>
        </a:xfrm>
      </xdr:grpSpPr>
      <xdr:graphicFrame macro="">
        <xdr:nvGraphicFramePr>
          <xdr:cNvPr id="3" name="グラフ 2">
            <a:extLst>
              <a:ext uri="{FF2B5EF4-FFF2-40B4-BE49-F238E27FC236}">
                <a16:creationId xmlns:a16="http://schemas.microsoft.com/office/drawing/2014/main" id="{C6CE0497-768C-4274-8972-E2C4731CF811}"/>
              </a:ext>
            </a:extLst>
          </xdr:cNvPr>
          <xdr:cNvGraphicFramePr>
            <a:graphicFrameLocks/>
          </xdr:cNvGraphicFramePr>
        </xdr:nvGraphicFramePr>
        <xdr:xfrm>
          <a:off x="4821115" y="241788"/>
          <a:ext cx="4589585" cy="31432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5" name="グラフ 4">
            <a:extLst>
              <a:ext uri="{FF2B5EF4-FFF2-40B4-BE49-F238E27FC236}">
                <a16:creationId xmlns:a16="http://schemas.microsoft.com/office/drawing/2014/main" id="{4DD5F671-71AB-47E6-9931-78B6B4E42EA7}"/>
              </a:ext>
            </a:extLst>
          </xdr:cNvPr>
          <xdr:cNvGraphicFramePr>
            <a:graphicFrameLocks/>
          </xdr:cNvGraphicFramePr>
        </xdr:nvGraphicFramePr>
        <xdr:xfrm>
          <a:off x="4821115" y="3385038"/>
          <a:ext cx="4589585" cy="96715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14</xdr:col>
      <xdr:colOff>457200</xdr:colOff>
      <xdr:row>15</xdr:row>
      <xdr:rowOff>66674</xdr:rowOff>
    </xdr:to>
    <xdr:grpSp>
      <xdr:nvGrpSpPr>
        <xdr:cNvPr id="11" name="グループ化 10">
          <a:extLst>
            <a:ext uri="{FF2B5EF4-FFF2-40B4-BE49-F238E27FC236}">
              <a16:creationId xmlns:a16="http://schemas.microsoft.com/office/drawing/2014/main" id="{3CEAF246-889B-4C1B-AA23-A17E6CADA4FD}"/>
            </a:ext>
          </a:extLst>
        </xdr:cNvPr>
        <xdr:cNvGrpSpPr/>
      </xdr:nvGrpSpPr>
      <xdr:grpSpPr>
        <a:xfrm>
          <a:off x="5489677" y="235565"/>
          <a:ext cx="4574458" cy="3364577"/>
          <a:chOff x="5486400" y="238125"/>
          <a:chExt cx="4572000" cy="3400424"/>
        </a:xfrm>
      </xdr:grpSpPr>
      <xdr:graphicFrame macro="">
        <xdr:nvGraphicFramePr>
          <xdr:cNvPr id="7" name="グラフ 6">
            <a:extLst>
              <a:ext uri="{FF2B5EF4-FFF2-40B4-BE49-F238E27FC236}">
                <a16:creationId xmlns:a16="http://schemas.microsoft.com/office/drawing/2014/main" id="{3A80F641-2B33-448D-9D95-D807FEF06C1B}"/>
              </a:ext>
            </a:extLst>
          </xdr:cNvPr>
          <xdr:cNvGraphicFramePr>
            <a:graphicFrameLocks/>
          </xdr:cNvGraphicFramePr>
        </xdr:nvGraphicFramePr>
        <xdr:xfrm>
          <a:off x="5486400" y="238125"/>
          <a:ext cx="4572000" cy="237716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9" name="グラフ 8">
            <a:extLst>
              <a:ext uri="{FF2B5EF4-FFF2-40B4-BE49-F238E27FC236}">
                <a16:creationId xmlns:a16="http://schemas.microsoft.com/office/drawing/2014/main" id="{B3389B20-1F30-4665-98C0-7358347E9512}"/>
              </a:ext>
            </a:extLst>
          </xdr:cNvPr>
          <xdr:cNvGraphicFramePr>
            <a:graphicFrameLocks/>
          </xdr:cNvGraphicFramePr>
        </xdr:nvGraphicFramePr>
        <xdr:xfrm>
          <a:off x="5486400" y="2619374"/>
          <a:ext cx="4572000" cy="10191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>
    <xdr:from>
      <xdr:col>15</xdr:col>
      <xdr:colOff>0</xdr:colOff>
      <xdr:row>1</xdr:row>
      <xdr:rowOff>0</xdr:rowOff>
    </xdr:from>
    <xdr:to>
      <xdr:col>21</xdr:col>
      <xdr:colOff>457200</xdr:colOff>
      <xdr:row>15</xdr:row>
      <xdr:rowOff>0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22B6DE44-E6FC-4399-9D54-37A55F1EA2EE}"/>
            </a:ext>
          </a:extLst>
        </xdr:cNvPr>
        <xdr:cNvGrpSpPr/>
      </xdr:nvGrpSpPr>
      <xdr:grpSpPr>
        <a:xfrm>
          <a:off x="10293145" y="235565"/>
          <a:ext cx="4574458" cy="3297903"/>
          <a:chOff x="10287000" y="238125"/>
          <a:chExt cx="4572000" cy="3333750"/>
        </a:xfrm>
      </xdr:grpSpPr>
      <xdr:graphicFrame macro="">
        <xdr:nvGraphicFramePr>
          <xdr:cNvPr id="8" name="グラフ 7">
            <a:extLst>
              <a:ext uri="{FF2B5EF4-FFF2-40B4-BE49-F238E27FC236}">
                <a16:creationId xmlns:a16="http://schemas.microsoft.com/office/drawing/2014/main" id="{D58BFF41-908C-4F39-B6DC-1BE459BA3C45}"/>
              </a:ext>
            </a:extLst>
          </xdr:cNvPr>
          <xdr:cNvGraphicFramePr>
            <a:graphicFrameLocks/>
          </xdr:cNvGraphicFramePr>
        </xdr:nvGraphicFramePr>
        <xdr:xfrm>
          <a:off x="10287000" y="238125"/>
          <a:ext cx="4572000" cy="237716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10" name="グラフ 9">
            <a:extLst>
              <a:ext uri="{FF2B5EF4-FFF2-40B4-BE49-F238E27FC236}">
                <a16:creationId xmlns:a16="http://schemas.microsoft.com/office/drawing/2014/main" id="{B1FB1A8D-32B6-48D9-A94C-7B6C9511F180}"/>
              </a:ext>
            </a:extLst>
          </xdr:cNvPr>
          <xdr:cNvGraphicFramePr>
            <a:graphicFrameLocks/>
          </xdr:cNvGraphicFramePr>
        </xdr:nvGraphicFramePr>
        <xdr:xfrm>
          <a:off x="10287000" y="2619375"/>
          <a:ext cx="4572000" cy="952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</xdr:colOff>
      <xdr:row>3</xdr:row>
      <xdr:rowOff>80962</xdr:rowOff>
    </xdr:from>
    <xdr:to>
      <xdr:col>13</xdr:col>
      <xdr:colOff>161925</xdr:colOff>
      <xdr:row>14</xdr:row>
      <xdr:rowOff>204787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7C819E64-5624-4C8A-A87B-67472D6748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</xdr:colOff>
      <xdr:row>15</xdr:row>
      <xdr:rowOff>138112</xdr:rowOff>
    </xdr:from>
    <xdr:to>
      <xdr:col>13</xdr:col>
      <xdr:colOff>180975</xdr:colOff>
      <xdr:row>27</xdr:row>
      <xdr:rowOff>23812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5789F61D-1625-4615-950A-26D311DD14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29</xdr:col>
      <xdr:colOff>457200</xdr:colOff>
      <xdr:row>12</xdr:row>
      <xdr:rowOff>123825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B54FD9D0-84D5-461F-8B24-A404ABD315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0</xdr:colOff>
      <xdr:row>13</xdr:row>
      <xdr:rowOff>0</xdr:rowOff>
    </xdr:from>
    <xdr:to>
      <xdr:col>29</xdr:col>
      <xdr:colOff>457200</xdr:colOff>
      <xdr:row>24</xdr:row>
      <xdr:rowOff>123825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FA50CB9B-A4A9-4816-9BD5-A10E25567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0</xdr:colOff>
      <xdr:row>13</xdr:row>
      <xdr:rowOff>0</xdr:rowOff>
    </xdr:from>
    <xdr:to>
      <xdr:col>36</xdr:col>
      <xdr:colOff>457200</xdr:colOff>
      <xdr:row>24</xdr:row>
      <xdr:rowOff>123825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569C1312-A081-41B9-8E4E-BB5ECE2031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29</xdr:col>
      <xdr:colOff>457200</xdr:colOff>
      <xdr:row>36</xdr:row>
      <xdr:rowOff>123825</xdr:rowOff>
    </xdr:to>
    <xdr:graphicFrame macro="">
      <xdr:nvGraphicFramePr>
        <xdr:cNvPr id="18" name="グラフ 17">
          <a:extLst>
            <a:ext uri="{FF2B5EF4-FFF2-40B4-BE49-F238E27FC236}">
              <a16:creationId xmlns:a16="http://schemas.microsoft.com/office/drawing/2014/main" id="{EC2722E0-FDC3-420A-8667-73A771BA9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30</xdr:col>
      <xdr:colOff>0</xdr:colOff>
      <xdr:row>25</xdr:row>
      <xdr:rowOff>0</xdr:rowOff>
    </xdr:from>
    <xdr:to>
      <xdr:col>36</xdr:col>
      <xdr:colOff>457200</xdr:colOff>
      <xdr:row>36</xdr:row>
      <xdr:rowOff>123825</xdr:rowOff>
    </xdr:to>
    <xdr:graphicFrame macro="">
      <xdr:nvGraphicFramePr>
        <xdr:cNvPr id="19" name="グラフ 18">
          <a:extLst>
            <a:ext uri="{FF2B5EF4-FFF2-40B4-BE49-F238E27FC236}">
              <a16:creationId xmlns:a16="http://schemas.microsoft.com/office/drawing/2014/main" id="{92934153-E9B5-442A-B59D-941DD540F8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0</xdr:rowOff>
    </xdr:from>
    <xdr:to>
      <xdr:col>16</xdr:col>
      <xdr:colOff>457200</xdr:colOff>
      <xdr:row>12</xdr:row>
      <xdr:rowOff>123825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6D35DF2-E21A-4459-BC16-BFE9156496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13</xdr:row>
      <xdr:rowOff>0</xdr:rowOff>
    </xdr:from>
    <xdr:to>
      <xdr:col>16</xdr:col>
      <xdr:colOff>457200</xdr:colOff>
      <xdr:row>24</xdr:row>
      <xdr:rowOff>123825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ABE38993-3980-48E6-9B6A-5DF6F3C0BA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13</xdr:row>
      <xdr:rowOff>0</xdr:rowOff>
    </xdr:from>
    <xdr:to>
      <xdr:col>22</xdr:col>
      <xdr:colOff>457200</xdr:colOff>
      <xdr:row>24</xdr:row>
      <xdr:rowOff>123825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F3DEC7BF-457F-4A77-9CF7-6F5402FBA6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25</xdr:row>
      <xdr:rowOff>0</xdr:rowOff>
    </xdr:from>
    <xdr:to>
      <xdr:col>16</xdr:col>
      <xdr:colOff>457200</xdr:colOff>
      <xdr:row>36</xdr:row>
      <xdr:rowOff>123825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DD6B9418-06FE-43A9-9ABC-1B56EEF219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25</xdr:row>
      <xdr:rowOff>0</xdr:rowOff>
    </xdr:from>
    <xdr:to>
      <xdr:col>22</xdr:col>
      <xdr:colOff>457200</xdr:colOff>
      <xdr:row>36</xdr:row>
      <xdr:rowOff>123825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ABA6DB8F-E07C-4A31-98B8-6451CCE85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0</xdr:colOff>
      <xdr:row>13</xdr:row>
      <xdr:rowOff>0</xdr:rowOff>
    </xdr:from>
    <xdr:to>
      <xdr:col>28</xdr:col>
      <xdr:colOff>457200</xdr:colOff>
      <xdr:row>24</xdr:row>
      <xdr:rowOff>123825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F24A87A8-0B9A-4DE5-9420-8820939320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0</xdr:colOff>
      <xdr:row>25</xdr:row>
      <xdr:rowOff>0</xdr:rowOff>
    </xdr:from>
    <xdr:to>
      <xdr:col>28</xdr:col>
      <xdr:colOff>457200</xdr:colOff>
      <xdr:row>36</xdr:row>
      <xdr:rowOff>123825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A2EC3C4E-4798-4884-AEB0-A961C034D9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0</xdr:colOff>
      <xdr:row>39</xdr:row>
      <xdr:rowOff>0</xdr:rowOff>
    </xdr:from>
    <xdr:to>
      <xdr:col>16</xdr:col>
      <xdr:colOff>457200</xdr:colOff>
      <xdr:row>50</xdr:row>
      <xdr:rowOff>123825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1B08DB0B-6FF0-48B8-950D-5F32689EF7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11</xdr:col>
      <xdr:colOff>0</xdr:colOff>
      <xdr:row>51</xdr:row>
      <xdr:rowOff>0</xdr:rowOff>
    </xdr:from>
    <xdr:to>
      <xdr:col>16</xdr:col>
      <xdr:colOff>457200</xdr:colOff>
      <xdr:row>62</xdr:row>
      <xdr:rowOff>123825</xdr:rowOff>
    </xdr:to>
    <xdr:graphicFrame macro="">
      <xdr:nvGraphicFramePr>
        <xdr:cNvPr id="21" name="グラフ 20">
          <a:extLst>
            <a:ext uri="{FF2B5EF4-FFF2-40B4-BE49-F238E27FC236}">
              <a16:creationId xmlns:a16="http://schemas.microsoft.com/office/drawing/2014/main" id="{2261D5F7-1E0B-4C70-9496-F1BF0ABEBC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16</xdr:col>
      <xdr:colOff>457200</xdr:colOff>
      <xdr:row>74</xdr:row>
      <xdr:rowOff>123825</xdr:rowOff>
    </xdr:to>
    <xdr:graphicFrame macro="">
      <xdr:nvGraphicFramePr>
        <xdr:cNvPr id="23" name="グラフ 22">
          <a:extLst>
            <a:ext uri="{FF2B5EF4-FFF2-40B4-BE49-F238E27FC236}">
              <a16:creationId xmlns:a16="http://schemas.microsoft.com/office/drawing/2014/main" id="{F4B0A9F8-ABF5-4B72-A2B0-81E2A9670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228600</xdr:colOff>
      <xdr:row>39</xdr:row>
      <xdr:rowOff>0</xdr:rowOff>
    </xdr:from>
    <xdr:to>
      <xdr:col>24</xdr:col>
      <xdr:colOff>0</xdr:colOff>
      <xdr:row>50</xdr:row>
      <xdr:rowOff>123825</xdr:rowOff>
    </xdr:to>
    <xdr:graphicFrame macro="">
      <xdr:nvGraphicFramePr>
        <xdr:cNvPr id="24" name="グラフ 23">
          <a:extLst>
            <a:ext uri="{FF2B5EF4-FFF2-40B4-BE49-F238E27FC236}">
              <a16:creationId xmlns:a16="http://schemas.microsoft.com/office/drawing/2014/main" id="{644B263E-6023-4080-86BD-0ECCD9ACD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228600</xdr:colOff>
      <xdr:row>51</xdr:row>
      <xdr:rowOff>0</xdr:rowOff>
    </xdr:from>
    <xdr:to>
      <xdr:col>24</xdr:col>
      <xdr:colOff>0</xdr:colOff>
      <xdr:row>62</xdr:row>
      <xdr:rowOff>123825</xdr:rowOff>
    </xdr:to>
    <xdr:graphicFrame macro="">
      <xdr:nvGraphicFramePr>
        <xdr:cNvPr id="25" name="グラフ 24">
          <a:extLst>
            <a:ext uri="{FF2B5EF4-FFF2-40B4-BE49-F238E27FC236}">
              <a16:creationId xmlns:a16="http://schemas.microsoft.com/office/drawing/2014/main" id="{34460AB0-B944-4723-9BFE-D60A65F3F2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0</xdr:colOff>
      <xdr:row>77</xdr:row>
      <xdr:rowOff>0</xdr:rowOff>
    </xdr:from>
    <xdr:to>
      <xdr:col>16</xdr:col>
      <xdr:colOff>457200</xdr:colOff>
      <xdr:row>88</xdr:row>
      <xdr:rowOff>123825</xdr:rowOff>
    </xdr:to>
    <xdr:graphicFrame macro="">
      <xdr:nvGraphicFramePr>
        <xdr:cNvPr id="27" name="グラフ 26">
          <a:extLst>
            <a:ext uri="{FF2B5EF4-FFF2-40B4-BE49-F238E27FC236}">
              <a16:creationId xmlns:a16="http://schemas.microsoft.com/office/drawing/2014/main" id="{279B7C25-68C3-4445-B2D4-D2934177C3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0</xdr:colOff>
      <xdr:row>101</xdr:row>
      <xdr:rowOff>0</xdr:rowOff>
    </xdr:from>
    <xdr:to>
      <xdr:col>16</xdr:col>
      <xdr:colOff>457200</xdr:colOff>
      <xdr:row>112</xdr:row>
      <xdr:rowOff>123825</xdr:rowOff>
    </xdr:to>
    <xdr:graphicFrame macro="">
      <xdr:nvGraphicFramePr>
        <xdr:cNvPr id="29" name="グラフ 28">
          <a:extLst>
            <a:ext uri="{FF2B5EF4-FFF2-40B4-BE49-F238E27FC236}">
              <a16:creationId xmlns:a16="http://schemas.microsoft.com/office/drawing/2014/main" id="{611EC154-A93B-4E9F-B6D4-607C38FFA2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18</xdr:col>
      <xdr:colOff>228600</xdr:colOff>
      <xdr:row>77</xdr:row>
      <xdr:rowOff>0</xdr:rowOff>
    </xdr:from>
    <xdr:to>
      <xdr:col>24</xdr:col>
      <xdr:colOff>0</xdr:colOff>
      <xdr:row>88</xdr:row>
      <xdr:rowOff>123825</xdr:rowOff>
    </xdr:to>
    <xdr:graphicFrame macro="">
      <xdr:nvGraphicFramePr>
        <xdr:cNvPr id="5120" name="グラフ 5119">
          <a:extLst>
            <a:ext uri="{FF2B5EF4-FFF2-40B4-BE49-F238E27FC236}">
              <a16:creationId xmlns:a16="http://schemas.microsoft.com/office/drawing/2014/main" id="{8E15CAEB-088B-42DB-BD2D-EEF59E9139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18</xdr:col>
      <xdr:colOff>228600</xdr:colOff>
      <xdr:row>89</xdr:row>
      <xdr:rowOff>0</xdr:rowOff>
    </xdr:from>
    <xdr:to>
      <xdr:col>24</xdr:col>
      <xdr:colOff>0</xdr:colOff>
      <xdr:row>100</xdr:row>
      <xdr:rowOff>123825</xdr:rowOff>
    </xdr:to>
    <xdr:graphicFrame macro="">
      <xdr:nvGraphicFramePr>
        <xdr:cNvPr id="5121" name="グラフ 5120">
          <a:extLst>
            <a:ext uri="{FF2B5EF4-FFF2-40B4-BE49-F238E27FC236}">
              <a16:creationId xmlns:a16="http://schemas.microsoft.com/office/drawing/2014/main" id="{EFD4B38A-B35E-4D3D-B0B4-CF56D27021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28</xdr:col>
      <xdr:colOff>457200</xdr:colOff>
      <xdr:row>12</xdr:row>
      <xdr:rowOff>123825</xdr:rowOff>
    </xdr:to>
    <xdr:graphicFrame macro="">
      <xdr:nvGraphicFramePr>
        <xdr:cNvPr id="5122" name="グラフ 5121">
          <a:extLst>
            <a:ext uri="{FF2B5EF4-FFF2-40B4-BE49-F238E27FC236}">
              <a16:creationId xmlns:a16="http://schemas.microsoft.com/office/drawing/2014/main" id="{4DAC0F39-C7CE-418D-B6FE-71E4E5447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11</xdr:col>
      <xdr:colOff>0</xdr:colOff>
      <xdr:row>89</xdr:row>
      <xdr:rowOff>0</xdr:rowOff>
    </xdr:from>
    <xdr:to>
      <xdr:col>16</xdr:col>
      <xdr:colOff>457200</xdr:colOff>
      <xdr:row>100</xdr:row>
      <xdr:rowOff>123825</xdr:rowOff>
    </xdr:to>
    <xdr:graphicFrame macro="">
      <xdr:nvGraphicFramePr>
        <xdr:cNvPr id="5132" name="グラフ 5131">
          <a:extLst>
            <a:ext uri="{FF2B5EF4-FFF2-40B4-BE49-F238E27FC236}">
              <a16:creationId xmlns:a16="http://schemas.microsoft.com/office/drawing/2014/main" id="{339259D6-CF68-4330-873D-F176686D57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104773</xdr:rowOff>
    </xdr:from>
    <xdr:to>
      <xdr:col>6</xdr:col>
      <xdr:colOff>466725</xdr:colOff>
      <xdr:row>12</xdr:row>
      <xdr:rowOff>228598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7BDC86B-02DD-492B-8850-EB3A1F8072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1</xdr:row>
      <xdr:rowOff>104773</xdr:rowOff>
    </xdr:from>
    <xdr:to>
      <xdr:col>13</xdr:col>
      <xdr:colOff>466725</xdr:colOff>
      <xdr:row>12</xdr:row>
      <xdr:rowOff>228598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2D39032-78A9-4FA7-A306-BFD30C98F5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9525</xdr:colOff>
      <xdr:row>1</xdr:row>
      <xdr:rowOff>104773</xdr:rowOff>
    </xdr:from>
    <xdr:to>
      <xdr:col>20</xdr:col>
      <xdr:colOff>466725</xdr:colOff>
      <xdr:row>12</xdr:row>
      <xdr:rowOff>228598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AB247458-B8AF-4CF4-A7AF-D4E339CEE4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9525</xdr:colOff>
      <xdr:row>15</xdr:row>
      <xdr:rowOff>104773</xdr:rowOff>
    </xdr:from>
    <xdr:to>
      <xdr:col>13</xdr:col>
      <xdr:colOff>466725</xdr:colOff>
      <xdr:row>26</xdr:row>
      <xdr:rowOff>228598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1C8DB9A7-C37D-422C-8646-CAE403F09E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9525</xdr:colOff>
      <xdr:row>15</xdr:row>
      <xdr:rowOff>104773</xdr:rowOff>
    </xdr:from>
    <xdr:to>
      <xdr:col>20</xdr:col>
      <xdr:colOff>466725</xdr:colOff>
      <xdr:row>26</xdr:row>
      <xdr:rowOff>228598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8ADA3D5B-BF1F-42F9-9B4D-D5EC2F0EF9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11906</xdr:colOff>
      <xdr:row>35</xdr:row>
      <xdr:rowOff>107154</xdr:rowOff>
    </xdr:from>
    <xdr:to>
      <xdr:col>6</xdr:col>
      <xdr:colOff>469106</xdr:colOff>
      <xdr:row>46</xdr:row>
      <xdr:rowOff>230979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7B9D1F90-DDBA-4E91-BB34-84DCE6D8E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11906</xdr:colOff>
      <xdr:row>30</xdr:row>
      <xdr:rowOff>107154</xdr:rowOff>
    </xdr:from>
    <xdr:to>
      <xdr:col>13</xdr:col>
      <xdr:colOff>469106</xdr:colOff>
      <xdr:row>41</xdr:row>
      <xdr:rowOff>230979</xdr:rowOff>
    </xdr:to>
    <xdr:graphicFrame macro="">
      <xdr:nvGraphicFramePr>
        <xdr:cNvPr id="22" name="グラフ 21">
          <a:extLst>
            <a:ext uri="{FF2B5EF4-FFF2-40B4-BE49-F238E27FC236}">
              <a16:creationId xmlns:a16="http://schemas.microsoft.com/office/drawing/2014/main" id="{2F18B8A7-1BE4-489A-9647-F2BB451903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11906</xdr:colOff>
      <xdr:row>44</xdr:row>
      <xdr:rowOff>107154</xdr:rowOff>
    </xdr:from>
    <xdr:to>
      <xdr:col>14</xdr:col>
      <xdr:colOff>469106</xdr:colOff>
      <xdr:row>55</xdr:row>
      <xdr:rowOff>230979</xdr:rowOff>
    </xdr:to>
    <xdr:graphicFrame macro="">
      <xdr:nvGraphicFramePr>
        <xdr:cNvPr id="27" name="グラフ 26">
          <a:extLst>
            <a:ext uri="{FF2B5EF4-FFF2-40B4-BE49-F238E27FC236}">
              <a16:creationId xmlns:a16="http://schemas.microsoft.com/office/drawing/2014/main" id="{24FB9419-AAB8-4A6E-8CA5-1ADE8954D4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11906</xdr:colOff>
      <xdr:row>39</xdr:row>
      <xdr:rowOff>107154</xdr:rowOff>
    </xdr:from>
    <xdr:to>
      <xdr:col>21</xdr:col>
      <xdr:colOff>469106</xdr:colOff>
      <xdr:row>50</xdr:row>
      <xdr:rowOff>230979</xdr:rowOff>
    </xdr:to>
    <xdr:graphicFrame macro="">
      <xdr:nvGraphicFramePr>
        <xdr:cNvPr id="28" name="グラフ 27">
          <a:extLst>
            <a:ext uri="{FF2B5EF4-FFF2-40B4-BE49-F238E27FC236}">
              <a16:creationId xmlns:a16="http://schemas.microsoft.com/office/drawing/2014/main" id="{C6394A57-0011-4868-B74B-E5067102F8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</xdr:col>
      <xdr:colOff>560294</xdr:colOff>
      <xdr:row>37</xdr:row>
      <xdr:rowOff>81241</xdr:rowOff>
    </xdr:from>
    <xdr:to>
      <xdr:col>7</xdr:col>
      <xdr:colOff>627529</xdr:colOff>
      <xdr:row>39</xdr:row>
      <xdr:rowOff>128865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97016AF0-5456-C8EE-A386-3B1199FD8FB8}"/>
            </a:ext>
          </a:extLst>
        </xdr:cNvPr>
        <xdr:cNvCxnSpPr/>
      </xdr:nvCxnSpPr>
      <xdr:spPr>
        <a:xfrm flipV="1">
          <a:off x="4703669" y="8891866"/>
          <a:ext cx="757798" cy="523874"/>
        </a:xfrm>
        <a:prstGeom prst="straightConnector1">
          <a:avLst/>
        </a:prstGeom>
        <a:ln w="38100">
          <a:solidFill>
            <a:sysClr val="windowText" lastClr="000000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589429</xdr:colOff>
      <xdr:row>47</xdr:row>
      <xdr:rowOff>128866</xdr:rowOff>
    </xdr:from>
    <xdr:to>
      <xdr:col>15</xdr:col>
      <xdr:colOff>627530</xdr:colOff>
      <xdr:row>48</xdr:row>
      <xdr:rowOff>124384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092005FA-0545-402E-A01C-DA0A45ADCCE3}"/>
            </a:ext>
          </a:extLst>
        </xdr:cNvPr>
        <xdr:cNvCxnSpPr/>
      </xdr:nvCxnSpPr>
      <xdr:spPr>
        <a:xfrm flipV="1">
          <a:off x="10257304" y="11320741"/>
          <a:ext cx="728664" cy="233643"/>
        </a:xfrm>
        <a:prstGeom prst="straightConnector1">
          <a:avLst/>
        </a:prstGeom>
        <a:ln w="38100">
          <a:solidFill>
            <a:sysClr val="windowText" lastClr="000000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11906</xdr:colOff>
      <xdr:row>53</xdr:row>
      <xdr:rowOff>107154</xdr:rowOff>
    </xdr:from>
    <xdr:to>
      <xdr:col>22</xdr:col>
      <xdr:colOff>469106</xdr:colOff>
      <xdr:row>64</xdr:row>
      <xdr:rowOff>230979</xdr:rowOff>
    </xdr:to>
    <xdr:graphicFrame macro="">
      <xdr:nvGraphicFramePr>
        <xdr:cNvPr id="39" name="グラフ 38">
          <a:extLst>
            <a:ext uri="{FF2B5EF4-FFF2-40B4-BE49-F238E27FC236}">
              <a16:creationId xmlns:a16="http://schemas.microsoft.com/office/drawing/2014/main" id="{77C2E4F7-A5F8-40AF-8672-4DEE1F6D28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537882</xdr:colOff>
      <xdr:row>42</xdr:row>
      <xdr:rowOff>2799</xdr:rowOff>
    </xdr:from>
    <xdr:to>
      <xdr:col>8</xdr:col>
      <xdr:colOff>627532</xdr:colOff>
      <xdr:row>48</xdr:row>
      <xdr:rowOff>106456</xdr:rowOff>
    </xdr:to>
    <xdr:grpSp>
      <xdr:nvGrpSpPr>
        <xdr:cNvPr id="57" name="グループ化 56">
          <a:extLst>
            <a:ext uri="{FF2B5EF4-FFF2-40B4-BE49-F238E27FC236}">
              <a16:creationId xmlns:a16="http://schemas.microsoft.com/office/drawing/2014/main" id="{0305C455-BFB9-9F85-84A9-F48DF066B655}"/>
            </a:ext>
          </a:extLst>
        </xdr:cNvPr>
        <xdr:cNvGrpSpPr/>
      </xdr:nvGrpSpPr>
      <xdr:grpSpPr>
        <a:xfrm>
          <a:off x="4681257" y="10289799"/>
          <a:ext cx="1470775" cy="1532407"/>
          <a:chOff x="4639235" y="9793941"/>
          <a:chExt cx="1456768" cy="1512796"/>
        </a:xfrm>
      </xdr:grpSpPr>
      <xdr:sp macro="" textlink="">
        <xdr:nvSpPr>
          <xdr:cNvPr id="41" name="楕円 40">
            <a:extLst>
              <a:ext uri="{FF2B5EF4-FFF2-40B4-BE49-F238E27FC236}">
                <a16:creationId xmlns:a16="http://schemas.microsoft.com/office/drawing/2014/main" id="{070B1D72-7528-423E-913D-C59445CAE269}"/>
              </a:ext>
            </a:extLst>
          </xdr:cNvPr>
          <xdr:cNvSpPr/>
        </xdr:nvSpPr>
        <xdr:spPr>
          <a:xfrm>
            <a:off x="5251076" y="10372165"/>
            <a:ext cx="432000" cy="432000"/>
          </a:xfrm>
          <a:prstGeom prst="ellips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 anchorCtr="0"/>
          <a:lstStyle/>
          <a:p>
            <a:pPr algn="ctr"/>
            <a:r>
              <a:rPr kumimoji="1" lang="ja-JP" altLang="en-US" sz="2800"/>
              <a:t>−</a:t>
            </a:r>
          </a:p>
        </xdr:txBody>
      </xdr:sp>
      <xdr:cxnSp macro="">
        <xdr:nvCxnSpPr>
          <xdr:cNvPr id="42" name="直線矢印コネクタ 41">
            <a:extLst>
              <a:ext uri="{FF2B5EF4-FFF2-40B4-BE49-F238E27FC236}">
                <a16:creationId xmlns:a16="http://schemas.microsoft.com/office/drawing/2014/main" id="{02780998-7EE9-49F4-934A-1085BFE06AA7}"/>
              </a:ext>
            </a:extLst>
          </xdr:cNvPr>
          <xdr:cNvCxnSpPr>
            <a:endCxn id="41" idx="1"/>
          </xdr:cNvCxnSpPr>
        </xdr:nvCxnSpPr>
        <xdr:spPr>
          <a:xfrm>
            <a:off x="4639235" y="9793941"/>
            <a:ext cx="675106" cy="641489"/>
          </a:xfrm>
          <a:prstGeom prst="straightConnector1">
            <a:avLst/>
          </a:prstGeom>
          <a:ln w="38100">
            <a:solidFill>
              <a:sysClr val="windowText" lastClr="000000"/>
            </a:solidFill>
            <a:tailEnd type="arrow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4" name="直線矢印コネクタ 43">
            <a:extLst>
              <a:ext uri="{FF2B5EF4-FFF2-40B4-BE49-F238E27FC236}">
                <a16:creationId xmlns:a16="http://schemas.microsoft.com/office/drawing/2014/main" id="{11C23368-4328-4D5D-9FF6-F5B151B4A28A}"/>
              </a:ext>
            </a:extLst>
          </xdr:cNvPr>
          <xdr:cNvCxnSpPr>
            <a:endCxn id="41" idx="7"/>
          </xdr:cNvCxnSpPr>
        </xdr:nvCxnSpPr>
        <xdr:spPr>
          <a:xfrm flipH="1">
            <a:off x="5619811" y="9838765"/>
            <a:ext cx="352924" cy="596665"/>
          </a:xfrm>
          <a:prstGeom prst="straightConnector1">
            <a:avLst/>
          </a:prstGeom>
          <a:ln w="38100">
            <a:solidFill>
              <a:sysClr val="windowText" lastClr="000000"/>
            </a:solidFill>
            <a:tailEnd type="arrow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2" name="コネクタ: カギ線 51">
            <a:extLst>
              <a:ext uri="{FF2B5EF4-FFF2-40B4-BE49-F238E27FC236}">
                <a16:creationId xmlns:a16="http://schemas.microsoft.com/office/drawing/2014/main" id="{33309B35-695B-3AD9-6A07-B643F6A50F78}"/>
              </a:ext>
            </a:extLst>
          </xdr:cNvPr>
          <xdr:cNvCxnSpPr>
            <a:stCxn id="41" idx="4"/>
          </xdr:cNvCxnSpPr>
        </xdr:nvCxnSpPr>
        <xdr:spPr>
          <a:xfrm rot="16200000" flipH="1">
            <a:off x="5530253" y="10740987"/>
            <a:ext cx="502573" cy="628927"/>
          </a:xfrm>
          <a:prstGeom prst="bentConnector2">
            <a:avLst/>
          </a:prstGeom>
          <a:ln w="38100">
            <a:solidFill>
              <a:sysClr val="windowText" lastClr="000000"/>
            </a:solidFill>
            <a:tailEnd type="arrow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544605</xdr:colOff>
      <xdr:row>50</xdr:row>
      <xdr:rowOff>236442</xdr:rowOff>
    </xdr:from>
    <xdr:to>
      <xdr:col>16</xdr:col>
      <xdr:colOff>634256</xdr:colOff>
      <xdr:row>57</xdr:row>
      <xdr:rowOff>101973</xdr:rowOff>
    </xdr:to>
    <xdr:grpSp>
      <xdr:nvGrpSpPr>
        <xdr:cNvPr id="58" name="グループ化 57">
          <a:extLst>
            <a:ext uri="{FF2B5EF4-FFF2-40B4-BE49-F238E27FC236}">
              <a16:creationId xmlns:a16="http://schemas.microsoft.com/office/drawing/2014/main" id="{EA08A57B-AB66-4BD2-9DB9-AAEDB3AC5B7C}"/>
            </a:ext>
          </a:extLst>
        </xdr:cNvPr>
        <xdr:cNvGrpSpPr/>
      </xdr:nvGrpSpPr>
      <xdr:grpSpPr>
        <a:xfrm>
          <a:off x="10212480" y="12428442"/>
          <a:ext cx="1470776" cy="1532406"/>
          <a:chOff x="4639235" y="9793941"/>
          <a:chExt cx="1456768" cy="1512796"/>
        </a:xfrm>
      </xdr:grpSpPr>
      <xdr:sp macro="" textlink="">
        <xdr:nvSpPr>
          <xdr:cNvPr id="59" name="楕円 58">
            <a:extLst>
              <a:ext uri="{FF2B5EF4-FFF2-40B4-BE49-F238E27FC236}">
                <a16:creationId xmlns:a16="http://schemas.microsoft.com/office/drawing/2014/main" id="{4D61A022-80DB-3D37-10D6-B971BF50F89E}"/>
              </a:ext>
            </a:extLst>
          </xdr:cNvPr>
          <xdr:cNvSpPr/>
        </xdr:nvSpPr>
        <xdr:spPr>
          <a:xfrm>
            <a:off x="5251076" y="10372165"/>
            <a:ext cx="432000" cy="432000"/>
          </a:xfrm>
          <a:prstGeom prst="ellips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 anchorCtr="0"/>
          <a:lstStyle/>
          <a:p>
            <a:pPr algn="ctr"/>
            <a:r>
              <a:rPr kumimoji="1" lang="ja-JP" altLang="en-US" sz="2800"/>
              <a:t>−</a:t>
            </a:r>
          </a:p>
        </xdr:txBody>
      </xdr:sp>
      <xdr:cxnSp macro="">
        <xdr:nvCxnSpPr>
          <xdr:cNvPr id="60" name="直線矢印コネクタ 59">
            <a:extLst>
              <a:ext uri="{FF2B5EF4-FFF2-40B4-BE49-F238E27FC236}">
                <a16:creationId xmlns:a16="http://schemas.microsoft.com/office/drawing/2014/main" id="{4B06FB82-AC88-FC14-1A59-D0AF0F034BD7}"/>
              </a:ext>
            </a:extLst>
          </xdr:cNvPr>
          <xdr:cNvCxnSpPr>
            <a:endCxn id="59" idx="1"/>
          </xdr:cNvCxnSpPr>
        </xdr:nvCxnSpPr>
        <xdr:spPr>
          <a:xfrm>
            <a:off x="4639235" y="9793941"/>
            <a:ext cx="675106" cy="641489"/>
          </a:xfrm>
          <a:prstGeom prst="straightConnector1">
            <a:avLst/>
          </a:prstGeom>
          <a:ln w="38100">
            <a:solidFill>
              <a:sysClr val="windowText" lastClr="000000"/>
            </a:solidFill>
            <a:tailEnd type="arrow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1" name="直線矢印コネクタ 60">
            <a:extLst>
              <a:ext uri="{FF2B5EF4-FFF2-40B4-BE49-F238E27FC236}">
                <a16:creationId xmlns:a16="http://schemas.microsoft.com/office/drawing/2014/main" id="{488676B9-1338-8828-41D4-93FA4F5DA15F}"/>
              </a:ext>
            </a:extLst>
          </xdr:cNvPr>
          <xdr:cNvCxnSpPr>
            <a:endCxn id="59" idx="7"/>
          </xdr:cNvCxnSpPr>
        </xdr:nvCxnSpPr>
        <xdr:spPr>
          <a:xfrm flipH="1">
            <a:off x="5619811" y="9838765"/>
            <a:ext cx="352924" cy="596665"/>
          </a:xfrm>
          <a:prstGeom prst="straightConnector1">
            <a:avLst/>
          </a:prstGeom>
          <a:ln w="38100">
            <a:solidFill>
              <a:sysClr val="windowText" lastClr="000000"/>
            </a:solidFill>
            <a:tailEnd type="arrow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2" name="コネクタ: カギ線 61">
            <a:extLst>
              <a:ext uri="{FF2B5EF4-FFF2-40B4-BE49-F238E27FC236}">
                <a16:creationId xmlns:a16="http://schemas.microsoft.com/office/drawing/2014/main" id="{7DFE80DB-DCA6-1809-CA55-7977DA47B407}"/>
              </a:ext>
            </a:extLst>
          </xdr:cNvPr>
          <xdr:cNvCxnSpPr>
            <a:stCxn id="59" idx="4"/>
          </xdr:cNvCxnSpPr>
        </xdr:nvCxnSpPr>
        <xdr:spPr>
          <a:xfrm rot="16200000" flipH="1">
            <a:off x="5530253" y="10740987"/>
            <a:ext cx="502573" cy="628927"/>
          </a:xfrm>
          <a:prstGeom prst="bentConnector2">
            <a:avLst/>
          </a:prstGeom>
          <a:ln w="38100">
            <a:solidFill>
              <a:sysClr val="windowText" lastClr="000000"/>
            </a:solidFill>
            <a:tailEnd type="arrow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11906</xdr:colOff>
      <xdr:row>75</xdr:row>
      <xdr:rowOff>107154</xdr:rowOff>
    </xdr:from>
    <xdr:to>
      <xdr:col>6</xdr:col>
      <xdr:colOff>469106</xdr:colOff>
      <xdr:row>86</xdr:row>
      <xdr:rowOff>230978</xdr:rowOff>
    </xdr:to>
    <xdr:graphicFrame macro="">
      <xdr:nvGraphicFramePr>
        <xdr:cNvPr id="68" name="グラフ 67">
          <a:extLst>
            <a:ext uri="{FF2B5EF4-FFF2-40B4-BE49-F238E27FC236}">
              <a16:creationId xmlns:a16="http://schemas.microsoft.com/office/drawing/2014/main" id="{20987311-85B0-4764-9FA0-CC76CA37FC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11906</xdr:colOff>
      <xdr:row>83</xdr:row>
      <xdr:rowOff>107154</xdr:rowOff>
    </xdr:from>
    <xdr:to>
      <xdr:col>14</xdr:col>
      <xdr:colOff>469105</xdr:colOff>
      <xdr:row>94</xdr:row>
      <xdr:rowOff>230979</xdr:rowOff>
    </xdr:to>
    <xdr:graphicFrame macro="">
      <xdr:nvGraphicFramePr>
        <xdr:cNvPr id="72" name="グラフ 71">
          <a:extLst>
            <a:ext uri="{FF2B5EF4-FFF2-40B4-BE49-F238E27FC236}">
              <a16:creationId xmlns:a16="http://schemas.microsoft.com/office/drawing/2014/main" id="{31AA0FB1-19D8-4ADF-B663-8EF0D88D5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8</xdr:col>
      <xdr:colOff>11906</xdr:colOff>
      <xdr:row>69</xdr:row>
      <xdr:rowOff>107154</xdr:rowOff>
    </xdr:from>
    <xdr:to>
      <xdr:col>13</xdr:col>
      <xdr:colOff>466865</xdr:colOff>
      <xdr:row>80</xdr:row>
      <xdr:rowOff>230979</xdr:rowOff>
    </xdr:to>
    <xdr:graphicFrame macro="">
      <xdr:nvGraphicFramePr>
        <xdr:cNvPr id="73" name="グラフ 72">
          <a:extLst>
            <a:ext uri="{FF2B5EF4-FFF2-40B4-BE49-F238E27FC236}">
              <a16:creationId xmlns:a16="http://schemas.microsoft.com/office/drawing/2014/main" id="{16884438-9E85-4176-B9CE-325BDC1A77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522194</xdr:colOff>
      <xdr:row>80</xdr:row>
      <xdr:rowOff>236441</xdr:rowOff>
    </xdr:from>
    <xdr:to>
      <xdr:col>8</xdr:col>
      <xdr:colOff>611844</xdr:colOff>
      <xdr:row>87</xdr:row>
      <xdr:rowOff>101972</xdr:rowOff>
    </xdr:to>
    <xdr:grpSp>
      <xdr:nvGrpSpPr>
        <xdr:cNvPr id="78" name="グループ化 77">
          <a:extLst>
            <a:ext uri="{FF2B5EF4-FFF2-40B4-BE49-F238E27FC236}">
              <a16:creationId xmlns:a16="http://schemas.microsoft.com/office/drawing/2014/main" id="{6D166D13-3B02-481B-8170-0A178C98B61B}"/>
            </a:ext>
          </a:extLst>
        </xdr:cNvPr>
        <xdr:cNvGrpSpPr/>
      </xdr:nvGrpSpPr>
      <xdr:grpSpPr>
        <a:xfrm>
          <a:off x="4665569" y="19572191"/>
          <a:ext cx="1470775" cy="1532406"/>
          <a:chOff x="4639235" y="9793941"/>
          <a:chExt cx="1456768" cy="1512796"/>
        </a:xfrm>
      </xdr:grpSpPr>
      <xdr:sp macro="" textlink="">
        <xdr:nvSpPr>
          <xdr:cNvPr id="79" name="楕円 78">
            <a:extLst>
              <a:ext uri="{FF2B5EF4-FFF2-40B4-BE49-F238E27FC236}">
                <a16:creationId xmlns:a16="http://schemas.microsoft.com/office/drawing/2014/main" id="{EAA9834E-E54B-37FC-F3C8-CF75E9A5D372}"/>
              </a:ext>
            </a:extLst>
          </xdr:cNvPr>
          <xdr:cNvSpPr/>
        </xdr:nvSpPr>
        <xdr:spPr>
          <a:xfrm>
            <a:off x="5251076" y="10372165"/>
            <a:ext cx="432000" cy="432000"/>
          </a:xfrm>
          <a:prstGeom prst="ellips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 anchorCtr="0"/>
          <a:lstStyle/>
          <a:p>
            <a:pPr algn="ctr"/>
            <a:r>
              <a:rPr kumimoji="1" lang="ja-JP" altLang="en-US" sz="2800"/>
              <a:t>−</a:t>
            </a:r>
          </a:p>
        </xdr:txBody>
      </xdr:sp>
      <xdr:cxnSp macro="">
        <xdr:nvCxnSpPr>
          <xdr:cNvPr id="80" name="直線矢印コネクタ 79">
            <a:extLst>
              <a:ext uri="{FF2B5EF4-FFF2-40B4-BE49-F238E27FC236}">
                <a16:creationId xmlns:a16="http://schemas.microsoft.com/office/drawing/2014/main" id="{E6CD3F22-7324-CF07-D4A4-8D001BE6E471}"/>
              </a:ext>
            </a:extLst>
          </xdr:cNvPr>
          <xdr:cNvCxnSpPr>
            <a:endCxn id="79" idx="1"/>
          </xdr:cNvCxnSpPr>
        </xdr:nvCxnSpPr>
        <xdr:spPr>
          <a:xfrm>
            <a:off x="4639235" y="9793941"/>
            <a:ext cx="675106" cy="641489"/>
          </a:xfrm>
          <a:prstGeom prst="straightConnector1">
            <a:avLst/>
          </a:prstGeom>
          <a:ln w="38100">
            <a:solidFill>
              <a:sysClr val="windowText" lastClr="000000"/>
            </a:solidFill>
            <a:tailEnd type="arrow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1" name="直線矢印コネクタ 80">
            <a:extLst>
              <a:ext uri="{FF2B5EF4-FFF2-40B4-BE49-F238E27FC236}">
                <a16:creationId xmlns:a16="http://schemas.microsoft.com/office/drawing/2014/main" id="{88F9BF93-57BD-50BC-34F3-899117D144DC}"/>
              </a:ext>
            </a:extLst>
          </xdr:cNvPr>
          <xdr:cNvCxnSpPr>
            <a:endCxn id="79" idx="7"/>
          </xdr:cNvCxnSpPr>
        </xdr:nvCxnSpPr>
        <xdr:spPr>
          <a:xfrm flipH="1">
            <a:off x="5619811" y="9838765"/>
            <a:ext cx="352924" cy="596665"/>
          </a:xfrm>
          <a:prstGeom prst="straightConnector1">
            <a:avLst/>
          </a:prstGeom>
          <a:ln w="38100">
            <a:solidFill>
              <a:sysClr val="windowText" lastClr="000000"/>
            </a:solidFill>
            <a:tailEnd type="arrow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2" name="コネクタ: カギ線 81">
            <a:extLst>
              <a:ext uri="{FF2B5EF4-FFF2-40B4-BE49-F238E27FC236}">
                <a16:creationId xmlns:a16="http://schemas.microsoft.com/office/drawing/2014/main" id="{3CA46477-30B8-F7BA-1698-C5791AB5FEF3}"/>
              </a:ext>
            </a:extLst>
          </xdr:cNvPr>
          <xdr:cNvCxnSpPr>
            <a:stCxn id="79" idx="4"/>
          </xdr:cNvCxnSpPr>
        </xdr:nvCxnSpPr>
        <xdr:spPr>
          <a:xfrm rot="16200000" flipH="1">
            <a:off x="5530253" y="10740987"/>
            <a:ext cx="502573" cy="628927"/>
          </a:xfrm>
          <a:prstGeom prst="bentConnector2">
            <a:avLst/>
          </a:prstGeom>
          <a:ln w="38100">
            <a:solidFill>
              <a:sysClr val="windowText" lastClr="000000"/>
            </a:solidFill>
            <a:tailEnd type="arrow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528917</xdr:colOff>
      <xdr:row>89</xdr:row>
      <xdr:rowOff>231958</xdr:rowOff>
    </xdr:from>
    <xdr:to>
      <xdr:col>16</xdr:col>
      <xdr:colOff>618568</xdr:colOff>
      <xdr:row>96</xdr:row>
      <xdr:rowOff>97489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BA438A8F-E4AC-4F1E-8C16-8335F5A86413}"/>
            </a:ext>
          </a:extLst>
        </xdr:cNvPr>
        <xdr:cNvGrpSpPr/>
      </xdr:nvGrpSpPr>
      <xdr:grpSpPr>
        <a:xfrm>
          <a:off x="10196792" y="21710833"/>
          <a:ext cx="1470776" cy="1532406"/>
          <a:chOff x="4639235" y="9793941"/>
          <a:chExt cx="1456768" cy="1512796"/>
        </a:xfrm>
      </xdr:grpSpPr>
      <xdr:sp macro="" textlink="">
        <xdr:nvSpPr>
          <xdr:cNvPr id="84" name="楕円 83">
            <a:extLst>
              <a:ext uri="{FF2B5EF4-FFF2-40B4-BE49-F238E27FC236}">
                <a16:creationId xmlns:a16="http://schemas.microsoft.com/office/drawing/2014/main" id="{33150FB2-6A4A-DE76-70EE-98D2986BF8A2}"/>
              </a:ext>
            </a:extLst>
          </xdr:cNvPr>
          <xdr:cNvSpPr/>
        </xdr:nvSpPr>
        <xdr:spPr>
          <a:xfrm>
            <a:off x="5251076" y="10372165"/>
            <a:ext cx="432000" cy="432000"/>
          </a:xfrm>
          <a:prstGeom prst="ellipse">
            <a:avLst/>
          </a:prstGeom>
          <a:ln w="19050"/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overflow" horzOverflow="overflow" rtlCol="0" anchor="ctr" anchorCtr="0"/>
          <a:lstStyle/>
          <a:p>
            <a:pPr algn="ctr"/>
            <a:r>
              <a:rPr kumimoji="1" lang="ja-JP" altLang="en-US" sz="2800"/>
              <a:t>−</a:t>
            </a:r>
          </a:p>
        </xdr:txBody>
      </xdr:sp>
      <xdr:cxnSp macro="">
        <xdr:nvCxnSpPr>
          <xdr:cNvPr id="85" name="直線矢印コネクタ 84">
            <a:extLst>
              <a:ext uri="{FF2B5EF4-FFF2-40B4-BE49-F238E27FC236}">
                <a16:creationId xmlns:a16="http://schemas.microsoft.com/office/drawing/2014/main" id="{07E52D8E-EB05-2EBF-AE74-2B572A2A4127}"/>
              </a:ext>
            </a:extLst>
          </xdr:cNvPr>
          <xdr:cNvCxnSpPr>
            <a:endCxn id="84" idx="1"/>
          </xdr:cNvCxnSpPr>
        </xdr:nvCxnSpPr>
        <xdr:spPr>
          <a:xfrm>
            <a:off x="4639235" y="9793941"/>
            <a:ext cx="675106" cy="641489"/>
          </a:xfrm>
          <a:prstGeom prst="straightConnector1">
            <a:avLst/>
          </a:prstGeom>
          <a:ln w="38100">
            <a:solidFill>
              <a:sysClr val="windowText" lastClr="000000"/>
            </a:solidFill>
            <a:tailEnd type="arrow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6" name="直線矢印コネクタ 85">
            <a:extLst>
              <a:ext uri="{FF2B5EF4-FFF2-40B4-BE49-F238E27FC236}">
                <a16:creationId xmlns:a16="http://schemas.microsoft.com/office/drawing/2014/main" id="{30CBBC46-17AF-6D96-7D67-8169D724DE00}"/>
              </a:ext>
            </a:extLst>
          </xdr:cNvPr>
          <xdr:cNvCxnSpPr>
            <a:endCxn id="84" idx="7"/>
          </xdr:cNvCxnSpPr>
        </xdr:nvCxnSpPr>
        <xdr:spPr>
          <a:xfrm flipH="1">
            <a:off x="5619811" y="9838765"/>
            <a:ext cx="352924" cy="596665"/>
          </a:xfrm>
          <a:prstGeom prst="straightConnector1">
            <a:avLst/>
          </a:prstGeom>
          <a:ln w="38100">
            <a:solidFill>
              <a:sysClr val="windowText" lastClr="000000"/>
            </a:solidFill>
            <a:tailEnd type="arrow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87" name="コネクタ: カギ線 86">
            <a:extLst>
              <a:ext uri="{FF2B5EF4-FFF2-40B4-BE49-F238E27FC236}">
                <a16:creationId xmlns:a16="http://schemas.microsoft.com/office/drawing/2014/main" id="{6482EE10-FCB2-5465-8FE6-753A4428A125}"/>
              </a:ext>
            </a:extLst>
          </xdr:cNvPr>
          <xdr:cNvCxnSpPr>
            <a:stCxn id="84" idx="4"/>
          </xdr:cNvCxnSpPr>
        </xdr:nvCxnSpPr>
        <xdr:spPr>
          <a:xfrm rot="16200000" flipH="1">
            <a:off x="5530253" y="10740987"/>
            <a:ext cx="502573" cy="628927"/>
          </a:xfrm>
          <a:prstGeom prst="bentConnector2">
            <a:avLst/>
          </a:prstGeom>
          <a:ln w="38100">
            <a:solidFill>
              <a:sysClr val="windowText" lastClr="000000"/>
            </a:solidFill>
            <a:tailEnd type="arrow" w="lg" len="lg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571500</xdr:colOff>
      <xdr:row>85</xdr:row>
      <xdr:rowOff>78441</xdr:rowOff>
    </xdr:from>
    <xdr:to>
      <xdr:col>15</xdr:col>
      <xdr:colOff>605118</xdr:colOff>
      <xdr:row>87</xdr:row>
      <xdr:rowOff>112059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42861982-5073-4691-941C-FB51851C6208}"/>
            </a:ext>
          </a:extLst>
        </xdr:cNvPr>
        <xdr:cNvCxnSpPr/>
      </xdr:nvCxnSpPr>
      <xdr:spPr>
        <a:xfrm flipV="1">
          <a:off x="10239375" y="20319066"/>
          <a:ext cx="724181" cy="509868"/>
        </a:xfrm>
        <a:prstGeom prst="straightConnector1">
          <a:avLst/>
        </a:prstGeom>
        <a:ln w="38100">
          <a:solidFill>
            <a:sysClr val="windowText" lastClr="000000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11906</xdr:colOff>
      <xdr:row>78</xdr:row>
      <xdr:rowOff>107154</xdr:rowOff>
    </xdr:from>
    <xdr:to>
      <xdr:col>21</xdr:col>
      <xdr:colOff>466865</xdr:colOff>
      <xdr:row>89</xdr:row>
      <xdr:rowOff>230979</xdr:rowOff>
    </xdr:to>
    <xdr:graphicFrame macro="">
      <xdr:nvGraphicFramePr>
        <xdr:cNvPr id="92" name="グラフ 91">
          <a:extLst>
            <a:ext uri="{FF2B5EF4-FFF2-40B4-BE49-F238E27FC236}">
              <a16:creationId xmlns:a16="http://schemas.microsoft.com/office/drawing/2014/main" id="{E1CF513A-4586-4CEF-8030-6BAC6BCECE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11906</xdr:colOff>
      <xdr:row>92</xdr:row>
      <xdr:rowOff>104352</xdr:rowOff>
    </xdr:from>
    <xdr:to>
      <xdr:col>22</xdr:col>
      <xdr:colOff>469106</xdr:colOff>
      <xdr:row>103</xdr:row>
      <xdr:rowOff>230978</xdr:rowOff>
    </xdr:to>
    <xdr:graphicFrame macro="">
      <xdr:nvGraphicFramePr>
        <xdr:cNvPr id="93" name="グラフ 92">
          <a:extLst>
            <a:ext uri="{FF2B5EF4-FFF2-40B4-BE49-F238E27FC236}">
              <a16:creationId xmlns:a16="http://schemas.microsoft.com/office/drawing/2014/main" id="{D2930DAE-89F9-41DC-8BA0-C12D0E3957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6</xdr:col>
      <xdr:colOff>589429</xdr:colOff>
      <xdr:row>77</xdr:row>
      <xdr:rowOff>33618</xdr:rowOff>
    </xdr:from>
    <xdr:to>
      <xdr:col>7</xdr:col>
      <xdr:colOff>627530</xdr:colOff>
      <xdr:row>78</xdr:row>
      <xdr:rowOff>29136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273C6B1F-DBF0-43CF-9A04-5344E39D6F7D}"/>
            </a:ext>
          </a:extLst>
        </xdr:cNvPr>
        <xdr:cNvCxnSpPr/>
      </xdr:nvCxnSpPr>
      <xdr:spPr>
        <a:xfrm flipV="1">
          <a:off x="4732804" y="18369243"/>
          <a:ext cx="728664" cy="233643"/>
        </a:xfrm>
        <a:prstGeom prst="straightConnector1">
          <a:avLst/>
        </a:prstGeom>
        <a:ln w="38100">
          <a:solidFill>
            <a:sysClr val="windowText" lastClr="000000"/>
          </a:solidFill>
          <a:tailEnd type="arrow" w="lg" len="lg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F8DF-6519-4B4D-AFC9-20FD7C906995}">
  <dimension ref="A1:F402"/>
  <sheetViews>
    <sheetView zoomScaleNormal="100" workbookViewId="0">
      <selection activeCell="Q14" sqref="Q14"/>
    </sheetView>
  </sheetViews>
  <sheetFormatPr defaultRowHeight="18.75"/>
  <sheetData>
    <row r="1" spans="1:6">
      <c r="A1">
        <v>0.3</v>
      </c>
      <c r="C1" t="s">
        <v>0</v>
      </c>
      <c r="D1" t="s">
        <v>5</v>
      </c>
      <c r="E1" t="s">
        <v>6</v>
      </c>
      <c r="F1" t="s">
        <v>7</v>
      </c>
    </row>
    <row r="2" spans="1:6">
      <c r="A2">
        <v>40</v>
      </c>
      <c r="C2">
        <v>-2</v>
      </c>
      <c r="D2">
        <f>EXP($A$3*C2)+0.1</f>
        <v>0.3465969639416065</v>
      </c>
      <c r="E2">
        <f>$A$1*SIN($A$2*C2)+1</f>
        <v>1.2981665961770126</v>
      </c>
      <c r="F2">
        <f>D2*E2</f>
        <v>0.44994060092536209</v>
      </c>
    </row>
    <row r="3" spans="1:6">
      <c r="A3">
        <v>0.7</v>
      </c>
      <c r="C3">
        <v>-1.99</v>
      </c>
      <c r="D3">
        <f t="shared" ref="D3:D66" si="0">EXP($A$3*C3)+0.1</f>
        <v>0.34832919843664528</v>
      </c>
      <c r="E3">
        <f t="shared" ref="E3:E66" si="1">$A$1*SIN($A$2*C3)+1</f>
        <v>1.2617335762009083</v>
      </c>
      <c r="F3">
        <f t="shared" ref="F3:F66" si="2">D3*E3</f>
        <v>0.43949864523866428</v>
      </c>
    </row>
    <row r="4" spans="1:6">
      <c r="C4">
        <v>-1.98</v>
      </c>
      <c r="D4">
        <f t="shared" si="0"/>
        <v>0.35007360111209418</v>
      </c>
      <c r="E4">
        <f t="shared" si="1"/>
        <v>1.1839785795420668</v>
      </c>
      <c r="F4">
        <f t="shared" si="2"/>
        <v>0.41447964497987333</v>
      </c>
    </row>
    <row r="5" spans="1:6">
      <c r="C5">
        <v>-1.97</v>
      </c>
      <c r="D5">
        <f t="shared" si="0"/>
        <v>0.35183025744403307</v>
      </c>
      <c r="E5">
        <f t="shared" si="1"/>
        <v>1.0771774104955985</v>
      </c>
      <c r="F5">
        <f t="shared" si="2"/>
        <v>0.37898360564756328</v>
      </c>
    </row>
    <row r="6" spans="1:6">
      <c r="C6">
        <v>-1.96</v>
      </c>
      <c r="D6">
        <f t="shared" si="0"/>
        <v>0.35359925350897392</v>
      </c>
      <c r="E6">
        <f t="shared" si="1"/>
        <v>0.9581916253092263</v>
      </c>
      <c r="F6">
        <f t="shared" si="2"/>
        <v>0.33881584342789284</v>
      </c>
    </row>
    <row r="7" spans="1:6">
      <c r="C7">
        <v>-1.95</v>
      </c>
      <c r="D7">
        <f t="shared" si="0"/>
        <v>0.35538067598807765</v>
      </c>
      <c r="E7">
        <f t="shared" si="1"/>
        <v>0.84580646320373942</v>
      </c>
      <c r="F7">
        <f t="shared" si="2"/>
        <v>0.30058327264843004</v>
      </c>
    </row>
    <row r="8" spans="1:6">
      <c r="C8">
        <v>-1.94</v>
      </c>
      <c r="D8">
        <f t="shared" si="0"/>
        <v>0.35717461217140245</v>
      </c>
      <c r="E8">
        <f t="shared" si="1"/>
        <v>0.75776507015000605</v>
      </c>
      <c r="F8">
        <f t="shared" si="2"/>
        <v>0.27065444504786396</v>
      </c>
    </row>
    <row r="9" spans="1:6">
      <c r="C9">
        <v>-1.93</v>
      </c>
      <c r="D9">
        <f t="shared" si="0"/>
        <v>0.35898114996218</v>
      </c>
      <c r="E9">
        <f t="shared" si="1"/>
        <v>0.70796724625655338</v>
      </c>
      <c r="F9">
        <f t="shared" si="2"/>
        <v>0.25414689619673542</v>
      </c>
    </row>
    <row r="10" spans="1:6">
      <c r="C10">
        <v>-1.92</v>
      </c>
      <c r="D10">
        <f t="shared" si="0"/>
        <v>0.36080037788112373</v>
      </c>
      <c r="E10">
        <f t="shared" si="1"/>
        <v>0.70427497296131547</v>
      </c>
      <c r="F10">
        <f t="shared" si="2"/>
        <v>0.25410267637666084</v>
      </c>
    </row>
    <row r="11" spans="1:6">
      <c r="C11">
        <v>-1.91</v>
      </c>
      <c r="D11">
        <f t="shared" si="0"/>
        <v>0.36263238507076534</v>
      </c>
      <c r="E11">
        <f t="shared" si="1"/>
        <v>0.74727117903188622</v>
      </c>
      <c r="F11">
        <f t="shared" si="2"/>
        <v>0.27098472994697581</v>
      </c>
    </row>
    <row r="12" spans="1:6">
      <c r="C12">
        <v>-1.9</v>
      </c>
      <c r="D12">
        <f t="shared" si="0"/>
        <v>0.36447726129982405</v>
      </c>
      <c r="E12">
        <f t="shared" si="1"/>
        <v>0.83016770893054592</v>
      </c>
      <c r="F12">
        <f t="shared" si="2"/>
        <v>0.30257725297055488</v>
      </c>
    </row>
    <row r="13" spans="1:6">
      <c r="C13">
        <v>-1.89</v>
      </c>
      <c r="D13">
        <f t="shared" si="0"/>
        <v>0.36633509696760391</v>
      </c>
      <c r="E13">
        <f t="shared" si="1"/>
        <v>0.93987702331567946</v>
      </c>
      <c r="F13">
        <f t="shared" si="2"/>
        <v>0.34430994047397234</v>
      </c>
    </row>
    <row r="14" spans="1:6">
      <c r="C14">
        <v>-1.88</v>
      </c>
      <c r="D14">
        <f t="shared" si="0"/>
        <v>0.36820598310842445</v>
      </c>
      <c r="E14">
        <f t="shared" si="1"/>
        <v>1.0590784337349093</v>
      </c>
      <c r="F14">
        <f t="shared" si="2"/>
        <v>0.38995901588229265</v>
      </c>
    </row>
    <row r="15" spans="1:6">
      <c r="C15">
        <v>-1.87</v>
      </c>
      <c r="D15">
        <f t="shared" si="0"/>
        <v>0.370090011396081</v>
      </c>
      <c r="E15">
        <f t="shared" si="1"/>
        <v>1.1689526584843315</v>
      </c>
      <c r="F15">
        <f t="shared" si="2"/>
        <v>0.43261770269994543</v>
      </c>
    </row>
    <row r="16" spans="1:6">
      <c r="C16">
        <v>-1.86</v>
      </c>
      <c r="D16">
        <f t="shared" si="0"/>
        <v>0.37198727414833654</v>
      </c>
      <c r="E16">
        <f t="shared" si="1"/>
        <v>1.252152973391115</v>
      </c>
      <c r="F16">
        <f t="shared" si="2"/>
        <v>0.46578497138849545</v>
      </c>
    </row>
    <row r="17" spans="3:6">
      <c r="C17">
        <v>-1.85</v>
      </c>
      <c r="D17">
        <f t="shared" si="0"/>
        <v>0.37389786433144556</v>
      </c>
      <c r="E17">
        <f t="shared" si="1"/>
        <v>1.2955438781404742</v>
      </c>
      <c r="F17">
        <f t="shared" si="2"/>
        <v>0.48440108918440189</v>
      </c>
    </row>
    <row r="18" spans="3:6">
      <c r="C18">
        <v>-1.84</v>
      </c>
      <c r="D18">
        <f t="shared" si="0"/>
        <v>0.37582187556470936</v>
      </c>
      <c r="E18">
        <f t="shared" si="1"/>
        <v>1.29227490295195</v>
      </c>
      <c r="F18">
        <f t="shared" si="2"/>
        <v>0.48566517777260465</v>
      </c>
    </row>
    <row r="19" spans="3:6">
      <c r="C19">
        <v>-1.83</v>
      </c>
      <c r="D19">
        <f t="shared" si="0"/>
        <v>0.3777594021250632</v>
      </c>
      <c r="E19">
        <f t="shared" si="1"/>
        <v>1.2428621471295651</v>
      </c>
      <c r="F19">
        <f t="shared" si="2"/>
        <v>0.46950286162353683</v>
      </c>
    </row>
    <row r="20" spans="3:6">
      <c r="C20">
        <v>-1.82</v>
      </c>
      <c r="D20">
        <f t="shared" si="0"/>
        <v>0.37971053895169637</v>
      </c>
      <c r="E20">
        <f t="shared" si="1"/>
        <v>1.155106798329713</v>
      </c>
      <c r="F20">
        <f t="shared" si="2"/>
        <v>0.43860622494054374</v>
      </c>
    </row>
    <row r="21" spans="3:6">
      <c r="C21">
        <v>-1.81</v>
      </c>
      <c r="D21">
        <f t="shared" si="0"/>
        <v>0.38167538165070358</v>
      </c>
      <c r="E21">
        <f t="shared" si="1"/>
        <v>1.0428634965627797</v>
      </c>
      <c r="F21">
        <f t="shared" si="2"/>
        <v>0.39803532306018613</v>
      </c>
    </row>
    <row r="22" spans="3:6">
      <c r="C22">
        <v>-1.8</v>
      </c>
      <c r="D22">
        <f t="shared" si="0"/>
        <v>0.38365402649977043</v>
      </c>
      <c r="E22">
        <f t="shared" si="1"/>
        <v>0.92385299117138908</v>
      </c>
      <c r="F22">
        <f t="shared" si="2"/>
        <v>0.35443991995676027</v>
      </c>
    </row>
    <row r="23" spans="3:6">
      <c r="C23">
        <v>-1.79</v>
      </c>
      <c r="D23">
        <f t="shared" si="0"/>
        <v>0.38564657045289019</v>
      </c>
      <c r="E23">
        <f t="shared" si="1"/>
        <v>0.81686442415316718</v>
      </c>
      <c r="F23">
        <f t="shared" si="2"/>
        <v>0.31502096369964394</v>
      </c>
    </row>
    <row r="24" spans="3:6">
      <c r="C24">
        <v>-1.78</v>
      </c>
      <c r="D24">
        <f t="shared" si="0"/>
        <v>0.38765311114511536</v>
      </c>
      <c r="E24">
        <f t="shared" si="1"/>
        <v>0.73878893777506449</v>
      </c>
      <c r="F24">
        <f t="shared" si="2"/>
        <v>0.28639383020809878</v>
      </c>
    </row>
    <row r="25" spans="3:6">
      <c r="C25">
        <v>-1.77</v>
      </c>
      <c r="D25">
        <f t="shared" si="0"/>
        <v>0.38967374689734147</v>
      </c>
      <c r="E25">
        <f t="shared" si="1"/>
        <v>0.70195293461193364</v>
      </c>
      <c r="F25">
        <f t="shared" si="2"/>
        <v>0.27353263017581669</v>
      </c>
    </row>
    <row r="26" spans="3:6">
      <c r="C26">
        <v>-1.76</v>
      </c>
      <c r="D26">
        <f t="shared" si="0"/>
        <v>0.39170857672112436</v>
      </c>
      <c r="E26">
        <f t="shared" si="1"/>
        <v>0.71217200961298488</v>
      </c>
      <c r="F26">
        <f t="shared" si="2"/>
        <v>0.27896388426612523</v>
      </c>
    </row>
    <row r="27" spans="3:6">
      <c r="C27">
        <v>-1.75</v>
      </c>
      <c r="D27">
        <f t="shared" si="0"/>
        <v>0.39375770032353286</v>
      </c>
      <c r="E27">
        <f t="shared" si="1"/>
        <v>0.76783279553263328</v>
      </c>
      <c r="F27">
        <f t="shared" si="2"/>
        <v>0.30234007580191907</v>
      </c>
    </row>
    <row r="28" spans="3:6">
      <c r="C28">
        <v>-1.74</v>
      </c>
      <c r="D28">
        <f t="shared" si="0"/>
        <v>0.39582121811203319</v>
      </c>
      <c r="E28">
        <f t="shared" si="1"/>
        <v>0.8601476781438484</v>
      </c>
      <c r="F28">
        <f t="shared" si="2"/>
        <v>0.34046470171913512</v>
      </c>
    </row>
    <row r="29" spans="3:6">
      <c r="C29">
        <v>-1.73</v>
      </c>
      <c r="D29">
        <f t="shared" si="0"/>
        <v>0.39789923119941017</v>
      </c>
      <c r="E29">
        <f t="shared" si="1"/>
        <v>0.97454216730248622</v>
      </c>
      <c r="F29">
        <f t="shared" si="2"/>
        <v>0.38776957914106625</v>
      </c>
    </row>
    <row r="30" spans="3:6">
      <c r="C30">
        <v>-1.72</v>
      </c>
      <c r="D30">
        <f t="shared" si="0"/>
        <v>0.39999184140872046</v>
      </c>
      <c r="E30">
        <f t="shared" si="1"/>
        <v>1.0929558884770931</v>
      </c>
      <c r="F30">
        <f t="shared" si="2"/>
        <v>0.43717343841045658</v>
      </c>
    </row>
    <row r="31" spans="3:6">
      <c r="C31">
        <v>-1.71</v>
      </c>
      <c r="D31">
        <f t="shared" si="0"/>
        <v>0.40209915127828344</v>
      </c>
      <c r="E31">
        <f t="shared" si="1"/>
        <v>1.1966939187757757</v>
      </c>
      <c r="F31">
        <f t="shared" si="2"/>
        <v>0.48118960907962244</v>
      </c>
    </row>
    <row r="32" spans="3:6">
      <c r="C32">
        <v>-1.7</v>
      </c>
      <c r="D32">
        <f t="shared" si="0"/>
        <v>0.40422126406670411</v>
      </c>
      <c r="E32">
        <f t="shared" si="1"/>
        <v>1.2693783042067874</v>
      </c>
      <c r="F32">
        <f t="shared" si="2"/>
        <v>0.51310970270531686</v>
      </c>
    </row>
    <row r="33" spans="3:6">
      <c r="C33">
        <v>-1.69</v>
      </c>
      <c r="D33">
        <f t="shared" si="0"/>
        <v>0.4063582837579337</v>
      </c>
      <c r="E33">
        <f t="shared" si="1"/>
        <v>1.2995337784952534</v>
      </c>
      <c r="F33">
        <f t="shared" si="2"/>
        <v>0.52807631591479398</v>
      </c>
    </row>
    <row r="34" spans="3:6">
      <c r="C34">
        <v>-1.68</v>
      </c>
      <c r="D34">
        <f t="shared" si="0"/>
        <v>0.4085103150663647</v>
      </c>
      <c r="E34">
        <f t="shared" si="1"/>
        <v>1.2823994553097688</v>
      </c>
      <c r="F34">
        <f t="shared" si="2"/>
        <v>0.5238734055295281</v>
      </c>
    </row>
    <row r="35" spans="3:6">
      <c r="C35">
        <v>-1.67</v>
      </c>
      <c r="D35">
        <f t="shared" si="0"/>
        <v>0.41067746344196199</v>
      </c>
      <c r="E35">
        <f t="shared" si="1"/>
        <v>1.2206804675317238</v>
      </c>
      <c r="F35">
        <f t="shared" si="2"/>
        <v>0.50130595807907652</v>
      </c>
    </row>
    <row r="36" spans="3:6">
      <c r="C36">
        <v>-1.66</v>
      </c>
      <c r="D36">
        <f t="shared" si="0"/>
        <v>0.41285983507542923</v>
      </c>
      <c r="E36">
        <f t="shared" si="1"/>
        <v>1.1241208862538119</v>
      </c>
      <c r="F36">
        <f t="shared" si="2"/>
        <v>0.46410436370359409</v>
      </c>
    </row>
    <row r="37" spans="3:6">
      <c r="C37">
        <v>-1.65</v>
      </c>
      <c r="D37">
        <f t="shared" si="0"/>
        <v>0.4150575369034134</v>
      </c>
      <c r="E37">
        <f t="shared" si="1"/>
        <v>1.00796534620719</v>
      </c>
      <c r="F37">
        <f t="shared" si="2"/>
        <v>0.41836361388075266</v>
      </c>
    </row>
    <row r="38" spans="3:6">
      <c r="C38">
        <v>-1.64</v>
      </c>
      <c r="D38">
        <f t="shared" si="0"/>
        <v>0.41727067661374362</v>
      </c>
      <c r="E38">
        <f t="shared" si="1"/>
        <v>0.89055225313652731</v>
      </c>
      <c r="F38">
        <f t="shared" si="2"/>
        <v>0.37160134122617261</v>
      </c>
    </row>
    <row r="39" spans="3:6">
      <c r="C39">
        <v>-1.63</v>
      </c>
      <c r="D39">
        <f t="shared" si="0"/>
        <v>0.41949936265070875</v>
      </c>
      <c r="E39">
        <f t="shared" si="1"/>
        <v>0.79041855275791773</v>
      </c>
      <c r="F39">
        <f t="shared" si="2"/>
        <v>0.33158007910924209</v>
      </c>
    </row>
    <row r="40" spans="3:6">
      <c r="C40">
        <v>-1.62</v>
      </c>
      <c r="D40">
        <f t="shared" si="0"/>
        <v>0.42174370422037022</v>
      </c>
      <c r="E40">
        <f t="shared" si="1"/>
        <v>0.72337315462076601</v>
      </c>
      <c r="F40">
        <f t="shared" si="2"/>
        <v>0.30507807376333645</v>
      </c>
    </row>
    <row r="41" spans="3:6">
      <c r="C41">
        <v>-1.61</v>
      </c>
      <c r="D41">
        <f t="shared" si="0"/>
        <v>0.42400381129591413</v>
      </c>
      <c r="E41">
        <f t="shared" si="1"/>
        <v>0.70000105289631809</v>
      </c>
      <c r="F41">
        <f t="shared" si="2"/>
        <v>0.29680311433919165</v>
      </c>
    </row>
    <row r="42" spans="3:6">
      <c r="C42">
        <v>-1.6</v>
      </c>
      <c r="D42">
        <f t="shared" si="0"/>
        <v>0.42627979462303955</v>
      </c>
      <c r="E42">
        <f t="shared" si="1"/>
        <v>0.72399218854096281</v>
      </c>
      <c r="F42">
        <f t="shared" si="2"/>
        <v>0.30862324143992653</v>
      </c>
    </row>
    <row r="43" spans="3:6">
      <c r="C43">
        <v>-1.59</v>
      </c>
      <c r="D43">
        <f t="shared" si="0"/>
        <v>0.42857176572538458</v>
      </c>
      <c r="E43">
        <f t="shared" si="1"/>
        <v>0.79155888875363822</v>
      </c>
      <c r="F43">
        <f t="shared" si="2"/>
        <v>0.33923979062877002</v>
      </c>
    </row>
    <row r="44" spans="3:6">
      <c r="C44">
        <v>-1.58</v>
      </c>
      <c r="D44">
        <f t="shared" si="0"/>
        <v>0.43087983690999221</v>
      </c>
      <c r="E44">
        <f t="shared" si="1"/>
        <v>0.89203385722775719</v>
      </c>
      <c r="F44">
        <f t="shared" si="2"/>
        <v>0.38435940292048731</v>
      </c>
    </row>
    <row r="45" spans="3:6">
      <c r="C45">
        <v>-1.57</v>
      </c>
      <c r="D45">
        <f t="shared" si="0"/>
        <v>0.43320412127281183</v>
      </c>
      <c r="E45">
        <f t="shared" si="1"/>
        <v>1.0095543056854428</v>
      </c>
      <c r="F45">
        <f t="shared" si="2"/>
        <v>0.43734308587164589</v>
      </c>
    </row>
    <row r="46" spans="3:6">
      <c r="C46">
        <v>-1.56</v>
      </c>
      <c r="D46">
        <f t="shared" si="0"/>
        <v>0.43554473270424277</v>
      </c>
      <c r="E46">
        <f t="shared" si="1"/>
        <v>1.1255663393555257</v>
      </c>
      <c r="F46">
        <f t="shared" si="2"/>
        <v>0.49023449041549544</v>
      </c>
    </row>
    <row r="47" spans="3:6">
      <c r="C47">
        <v>-1.55</v>
      </c>
      <c r="D47">
        <f t="shared" si="0"/>
        <v>0.43790178589471307</v>
      </c>
      <c r="E47">
        <f t="shared" si="1"/>
        <v>1.2217542089947668</v>
      </c>
      <c r="F47">
        <f t="shared" si="2"/>
        <v>0.53500835004319092</v>
      </c>
    </row>
    <row r="48" spans="3:6">
      <c r="C48">
        <v>-1.54</v>
      </c>
      <c r="D48">
        <f t="shared" si="0"/>
        <v>0.44027539634030088</v>
      </c>
      <c r="E48">
        <f t="shared" si="1"/>
        <v>1.2829319649665596</v>
      </c>
      <c r="F48">
        <f t="shared" si="2"/>
        <v>0.56484337935329298</v>
      </c>
    </row>
    <row r="49" spans="3:6">
      <c r="C49">
        <v>-1.53</v>
      </c>
      <c r="D49">
        <f t="shared" si="0"/>
        <v>0.44266568034839293</v>
      </c>
      <c r="E49">
        <f t="shared" si="1"/>
        <v>1.2994409847798112</v>
      </c>
      <c r="F49">
        <f t="shared" si="2"/>
        <v>0.57521792760014079</v>
      </c>
    </row>
    <row r="50" spans="3:6">
      <c r="C50">
        <v>-1.52</v>
      </c>
      <c r="D50">
        <f t="shared" si="0"/>
        <v>0.44507275504338384</v>
      </c>
      <c r="E50">
        <f t="shared" si="1"/>
        <v>1.268674857206431</v>
      </c>
      <c r="F50">
        <f t="shared" si="2"/>
        <v>0.56465261395113786</v>
      </c>
    </row>
    <row r="51" spans="3:6">
      <c r="C51">
        <v>-1.51</v>
      </c>
      <c r="D51">
        <f t="shared" si="0"/>
        <v>0.44749673837241521</v>
      </c>
      <c r="E51">
        <f t="shared" si="1"/>
        <v>1.1954908773044663</v>
      </c>
      <c r="F51">
        <f t="shared" si="2"/>
        <v>0.53497826834772588</v>
      </c>
    </row>
    <row r="52" spans="3:6">
      <c r="C52">
        <v>-1.5</v>
      </c>
      <c r="D52">
        <f t="shared" si="0"/>
        <v>0.44993774911115547</v>
      </c>
      <c r="E52">
        <f t="shared" si="1"/>
        <v>1.0914431863306651</v>
      </c>
      <c r="F52">
        <f t="shared" si="2"/>
        <v>0.4910814905403269</v>
      </c>
    </row>
    <row r="53" spans="3:6">
      <c r="C53">
        <v>-1.49</v>
      </c>
      <c r="D53">
        <f t="shared" si="0"/>
        <v>0.45239590686961872</v>
      </c>
      <c r="E53">
        <f t="shared" si="1"/>
        <v>0.97295862688856039</v>
      </c>
      <c r="F53">
        <f t="shared" si="2"/>
        <v>0.4401625003578693</v>
      </c>
    </row>
    <row r="54" spans="3:6">
      <c r="C54">
        <v>-1.48</v>
      </c>
      <c r="D54">
        <f t="shared" si="0"/>
        <v>0.45487133209802744</v>
      </c>
      <c r="E54">
        <f t="shared" si="1"/>
        <v>0.85874330567488399</v>
      </c>
      <c r="F54">
        <f t="shared" si="2"/>
        <v>0.39061771138259804</v>
      </c>
    </row>
    <row r="55" spans="3:6">
      <c r="C55">
        <v>-1.47</v>
      </c>
      <c r="D55">
        <f t="shared" si="0"/>
        <v>0.45736414609271292</v>
      </c>
      <c r="E55">
        <f t="shared" si="1"/>
        <v>0.76682931054213199</v>
      </c>
      <c r="F55">
        <f t="shared" si="2"/>
        <v>0.350720232814966</v>
      </c>
    </row>
    <row r="56" spans="3:6">
      <c r="C56">
        <v>-1.46</v>
      </c>
      <c r="D56">
        <f t="shared" si="0"/>
        <v>0.45987447100205958</v>
      </c>
      <c r="E56">
        <f t="shared" si="1"/>
        <v>0.71172784031631386</v>
      </c>
      <c r="F56">
        <f t="shared" si="2"/>
        <v>0.32730546406290317</v>
      </c>
    </row>
    <row r="57" spans="3:6">
      <c r="C57">
        <v>-1.45</v>
      </c>
      <c r="D57">
        <f t="shared" si="0"/>
        <v>0.46240242983249036</v>
      </c>
      <c r="E57">
        <f t="shared" si="1"/>
        <v>0.7021382055746388</v>
      </c>
      <c r="F57">
        <f t="shared" si="2"/>
        <v>0.32467041233593763</v>
      </c>
    </row>
    <row r="58" spans="3:6">
      <c r="C58">
        <v>-1.44</v>
      </c>
      <c r="D58">
        <f t="shared" si="0"/>
        <v>0.46494814645449378</v>
      </c>
      <c r="E58">
        <f t="shared" si="1"/>
        <v>0.73957439878587461</v>
      </c>
      <c r="F58">
        <f t="shared" si="2"/>
        <v>0.34386374588068902</v>
      </c>
    </row>
    <row r="59" spans="3:6">
      <c r="C59">
        <v>-1.43</v>
      </c>
      <c r="D59">
        <f t="shared" si="0"/>
        <v>0.46751174560869357</v>
      </c>
      <c r="E59">
        <f t="shared" si="1"/>
        <v>0.81812606818919797</v>
      </c>
      <c r="F59">
        <f t="shared" si="2"/>
        <v>0.38248354626710901</v>
      </c>
    </row>
    <row r="60" spans="3:6">
      <c r="C60">
        <v>-1.42</v>
      </c>
      <c r="D60">
        <f t="shared" si="0"/>
        <v>0.4700933529119613</v>
      </c>
      <c r="E60">
        <f t="shared" si="1"/>
        <v>0.92539163238038469</v>
      </c>
      <c r="F60">
        <f t="shared" si="2"/>
        <v>0.43502045522236815</v>
      </c>
    </row>
    <row r="61" spans="3:6">
      <c r="C61">
        <v>-1.41</v>
      </c>
      <c r="D61">
        <f t="shared" si="0"/>
        <v>0.47269309486357136</v>
      </c>
      <c r="E61">
        <f t="shared" si="1"/>
        <v>1.044436217329491</v>
      </c>
      <c r="F61">
        <f t="shared" si="2"/>
        <v>0.49369778795707869</v>
      </c>
    </row>
    <row r="62" spans="3:6">
      <c r="C62">
        <v>-1.4</v>
      </c>
      <c r="D62">
        <f t="shared" si="0"/>
        <v>0.47531109885139955</v>
      </c>
      <c r="E62">
        <f t="shared" si="1"/>
        <v>1.1564653006260737</v>
      </c>
      <c r="F62">
        <f t="shared" si="2"/>
        <v>0.54968079282409321</v>
      </c>
    </row>
    <row r="63" spans="3:6">
      <c r="C63">
        <v>-1.39</v>
      </c>
      <c r="D63">
        <f t="shared" si="0"/>
        <v>0.47794749315816509</v>
      </c>
      <c r="E63">
        <f t="shared" si="1"/>
        <v>1.2437919533137336</v>
      </c>
      <c r="F63">
        <f t="shared" si="2"/>
        <v>0.59446724609659651</v>
      </c>
    </row>
    <row r="64" spans="3:6">
      <c r="C64">
        <v>-1.38</v>
      </c>
      <c r="D64">
        <f t="shared" si="0"/>
        <v>0.4806024069677165</v>
      </c>
      <c r="E64">
        <f t="shared" si="1"/>
        <v>1.2926292170720297</v>
      </c>
      <c r="F64">
        <f t="shared" si="2"/>
        <v>0.62124071304161232</v>
      </c>
    </row>
    <row r="65" spans="3:6">
      <c r="C65">
        <v>-1.37</v>
      </c>
      <c r="D65">
        <f t="shared" si="0"/>
        <v>0.48327597037136161</v>
      </c>
      <c r="E65">
        <f t="shared" si="1"/>
        <v>1.2952667617875666</v>
      </c>
      <c r="F65">
        <f t="shared" si="2"/>
        <v>0.62597130119265754</v>
      </c>
    </row>
    <row r="66" spans="3:6">
      <c r="C66">
        <v>-1.36</v>
      </c>
      <c r="D66">
        <f t="shared" si="0"/>
        <v>0.48596831437424215</v>
      </c>
      <c r="E66">
        <f t="shared" si="1"/>
        <v>1.2512881771441093</v>
      </c>
      <c r="F66">
        <f t="shared" si="2"/>
        <v>0.60808640624314092</v>
      </c>
    </row>
    <row r="67" spans="3:6">
      <c r="C67">
        <v>-1.35</v>
      </c>
      <c r="D67">
        <f t="shared" ref="D67:D130" si="3">EXP($A$3*C67)+0.1</f>
        <v>0.48867957090175307</v>
      </c>
      <c r="E67">
        <f t="shared" ref="E67:E130" si="4">$A$1*SIN($A$2*C67)+1</f>
        <v>1.1676367146554849</v>
      </c>
      <c r="F67">
        <f t="shared" ref="F67:F130" si="5">D67*E67</f>
        <v>0.57060020868697503</v>
      </c>
    </row>
    <row r="68" spans="3:6">
      <c r="C68">
        <v>-1.34</v>
      </c>
      <c r="D68">
        <f t="shared" si="3"/>
        <v>0.49140987280600656</v>
      </c>
      <c r="E68">
        <f t="shared" si="4"/>
        <v>1.0575191009198097</v>
      </c>
      <c r="F68">
        <f t="shared" si="5"/>
        <v>0.51967532687292617</v>
      </c>
    </row>
    <row r="69" spans="3:6">
      <c r="C69">
        <v>-1.33</v>
      </c>
      <c r="D69">
        <f t="shared" si="3"/>
        <v>0.49415935387234222</v>
      </c>
      <c r="E69">
        <f t="shared" si="4"/>
        <v>0.93832048587921968</v>
      </c>
      <c r="F69">
        <f t="shared" si="5"/>
        <v>0.4636798450272574</v>
      </c>
    </row>
    <row r="70" spans="3:6">
      <c r="C70">
        <v>-1.32</v>
      </c>
      <c r="D70">
        <f t="shared" si="3"/>
        <v>0.49692814882588254</v>
      </c>
      <c r="E70">
        <f t="shared" si="4"/>
        <v>0.82885970990878832</v>
      </c>
      <c r="F70">
        <f t="shared" si="5"/>
        <v>0.41188372128133222</v>
      </c>
    </row>
    <row r="71" spans="3:6">
      <c r="C71">
        <v>-1.31</v>
      </c>
      <c r="D71">
        <f t="shared" si="3"/>
        <v>0.49971639333813411</v>
      </c>
      <c r="E71">
        <f t="shared" si="4"/>
        <v>0.74641822271007308</v>
      </c>
      <c r="F71">
        <f t="shared" si="5"/>
        <v>0.37299742217453785</v>
      </c>
    </row>
    <row r="72" spans="3:6">
      <c r="C72">
        <v>-1.3</v>
      </c>
      <c r="D72">
        <f t="shared" si="3"/>
        <v>0.50252422403363606</v>
      </c>
      <c r="E72">
        <f t="shared" si="4"/>
        <v>0.70401172238785437</v>
      </c>
      <c r="F72">
        <f t="shared" si="5"/>
        <v>0.35378294450354014</v>
      </c>
    </row>
    <row r="73" spans="3:6">
      <c r="C73">
        <v>-1.29</v>
      </c>
      <c r="D73">
        <f t="shared" si="3"/>
        <v>0.50535177849665402</v>
      </c>
      <c r="E73">
        <f t="shared" si="4"/>
        <v>0.70833526290863835</v>
      </c>
      <c r="F73">
        <f t="shared" si="5"/>
        <v>0.35795848488277543</v>
      </c>
    </row>
    <row r="74" spans="3:6">
      <c r="C74">
        <v>-1.28</v>
      </c>
      <c r="D74">
        <f t="shared" si="3"/>
        <v>0.50819919527792268</v>
      </c>
      <c r="E74">
        <f t="shared" si="4"/>
        <v>0.75870625229022581</v>
      </c>
      <c r="F74">
        <f t="shared" si="5"/>
        <v>0.38557390686622134</v>
      </c>
    </row>
    <row r="75" spans="3:6">
      <c r="C75">
        <v>-1.27</v>
      </c>
      <c r="D75">
        <f t="shared" si="3"/>
        <v>0.51106661390143404</v>
      </c>
      <c r="E75">
        <f t="shared" si="4"/>
        <v>0.84717221886687122</v>
      </c>
      <c r="F75">
        <f t="shared" si="5"/>
        <v>0.43296143728765646</v>
      </c>
    </row>
    <row r="76" spans="3:6">
      <c r="C76">
        <v>-1.26</v>
      </c>
      <c r="D76">
        <f t="shared" si="3"/>
        <v>0.51395417487127415</v>
      </c>
      <c r="E76">
        <f t="shared" si="4"/>
        <v>0.95976633170630288</v>
      </c>
      <c r="F76">
        <f t="shared" si="5"/>
        <v>0.4932759130813425</v>
      </c>
    </row>
    <row r="77" spans="3:6">
      <c r="C77">
        <v>-1.25</v>
      </c>
      <c r="D77">
        <f t="shared" si="3"/>
        <v>0.51686201967850842</v>
      </c>
      <c r="E77">
        <f t="shared" si="4"/>
        <v>1.0787124561111787</v>
      </c>
      <c r="F77">
        <f t="shared" si="5"/>
        <v>0.5575454987179882</v>
      </c>
    </row>
    <row r="78" spans="3:6">
      <c r="C78">
        <v>-1.24</v>
      </c>
      <c r="D78">
        <f t="shared" si="3"/>
        <v>0.51979029080811423</v>
      </c>
      <c r="E78">
        <f t="shared" si="4"/>
        <v>1.1852316144260384</v>
      </c>
      <c r="F78">
        <f t="shared" si="5"/>
        <v>0.61607188553748127</v>
      </c>
    </row>
    <row r="79" spans="3:6">
      <c r="C79">
        <v>-1.23</v>
      </c>
      <c r="D79">
        <f t="shared" si="3"/>
        <v>0.52273913174596287</v>
      </c>
      <c r="E79">
        <f t="shared" si="4"/>
        <v>1.2625067736968341</v>
      </c>
      <c r="F79">
        <f t="shared" si="5"/>
        <v>0.65996169470567989</v>
      </c>
    </row>
    <row r="80" spans="3:6">
      <c r="C80">
        <v>-1.22</v>
      </c>
      <c r="D80">
        <f t="shared" si="3"/>
        <v>0.52570868698585016</v>
      </c>
      <c r="E80">
        <f t="shared" si="4"/>
        <v>1.2983378854013545</v>
      </c>
      <c r="F80">
        <f t="shared" si="5"/>
        <v>0.68254750499833128</v>
      </c>
    </row>
    <row r="81" spans="3:6">
      <c r="C81">
        <v>-1.21</v>
      </c>
      <c r="D81">
        <f t="shared" si="3"/>
        <v>0.52869910203657722</v>
      </c>
      <c r="E81">
        <f t="shared" si="4"/>
        <v>1.2870680048561463</v>
      </c>
      <c r="F81">
        <f t="shared" si="5"/>
        <v>0.68047169842745348</v>
      </c>
    </row>
    <row r="82" spans="3:6">
      <c r="C82">
        <v>-1.2</v>
      </c>
      <c r="D82">
        <f t="shared" si="3"/>
        <v>0.53171052342907976</v>
      </c>
      <c r="E82">
        <f t="shared" si="4"/>
        <v>1.2304763983971001</v>
      </c>
      <c r="F82">
        <f t="shared" si="5"/>
        <v>0.65425724985885103</v>
      </c>
    </row>
    <row r="83" spans="3:6">
      <c r="C83">
        <v>-1.19</v>
      </c>
      <c r="D83">
        <f t="shared" si="3"/>
        <v>0.53474309872360848</v>
      </c>
      <c r="E83">
        <f t="shared" si="4"/>
        <v>1.1374976363475278</v>
      </c>
      <c r="F83">
        <f t="shared" si="5"/>
        <v>0.60826901085125729</v>
      </c>
    </row>
    <row r="84" spans="3:6">
      <c r="C84">
        <v>-1.18</v>
      </c>
      <c r="D84">
        <f t="shared" si="3"/>
        <v>0.53779697651695968</v>
      </c>
      <c r="E84">
        <f t="shared" si="4"/>
        <v>1.0228110208175039</v>
      </c>
      <c r="F84">
        <f t="shared" si="5"/>
        <v>0.55006467454387864</v>
      </c>
    </row>
    <row r="85" spans="3:6">
      <c r="C85">
        <v>-1.17</v>
      </c>
      <c r="D85">
        <f t="shared" si="3"/>
        <v>0.54087230644975615</v>
      </c>
      <c r="E85">
        <f t="shared" si="4"/>
        <v>0.90452304666925354</v>
      </c>
      <c r="F85">
        <f t="shared" si="5"/>
        <v>0.4892314664889596</v>
      </c>
    </row>
    <row r="86" spans="3:6">
      <c r="C86">
        <v>-1.1599999999999999</v>
      </c>
      <c r="D86">
        <f t="shared" si="3"/>
        <v>0.54396923921378004</v>
      </c>
      <c r="E86">
        <f t="shared" si="4"/>
        <v>0.80130878410412709</v>
      </c>
      <c r="F86">
        <f t="shared" si="5"/>
        <v>0.43588732966444116</v>
      </c>
    </row>
    <row r="87" spans="3:6">
      <c r="C87">
        <v>-1.1499999999999999</v>
      </c>
      <c r="D87">
        <f t="shared" si="3"/>
        <v>0.54708792655935645</v>
      </c>
      <c r="E87">
        <f t="shared" si="4"/>
        <v>0.72946349570535718</v>
      </c>
      <c r="F87">
        <f t="shared" si="5"/>
        <v>0.39908067136618386</v>
      </c>
    </row>
    <row r="88" spans="3:6">
      <c r="C88">
        <v>-1.1399999999999999</v>
      </c>
      <c r="D88">
        <f t="shared" si="3"/>
        <v>0.55022852130278921</v>
      </c>
      <c r="E88">
        <f t="shared" si="4"/>
        <v>0.70032997277649356</v>
      </c>
      <c r="F88">
        <f t="shared" si="5"/>
        <v>0.38534152534483268</v>
      </c>
    </row>
    <row r="89" spans="3:6">
      <c r="C89">
        <v>-1.1299999999999999</v>
      </c>
      <c r="D89">
        <f t="shared" si="3"/>
        <v>0.55339117733384924</v>
      </c>
      <c r="E89">
        <f t="shared" si="4"/>
        <v>0.71850775799993438</v>
      </c>
      <c r="F89">
        <f t="shared" si="5"/>
        <v>0.39761585412308814</v>
      </c>
    </row>
    <row r="90" spans="3:6">
      <c r="C90">
        <v>-1.1200000000000001</v>
      </c>
      <c r="D90">
        <f t="shared" si="3"/>
        <v>0.55657604962331475</v>
      </c>
      <c r="E90">
        <f t="shared" si="4"/>
        <v>0.78112697878214254</v>
      </c>
      <c r="F90">
        <f t="shared" si="5"/>
        <v>0.43475656810475971</v>
      </c>
    </row>
    <row r="91" spans="3:6">
      <c r="C91">
        <v>-1.1100000000000001</v>
      </c>
      <c r="D91">
        <f t="shared" si="3"/>
        <v>0.55978329423056516</v>
      </c>
      <c r="E91">
        <f t="shared" si="4"/>
        <v>0.87830143703339725</v>
      </c>
      <c r="F91">
        <f t="shared" si="5"/>
        <v>0.49165847174999444</v>
      </c>
    </row>
    <row r="92" spans="3:6">
      <c r="C92">
        <v>-1.1000000000000001</v>
      </c>
      <c r="D92">
        <f t="shared" si="3"/>
        <v>0.5630130683112281</v>
      </c>
      <c r="E92">
        <f t="shared" si="4"/>
        <v>0.99468942246837588</v>
      </c>
      <c r="F92">
        <f t="shared" si="5"/>
        <v>0.56002314376064377</v>
      </c>
    </row>
    <row r="93" spans="3:6">
      <c r="C93">
        <v>-1.0900000000000001</v>
      </c>
      <c r="D93">
        <f t="shared" si="3"/>
        <v>0.56626553012487957</v>
      </c>
      <c r="E93">
        <f t="shared" si="4"/>
        <v>1.1119158313265867</v>
      </c>
      <c r="F93">
        <f t="shared" si="5"/>
        <v>0.62963960768039573</v>
      </c>
    </row>
    <row r="94" spans="3:6">
      <c r="C94">
        <v>-1.08</v>
      </c>
      <c r="D94">
        <f t="shared" si="3"/>
        <v>0.56954083904279929</v>
      </c>
      <c r="E94">
        <f t="shared" si="4"/>
        <v>1.2114731912242744</v>
      </c>
      <c r="F94">
        <f t="shared" si="5"/>
        <v>0.68998345780773085</v>
      </c>
    </row>
    <row r="95" spans="3:6">
      <c r="C95">
        <v>-1.07</v>
      </c>
      <c r="D95">
        <f t="shared" si="3"/>
        <v>0.57283915555577958</v>
      </c>
      <c r="E95">
        <f t="shared" si="4"/>
        <v>1.2776435841013984</v>
      </c>
      <c r="F95">
        <f t="shared" si="5"/>
        <v>0.73188427181790472</v>
      </c>
    </row>
    <row r="96" spans="3:6">
      <c r="C96">
        <v>-1.06</v>
      </c>
      <c r="D96">
        <f t="shared" si="3"/>
        <v>0.57616064128198941</v>
      </c>
      <c r="E96">
        <f t="shared" si="4"/>
        <v>1.299980159877641</v>
      </c>
      <c r="F96">
        <f t="shared" si="5"/>
        <v>0.74899740256896474</v>
      </c>
    </row>
    <row r="97" spans="3:6">
      <c r="C97">
        <v>-1.05</v>
      </c>
      <c r="D97">
        <f t="shared" si="3"/>
        <v>0.57950545897489414</v>
      </c>
      <c r="E97">
        <f t="shared" si="4"/>
        <v>1.2749564643746902</v>
      </c>
      <c r="F97">
        <f t="shared" si="5"/>
        <v>0.73884423106046315</v>
      </c>
    </row>
    <row r="98" spans="3:6">
      <c r="C98">
        <v>-1.04</v>
      </c>
      <c r="D98">
        <f t="shared" si="3"/>
        <v>0.58287377253122974</v>
      </c>
      <c r="E98">
        <f t="shared" si="4"/>
        <v>1.2065231888913011</v>
      </c>
      <c r="F98">
        <f t="shared" si="5"/>
        <v>0.70325072275548217</v>
      </c>
    </row>
    <row r="99" spans="3:6">
      <c r="C99">
        <v>-1.03</v>
      </c>
      <c r="D99">
        <f t="shared" si="3"/>
        <v>0.58626574699903455</v>
      </c>
      <c r="E99">
        <f t="shared" si="4"/>
        <v>1.1054844429150448</v>
      </c>
      <c r="F99">
        <f t="shared" si="5"/>
        <v>0.6481076627214003</v>
      </c>
    </row>
    <row r="100" spans="3:6">
      <c r="C100">
        <v>-1.02</v>
      </c>
      <c r="D100">
        <f t="shared" si="3"/>
        <v>0.58968154858573618</v>
      </c>
      <c r="E100">
        <f t="shared" si="4"/>
        <v>0.98779202279504053</v>
      </c>
      <c r="F100">
        <f t="shared" si="5"/>
        <v>0.58248272968241632</v>
      </c>
    </row>
    <row r="101" spans="3:6">
      <c r="C101">
        <v>-1.01</v>
      </c>
      <c r="D101">
        <f t="shared" si="3"/>
        <v>0.59312134466629574</v>
      </c>
      <c r="E101">
        <f t="shared" si="4"/>
        <v>0.87202697384662808</v>
      </c>
      <c r="F101">
        <f t="shared" si="5"/>
        <v>0.51721781131319278</v>
      </c>
    </row>
    <row r="102" spans="3:6">
      <c r="C102">
        <v>-1</v>
      </c>
      <c r="D102">
        <f t="shared" si="3"/>
        <v>0.5965853037914095</v>
      </c>
      <c r="E102">
        <f t="shared" si="4"/>
        <v>0.77646605185619533</v>
      </c>
      <c r="F102">
        <f t="shared" si="5"/>
        <v>0.46322823543034464</v>
      </c>
    </row>
    <row r="103" spans="3:6">
      <c r="C103">
        <v>-0.99</v>
      </c>
      <c r="D103">
        <f t="shared" si="3"/>
        <v>0.60007359569576768</v>
      </c>
      <c r="E103">
        <f t="shared" si="4"/>
        <v>0.71619622521192761</v>
      </c>
      <c r="F103">
        <f t="shared" si="5"/>
        <v>0.42977044408665721</v>
      </c>
    </row>
    <row r="104" spans="3:6">
      <c r="C104">
        <v>-0.98</v>
      </c>
      <c r="D104">
        <f t="shared" si="3"/>
        <v>0.60358639130637148</v>
      </c>
      <c r="E104">
        <f t="shared" si="4"/>
        <v>0.70073277432765846</v>
      </c>
      <c r="F104">
        <f t="shared" si="5"/>
        <v>0.42295276652653335</v>
      </c>
    </row>
    <row r="105" spans="3:6">
      <c r="C105">
        <v>-0.97</v>
      </c>
      <c r="D105">
        <f t="shared" si="3"/>
        <v>0.60712386275090868</v>
      </c>
      <c r="E105">
        <f t="shared" si="4"/>
        <v>0.73251703808756785</v>
      </c>
      <c r="F105">
        <f t="shared" si="5"/>
        <v>0.44472857369457869</v>
      </c>
    </row>
    <row r="106" spans="3:6">
      <c r="C106">
        <v>-0.96</v>
      </c>
      <c r="D106">
        <f t="shared" si="3"/>
        <v>0.61068618336618785</v>
      </c>
      <c r="E106">
        <f t="shared" si="4"/>
        <v>0.80653098011653979</v>
      </c>
      <c r="F106">
        <f t="shared" si="5"/>
        <v>0.49253732601396044</v>
      </c>
    </row>
    <row r="107" spans="3:6">
      <c r="C107">
        <v>-0.95</v>
      </c>
      <c r="D107">
        <f t="shared" si="3"/>
        <v>0.61427352770663202</v>
      </c>
      <c r="E107">
        <f t="shared" si="4"/>
        <v>0.91108942638718438</v>
      </c>
      <c r="F107">
        <f t="shared" si="5"/>
        <v>0.55965811600306758</v>
      </c>
    </row>
    <row r="108" spans="3:6">
      <c r="C108">
        <v>-0.94</v>
      </c>
      <c r="D108">
        <f t="shared" si="3"/>
        <v>0.61788607155283148</v>
      </c>
      <c r="E108">
        <f t="shared" si="4"/>
        <v>1.0296848972650889</v>
      </c>
      <c r="F108">
        <f t="shared" si="5"/>
        <v>0.63622795610840666</v>
      </c>
    </row>
    <row r="109" spans="3:6">
      <c r="C109">
        <v>-0.93</v>
      </c>
      <c r="D109">
        <f t="shared" si="3"/>
        <v>0.6215239919201575</v>
      </c>
      <c r="E109">
        <f t="shared" si="4"/>
        <v>1.1435937755765244</v>
      </c>
      <c r="F109">
        <f t="shared" si="5"/>
        <v>0.71077096853136612</v>
      </c>
    </row>
    <row r="110" spans="3:6">
      <c r="C110">
        <v>-0.92</v>
      </c>
      <c r="D110">
        <f t="shared" si="3"/>
        <v>0.62518746706743611</v>
      </c>
      <c r="E110">
        <f t="shared" si="4"/>
        <v>1.2348323540651949</v>
      </c>
      <c r="F110">
        <f t="shared" si="5"/>
        <v>0.77200171169093867</v>
      </c>
    </row>
    <row r="111" spans="3:6">
      <c r="C111">
        <v>-0.91</v>
      </c>
      <c r="D111">
        <f t="shared" si="3"/>
        <v>0.62887667650568246</v>
      </c>
      <c r="E111">
        <f t="shared" si="4"/>
        <v>1.2889960673421283</v>
      </c>
      <c r="F111">
        <f t="shared" si="5"/>
        <v>0.81061956285901249</v>
      </c>
    </row>
    <row r="112" spans="3:6">
      <c r="C112">
        <v>-0.9</v>
      </c>
      <c r="D112">
        <f t="shared" si="3"/>
        <v>0.63259180100689716</v>
      </c>
      <c r="E112">
        <f t="shared" si="4"/>
        <v>1.2975336560329347</v>
      </c>
      <c r="F112">
        <f t="shared" si="5"/>
        <v>0.82080915233693796</v>
      </c>
    </row>
    <row r="113" spans="3:6">
      <c r="C113">
        <v>-0.89</v>
      </c>
      <c r="D113">
        <f t="shared" si="3"/>
        <v>0.63633302261292413</v>
      </c>
      <c r="E113">
        <f t="shared" si="4"/>
        <v>1.2590972226078869</v>
      </c>
      <c r="F113">
        <f t="shared" si="5"/>
        <v>0.8012051414256145</v>
      </c>
    </row>
    <row r="114" spans="3:6">
      <c r="C114">
        <v>-0.88</v>
      </c>
      <c r="D114">
        <f t="shared" si="3"/>
        <v>0.64010052464437062</v>
      </c>
      <c r="E114">
        <f t="shared" si="4"/>
        <v>1.1797550347642796</v>
      </c>
      <c r="F114">
        <f t="shared" si="5"/>
        <v>0.75516181670445304</v>
      </c>
    </row>
    <row r="115" spans="3:6">
      <c r="C115">
        <v>-0.87</v>
      </c>
      <c r="D115">
        <f t="shared" si="3"/>
        <v>0.6438944917095899</v>
      </c>
      <c r="E115">
        <f t="shared" si="4"/>
        <v>1.0720334793861324</v>
      </c>
      <c r="F115">
        <f t="shared" si="5"/>
        <v>0.69027645230499679</v>
      </c>
    </row>
    <row r="116" spans="3:6">
      <c r="C116">
        <v>-0.86</v>
      </c>
      <c r="D116">
        <f t="shared" si="3"/>
        <v>0.64771510971372748</v>
      </c>
      <c r="E116">
        <f t="shared" si="4"/>
        <v>0.95293942148547695</v>
      </c>
      <c r="F116">
        <f t="shared" si="5"/>
        <v>0.61723326193800165</v>
      </c>
    </row>
    <row r="117" spans="3:6">
      <c r="C117">
        <v>-0.85</v>
      </c>
      <c r="D117">
        <f t="shared" si="3"/>
        <v>0.65156256586782979</v>
      </c>
      <c r="E117">
        <f t="shared" si="4"/>
        <v>0.84127519416399288</v>
      </c>
      <c r="F117">
        <f t="shared" si="5"/>
        <v>0.54814342411044792</v>
      </c>
    </row>
    <row r="118" spans="3:6">
      <c r="C118">
        <v>-0.84</v>
      </c>
      <c r="D118">
        <f t="shared" si="3"/>
        <v>0.65543704869801822</v>
      </c>
      <c r="E118">
        <f t="shared" si="4"/>
        <v>0.75467012364206743</v>
      </c>
      <c r="F118">
        <f t="shared" si="5"/>
        <v>0.4946387585805252</v>
      </c>
    </row>
    <row r="119" spans="3:6">
      <c r="C119">
        <v>-0.83</v>
      </c>
      <c r="D119">
        <f t="shared" si="3"/>
        <v>0.65933874805472681</v>
      </c>
      <c r="E119">
        <f t="shared" si="4"/>
        <v>0.70679724628232199</v>
      </c>
      <c r="F119">
        <f t="shared" si="5"/>
        <v>0.46601881149231461</v>
      </c>
    </row>
    <row r="120" spans="3:6">
      <c r="C120">
        <v>-0.82</v>
      </c>
      <c r="D120">
        <f t="shared" si="3"/>
        <v>0.6632678551220047</v>
      </c>
      <c r="E120">
        <f t="shared" si="4"/>
        <v>0.70521463679075813</v>
      </c>
      <c r="F120">
        <f t="shared" si="5"/>
        <v>0.46774619954484975</v>
      </c>
    </row>
    <row r="121" spans="3:6">
      <c r="C121">
        <v>-0.81</v>
      </c>
      <c r="D121">
        <f t="shared" si="3"/>
        <v>0.6672245624268841</v>
      </c>
      <c r="E121">
        <f t="shared" si="4"/>
        <v>0.75017215440766494</v>
      </c>
      <c r="F121">
        <f t="shared" si="5"/>
        <v>0.50053328746948722</v>
      </c>
    </row>
    <row r="122" spans="3:6">
      <c r="C122">
        <v>-0.8</v>
      </c>
      <c r="D122">
        <f t="shared" si="3"/>
        <v>0.67120906384881485</v>
      </c>
      <c r="E122">
        <f t="shared" si="4"/>
        <v>0.83457199562749285</v>
      </c>
      <c r="F122">
        <f t="shared" si="5"/>
        <v>0.56017228789956663</v>
      </c>
    </row>
    <row r="123" spans="3:6">
      <c r="C123">
        <v>-0.79</v>
      </c>
      <c r="D123">
        <f t="shared" si="3"/>
        <v>0.67522155462916389</v>
      </c>
      <c r="E123">
        <f t="shared" si="4"/>
        <v>0.94508928130582359</v>
      </c>
      <c r="F123">
        <f t="shared" si="5"/>
        <v>0.6381446537866774</v>
      </c>
    </row>
    <row r="124" spans="3:6">
      <c r="C124">
        <v>-0.78</v>
      </c>
      <c r="D124">
        <f t="shared" si="3"/>
        <v>0.67926223138078212</v>
      </c>
      <c r="E124">
        <f t="shared" si="4"/>
        <v>1.0642757620887653</v>
      </c>
      <c r="F124">
        <f t="shared" si="5"/>
        <v>0.72292232896089714</v>
      </c>
    </row>
    <row r="125" spans="3:6">
      <c r="C125">
        <v>-0.77</v>
      </c>
      <c r="D125">
        <f t="shared" si="3"/>
        <v>0.68333129209763888</v>
      </c>
      <c r="E125">
        <f t="shared" si="4"/>
        <v>1.1733145133337195</v>
      </c>
      <c r="F125">
        <f t="shared" si="5"/>
        <v>0.80176252243324286</v>
      </c>
    </row>
    <row r="126" spans="3:6">
      <c r="C126">
        <v>-0.76</v>
      </c>
      <c r="D126">
        <f t="shared" si="3"/>
        <v>0.6874289361645235</v>
      </c>
      <c r="E126">
        <f t="shared" si="4"/>
        <v>1.2549907137637983</v>
      </c>
      <c r="F126">
        <f t="shared" si="5"/>
        <v>0.86271693125900395</v>
      </c>
    </row>
    <row r="127" spans="3:6">
      <c r="C127">
        <v>-0.75</v>
      </c>
      <c r="D127">
        <f t="shared" si="3"/>
        <v>0.69155536436681508</v>
      </c>
      <c r="E127">
        <f t="shared" si="4"/>
        <v>1.2964094872278586</v>
      </c>
      <c r="F127">
        <f t="shared" si="5"/>
        <v>0.89653893530845774</v>
      </c>
    </row>
    <row r="128" spans="3:6">
      <c r="C128">
        <v>-0.74</v>
      </c>
      <c r="D128">
        <f t="shared" si="3"/>
        <v>0.69571077890032118</v>
      </c>
      <c r="E128">
        <f t="shared" si="4"/>
        <v>1.2910317201121555</v>
      </c>
      <c r="F128">
        <f t="shared" si="5"/>
        <v>0.89818468358424919</v>
      </c>
    </row>
    <row r="129" spans="3:6">
      <c r="C129">
        <v>-0.73</v>
      </c>
      <c r="D129">
        <f t="shared" si="3"/>
        <v>0.69989538338118551</v>
      </c>
      <c r="E129">
        <f t="shared" si="4"/>
        <v>1.2397064435978842</v>
      </c>
      <c r="F129">
        <f t="shared" si="5"/>
        <v>0.86766481662206718</v>
      </c>
    </row>
    <row r="130" spans="3:6">
      <c r="C130">
        <v>-0.72</v>
      </c>
      <c r="D130">
        <f t="shared" si="3"/>
        <v>0.70410938285586466</v>
      </c>
      <c r="E130">
        <f t="shared" si="4"/>
        <v>1.1505367903061714</v>
      </c>
      <c r="F130">
        <f t="shared" si="5"/>
        <v>0.81010374937544571</v>
      </c>
    </row>
    <row r="131" spans="3:6">
      <c r="C131">
        <v>-0.71</v>
      </c>
      <c r="D131">
        <f t="shared" ref="D131:D194" si="6">EXP($A$3*C131)+0.1</f>
        <v>0.70835298381117628</v>
      </c>
      <c r="E131">
        <f t="shared" ref="E131:E194" si="7">$A$1*SIN($A$2*C131)+1</f>
        <v>1.0376006878289288</v>
      </c>
      <c r="F131">
        <f t="shared" ref="F131:F194" si="8">D131*E131</f>
        <v>0.73498754322815052</v>
      </c>
    </row>
    <row r="132" spans="3:6">
      <c r="C132">
        <v>-0.7</v>
      </c>
      <c r="D132">
        <f t="shared" si="6"/>
        <v>0.71262639418441609</v>
      </c>
      <c r="E132">
        <f t="shared" si="7"/>
        <v>0.91872826350763925</v>
      </c>
      <c r="F132">
        <f t="shared" si="8"/>
        <v>0.65471000965875903</v>
      </c>
    </row>
    <row r="133" spans="3:6">
      <c r="C133">
        <v>-0.69</v>
      </c>
      <c r="D133">
        <f t="shared" si="6"/>
        <v>0.71692982337354749</v>
      </c>
      <c r="E133">
        <f t="shared" si="7"/>
        <v>0.81268685937508178</v>
      </c>
      <c r="F133">
        <f t="shared" si="8"/>
        <v>0.58263944654978039</v>
      </c>
    </row>
    <row r="134" spans="3:6">
      <c r="C134">
        <v>-0.68</v>
      </c>
      <c r="D134">
        <f t="shared" si="6"/>
        <v>0.72126348224746173</v>
      </c>
      <c r="E134">
        <f t="shared" si="7"/>
        <v>0.73621808150478318</v>
      </c>
      <c r="F134">
        <f t="shared" si="8"/>
        <v>0.53100721715968546</v>
      </c>
    </row>
    <row r="135" spans="3:6">
      <c r="C135">
        <v>-0.67</v>
      </c>
      <c r="D135">
        <f t="shared" si="6"/>
        <v>0.72562758315631071</v>
      </c>
      <c r="E135">
        <f t="shared" si="7"/>
        <v>0.70139466852653221</v>
      </c>
      <c r="F135">
        <f t="shared" si="8"/>
        <v>0.5089513181616292</v>
      </c>
    </row>
    <row r="136" spans="3:6">
      <c r="C136">
        <v>-0.66</v>
      </c>
      <c r="D136">
        <f t="shared" si="6"/>
        <v>0.73002233994191223</v>
      </c>
      <c r="E136">
        <f t="shared" si="7"/>
        <v>0.7137144716521906</v>
      </c>
      <c r="F136">
        <f t="shared" si="8"/>
        <v>0.52102750864593772</v>
      </c>
    </row>
    <row r="137" spans="3:6">
      <c r="C137">
        <v>-0.65</v>
      </c>
      <c r="D137">
        <f t="shared" si="6"/>
        <v>0.7344479679482282</v>
      </c>
      <c r="E137">
        <f t="shared" si="7"/>
        <v>0.77123246485611918</v>
      </c>
      <c r="F137">
        <f t="shared" si="8"/>
        <v>0.56643011662928</v>
      </c>
    </row>
    <row r="138" spans="3:6">
      <c r="C138">
        <v>-0.64</v>
      </c>
      <c r="D138">
        <f t="shared" si="6"/>
        <v>0.73890468403191623</v>
      </c>
      <c r="E138">
        <f t="shared" si="7"/>
        <v>0.86486782171738319</v>
      </c>
      <c r="F138">
        <f t="shared" si="8"/>
        <v>0.63905488453545467</v>
      </c>
    </row>
    <row r="139" spans="3:6">
      <c r="C139">
        <v>-0.63</v>
      </c>
      <c r="D139">
        <f t="shared" si="6"/>
        <v>0.7433927065729562</v>
      </c>
      <c r="E139">
        <f t="shared" si="7"/>
        <v>0.97983757824235751</v>
      </c>
      <c r="F139">
        <f t="shared" si="8"/>
        <v>0.72840410929147692</v>
      </c>
    </row>
    <row r="140" spans="3:6">
      <c r="C140">
        <v>-0.62</v>
      </c>
      <c r="D140">
        <f t="shared" si="6"/>
        <v>0.74791225548535056</v>
      </c>
      <c r="E140">
        <f t="shared" si="7"/>
        <v>1.0979905378314168</v>
      </c>
      <c r="F140">
        <f t="shared" si="8"/>
        <v>0.82120057965106807</v>
      </c>
    </row>
    <row r="141" spans="3:6">
      <c r="C141">
        <v>-0.61</v>
      </c>
      <c r="D141">
        <f t="shared" si="6"/>
        <v>0.7524635522279004</v>
      </c>
      <c r="E141">
        <f t="shared" si="7"/>
        <v>1.2006729461134074</v>
      </c>
      <c r="F141">
        <f t="shared" si="8"/>
        <v>0.90346263009643291</v>
      </c>
    </row>
    <row r="142" spans="3:6">
      <c r="C142">
        <v>-0.6</v>
      </c>
      <c r="D142">
        <f t="shared" si="6"/>
        <v>0.75704681981505673</v>
      </c>
      <c r="E142">
        <f t="shared" si="7"/>
        <v>1.271673508601987</v>
      </c>
      <c r="F142">
        <f t="shared" si="8"/>
        <v>0.96271638553018946</v>
      </c>
    </row>
    <row r="143" spans="3:6">
      <c r="C143">
        <v>-0.59</v>
      </c>
      <c r="D143">
        <f t="shared" si="6"/>
        <v>0.76166228282784831</v>
      </c>
      <c r="E143">
        <f t="shared" si="7"/>
        <v>1.2997827976409884</v>
      </c>
      <c r="F143">
        <f t="shared" si="8"/>
        <v>0.98999553283160246</v>
      </c>
    </row>
    <row r="144" spans="3:6">
      <c r="C144">
        <v>-0.57999999999999996</v>
      </c>
      <c r="D144">
        <f t="shared" si="6"/>
        <v>0.76631016742488633</v>
      </c>
      <c r="E144">
        <f t="shared" si="7"/>
        <v>1.2805629745583618</v>
      </c>
      <c r="F144">
        <f t="shared" si="8"/>
        <v>0.9813084274319287</v>
      </c>
    </row>
    <row r="145" spans="3:6">
      <c r="C145">
        <v>-0.56999999999999995</v>
      </c>
      <c r="D145">
        <f t="shared" si="6"/>
        <v>0.77099070135344594</v>
      </c>
      <c r="E145">
        <f t="shared" si="7"/>
        <v>1.2170484268132729</v>
      </c>
      <c r="F145">
        <f t="shared" si="8"/>
        <v>0.9383330201698733</v>
      </c>
    </row>
    <row r="146" spans="3:6">
      <c r="C146">
        <v>-0.56000000000000005</v>
      </c>
      <c r="D146">
        <f t="shared" si="6"/>
        <v>0.775704113960626</v>
      </c>
      <c r="E146">
        <f t="shared" si="7"/>
        <v>1.1192667049364309</v>
      </c>
      <c r="F146">
        <f t="shared" si="8"/>
        <v>0.86821978763834351</v>
      </c>
    </row>
    <row r="147" spans="3:6">
      <c r="C147">
        <v>-0.55000000000000004</v>
      </c>
      <c r="D147">
        <f t="shared" si="6"/>
        <v>0.78045063620458766</v>
      </c>
      <c r="E147">
        <f t="shared" si="7"/>
        <v>1.0026553927871211</v>
      </c>
      <c r="F147">
        <f t="shared" si="8"/>
        <v>0.78252303919466937</v>
      </c>
    </row>
    <row r="148" spans="3:6">
      <c r="C148">
        <v>-0.54</v>
      </c>
      <c r="D148">
        <f t="shared" si="6"/>
        <v>0.7852305006658703</v>
      </c>
      <c r="E148">
        <f t="shared" si="7"/>
        <v>0.88562485250351797</v>
      </c>
      <c r="F148">
        <f t="shared" si="8"/>
        <v>0.69541964633347497</v>
      </c>
    </row>
    <row r="149" spans="3:6">
      <c r="C149">
        <v>-0.53</v>
      </c>
      <c r="D149">
        <f t="shared" si="6"/>
        <v>0.79004394155878899</v>
      </c>
      <c r="E149">
        <f t="shared" si="7"/>
        <v>0.78665163312820607</v>
      </c>
      <c r="F149">
        <f t="shared" si="8"/>
        <v>0.62148935687026641</v>
      </c>
    </row>
    <row r="150" spans="3:6">
      <c r="C150">
        <v>-0.52</v>
      </c>
      <c r="D150">
        <f t="shared" si="6"/>
        <v>0.79489119474291059</v>
      </c>
      <c r="E150">
        <f t="shared" si="7"/>
        <v>0.72136142977682782</v>
      </c>
      <c r="F150">
        <f t="shared" si="8"/>
        <v>0.57340384875675687</v>
      </c>
    </row>
    <row r="151" spans="3:6">
      <c r="C151">
        <v>-0.51</v>
      </c>
      <c r="D151">
        <f t="shared" si="6"/>
        <v>0.79977249773461101</v>
      </c>
      <c r="E151">
        <f t="shared" si="7"/>
        <v>0.70006212995719919</v>
      </c>
      <c r="F151">
        <f t="shared" si="8"/>
        <v>0.55989043824528106</v>
      </c>
    </row>
    <row r="152" spans="3:6">
      <c r="C152">
        <v>-0.5</v>
      </c>
      <c r="D152">
        <f t="shared" si="6"/>
        <v>0.80468808971871342</v>
      </c>
      <c r="E152">
        <f t="shared" si="7"/>
        <v>0.72611642478171179</v>
      </c>
      <c r="F152">
        <f t="shared" si="8"/>
        <v>0.5842972387709775</v>
      </c>
    </row>
    <row r="153" spans="3:6">
      <c r="C153">
        <v>-0.49</v>
      </c>
      <c r="D153">
        <f t="shared" si="6"/>
        <v>0.80963821156020865</v>
      </c>
      <c r="E153">
        <f t="shared" si="7"/>
        <v>0.79541091397955932</v>
      </c>
      <c r="F153">
        <f t="shared" si="8"/>
        <v>0.64399506984988142</v>
      </c>
    </row>
    <row r="154" spans="3:6">
      <c r="C154">
        <v>-0.48</v>
      </c>
      <c r="D154">
        <f t="shared" si="6"/>
        <v>0.81462310581605735</v>
      </c>
      <c r="E154">
        <f t="shared" si="7"/>
        <v>0.89700552135403133</v>
      </c>
      <c r="F154">
        <f t="shared" si="8"/>
        <v>0.73072142373957272</v>
      </c>
    </row>
    <row r="155" spans="3:6">
      <c r="C155">
        <v>-0.47</v>
      </c>
      <c r="D155">
        <f t="shared" si="6"/>
        <v>0.8196430167470754</v>
      </c>
      <c r="E155">
        <f t="shared" si="7"/>
        <v>1.0148606922635113</v>
      </c>
      <c r="F155">
        <f t="shared" si="8"/>
        <v>0.83182347938488976</v>
      </c>
    </row>
    <row r="156" spans="3:6">
      <c r="C156">
        <v>-0.46</v>
      </c>
      <c r="D156">
        <f t="shared" si="6"/>
        <v>0.82469819032990288</v>
      </c>
      <c r="E156">
        <f t="shared" si="7"/>
        <v>1.130369686621568</v>
      </c>
      <c r="F156">
        <f t="shared" si="8"/>
        <v>0.93221383496058652</v>
      </c>
    </row>
    <row r="157" spans="3:6">
      <c r="C157">
        <v>-0.45</v>
      </c>
      <c r="D157">
        <f t="shared" si="6"/>
        <v>0.82978887426905679</v>
      </c>
      <c r="E157">
        <f t="shared" si="7"/>
        <v>1.2252961740315027</v>
      </c>
      <c r="F157">
        <f t="shared" si="8"/>
        <v>1.0167371328957828</v>
      </c>
    </row>
    <row r="158" spans="3:6">
      <c r="C158">
        <v>-0.44</v>
      </c>
      <c r="D158">
        <f t="shared" si="6"/>
        <v>0.83491531800906871</v>
      </c>
      <c r="E158">
        <f t="shared" si="7"/>
        <v>1.2846533493754371</v>
      </c>
      <c r="F158">
        <f t="shared" si="8"/>
        <v>1.0725767597252083</v>
      </c>
    </row>
    <row r="159" spans="3:6">
      <c r="C159">
        <v>-0.43</v>
      </c>
      <c r="D159">
        <f t="shared" si="6"/>
        <v>0.84007777274670759</v>
      </c>
      <c r="E159">
        <f t="shared" si="7"/>
        <v>1.2990700198124787</v>
      </c>
      <c r="F159">
        <f t="shared" si="8"/>
        <v>1.0913198488860885</v>
      </c>
    </row>
    <row r="160" spans="3:6">
      <c r="C160">
        <v>-0.42</v>
      </c>
      <c r="D160">
        <f t="shared" si="6"/>
        <v>0.84527649144328865</v>
      </c>
      <c r="E160">
        <f t="shared" si="7"/>
        <v>1.2662701100744513</v>
      </c>
      <c r="F160">
        <f t="shared" si="8"/>
        <v>1.0703483558632392</v>
      </c>
    </row>
    <row r="161" spans="3:6">
      <c r="C161">
        <v>-0.41</v>
      </c>
      <c r="D161">
        <f t="shared" si="6"/>
        <v>0.85051172883706794</v>
      </c>
      <c r="E161">
        <f t="shared" si="7"/>
        <v>1.1914320047043843</v>
      </c>
      <c r="F161">
        <f t="shared" si="8"/>
        <v>1.0133268941129394</v>
      </c>
    </row>
    <row r="162" spans="3:6">
      <c r="C162">
        <v>-0.4</v>
      </c>
      <c r="D162">
        <f t="shared" si="6"/>
        <v>0.85578374145572544</v>
      </c>
      <c r="E162">
        <f t="shared" si="7"/>
        <v>1.0863709949995195</v>
      </c>
      <c r="F162">
        <f t="shared" si="8"/>
        <v>0.92969863470966796</v>
      </c>
    </row>
    <row r="163" spans="3:6">
      <c r="C163">
        <v>-0.39</v>
      </c>
      <c r="D163">
        <f t="shared" si="6"/>
        <v>0.86109278762893426</v>
      </c>
      <c r="E163">
        <f t="shared" si="7"/>
        <v>0.96767390431016731</v>
      </c>
      <c r="F163">
        <f t="shared" si="8"/>
        <v>0.83325701977821653</v>
      </c>
    </row>
    <row r="164" spans="3:6">
      <c r="C164">
        <v>-0.38</v>
      </c>
      <c r="D164">
        <f t="shared" si="6"/>
        <v>0.86643912750101915</v>
      </c>
      <c r="E164">
        <f t="shared" si="7"/>
        <v>0.8540803933438601</v>
      </c>
      <c r="F164">
        <f t="shared" si="8"/>
        <v>0.74000867082458144</v>
      </c>
    </row>
    <row r="165" spans="3:6">
      <c r="C165">
        <v>-0.37</v>
      </c>
      <c r="D165">
        <f t="shared" si="6"/>
        <v>0.8718230230437034</v>
      </c>
      <c r="E165">
        <f t="shared" si="7"/>
        <v>0.76352437978740517</v>
      </c>
      <c r="F165">
        <f t="shared" si="8"/>
        <v>0.66565813295382426</v>
      </c>
    </row>
    <row r="166" spans="3:6">
      <c r="C166">
        <v>-0.36</v>
      </c>
      <c r="D166">
        <f t="shared" si="6"/>
        <v>0.87724473806894609</v>
      </c>
      <c r="E166">
        <f t="shared" si="7"/>
        <v>0.71030266703521661</v>
      </c>
      <c r="F166">
        <f t="shared" si="8"/>
        <v>0.62310927709298247</v>
      </c>
    </row>
    <row r="167" spans="3:6">
      <c r="C167">
        <v>-0.35</v>
      </c>
      <c r="D167">
        <f t="shared" si="6"/>
        <v>0.88270453824186812</v>
      </c>
      <c r="E167">
        <f t="shared" si="7"/>
        <v>0.70281779329153893</v>
      </c>
      <c r="F167">
        <f t="shared" si="8"/>
        <v>0.62038045569557654</v>
      </c>
    </row>
    <row r="168" spans="3:6">
      <c r="C168">
        <v>-0.34</v>
      </c>
      <c r="D168">
        <f t="shared" si="6"/>
        <v>0.88820269109377037</v>
      </c>
      <c r="E168">
        <f t="shared" si="7"/>
        <v>0.74225145554305105</v>
      </c>
      <c r="F168">
        <f t="shared" si="8"/>
        <v>0.65926974028160601</v>
      </c>
    </row>
    <row r="169" spans="3:6">
      <c r="C169">
        <v>-0.33</v>
      </c>
      <c r="D169">
        <f t="shared" si="6"/>
        <v>0.89373946603524279</v>
      </c>
      <c r="E169">
        <f t="shared" si="7"/>
        <v>0.82237794558783262</v>
      </c>
      <c r="F169">
        <f t="shared" si="8"/>
        <v>0.7349916259688295</v>
      </c>
    </row>
    <row r="170" spans="3:6">
      <c r="C170">
        <v>-0.32</v>
      </c>
      <c r="D170">
        <f t="shared" si="6"/>
        <v>0.89931513436936517</v>
      </c>
      <c r="E170">
        <f t="shared" si="7"/>
        <v>0.93054705246953828</v>
      </c>
      <c r="F170">
        <f t="shared" si="8"/>
        <v>0.83685504752865947</v>
      </c>
    </row>
    <row r="171" spans="3:6">
      <c r="C171">
        <v>-0.31</v>
      </c>
      <c r="D171">
        <f t="shared" si="6"/>
        <v>0.90492996930500147</v>
      </c>
      <c r="E171">
        <f t="shared" si="7"/>
        <v>1.0496812526344927</v>
      </c>
      <c r="F171">
        <f t="shared" si="8"/>
        <v>0.949888023726567</v>
      </c>
    </row>
    <row r="172" spans="3:6">
      <c r="C172">
        <v>-0.3</v>
      </c>
      <c r="D172">
        <f t="shared" si="6"/>
        <v>0.91058424597018706</v>
      </c>
      <c r="E172">
        <f t="shared" si="7"/>
        <v>1.1609718754001306</v>
      </c>
      <c r="F172">
        <f t="shared" si="8"/>
        <v>1.0571626997538219</v>
      </c>
    </row>
    <row r="173" spans="3:6">
      <c r="C173">
        <v>-0.28999999999999998</v>
      </c>
      <c r="D173">
        <f t="shared" si="6"/>
        <v>0.91627824142560987</v>
      </c>
      <c r="E173">
        <f t="shared" si="7"/>
        <v>1.2468485784906127</v>
      </c>
      <c r="F173">
        <f t="shared" si="8"/>
        <v>1.1424602228234002</v>
      </c>
    </row>
    <row r="174" spans="3:6">
      <c r="C174">
        <v>-0.28000000000000003</v>
      </c>
      <c r="D174">
        <f t="shared" si="6"/>
        <v>0.92201223467818649</v>
      </c>
      <c r="E174">
        <f t="shared" si="7"/>
        <v>1.2937533187453951</v>
      </c>
      <c r="F174">
        <f t="shared" si="8"/>
        <v>1.1928563885387617</v>
      </c>
    </row>
    <row r="175" spans="3:6">
      <c r="C175">
        <v>-0.27</v>
      </c>
      <c r="D175">
        <f t="shared" si="6"/>
        <v>0.92778650669473361</v>
      </c>
      <c r="E175">
        <f t="shared" si="7"/>
        <v>1.2942808690199474</v>
      </c>
      <c r="F175">
        <f t="shared" si="8"/>
        <v>1.200816326149841</v>
      </c>
    </row>
    <row r="176" spans="3:6">
      <c r="C176">
        <v>-0.26</v>
      </c>
      <c r="D176">
        <f t="shared" si="6"/>
        <v>0.93360134041573528</v>
      </c>
      <c r="E176">
        <f t="shared" si="7"/>
        <v>1.2483479407256961</v>
      </c>
      <c r="F176">
        <f t="shared" si="8"/>
        <v>1.1654593107667328</v>
      </c>
    </row>
    <row r="177" spans="3:6">
      <c r="C177">
        <v>-0.25</v>
      </c>
      <c r="D177">
        <f t="shared" si="6"/>
        <v>0.93945702076920734</v>
      </c>
      <c r="E177">
        <f t="shared" si="7"/>
        <v>1.163206333266811</v>
      </c>
      <c r="F177">
        <f t="shared" si="8"/>
        <v>1.092782356390712</v>
      </c>
    </row>
    <row r="178" spans="3:6">
      <c r="C178">
        <v>-0.24</v>
      </c>
      <c r="D178">
        <f t="shared" si="6"/>
        <v>0.94535383468465872</v>
      </c>
      <c r="E178">
        <f t="shared" si="7"/>
        <v>1.052298034366894</v>
      </c>
      <c r="F178">
        <f t="shared" si="8"/>
        <v>0.99479398201987201</v>
      </c>
    </row>
    <row r="179" spans="3:6">
      <c r="C179">
        <v>-0.23</v>
      </c>
      <c r="D179">
        <f t="shared" si="6"/>
        <v>0.95129207110715108</v>
      </c>
      <c r="E179">
        <f t="shared" si="7"/>
        <v>0.93313302576992618</v>
      </c>
      <c r="F179">
        <f t="shared" si="8"/>
        <v>0.8876820487031557</v>
      </c>
    </row>
    <row r="180" spans="3:6">
      <c r="C180">
        <v>-0.22</v>
      </c>
      <c r="D180">
        <f t="shared" si="6"/>
        <v>0.95727202101145747</v>
      </c>
      <c r="E180">
        <f t="shared" si="7"/>
        <v>0.82452484213247146</v>
      </c>
      <c r="F180">
        <f t="shared" si="8"/>
        <v>0.78929456200230386</v>
      </c>
    </row>
    <row r="181" spans="3:6">
      <c r="C181">
        <v>-0.21</v>
      </c>
      <c r="D181">
        <f t="shared" si="6"/>
        <v>0.96329397741631939</v>
      </c>
      <c r="E181">
        <f t="shared" si="7"/>
        <v>0.74362032757351582</v>
      </c>
      <c r="F181">
        <f t="shared" si="8"/>
        <v>0.71632498303591841</v>
      </c>
    </row>
    <row r="182" spans="3:6">
      <c r="C182">
        <v>-0.2</v>
      </c>
      <c r="D182">
        <f t="shared" si="6"/>
        <v>0.96935823539880583</v>
      </c>
      <c r="E182">
        <f t="shared" si="7"/>
        <v>0.70319252601298543</v>
      </c>
      <c r="F182">
        <f t="shared" si="8"/>
        <v>0.6816454661615764</v>
      </c>
    </row>
    <row r="183" spans="3:6">
      <c r="C183">
        <v>-0.19</v>
      </c>
      <c r="D183">
        <f t="shared" si="6"/>
        <v>0.97546509210877108</v>
      </c>
      <c r="E183">
        <f t="shared" si="7"/>
        <v>0.70962409839055418</v>
      </c>
      <c r="F183">
        <f t="shared" si="8"/>
        <v>0.69221353649914552</v>
      </c>
    </row>
    <row r="184" spans="3:6">
      <c r="C184">
        <v>-0.18</v>
      </c>
      <c r="D184">
        <f t="shared" si="6"/>
        <v>0.98161484678341604</v>
      </c>
      <c r="E184">
        <f t="shared" si="7"/>
        <v>0.76189964084525419</v>
      </c>
      <c r="F184">
        <f t="shared" si="8"/>
        <v>0.74789199921265392</v>
      </c>
    </row>
    <row r="185" spans="3:6">
      <c r="C185">
        <v>-0.17</v>
      </c>
      <c r="D185">
        <f t="shared" si="6"/>
        <v>0.98780780076195007</v>
      </c>
      <c r="E185">
        <f t="shared" si="7"/>
        <v>0.85176599465841729</v>
      </c>
      <c r="F185">
        <f t="shared" si="8"/>
        <v>0.84138109394734606</v>
      </c>
    </row>
    <row r="186" spans="3:6">
      <c r="C186">
        <v>-0.16</v>
      </c>
      <c r="D186">
        <f t="shared" si="6"/>
        <v>0.9940442575003573</v>
      </c>
      <c r="E186">
        <f t="shared" si="7"/>
        <v>0.96503523854485196</v>
      </c>
      <c r="F186">
        <f t="shared" si="8"/>
        <v>0.95928773716099758</v>
      </c>
    </row>
    <row r="187" spans="3:6">
      <c r="C187">
        <v>-0.15</v>
      </c>
      <c r="D187">
        <f t="shared" si="6"/>
        <v>1.0003245225862656</v>
      </c>
      <c r="E187">
        <f t="shared" si="7"/>
        <v>1.0838246494596777</v>
      </c>
      <c r="F187">
        <f t="shared" si="8"/>
        <v>1.0841763750379787</v>
      </c>
    </row>
    <row r="188" spans="3:6">
      <c r="C188">
        <v>-0.14000000000000001</v>
      </c>
      <c r="D188">
        <f t="shared" si="6"/>
        <v>1.006648903753921</v>
      </c>
      <c r="E188">
        <f t="shared" si="7"/>
        <v>1.1893799913616963</v>
      </c>
      <c r="F188">
        <f t="shared" si="8"/>
        <v>1.1972880644510995</v>
      </c>
    </row>
    <row r="189" spans="3:6">
      <c r="C189">
        <v>-0.13</v>
      </c>
      <c r="D189">
        <f t="shared" si="6"/>
        <v>1.0130177108992657</v>
      </c>
      <c r="E189">
        <f t="shared" si="7"/>
        <v>1.2650363967160461</v>
      </c>
      <c r="F189">
        <f t="shared" si="8"/>
        <v>1.2815042748055443</v>
      </c>
    </row>
    <row r="190" spans="3:6">
      <c r="C190">
        <v>-0.12</v>
      </c>
      <c r="D190">
        <f t="shared" si="6"/>
        <v>1.0194312560951246</v>
      </c>
      <c r="E190">
        <f t="shared" si="7"/>
        <v>1.2988493826507521</v>
      </c>
      <c r="F190">
        <f t="shared" si="8"/>
        <v>1.3240876576340335</v>
      </c>
    </row>
    <row r="191" spans="3:6">
      <c r="C191">
        <v>-0.11</v>
      </c>
      <c r="D191">
        <f t="shared" si="6"/>
        <v>1.0258898536064953</v>
      </c>
      <c r="E191">
        <f t="shared" si="7"/>
        <v>1.2854806221668547</v>
      </c>
      <c r="F191">
        <f t="shared" si="8"/>
        <v>1.318761527288741</v>
      </c>
    </row>
    <row r="192" spans="3:6">
      <c r="C192">
        <v>-0.1</v>
      </c>
      <c r="D192">
        <f t="shared" si="6"/>
        <v>1.0323938199059484</v>
      </c>
      <c r="E192">
        <f t="shared" si="7"/>
        <v>1.2270407485923784</v>
      </c>
      <c r="F192">
        <f t="shared" si="8"/>
        <v>1.26678928561954</v>
      </c>
    </row>
    <row r="193" spans="3:6">
      <c r="C193">
        <v>-9.0000000000000094E-2</v>
      </c>
      <c r="D193">
        <f t="shared" si="6"/>
        <v>1.0389434736891332</v>
      </c>
      <c r="E193">
        <f t="shared" si="7"/>
        <v>1.1327561329884568</v>
      </c>
      <c r="F193">
        <f t="shared" si="8"/>
        <v>1.176869591649697</v>
      </c>
    </row>
    <row r="194" spans="3:6">
      <c r="C194">
        <v>-8.0000000000000099E-2</v>
      </c>
      <c r="D194">
        <f t="shared" si="6"/>
        <v>1.0455391358903963</v>
      </c>
      <c r="E194">
        <f t="shared" si="7"/>
        <v>1.017512243028275</v>
      </c>
      <c r="F194">
        <f t="shared" si="8"/>
        <v>1.0638488713336816</v>
      </c>
    </row>
    <row r="195" spans="3:6">
      <c r="C195">
        <v>-7.0000000000000104E-2</v>
      </c>
      <c r="D195">
        <f t="shared" ref="D195:D258" si="9">EXP($A$3*C195)+0.1</f>
        <v>1.0521811296985049</v>
      </c>
      <c r="E195">
        <f t="shared" ref="E195:E258" si="10">$A$1*SIN($A$2*C195)+1</f>
        <v>0.89950355495322976</v>
      </c>
      <c r="F195">
        <f t="shared" ref="F195:F258" si="11">D195*E195</f>
        <v>0.94644066661851045</v>
      </c>
    </row>
    <row r="196" spans="3:6">
      <c r="C196">
        <v>-6.0000000000000102E-2</v>
      </c>
      <c r="D196">
        <f t="shared" si="9"/>
        <v>1.0588697805724845</v>
      </c>
      <c r="E196">
        <f t="shared" si="10"/>
        <v>0.79736104583465561</v>
      </c>
      <c r="F196">
        <f t="shared" si="11"/>
        <v>0.84430151563998856</v>
      </c>
    </row>
    <row r="197" spans="3:6">
      <c r="C197">
        <v>-0.05</v>
      </c>
      <c r="D197">
        <f t="shared" si="9"/>
        <v>1.0656054162575666</v>
      </c>
      <c r="E197">
        <f t="shared" si="10"/>
        <v>0.72721077195229555</v>
      </c>
      <c r="F197">
        <f t="shared" si="11"/>
        <v>0.77491973735321218</v>
      </c>
    </row>
    <row r="198" spans="3:6">
      <c r="C198">
        <v>-0.04</v>
      </c>
      <c r="D198">
        <f t="shared" si="9"/>
        <v>1.0723883668012468</v>
      </c>
      <c r="E198">
        <f t="shared" si="10"/>
        <v>0.70012791908754846</v>
      </c>
      <c r="F198">
        <f t="shared" si="11"/>
        <v>0.75080903570225155</v>
      </c>
    </row>
    <row r="199" spans="3:6">
      <c r="C199">
        <v>-0.03</v>
      </c>
      <c r="D199">
        <f t="shared" si="9"/>
        <v>1.0792189645694596</v>
      </c>
      <c r="E199">
        <f t="shared" si="10"/>
        <v>0.7203882742098322</v>
      </c>
      <c r="F199">
        <f t="shared" si="11"/>
        <v>0.77745668738071505</v>
      </c>
    </row>
    <row r="200" spans="3:6">
      <c r="C200">
        <v>-0.02</v>
      </c>
      <c r="D200">
        <f t="shared" si="9"/>
        <v>1.086097544262862</v>
      </c>
      <c r="E200">
        <f t="shared" si="10"/>
        <v>0.78479317273014315</v>
      </c>
      <c r="F200">
        <f t="shared" si="11"/>
        <v>0.8523619376564685</v>
      </c>
    </row>
    <row r="201" spans="3:6">
      <c r="C201">
        <v>-0.01</v>
      </c>
      <c r="D201">
        <f t="shared" si="9"/>
        <v>1.0930244429332352</v>
      </c>
      <c r="E201">
        <f t="shared" si="10"/>
        <v>0.88317449730740483</v>
      </c>
      <c r="F201">
        <f t="shared" si="11"/>
        <v>0.96533131293226615</v>
      </c>
    </row>
    <row r="202" spans="3:6">
      <c r="C202">
        <v>0</v>
      </c>
      <c r="D202">
        <f t="shared" si="9"/>
        <v>1.1000000000000001</v>
      </c>
      <c r="E202">
        <f t="shared" si="10"/>
        <v>1</v>
      </c>
      <c r="F202">
        <f t="shared" si="11"/>
        <v>1.1000000000000001</v>
      </c>
    </row>
    <row r="203" spans="3:6">
      <c r="C203">
        <v>9.9999999999997903E-3</v>
      </c>
      <c r="D203">
        <f t="shared" si="9"/>
        <v>1.1070245572668485</v>
      </c>
      <c r="E203">
        <f t="shared" si="10"/>
        <v>1.1168255026925928</v>
      </c>
      <c r="F203">
        <f t="shared" si="11"/>
        <v>1.2363532576625931</v>
      </c>
    </row>
    <row r="204" spans="3:6">
      <c r="C204">
        <v>0.02</v>
      </c>
      <c r="D204">
        <f t="shared" si="9"/>
        <v>1.1140984589384924</v>
      </c>
      <c r="E204">
        <f t="shared" si="10"/>
        <v>1.2152068272698568</v>
      </c>
      <c r="F204">
        <f t="shared" si="11"/>
        <v>1.3538600535528822</v>
      </c>
    </row>
    <row r="205" spans="3:6">
      <c r="C205">
        <v>2.9999999999999801E-2</v>
      </c>
      <c r="D205">
        <f t="shared" si="9"/>
        <v>1.1212220516375286</v>
      </c>
      <c r="E205">
        <f t="shared" si="10"/>
        <v>1.2796117257901671</v>
      </c>
      <c r="F205">
        <f t="shared" si="11"/>
        <v>1.43472888448989</v>
      </c>
    </row>
    <row r="206" spans="3:6">
      <c r="C206">
        <v>0.04</v>
      </c>
      <c r="D206">
        <f t="shared" si="9"/>
        <v>1.1283956844214251</v>
      </c>
      <c r="E206">
        <f t="shared" si="10"/>
        <v>1.2998720809124515</v>
      </c>
      <c r="F206">
        <f t="shared" si="11"/>
        <v>1.4667700464015079</v>
      </c>
    </row>
    <row r="207" spans="3:6">
      <c r="C207">
        <v>4.9999999999999802E-2</v>
      </c>
      <c r="D207">
        <f t="shared" si="9"/>
        <v>1.1356197087996232</v>
      </c>
      <c r="E207">
        <f t="shared" si="10"/>
        <v>1.2727892280477056</v>
      </c>
      <c r="F207">
        <f t="shared" si="11"/>
        <v>1.4454045325188325</v>
      </c>
    </row>
    <row r="208" spans="3:6">
      <c r="C208">
        <v>6.0000000000000102E-2</v>
      </c>
      <c r="D208">
        <f t="shared" si="9"/>
        <v>1.1428944787507633</v>
      </c>
      <c r="E208">
        <f t="shared" si="10"/>
        <v>1.2026389541653444</v>
      </c>
      <c r="F208">
        <f t="shared" si="11"/>
        <v>1.3744894206461644</v>
      </c>
    </row>
    <row r="209" spans="3:6">
      <c r="C209">
        <v>6.9999999999999798E-2</v>
      </c>
      <c r="D209">
        <f t="shared" si="9"/>
        <v>1.1502203507400282</v>
      </c>
      <c r="E209">
        <f t="shared" si="10"/>
        <v>1.1004964450467738</v>
      </c>
      <c r="F209">
        <f t="shared" si="11"/>
        <v>1.2658134070098543</v>
      </c>
    </row>
    <row r="210" spans="3:6">
      <c r="C210">
        <v>8.0000000000000099E-2</v>
      </c>
      <c r="D210">
        <f t="shared" si="9"/>
        <v>1.1575976837366113</v>
      </c>
      <c r="E210">
        <f t="shared" si="10"/>
        <v>0.98248775697172497</v>
      </c>
      <c r="F210">
        <f t="shared" si="11"/>
        <v>1.1373255517700476</v>
      </c>
    </row>
    <row r="211" spans="3:6">
      <c r="C211">
        <v>8.99999999999999E-2</v>
      </c>
      <c r="D211">
        <f t="shared" si="9"/>
        <v>1.1650268392313055</v>
      </c>
      <c r="E211">
        <f t="shared" si="10"/>
        <v>0.86724386701154532</v>
      </c>
      <c r="F211">
        <f t="shared" si="11"/>
        <v>1.0103623812271953</v>
      </c>
    </row>
    <row r="212" spans="3:6">
      <c r="C212">
        <v>0.1</v>
      </c>
      <c r="D212">
        <f t="shared" si="9"/>
        <v>1.1725081812542166</v>
      </c>
      <c r="E212">
        <f t="shared" si="10"/>
        <v>0.77295925140762156</v>
      </c>
      <c r="F212">
        <f t="shared" si="11"/>
        <v>0.90630104605157114</v>
      </c>
    </row>
    <row r="213" spans="3:6">
      <c r="C213">
        <v>0.11</v>
      </c>
      <c r="D213">
        <f t="shared" si="9"/>
        <v>1.1800420763926005</v>
      </c>
      <c r="E213">
        <f t="shared" si="10"/>
        <v>0.71451937783314523</v>
      </c>
      <c r="F213">
        <f t="shared" si="11"/>
        <v>0.84316293024097377</v>
      </c>
    </row>
    <row r="214" spans="3:6">
      <c r="C214">
        <v>0.12</v>
      </c>
      <c r="D214">
        <f t="shared" si="9"/>
        <v>1.1876288938088262</v>
      </c>
      <c r="E214">
        <f t="shared" si="10"/>
        <v>0.70115061734924788</v>
      </c>
      <c r="F214">
        <f t="shared" si="11"/>
        <v>0.83270673207586288</v>
      </c>
    </row>
    <row r="215" spans="3:6">
      <c r="C215">
        <v>0.13</v>
      </c>
      <c r="D215">
        <f t="shared" si="9"/>
        <v>1.1952690052584656</v>
      </c>
      <c r="E215">
        <f t="shared" si="10"/>
        <v>0.73496360328395405</v>
      </c>
      <c r="F215">
        <f t="shared" si="11"/>
        <v>0.87847921499838932</v>
      </c>
    </row>
    <row r="216" spans="3:6">
      <c r="C216">
        <v>0.14000000000000001</v>
      </c>
      <c r="D216">
        <f t="shared" si="9"/>
        <v>1.2029627851085078</v>
      </c>
      <c r="E216">
        <f t="shared" si="10"/>
        <v>0.81062000863830375</v>
      </c>
      <c r="F216">
        <f t="shared" si="11"/>
        <v>0.97514570325621652</v>
      </c>
    </row>
    <row r="217" spans="3:6">
      <c r="C217">
        <v>0.15</v>
      </c>
      <c r="D217">
        <f t="shared" si="9"/>
        <v>1.2107106103557053</v>
      </c>
      <c r="E217">
        <f t="shared" si="10"/>
        <v>0.91617535054032229</v>
      </c>
      <c r="F217">
        <f t="shared" si="11"/>
        <v>1.1092232178455259</v>
      </c>
    </row>
    <row r="218" spans="3:6">
      <c r="C218">
        <v>0.16</v>
      </c>
      <c r="D218">
        <f t="shared" si="9"/>
        <v>1.2185128606450453</v>
      </c>
      <c r="E218">
        <f t="shared" si="10"/>
        <v>1.034964761455148</v>
      </c>
      <c r="F218">
        <f t="shared" si="11"/>
        <v>1.2611178721475294</v>
      </c>
    </row>
    <row r="219" spans="3:6">
      <c r="C219">
        <v>0.17</v>
      </c>
      <c r="D219">
        <f t="shared" si="9"/>
        <v>1.226369918288353</v>
      </c>
      <c r="E219">
        <f t="shared" si="10"/>
        <v>1.1482340053415827</v>
      </c>
      <c r="F219">
        <f t="shared" si="11"/>
        <v>1.408159643306665</v>
      </c>
    </row>
    <row r="220" spans="3:6">
      <c r="C220">
        <v>0.18</v>
      </c>
      <c r="D220">
        <f t="shared" si="9"/>
        <v>1.2342821682830252</v>
      </c>
      <c r="E220">
        <f t="shared" si="10"/>
        <v>1.2381003591547457</v>
      </c>
      <c r="F220">
        <f t="shared" si="11"/>
        <v>1.5281651958495117</v>
      </c>
    </row>
    <row r="221" spans="3:6">
      <c r="C221">
        <v>0.19</v>
      </c>
      <c r="D221">
        <f t="shared" si="9"/>
        <v>1.2422499983308943</v>
      </c>
      <c r="E221">
        <f t="shared" si="10"/>
        <v>1.2903759016094458</v>
      </c>
      <c r="F221">
        <f t="shared" si="11"/>
        <v>1.6029694616205603</v>
      </c>
    </row>
    <row r="222" spans="3:6">
      <c r="C222">
        <v>0.2</v>
      </c>
      <c r="D222">
        <f t="shared" si="9"/>
        <v>1.2502737988572274</v>
      </c>
      <c r="E222">
        <f t="shared" si="10"/>
        <v>1.2968074739870146</v>
      </c>
      <c r="F222">
        <f t="shared" si="11"/>
        <v>1.6213644068881898</v>
      </c>
    </row>
    <row r="223" spans="3:6">
      <c r="C223">
        <v>0.21</v>
      </c>
      <c r="D223">
        <f t="shared" si="9"/>
        <v>1.2583539630298555</v>
      </c>
      <c r="E223">
        <f t="shared" si="10"/>
        <v>1.2563796724264842</v>
      </c>
      <c r="F223">
        <f t="shared" si="11"/>
        <v>1.5809703398680179</v>
      </c>
    </row>
    <row r="224" spans="3:6">
      <c r="C224">
        <v>0.22</v>
      </c>
      <c r="D224">
        <f t="shared" si="9"/>
        <v>1.2664908867784397</v>
      </c>
      <c r="E224">
        <f t="shared" si="10"/>
        <v>1.1754751578675284</v>
      </c>
      <c r="F224">
        <f t="shared" si="11"/>
        <v>1.4887285750736725</v>
      </c>
    </row>
    <row r="225" spans="3:6">
      <c r="C225">
        <v>0.23</v>
      </c>
      <c r="D225">
        <f t="shared" si="9"/>
        <v>1.2746849688138717</v>
      </c>
      <c r="E225">
        <f t="shared" si="10"/>
        <v>1.0668669742300738</v>
      </c>
      <c r="F225">
        <f t="shared" si="11"/>
        <v>1.3599192957750112</v>
      </c>
    </row>
    <row r="226" spans="3:6">
      <c r="C226">
        <v>0.24</v>
      </c>
      <c r="D226">
        <f t="shared" si="9"/>
        <v>1.2829366106478108</v>
      </c>
      <c r="E226">
        <f t="shared" si="10"/>
        <v>0.94770196563310616</v>
      </c>
      <c r="F226">
        <f t="shared" si="11"/>
        <v>1.2158415476936053</v>
      </c>
    </row>
    <row r="227" spans="3:6">
      <c r="C227">
        <v>0.25</v>
      </c>
      <c r="D227">
        <f t="shared" si="9"/>
        <v>1.2912462166123582</v>
      </c>
      <c r="E227">
        <f t="shared" si="10"/>
        <v>0.83679366673318911</v>
      </c>
      <c r="F227">
        <f t="shared" si="11"/>
        <v>1.080506656254413</v>
      </c>
    </row>
    <row r="228" spans="3:6">
      <c r="C228">
        <v>0.26</v>
      </c>
      <c r="D228">
        <f t="shared" si="9"/>
        <v>1.2996141938798684</v>
      </c>
      <c r="E228">
        <f t="shared" si="10"/>
        <v>0.7516520592743039</v>
      </c>
      <c r="F228">
        <f t="shared" si="11"/>
        <v>0.9768576850919175</v>
      </c>
    </row>
    <row r="229" spans="3:6">
      <c r="C229">
        <v>0.27</v>
      </c>
      <c r="D229">
        <f t="shared" si="9"/>
        <v>1.308040952482902</v>
      </c>
      <c r="E229">
        <f t="shared" si="10"/>
        <v>0.70571913098005257</v>
      </c>
      <c r="F229">
        <f t="shared" si="11"/>
        <v>0.92310952427255377</v>
      </c>
    </row>
    <row r="230" spans="3:6">
      <c r="C230">
        <v>0.28000000000000003</v>
      </c>
      <c r="D230">
        <f t="shared" si="9"/>
        <v>1.3165269053343163</v>
      </c>
      <c r="E230">
        <f t="shared" si="10"/>
        <v>0.70624668125460488</v>
      </c>
      <c r="F230">
        <f t="shared" si="11"/>
        <v>0.92979275767475622</v>
      </c>
    </row>
    <row r="231" spans="3:6">
      <c r="C231">
        <v>0.28999999999999998</v>
      </c>
      <c r="D231">
        <f t="shared" si="9"/>
        <v>1.3250724682474992</v>
      </c>
      <c r="E231">
        <f t="shared" si="10"/>
        <v>0.7531514215093873</v>
      </c>
      <c r="F231">
        <f t="shared" si="11"/>
        <v>0.99798021306355655</v>
      </c>
    </row>
    <row r="232" spans="3:6">
      <c r="C232">
        <v>0.3</v>
      </c>
      <c r="D232">
        <f t="shared" si="9"/>
        <v>1.3336780599567433</v>
      </c>
      <c r="E232">
        <f t="shared" si="10"/>
        <v>0.83902812459986953</v>
      </c>
      <c r="F232">
        <f t="shared" si="11"/>
        <v>1.1189934014654987</v>
      </c>
    </row>
    <row r="233" spans="3:6">
      <c r="C233">
        <v>0.31</v>
      </c>
      <c r="D233">
        <f t="shared" si="9"/>
        <v>1.342344102137764</v>
      </c>
      <c r="E233">
        <f t="shared" si="10"/>
        <v>0.95031874736550714</v>
      </c>
      <c r="F233">
        <f t="shared" si="11"/>
        <v>1.2756547656770363</v>
      </c>
    </row>
    <row r="234" spans="3:6">
      <c r="C234">
        <v>0.32</v>
      </c>
      <c r="D234">
        <f t="shared" si="9"/>
        <v>1.3510710194283624</v>
      </c>
      <c r="E234">
        <f t="shared" si="10"/>
        <v>1.0694529475304617</v>
      </c>
      <c r="F234">
        <f t="shared" si="11"/>
        <v>1.4449068840506478</v>
      </c>
    </row>
    <row r="235" spans="3:6">
      <c r="C235">
        <v>0.33</v>
      </c>
      <c r="D235">
        <f t="shared" si="9"/>
        <v>1.3598592394492315</v>
      </c>
      <c r="E235">
        <f t="shared" si="10"/>
        <v>1.1776220544121674</v>
      </c>
      <c r="F235">
        <f t="shared" si="11"/>
        <v>1.6014002312715714</v>
      </c>
    </row>
    <row r="236" spans="3:6">
      <c r="C236">
        <v>0.34</v>
      </c>
      <c r="D236">
        <f t="shared" si="9"/>
        <v>1.3687091928249109</v>
      </c>
      <c r="E236">
        <f t="shared" si="10"/>
        <v>1.2577485444569489</v>
      </c>
      <c r="F236">
        <f t="shared" si="11"/>
        <v>1.7214919950603771</v>
      </c>
    </row>
    <row r="237" spans="3:6">
      <c r="C237">
        <v>0.35</v>
      </c>
      <c r="D237">
        <f t="shared" si="9"/>
        <v>1.3776213132048867</v>
      </c>
      <c r="E237">
        <f t="shared" si="10"/>
        <v>1.2971822067084611</v>
      </c>
      <c r="F237">
        <f t="shared" si="11"/>
        <v>1.7870258550717228</v>
      </c>
    </row>
    <row r="238" spans="3:6">
      <c r="C238">
        <v>0.36</v>
      </c>
      <c r="D238">
        <f t="shared" si="9"/>
        <v>1.3865960372848407</v>
      </c>
      <c r="E238">
        <f t="shared" si="10"/>
        <v>1.2896973329647834</v>
      </c>
      <c r="F238">
        <f t="shared" si="11"/>
        <v>1.7882892111857964</v>
      </c>
    </row>
    <row r="239" spans="3:6">
      <c r="C239">
        <v>0.37</v>
      </c>
      <c r="D239">
        <f t="shared" si="9"/>
        <v>1.3956338048280486</v>
      </c>
      <c r="E239">
        <f t="shared" si="10"/>
        <v>1.2364756202125948</v>
      </c>
      <c r="F239">
        <f t="shared" si="11"/>
        <v>1.725667174414425</v>
      </c>
    </row>
    <row r="240" spans="3:6">
      <c r="C240">
        <v>0.38</v>
      </c>
      <c r="D240">
        <f t="shared" si="9"/>
        <v>1.4047350586869278</v>
      </c>
      <c r="E240">
        <f t="shared" si="10"/>
        <v>1.1459196066561399</v>
      </c>
      <c r="F240">
        <f t="shared" si="11"/>
        <v>1.609713445906614</v>
      </c>
    </row>
    <row r="241" spans="3:6">
      <c r="C241">
        <v>0.39</v>
      </c>
      <c r="D241">
        <f t="shared" si="9"/>
        <v>1.4139002448247393</v>
      </c>
      <c r="E241">
        <f t="shared" si="10"/>
        <v>1.0323260956898328</v>
      </c>
      <c r="F241">
        <f t="shared" si="11"/>
        <v>1.4596061194348218</v>
      </c>
    </row>
    <row r="242" spans="3:6">
      <c r="C242">
        <v>0.4</v>
      </c>
      <c r="D242">
        <f t="shared" si="9"/>
        <v>1.423129812337437</v>
      </c>
      <c r="E242">
        <f t="shared" si="10"/>
        <v>0.91362900500048039</v>
      </c>
      <c r="F242">
        <f t="shared" si="11"/>
        <v>1.300212674432373</v>
      </c>
    </row>
    <row r="243" spans="3:6">
      <c r="C243">
        <v>0.41</v>
      </c>
      <c r="D243">
        <f t="shared" si="9"/>
        <v>1.4324242134756759</v>
      </c>
      <c r="E243">
        <f t="shared" si="10"/>
        <v>0.80856799529561574</v>
      </c>
      <c r="F243">
        <f t="shared" si="11"/>
        <v>1.1582123747029265</v>
      </c>
    </row>
    <row r="244" spans="3:6">
      <c r="C244">
        <v>0.42</v>
      </c>
      <c r="D244">
        <f t="shared" si="9"/>
        <v>1.4417839036669715</v>
      </c>
      <c r="E244">
        <f t="shared" si="10"/>
        <v>0.73372988992554866</v>
      </c>
      <c r="F244">
        <f t="shared" si="11"/>
        <v>1.0578799449339948</v>
      </c>
    </row>
    <row r="245" spans="3:6">
      <c r="C245">
        <v>0.43</v>
      </c>
      <c r="D245">
        <f t="shared" si="9"/>
        <v>1.4512093415380156</v>
      </c>
      <c r="E245">
        <f t="shared" si="10"/>
        <v>0.70092998018752117</v>
      </c>
      <c r="F245">
        <f t="shared" si="11"/>
        <v>1.017196135012187</v>
      </c>
    </row>
    <row r="246" spans="3:6">
      <c r="C246">
        <v>0.44</v>
      </c>
      <c r="D246">
        <f t="shared" si="9"/>
        <v>1.4607009889371503</v>
      </c>
      <c r="E246">
        <f t="shared" si="10"/>
        <v>0.71534665062456282</v>
      </c>
      <c r="F246">
        <f t="shared" si="11"/>
        <v>1.0449075600001771</v>
      </c>
    </row>
    <row r="247" spans="3:6">
      <c r="C247">
        <v>0.45</v>
      </c>
      <c r="D247">
        <f t="shared" si="9"/>
        <v>1.4702593109569968</v>
      </c>
      <c r="E247">
        <f t="shared" si="10"/>
        <v>0.77470382596849718</v>
      </c>
      <c r="F247">
        <f t="shared" si="11"/>
        <v>1.1390155133641919</v>
      </c>
    </row>
    <row r="248" spans="3:6">
      <c r="C248">
        <v>0.46</v>
      </c>
      <c r="D248">
        <f t="shared" si="9"/>
        <v>1.4798847759572467</v>
      </c>
      <c r="E248">
        <f t="shared" si="10"/>
        <v>0.869630313378432</v>
      </c>
      <c r="F248">
        <f t="shared" si="11"/>
        <v>1.2869526614796711</v>
      </c>
    </row>
    <row r="249" spans="3:6">
      <c r="C249">
        <v>0.47</v>
      </c>
      <c r="D249">
        <f t="shared" si="9"/>
        <v>1.4895778555876107</v>
      </c>
      <c r="E249">
        <f t="shared" si="10"/>
        <v>0.98513930773648872</v>
      </c>
      <c r="F249">
        <f t="shared" si="11"/>
        <v>1.4674416974731821</v>
      </c>
    </row>
    <row r="250" spans="3:6">
      <c r="C250">
        <v>0.48</v>
      </c>
      <c r="D250">
        <f t="shared" si="9"/>
        <v>1.4993390248109304</v>
      </c>
      <c r="E250">
        <f t="shared" si="10"/>
        <v>1.1029944786459687</v>
      </c>
      <c r="F250">
        <f t="shared" si="11"/>
        <v>1.6537626659848872</v>
      </c>
    </row>
    <row r="251" spans="3:6">
      <c r="C251">
        <v>0.49</v>
      </c>
      <c r="D251">
        <f t="shared" si="9"/>
        <v>1.5091687619264509</v>
      </c>
      <c r="E251">
        <f t="shared" si="10"/>
        <v>1.2045890860204407</v>
      </c>
      <c r="F251">
        <f t="shared" si="11"/>
        <v>1.8179282195795836</v>
      </c>
    </row>
    <row r="252" spans="3:6">
      <c r="C252">
        <v>0.5</v>
      </c>
      <c r="D252">
        <f t="shared" si="9"/>
        <v>1.5190675485932572</v>
      </c>
      <c r="E252">
        <f t="shared" si="10"/>
        <v>1.2738835752182882</v>
      </c>
      <c r="F252">
        <f t="shared" si="11"/>
        <v>1.9351151998000593</v>
      </c>
    </row>
    <row r="253" spans="3:6">
      <c r="C253">
        <v>0.51</v>
      </c>
      <c r="D253">
        <f t="shared" si="9"/>
        <v>1.5290358698538771</v>
      </c>
      <c r="E253">
        <f t="shared" si="10"/>
        <v>1.2999378700428008</v>
      </c>
      <c r="F253">
        <f t="shared" si="11"/>
        <v>1.9876516318768902</v>
      </c>
    </row>
    <row r="254" spans="3:6">
      <c r="C254">
        <v>0.52</v>
      </c>
      <c r="D254">
        <f t="shared" si="9"/>
        <v>1.5390742141580465</v>
      </c>
      <c r="E254">
        <f t="shared" si="10"/>
        <v>1.2786385702231722</v>
      </c>
      <c r="F254">
        <f t="shared" si="11"/>
        <v>1.9679196526583969</v>
      </c>
    </row>
    <row r="255" spans="3:6">
      <c r="C255">
        <v>0.53</v>
      </c>
      <c r="D255">
        <f t="shared" si="9"/>
        <v>1.5491830733866447</v>
      </c>
      <c r="E255">
        <f t="shared" si="10"/>
        <v>1.2133483668717939</v>
      </c>
      <c r="F255">
        <f t="shared" si="11"/>
        <v>1.879698752079112</v>
      </c>
    </row>
    <row r="256" spans="3:6">
      <c r="C256">
        <v>0.54</v>
      </c>
      <c r="D256">
        <f t="shared" si="9"/>
        <v>1.5593629428757967</v>
      </c>
      <c r="E256">
        <f t="shared" si="10"/>
        <v>1.114375147496482</v>
      </c>
      <c r="F256">
        <f t="shared" si="11"/>
        <v>1.7377153094677642</v>
      </c>
    </row>
    <row r="257" spans="3:6">
      <c r="C257">
        <v>0.55000000000000004</v>
      </c>
      <c r="D257">
        <f t="shared" si="9"/>
        <v>1.5696143214411444</v>
      </c>
      <c r="E257">
        <f t="shared" si="10"/>
        <v>0.99734460721287888</v>
      </c>
      <c r="F257">
        <f t="shared" si="11"/>
        <v>1.5654463788934276</v>
      </c>
    </row>
    <row r="258" spans="3:6">
      <c r="C258">
        <v>0.56000000000000005</v>
      </c>
      <c r="D258">
        <f t="shared" si="9"/>
        <v>1.5799377114022886</v>
      </c>
      <c r="E258">
        <f t="shared" si="10"/>
        <v>0.88073329506356912</v>
      </c>
      <c r="F258">
        <f t="shared" si="11"/>
        <v>1.3915037465585318</v>
      </c>
    </row>
    <row r="259" spans="3:6">
      <c r="C259">
        <v>0.56999999999999995</v>
      </c>
      <c r="D259">
        <f t="shared" ref="D259:D322" si="12">EXP($A$3*C259)+0.1</f>
        <v>1.5903336186074026</v>
      </c>
      <c r="E259">
        <f t="shared" ref="E259:E322" si="13">$A$1*SIN($A$2*C259)+1</f>
        <v>0.78295157318672726</v>
      </c>
      <c r="F259">
        <f t="shared" ref="F259:F322" si="14">D259*E259</f>
        <v>1.2451542085804066</v>
      </c>
    </row>
    <row r="260" spans="3:6">
      <c r="C260">
        <v>0.57999999999999996</v>
      </c>
      <c r="D260">
        <f t="shared" si="12"/>
        <v>1.6008025524580201</v>
      </c>
      <c r="E260">
        <f t="shared" si="13"/>
        <v>0.71943702544163834</v>
      </c>
      <c r="F260">
        <f t="shared" si="14"/>
        <v>1.1516766266597802</v>
      </c>
    </row>
    <row r="261" spans="3:6">
      <c r="C261">
        <v>0.59</v>
      </c>
      <c r="D261">
        <f t="shared" si="12"/>
        <v>1.6113450259339939</v>
      </c>
      <c r="E261">
        <f t="shared" si="13"/>
        <v>0.70021720235901164</v>
      </c>
      <c r="F261">
        <f t="shared" si="14"/>
        <v>1.1282915060946102</v>
      </c>
    </row>
    <row r="262" spans="3:6">
      <c r="C262">
        <v>0.6</v>
      </c>
      <c r="D262">
        <f t="shared" si="12"/>
        <v>1.6219615556186338</v>
      </c>
      <c r="E262">
        <f t="shared" si="13"/>
        <v>0.72832649139801287</v>
      </c>
      <c r="F262">
        <f t="shared" si="14"/>
        <v>1.1813175689861823</v>
      </c>
    </row>
    <row r="263" spans="3:6">
      <c r="C263">
        <v>0.61</v>
      </c>
      <c r="D263">
        <f t="shared" si="12"/>
        <v>1.6326526617240189</v>
      </c>
      <c r="E263">
        <f t="shared" si="13"/>
        <v>0.79932705388659275</v>
      </c>
      <c r="F263">
        <f t="shared" si="14"/>
        <v>1.3050234421159639</v>
      </c>
    </row>
    <row r="264" spans="3:6">
      <c r="C264">
        <v>0.62</v>
      </c>
      <c r="D264">
        <f t="shared" si="12"/>
        <v>1.6434188681164872</v>
      </c>
      <c r="E264">
        <f t="shared" si="13"/>
        <v>0.90200946216858335</v>
      </c>
      <c r="F264">
        <f t="shared" si="14"/>
        <v>1.4823793693474547</v>
      </c>
    </row>
    <row r="265" spans="3:6">
      <c r="C265">
        <v>0.63</v>
      </c>
      <c r="D265">
        <f t="shared" si="12"/>
        <v>1.6542607023423059</v>
      </c>
      <c r="E265">
        <f t="shared" si="13"/>
        <v>1.0201624217576424</v>
      </c>
      <c r="F265">
        <f t="shared" si="14"/>
        <v>1.6876146043200253</v>
      </c>
    </row>
    <row r="266" spans="3:6">
      <c r="C266">
        <v>0.64</v>
      </c>
      <c r="D266">
        <f t="shared" si="12"/>
        <v>1.6651786956535217</v>
      </c>
      <c r="E266">
        <f t="shared" si="13"/>
        <v>1.1351321782826167</v>
      </c>
      <c r="F266">
        <f t="shared" si="14"/>
        <v>1.8901979200269885</v>
      </c>
    </row>
    <row r="267" spans="3:6">
      <c r="C267">
        <v>0.65</v>
      </c>
      <c r="D267">
        <f t="shared" si="12"/>
        <v>1.6761733830339911</v>
      </c>
      <c r="E267">
        <f t="shared" si="13"/>
        <v>1.2287675351438807</v>
      </c>
      <c r="F267">
        <f t="shared" si="14"/>
        <v>2.0596274363444569</v>
      </c>
    </row>
    <row r="268" spans="3:6">
      <c r="C268">
        <v>0.66</v>
      </c>
      <c r="D268">
        <f t="shared" si="12"/>
        <v>1.6872453032255958</v>
      </c>
      <c r="E268">
        <f t="shared" si="13"/>
        <v>1.2862855283478094</v>
      </c>
      <c r="F268">
        <f t="shared" si="14"/>
        <v>2.1702792163118954</v>
      </c>
    </row>
    <row r="269" spans="3:6">
      <c r="C269">
        <v>0.67</v>
      </c>
      <c r="D269">
        <f t="shared" si="12"/>
        <v>1.6983949987546405</v>
      </c>
      <c r="E269">
        <f t="shared" si="13"/>
        <v>1.2986053314734678</v>
      </c>
      <c r="F269">
        <f t="shared" si="14"/>
        <v>2.2055448003306499</v>
      </c>
    </row>
    <row r="270" spans="3:6">
      <c r="C270">
        <v>0.68</v>
      </c>
      <c r="D270">
        <f t="shared" si="12"/>
        <v>1.7096230159584367</v>
      </c>
      <c r="E270">
        <f t="shared" si="13"/>
        <v>1.2637819184952168</v>
      </c>
      <c r="F270">
        <f t="shared" si="14"/>
        <v>2.1605906550115317</v>
      </c>
    </row>
    <row r="271" spans="3:6">
      <c r="C271">
        <v>0.69</v>
      </c>
      <c r="D271">
        <f t="shared" si="12"/>
        <v>1.7209299050120743</v>
      </c>
      <c r="E271">
        <f t="shared" si="13"/>
        <v>1.1873131406249182</v>
      </c>
      <c r="F271">
        <f t="shared" si="14"/>
        <v>2.0432826903152281</v>
      </c>
    </row>
    <row r="272" spans="3:6">
      <c r="C272">
        <v>0.7</v>
      </c>
      <c r="D272">
        <f t="shared" si="12"/>
        <v>1.732316219955379</v>
      </c>
      <c r="E272">
        <f t="shared" si="13"/>
        <v>1.0812717364923607</v>
      </c>
      <c r="F272">
        <f t="shared" si="14"/>
        <v>1.8731045673050351</v>
      </c>
    </row>
    <row r="273" spans="3:6">
      <c r="C273">
        <v>0.71</v>
      </c>
      <c r="D273">
        <f t="shared" si="12"/>
        <v>1.7437825187200613</v>
      </c>
      <c r="E273">
        <f t="shared" si="13"/>
        <v>0.96239931217107122</v>
      </c>
      <c r="F273">
        <f t="shared" si="14"/>
        <v>1.6782150965921252</v>
      </c>
    </row>
    <row r="274" spans="3:6">
      <c r="C274">
        <v>0.72</v>
      </c>
      <c r="D274">
        <f t="shared" si="12"/>
        <v>1.755329363157055</v>
      </c>
      <c r="E274">
        <f t="shared" si="13"/>
        <v>0.84946320969382871</v>
      </c>
      <c r="F274">
        <f t="shared" si="14"/>
        <v>1.4910877148972161</v>
      </c>
    </row>
    <row r="275" spans="3:6">
      <c r="C275">
        <v>0.73</v>
      </c>
      <c r="D275">
        <f t="shared" si="12"/>
        <v>1.7669573190640477</v>
      </c>
      <c r="E275">
        <f t="shared" si="13"/>
        <v>0.76029355640211593</v>
      </c>
      <c r="F275">
        <f t="shared" si="14"/>
        <v>1.3434062641219531</v>
      </c>
    </row>
    <row r="276" spans="3:6">
      <c r="C276">
        <v>0.74</v>
      </c>
      <c r="D276">
        <f t="shared" si="12"/>
        <v>1.7786669562132054</v>
      </c>
      <c r="E276">
        <f t="shared" si="13"/>
        <v>0.70896827988784439</v>
      </c>
      <c r="F276">
        <f t="shared" si="14"/>
        <v>1.261018452439824</v>
      </c>
    </row>
    <row r="277" spans="3:6">
      <c r="C277">
        <v>0.75</v>
      </c>
      <c r="D277">
        <f t="shared" si="12"/>
        <v>1.7904588483790913</v>
      </c>
      <c r="E277">
        <f t="shared" si="13"/>
        <v>0.70359051277214146</v>
      </c>
      <c r="F277">
        <f t="shared" si="14"/>
        <v>1.2597498592284628</v>
      </c>
    </row>
    <row r="278" spans="3:6">
      <c r="C278">
        <v>0.76</v>
      </c>
      <c r="D278">
        <f t="shared" si="12"/>
        <v>1.8023335733667811</v>
      </c>
      <c r="E278">
        <f t="shared" si="13"/>
        <v>0.74500928623620166</v>
      </c>
      <c r="F278">
        <f t="shared" si="14"/>
        <v>1.3427552490535284</v>
      </c>
    </row>
    <row r="279" spans="3:6">
      <c r="C279">
        <v>0.77</v>
      </c>
      <c r="D279">
        <f t="shared" si="12"/>
        <v>1.814291713040175</v>
      </c>
      <c r="E279">
        <f t="shared" si="13"/>
        <v>0.8266854866662805</v>
      </c>
      <c r="F279">
        <f t="shared" si="14"/>
        <v>1.4998486277492169</v>
      </c>
    </row>
    <row r="280" spans="3:6">
      <c r="C280">
        <v>0.78</v>
      </c>
      <c r="D280">
        <f t="shared" si="12"/>
        <v>1.8263338533505096</v>
      </c>
      <c r="E280">
        <f t="shared" si="13"/>
        <v>0.93572423791123471</v>
      </c>
      <c r="F280">
        <f t="shared" si="14"/>
        <v>1.7089448530978943</v>
      </c>
    </row>
    <row r="281" spans="3:6">
      <c r="C281">
        <v>0.79</v>
      </c>
      <c r="D281">
        <f t="shared" si="12"/>
        <v>1.8384605843650696</v>
      </c>
      <c r="E281">
        <f t="shared" si="13"/>
        <v>1.0549107186941764</v>
      </c>
      <c r="F281">
        <f t="shared" si="14"/>
        <v>1.9394117763434711</v>
      </c>
    </row>
    <row r="282" spans="3:6">
      <c r="C282">
        <v>0.8</v>
      </c>
      <c r="D282">
        <f t="shared" si="12"/>
        <v>1.8506725002961011</v>
      </c>
      <c r="E282">
        <f t="shared" si="13"/>
        <v>1.1654280043725072</v>
      </c>
      <c r="F282">
        <f t="shared" si="14"/>
        <v>2.1568255587671632</v>
      </c>
    </row>
    <row r="283" spans="3:6">
      <c r="C283">
        <v>0.81</v>
      </c>
      <c r="D283">
        <f t="shared" si="12"/>
        <v>1.8629701995299279</v>
      </c>
      <c r="E283">
        <f t="shared" si="13"/>
        <v>1.2498278455923351</v>
      </c>
      <c r="F283">
        <f t="shared" si="14"/>
        <v>2.3283920308812123</v>
      </c>
    </row>
    <row r="284" spans="3:6">
      <c r="C284">
        <v>0.82</v>
      </c>
      <c r="D284">
        <f t="shared" si="12"/>
        <v>1.8753542846562734</v>
      </c>
      <c r="E284">
        <f t="shared" si="13"/>
        <v>1.2947853632092419</v>
      </c>
      <c r="F284">
        <f t="shared" si="14"/>
        <v>2.428181278604681</v>
      </c>
    </row>
    <row r="285" spans="3:6">
      <c r="C285">
        <v>0.83</v>
      </c>
      <c r="D285">
        <f t="shared" si="12"/>
        <v>1.8878253624977863</v>
      </c>
      <c r="E285">
        <f t="shared" si="13"/>
        <v>1.293202753717678</v>
      </c>
      <c r="F285">
        <f t="shared" si="14"/>
        <v>2.4413409573202109</v>
      </c>
    </row>
    <row r="286" spans="3:6">
      <c r="C286">
        <v>0.84</v>
      </c>
      <c r="D286">
        <f t="shared" si="12"/>
        <v>1.9003840441397764</v>
      </c>
      <c r="E286">
        <f t="shared" si="13"/>
        <v>1.2453298763579326</v>
      </c>
      <c r="F286">
        <f t="shared" si="14"/>
        <v>2.3666050267211758</v>
      </c>
    </row>
    <row r="287" spans="3:6">
      <c r="C287">
        <v>0.85</v>
      </c>
      <c r="D287">
        <f t="shared" si="12"/>
        <v>1.9130309449601566</v>
      </c>
      <c r="E287">
        <f t="shared" si="13"/>
        <v>1.1587248058360071</v>
      </c>
      <c r="F287">
        <f t="shared" si="14"/>
        <v>2.2166764102572305</v>
      </c>
    </row>
    <row r="288" spans="3:6">
      <c r="C288">
        <v>0.86</v>
      </c>
      <c r="D288">
        <f t="shared" si="12"/>
        <v>1.9257666846595978</v>
      </c>
      <c r="E288">
        <f t="shared" si="13"/>
        <v>1.0470605785145231</v>
      </c>
      <c r="F288">
        <f t="shared" si="14"/>
        <v>2.0163943789236733</v>
      </c>
    </row>
    <row r="289" spans="3:6">
      <c r="C289">
        <v>0.87</v>
      </c>
      <c r="D289">
        <f t="shared" si="12"/>
        <v>1.9385918872918935</v>
      </c>
      <c r="E289">
        <f t="shared" si="13"/>
        <v>0.92796652061386764</v>
      </c>
      <c r="F289">
        <f t="shared" si="14"/>
        <v>1.7989483685405294</v>
      </c>
    </row>
    <row r="290" spans="3:6">
      <c r="C290">
        <v>0.88</v>
      </c>
      <c r="D290">
        <f t="shared" si="12"/>
        <v>1.9515071812945384</v>
      </c>
      <c r="E290">
        <f t="shared" si="13"/>
        <v>0.82024496523572044</v>
      </c>
      <c r="F290">
        <f t="shared" si="14"/>
        <v>1.6007139400781973</v>
      </c>
    </row>
    <row r="291" spans="3:6">
      <c r="C291">
        <v>0.89</v>
      </c>
      <c r="D291">
        <f t="shared" si="12"/>
        <v>1.9645131995195233</v>
      </c>
      <c r="E291">
        <f t="shared" si="13"/>
        <v>0.74090277739211319</v>
      </c>
      <c r="F291">
        <f t="shared" si="14"/>
        <v>1.4555132857474815</v>
      </c>
    </row>
    <row r="292" spans="3:6">
      <c r="C292">
        <v>0.9</v>
      </c>
      <c r="D292">
        <f t="shared" si="12"/>
        <v>1.9776105792643432</v>
      </c>
      <c r="E292">
        <f t="shared" si="13"/>
        <v>0.70246634396706531</v>
      </c>
      <c r="F292">
        <f t="shared" si="14"/>
        <v>1.3892048734064135</v>
      </c>
    </row>
    <row r="293" spans="3:6">
      <c r="C293">
        <v>0.91</v>
      </c>
      <c r="D293">
        <f t="shared" si="12"/>
        <v>1.9907999623032262</v>
      </c>
      <c r="E293">
        <f t="shared" si="13"/>
        <v>0.71100393265787176</v>
      </c>
      <c r="F293">
        <f t="shared" si="14"/>
        <v>1.4154666023327367</v>
      </c>
    </row>
    <row r="294" spans="3:6">
      <c r="C294">
        <v>0.92</v>
      </c>
      <c r="D294">
        <f t="shared" si="12"/>
        <v>2.0040819949185802</v>
      </c>
      <c r="E294">
        <f t="shared" si="13"/>
        <v>0.76516764593480502</v>
      </c>
      <c r="F294">
        <f t="shared" si="14"/>
        <v>1.533458702312178</v>
      </c>
    </row>
    <row r="295" spans="3:6">
      <c r="C295">
        <v>0.93</v>
      </c>
      <c r="D295">
        <f t="shared" si="12"/>
        <v>2.0174573279326613</v>
      </c>
      <c r="E295">
        <f t="shared" si="13"/>
        <v>0.85640622442347547</v>
      </c>
      <c r="F295">
        <f t="shared" si="14"/>
        <v>1.7277630131502839</v>
      </c>
    </row>
    <row r="296" spans="3:6">
      <c r="C296">
        <v>0.94</v>
      </c>
      <c r="D296">
        <f t="shared" si="12"/>
        <v>2.0309266167394622</v>
      </c>
      <c r="E296">
        <f t="shared" si="13"/>
        <v>0.97031510273491106</v>
      </c>
      <c r="F296">
        <f t="shared" si="14"/>
        <v>1.9706387687686167</v>
      </c>
    </row>
    <row r="297" spans="3:6">
      <c r="C297">
        <v>0.95</v>
      </c>
      <c r="D297">
        <f t="shared" si="12"/>
        <v>2.0444905213368307</v>
      </c>
      <c r="E297">
        <f t="shared" si="13"/>
        <v>1.0889105736128155</v>
      </c>
      <c r="F297">
        <f t="shared" si="14"/>
        <v>2.2262673463348528</v>
      </c>
    </row>
    <row r="298" spans="3:6">
      <c r="C298">
        <v>0.96</v>
      </c>
      <c r="D298">
        <f t="shared" si="12"/>
        <v>2.0581497063588055</v>
      </c>
      <c r="E298">
        <f t="shared" si="13"/>
        <v>1.1934690198834601</v>
      </c>
      <c r="F298">
        <f t="shared" si="14"/>
        <v>2.4563379128214748</v>
      </c>
    </row>
    <row r="299" spans="3:6">
      <c r="C299">
        <v>0.97</v>
      </c>
      <c r="D299">
        <f t="shared" si="12"/>
        <v>2.0719048411081857</v>
      </c>
      <c r="E299">
        <f t="shared" si="13"/>
        <v>1.2674829619124321</v>
      </c>
      <c r="F299">
        <f t="shared" si="14"/>
        <v>2.6261040848085102</v>
      </c>
    </row>
    <row r="300" spans="3:6">
      <c r="C300">
        <v>0.98</v>
      </c>
      <c r="D300">
        <f t="shared" si="12"/>
        <v>2.0857565995893261</v>
      </c>
      <c r="E300">
        <f t="shared" si="13"/>
        <v>1.2992672256723417</v>
      </c>
      <c r="F300">
        <f t="shared" si="14"/>
        <v>2.7099551905762009</v>
      </c>
    </row>
    <row r="301" spans="3:6">
      <c r="C301">
        <v>0.99</v>
      </c>
      <c r="D301">
        <f t="shared" si="12"/>
        <v>2.0997056605411637</v>
      </c>
      <c r="E301">
        <f t="shared" si="13"/>
        <v>1.2838037747880724</v>
      </c>
      <c r="F301">
        <f t="shared" si="14"/>
        <v>2.6956100529466287</v>
      </c>
    </row>
    <row r="302" spans="3:6">
      <c r="C302">
        <v>1</v>
      </c>
      <c r="D302">
        <f t="shared" si="12"/>
        <v>2.1137527074704767</v>
      </c>
      <c r="E302">
        <f t="shared" si="13"/>
        <v>1.2235339481438046</v>
      </c>
      <c r="F302">
        <f t="shared" si="14"/>
        <v>2.5862481955710086</v>
      </c>
    </row>
    <row r="303" spans="3:6">
      <c r="C303">
        <v>1.01</v>
      </c>
      <c r="D303">
        <f t="shared" si="12"/>
        <v>2.1278984286853744</v>
      </c>
      <c r="E303">
        <f t="shared" si="13"/>
        <v>1.127973026153372</v>
      </c>
      <c r="F303">
        <f t="shared" si="14"/>
        <v>2.4002120299512471</v>
      </c>
    </row>
    <row r="304" spans="3:6">
      <c r="C304">
        <v>1.02</v>
      </c>
      <c r="D304">
        <f t="shared" si="12"/>
        <v>2.1421435173290266</v>
      </c>
      <c r="E304">
        <f t="shared" si="13"/>
        <v>1.0122079772049595</v>
      </c>
      <c r="F304">
        <f t="shared" si="14"/>
        <v>2.168294756558331</v>
      </c>
    </row>
    <row r="305" spans="3:6">
      <c r="C305">
        <v>1.03</v>
      </c>
      <c r="D305">
        <f t="shared" si="12"/>
        <v>2.1564886714136282</v>
      </c>
      <c r="E305">
        <f t="shared" si="13"/>
        <v>0.89451555708495512</v>
      </c>
      <c r="F305">
        <f t="shared" si="14"/>
        <v>1.9290126652569564</v>
      </c>
    </row>
    <row r="306" spans="3:6">
      <c r="C306">
        <v>1.04</v>
      </c>
      <c r="D306">
        <f t="shared" si="12"/>
        <v>2.1709345938545983</v>
      </c>
      <c r="E306">
        <f t="shared" si="13"/>
        <v>0.79347681110869894</v>
      </c>
      <c r="F306">
        <f t="shared" si="14"/>
        <v>1.7225862586573051</v>
      </c>
    </row>
    <row r="307" spans="3:6">
      <c r="C307">
        <v>1.05</v>
      </c>
      <c r="D307">
        <f t="shared" si="12"/>
        <v>2.1854819925050277</v>
      </c>
      <c r="E307">
        <f t="shared" si="13"/>
        <v>0.72504353562530988</v>
      </c>
      <c r="F307">
        <f t="shared" si="14"/>
        <v>1.5845695908912922</v>
      </c>
    </row>
    <row r="308" spans="3:6">
      <c r="C308">
        <v>1.06</v>
      </c>
      <c r="D308">
        <f t="shared" si="12"/>
        <v>2.2001315801903609</v>
      </c>
      <c r="E308">
        <f t="shared" si="13"/>
        <v>0.70001984012235896</v>
      </c>
      <c r="F308">
        <f t="shared" si="14"/>
        <v>1.5401357570130094</v>
      </c>
    </row>
    <row r="309" spans="3:6">
      <c r="C309">
        <v>1.07</v>
      </c>
      <c r="D309">
        <f t="shared" si="12"/>
        <v>2.2148840747433254</v>
      </c>
      <c r="E309">
        <f t="shared" si="13"/>
        <v>0.72235641589860156</v>
      </c>
      <c r="F309">
        <f t="shared" si="14"/>
        <v>1.5999357218624788</v>
      </c>
    </row>
    <row r="310" spans="3:6">
      <c r="C310">
        <v>1.08</v>
      </c>
      <c r="D310">
        <f t="shared" si="12"/>
        <v>2.2297401990391057</v>
      </c>
      <c r="E310">
        <f t="shared" si="13"/>
        <v>0.78852680877572556</v>
      </c>
      <c r="F310">
        <f t="shared" si="14"/>
        <v>1.7582099235472572</v>
      </c>
    </row>
    <row r="311" spans="3:6">
      <c r="C311">
        <v>1.0900000000000001</v>
      </c>
      <c r="D311">
        <f t="shared" si="12"/>
        <v>2.2447006810307655</v>
      </c>
      <c r="E311">
        <f t="shared" si="13"/>
        <v>0.88808416867341333</v>
      </c>
      <c r="F311">
        <f t="shared" si="14"/>
        <v>1.993483138233852</v>
      </c>
    </row>
    <row r="312" spans="3:6">
      <c r="C312">
        <v>1.1000000000000001</v>
      </c>
      <c r="D312">
        <f t="shared" si="12"/>
        <v>2.2597662537849152</v>
      </c>
      <c r="E312">
        <f t="shared" si="13"/>
        <v>1.005310577531624</v>
      </c>
      <c r="F312">
        <f t="shared" si="14"/>
        <v>2.2717669176789874</v>
      </c>
    </row>
    <row r="313" spans="3:6">
      <c r="C313">
        <v>1.1100000000000001</v>
      </c>
      <c r="D313">
        <f t="shared" si="12"/>
        <v>2.2749376555176344</v>
      </c>
      <c r="E313">
        <f t="shared" si="13"/>
        <v>1.1216985629666028</v>
      </c>
      <c r="F313">
        <f t="shared" si="14"/>
        <v>2.5517942990327427</v>
      </c>
    </row>
    <row r="314" spans="3:6">
      <c r="C314">
        <v>1.1200000000000001</v>
      </c>
      <c r="D314">
        <f t="shared" si="12"/>
        <v>2.2902156296306431</v>
      </c>
      <c r="E314">
        <f t="shared" si="13"/>
        <v>1.2188730212178576</v>
      </c>
      <c r="F314">
        <f t="shared" si="14"/>
        <v>2.7914820437282599</v>
      </c>
    </row>
    <row r="315" spans="3:6">
      <c r="C315">
        <v>1.1299999999999999</v>
      </c>
      <c r="D315">
        <f t="shared" si="12"/>
        <v>2.30560092474773</v>
      </c>
      <c r="E315">
        <f t="shared" si="13"/>
        <v>1.2814922420000656</v>
      </c>
      <c r="F315">
        <f t="shared" si="14"/>
        <v>2.9546096982123933</v>
      </c>
    </row>
    <row r="316" spans="3:6">
      <c r="C316">
        <v>1.1399999999999999</v>
      </c>
      <c r="D316">
        <f t="shared" si="12"/>
        <v>2.3210942947514348</v>
      </c>
      <c r="E316">
        <f t="shared" si="13"/>
        <v>1.2996700272235064</v>
      </c>
      <c r="F316">
        <f t="shared" si="14"/>
        <v>3.0166566852479226</v>
      </c>
    </row>
    <row r="317" spans="3:6">
      <c r="C317">
        <v>1.1499999999999999</v>
      </c>
      <c r="D317">
        <f t="shared" si="12"/>
        <v>2.336696498819987</v>
      </c>
      <c r="E317">
        <f t="shared" si="13"/>
        <v>1.2705365042946428</v>
      </c>
      <c r="F317">
        <f t="shared" si="14"/>
        <v>2.9688582012082771</v>
      </c>
    </row>
    <row r="318" spans="3:6">
      <c r="C318">
        <v>1.1599999999999999</v>
      </c>
      <c r="D318">
        <f t="shared" si="12"/>
        <v>2.3524083014645076</v>
      </c>
      <c r="E318">
        <f t="shared" si="13"/>
        <v>1.1986912158958729</v>
      </c>
      <c r="F318">
        <f t="shared" si="14"/>
        <v>2.8198111671660357</v>
      </c>
    </row>
    <row r="319" spans="3:6">
      <c r="C319">
        <v>1.17</v>
      </c>
      <c r="D319">
        <f t="shared" si="12"/>
        <v>2.36823047256647</v>
      </c>
      <c r="E319">
        <f t="shared" si="13"/>
        <v>1.0954769533307465</v>
      </c>
      <c r="F319">
        <f t="shared" si="14"/>
        <v>2.5943419028721504</v>
      </c>
    </row>
    <row r="320" spans="3:6">
      <c r="C320">
        <v>1.18</v>
      </c>
      <c r="D320">
        <f t="shared" si="12"/>
        <v>2.384163787415424</v>
      </c>
      <c r="E320">
        <f t="shared" si="13"/>
        <v>0.97718897918249603</v>
      </c>
      <c r="F320">
        <f t="shared" si="14"/>
        <v>2.3297785776283515</v>
      </c>
    </row>
    <row r="321" spans="3:6">
      <c r="C321">
        <v>1.19</v>
      </c>
      <c r="D321">
        <f t="shared" si="12"/>
        <v>2.4002090267469858</v>
      </c>
      <c r="E321">
        <f t="shared" si="13"/>
        <v>0.86250236365247213</v>
      </c>
      <c r="F321">
        <f t="shared" si="14"/>
        <v>2.070185958829275</v>
      </c>
    </row>
    <row r="322" spans="3:6">
      <c r="C322">
        <v>1.2</v>
      </c>
      <c r="D322">
        <f t="shared" si="12"/>
        <v>2.4163669767810916</v>
      </c>
      <c r="E322">
        <f t="shared" si="13"/>
        <v>0.7695236016028999</v>
      </c>
      <c r="F322">
        <f t="shared" si="14"/>
        <v>1.8594514187668965</v>
      </c>
    </row>
    <row r="323" spans="3:6">
      <c r="C323">
        <v>1.21</v>
      </c>
      <c r="D323">
        <f t="shared" ref="D323:D386" si="15">EXP($A$3*C323)+0.1</f>
        <v>2.4326384292605274</v>
      </c>
      <c r="E323">
        <f t="shared" ref="E323:E386" si="16">$A$1*SIN($A$2*C323)+1</f>
        <v>0.71293199514385375</v>
      </c>
      <c r="F323">
        <f t="shared" ref="F323:F386" si="17">D323*E323</f>
        <v>1.7343057688363184</v>
      </c>
    </row>
    <row r="324" spans="3:6">
      <c r="C324">
        <v>1.22</v>
      </c>
      <c r="D324">
        <f t="shared" si="15"/>
        <v>2.4490241814897198</v>
      </c>
      <c r="E324">
        <f t="shared" si="16"/>
        <v>0.70166211459864536</v>
      </c>
      <c r="F324">
        <f t="shared" si="17"/>
        <v>1.7183874858872934</v>
      </c>
    </row>
    <row r="325" spans="3:6">
      <c r="C325">
        <v>1.23</v>
      </c>
      <c r="D325">
        <f t="shared" si="15"/>
        <v>2.4655250363738062</v>
      </c>
      <c r="E325">
        <f t="shared" si="16"/>
        <v>0.73749322630316594</v>
      </c>
      <c r="F325">
        <f t="shared" si="17"/>
        <v>1.8183080136065488</v>
      </c>
    </row>
    <row r="326" spans="3:6">
      <c r="C326">
        <v>1.24</v>
      </c>
      <c r="D326">
        <f t="shared" si="15"/>
        <v>2.4821418024579782</v>
      </c>
      <c r="E326">
        <f t="shared" si="16"/>
        <v>0.81476838557396147</v>
      </c>
      <c r="F326">
        <f t="shared" si="17"/>
        <v>2.0223706691543297</v>
      </c>
    </row>
    <row r="327" spans="3:6">
      <c r="C327">
        <v>1.25</v>
      </c>
      <c r="D327">
        <f t="shared" si="15"/>
        <v>2.4988752939670982</v>
      </c>
      <c r="E327">
        <f t="shared" si="16"/>
        <v>0.92128754388882139</v>
      </c>
      <c r="F327">
        <f t="shared" si="17"/>
        <v>2.3021826820634046</v>
      </c>
    </row>
    <row r="328" spans="3:6">
      <c r="C328">
        <v>1.26</v>
      </c>
      <c r="D328">
        <f t="shared" si="15"/>
        <v>2.5157263308455979</v>
      </c>
      <c r="E328">
        <f t="shared" si="16"/>
        <v>1.0402336682936972</v>
      </c>
      <c r="F328">
        <f t="shared" si="17"/>
        <v>2.6169432295585597</v>
      </c>
    </row>
    <row r="329" spans="3:6">
      <c r="C329">
        <v>1.27</v>
      </c>
      <c r="D329">
        <f t="shared" si="15"/>
        <v>2.5326957387976567</v>
      </c>
      <c r="E329">
        <f t="shared" si="16"/>
        <v>1.1528277811331287</v>
      </c>
      <c r="F329">
        <f t="shared" si="17"/>
        <v>2.9197620088434326</v>
      </c>
    </row>
    <row r="330" spans="3:6">
      <c r="C330">
        <v>1.28</v>
      </c>
      <c r="D330">
        <f t="shared" si="15"/>
        <v>2.5497843493276591</v>
      </c>
      <c r="E330">
        <f t="shared" si="16"/>
        <v>1.2412937477097743</v>
      </c>
      <c r="F330">
        <f t="shared" si="17"/>
        <v>3.1650313708286584</v>
      </c>
    </row>
    <row r="331" spans="3:6">
      <c r="C331">
        <v>1.29</v>
      </c>
      <c r="D331">
        <f t="shared" si="15"/>
        <v>2.5669929997809406</v>
      </c>
      <c r="E331">
        <f t="shared" si="16"/>
        <v>1.2916647370913616</v>
      </c>
      <c r="F331">
        <f t="shared" si="17"/>
        <v>3.3156943381774147</v>
      </c>
    </row>
    <row r="332" spans="3:6">
      <c r="C332">
        <v>1.3</v>
      </c>
      <c r="D332">
        <f t="shared" si="15"/>
        <v>2.5843225333848165</v>
      </c>
      <c r="E332">
        <f t="shared" si="16"/>
        <v>1.2959882776121456</v>
      </c>
      <c r="F332">
        <f t="shared" si="17"/>
        <v>3.349251708835645</v>
      </c>
    </row>
    <row r="333" spans="3:6">
      <c r="C333">
        <v>1.31</v>
      </c>
      <c r="D333">
        <f t="shared" si="15"/>
        <v>2.6017737992899006</v>
      </c>
      <c r="E333">
        <f t="shared" si="16"/>
        <v>1.2535817772899269</v>
      </c>
      <c r="F333">
        <f t="shared" si="17"/>
        <v>3.2615362234201992</v>
      </c>
    </row>
    <row r="334" spans="3:6">
      <c r="C334">
        <v>1.32</v>
      </c>
      <c r="D334">
        <f t="shared" si="15"/>
        <v>2.6193476526117134</v>
      </c>
      <c r="E334">
        <f t="shared" si="16"/>
        <v>1.1711402900912118</v>
      </c>
      <c r="F334">
        <f t="shared" si="17"/>
        <v>3.0676235697294167</v>
      </c>
    </row>
    <row r="335" spans="3:6">
      <c r="C335">
        <v>1.33</v>
      </c>
      <c r="D335">
        <f t="shared" si="15"/>
        <v>2.6370449544725849</v>
      </c>
      <c r="E335">
        <f t="shared" si="16"/>
        <v>1.0616795141207804</v>
      </c>
      <c r="F335">
        <f t="shared" si="17"/>
        <v>2.7996966059791095</v>
      </c>
    </row>
    <row r="336" spans="3:6">
      <c r="C336">
        <v>1.34</v>
      </c>
      <c r="D336">
        <f t="shared" si="15"/>
        <v>2.6548665720438471</v>
      </c>
      <c r="E336">
        <f t="shared" si="16"/>
        <v>0.94248089908019028</v>
      </c>
      <c r="F336">
        <f t="shared" si="17"/>
        <v>2.5021610337578277</v>
      </c>
    </row>
    <row r="337" spans="3:6">
      <c r="C337">
        <v>1.35</v>
      </c>
      <c r="D337">
        <f t="shared" si="15"/>
        <v>2.6728133785883261</v>
      </c>
      <c r="E337">
        <f t="shared" si="16"/>
        <v>0.83236328534451509</v>
      </c>
      <c r="F337">
        <f t="shared" si="17"/>
        <v>2.2247517249145523</v>
      </c>
    </row>
    <row r="338" spans="3:6">
      <c r="C338">
        <v>1.36</v>
      </c>
      <c r="D338">
        <f t="shared" si="15"/>
        <v>2.6908862535031339</v>
      </c>
      <c r="E338">
        <f t="shared" si="16"/>
        <v>0.74871182285589055</v>
      </c>
      <c r="F338">
        <f t="shared" si="17"/>
        <v>2.0146983519581894</v>
      </c>
    </row>
    <row r="339" spans="3:6">
      <c r="C339">
        <v>1.37</v>
      </c>
      <c r="D339">
        <f t="shared" si="15"/>
        <v>2.7090860823627572</v>
      </c>
      <c r="E339">
        <f t="shared" si="16"/>
        <v>0.70473323821243339</v>
      </c>
      <c r="F339">
        <f t="shared" si="17"/>
        <v>1.9091830074197409</v>
      </c>
    </row>
    <row r="340" spans="3:6">
      <c r="C340">
        <v>1.38</v>
      </c>
      <c r="D340">
        <f t="shared" si="15"/>
        <v>2.7274137569624517</v>
      </c>
      <c r="E340">
        <f t="shared" si="16"/>
        <v>0.70737078292797029</v>
      </c>
      <c r="F340">
        <f t="shared" si="17"/>
        <v>1.9292928046310462</v>
      </c>
    </row>
    <row r="341" spans="3:6">
      <c r="C341">
        <v>1.39</v>
      </c>
      <c r="D341">
        <f t="shared" si="15"/>
        <v>2.7458701753619401</v>
      </c>
      <c r="E341">
        <f t="shared" si="16"/>
        <v>0.7562080466862664</v>
      </c>
      <c r="F341">
        <f t="shared" si="17"/>
        <v>2.0764491217645284</v>
      </c>
    </row>
    <row r="342" spans="3:6">
      <c r="C342">
        <v>1.4</v>
      </c>
      <c r="D342">
        <f t="shared" si="15"/>
        <v>2.764456241929417</v>
      </c>
      <c r="E342">
        <f t="shared" si="16"/>
        <v>0.84353469937392644</v>
      </c>
      <c r="F342">
        <f t="shared" si="17"/>
        <v>2.3319147649683054</v>
      </c>
    </row>
    <row r="343" spans="3:6">
      <c r="C343">
        <v>1.41</v>
      </c>
      <c r="D343">
        <f t="shared" si="15"/>
        <v>2.7831728673858622</v>
      </c>
      <c r="E343">
        <f t="shared" si="16"/>
        <v>0.95556378267050912</v>
      </c>
      <c r="F343">
        <f t="shared" si="17"/>
        <v>2.6594991929851619</v>
      </c>
    </row>
    <row r="344" spans="3:6">
      <c r="C344">
        <v>1.42</v>
      </c>
      <c r="D344">
        <f t="shared" si="15"/>
        <v>2.8020209688496682</v>
      </c>
      <c r="E344">
        <f t="shared" si="16"/>
        <v>1.0746083676196152</v>
      </c>
      <c r="F344">
        <f t="shared" si="17"/>
        <v>3.0110751793714745</v>
      </c>
    </row>
    <row r="345" spans="3:6">
      <c r="C345">
        <v>1.43</v>
      </c>
      <c r="D345">
        <f t="shared" si="15"/>
        <v>2.8210014698815784</v>
      </c>
      <c r="E345">
        <f t="shared" si="16"/>
        <v>1.181873931810802</v>
      </c>
      <c r="F345">
        <f t="shared" si="17"/>
        <v>3.3340680988529927</v>
      </c>
    </row>
    <row r="346" spans="3:6">
      <c r="C346">
        <v>1.44</v>
      </c>
      <c r="D346">
        <f t="shared" si="15"/>
        <v>2.8401153005299413</v>
      </c>
      <c r="E346">
        <f t="shared" si="16"/>
        <v>1.2604256012141253</v>
      </c>
      <c r="F346">
        <f t="shared" si="17"/>
        <v>3.5797540351878876</v>
      </c>
    </row>
    <row r="347" spans="3:6">
      <c r="C347">
        <v>1.45</v>
      </c>
      <c r="D347">
        <f t="shared" si="15"/>
        <v>2.8593633973762813</v>
      </c>
      <c r="E347">
        <f t="shared" si="16"/>
        <v>1.2978617944253612</v>
      </c>
      <c r="F347">
        <f t="shared" si="17"/>
        <v>3.7110585098329776</v>
      </c>
    </row>
    <row r="348" spans="3:6">
      <c r="C348">
        <v>1.46</v>
      </c>
      <c r="D348">
        <f t="shared" si="15"/>
        <v>2.8787467035811973</v>
      </c>
      <c r="E348">
        <f t="shared" si="16"/>
        <v>1.2882721596836861</v>
      </c>
      <c r="F348">
        <f t="shared" si="17"/>
        <v>3.7086092330048412</v>
      </c>
    </row>
    <row r="349" spans="3:6">
      <c r="C349">
        <v>1.47</v>
      </c>
      <c r="D349">
        <f t="shared" si="15"/>
        <v>2.8982661689305695</v>
      </c>
      <c r="E349">
        <f t="shared" si="16"/>
        <v>1.233170689457868</v>
      </c>
      <c r="F349">
        <f t="shared" si="17"/>
        <v>3.5740568897725242</v>
      </c>
    </row>
    <row r="350" spans="3:6">
      <c r="C350">
        <v>1.48</v>
      </c>
      <c r="D350">
        <f t="shared" si="15"/>
        <v>2.9179227498821074</v>
      </c>
      <c r="E350">
        <f t="shared" si="16"/>
        <v>1.1412566943251159</v>
      </c>
      <c r="F350">
        <f t="shared" si="17"/>
        <v>3.3300988718265057</v>
      </c>
    </row>
    <row r="351" spans="3:6">
      <c r="C351">
        <v>1.49</v>
      </c>
      <c r="D351">
        <f t="shared" si="15"/>
        <v>2.9377174096122096</v>
      </c>
      <c r="E351">
        <f t="shared" si="16"/>
        <v>1.0270413731114396</v>
      </c>
      <c r="F351">
        <f t="shared" si="17"/>
        <v>3.0171573221815051</v>
      </c>
    </row>
    <row r="352" spans="3:6">
      <c r="C352">
        <v>1.5</v>
      </c>
      <c r="D352">
        <f t="shared" si="15"/>
        <v>2.9576511180631635</v>
      </c>
      <c r="E352">
        <f t="shared" si="16"/>
        <v>0.90855681366933494</v>
      </c>
      <c r="F352">
        <f t="shared" si="17"/>
        <v>2.6871940757730139</v>
      </c>
    </row>
    <row r="353" spans="3:6">
      <c r="C353">
        <v>1.51</v>
      </c>
      <c r="D353">
        <f t="shared" si="15"/>
        <v>2.9777248519906721</v>
      </c>
      <c r="E353">
        <f t="shared" si="16"/>
        <v>0.80450912269553354</v>
      </c>
      <c r="F353">
        <f t="shared" si="17"/>
        <v>2.395606808303703</v>
      </c>
    </row>
    <row r="354" spans="3:6">
      <c r="C354">
        <v>1.52</v>
      </c>
      <c r="D354">
        <f t="shared" si="15"/>
        <v>2.9979395950117138</v>
      </c>
      <c r="E354">
        <f t="shared" si="16"/>
        <v>0.73132514279356897</v>
      </c>
      <c r="F354">
        <f t="shared" si="17"/>
        <v>2.1924686024084359</v>
      </c>
    </row>
    <row r="355" spans="3:6">
      <c r="C355">
        <v>1.53</v>
      </c>
      <c r="D355">
        <f t="shared" si="15"/>
        <v>3.0182963376527416</v>
      </c>
      <c r="E355">
        <f t="shared" si="16"/>
        <v>0.70055901522018882</v>
      </c>
      <c r="F355">
        <f t="shared" si="17"/>
        <v>2.114494709948707</v>
      </c>
    </row>
    <row r="356" spans="3:6">
      <c r="C356">
        <v>1.54</v>
      </c>
      <c r="D356">
        <f t="shared" si="15"/>
        <v>3.0387960773982177</v>
      </c>
      <c r="E356">
        <f t="shared" si="16"/>
        <v>0.71706803503344041</v>
      </c>
      <c r="F356">
        <f t="shared" si="17"/>
        <v>2.1790235320872666</v>
      </c>
    </row>
    <row r="357" spans="3:6">
      <c r="C357">
        <v>1.55</v>
      </c>
      <c r="D357">
        <f t="shared" si="15"/>
        <v>3.0594398187394916</v>
      </c>
      <c r="E357">
        <f t="shared" si="16"/>
        <v>0.77824579100523317</v>
      </c>
      <c r="F357">
        <f t="shared" si="17"/>
        <v>2.3809961617678228</v>
      </c>
    </row>
    <row r="358" spans="3:6">
      <c r="C358">
        <v>1.56</v>
      </c>
      <c r="D358">
        <f t="shared" si="15"/>
        <v>3.0802285732240184</v>
      </c>
      <c r="E358">
        <f t="shared" si="16"/>
        <v>0.87443366064447425</v>
      </c>
      <c r="F358">
        <f t="shared" si="17"/>
        <v>2.6934555469059847</v>
      </c>
    </row>
    <row r="359" spans="3:6">
      <c r="C359">
        <v>1.57</v>
      </c>
      <c r="D359">
        <f t="shared" si="15"/>
        <v>3.1011633595049295</v>
      </c>
      <c r="E359">
        <f t="shared" si="16"/>
        <v>0.99044569431455709</v>
      </c>
      <c r="F359">
        <f t="shared" si="17"/>
        <v>3.0715338967877241</v>
      </c>
    </row>
    <row r="360" spans="3:6">
      <c r="C360">
        <v>1.58</v>
      </c>
      <c r="D360">
        <f t="shared" si="15"/>
        <v>3.1222452033909391</v>
      </c>
      <c r="E360">
        <f t="shared" si="16"/>
        <v>1.1079661427722427</v>
      </c>
      <c r="F360">
        <f t="shared" si="17"/>
        <v>3.459341974790195</v>
      </c>
    </row>
    <row r="361" spans="3:6">
      <c r="C361">
        <v>1.59</v>
      </c>
      <c r="D361">
        <f t="shared" si="15"/>
        <v>3.1434751378966177</v>
      </c>
      <c r="E361">
        <f t="shared" si="16"/>
        <v>1.2084411112463618</v>
      </c>
      <c r="F361">
        <f t="shared" si="17"/>
        <v>3.7987045888150992</v>
      </c>
    </row>
    <row r="362" spans="3:6">
      <c r="C362">
        <v>1.6</v>
      </c>
      <c r="D362">
        <f t="shared" si="15"/>
        <v>3.1648542032930016</v>
      </c>
      <c r="E362">
        <f t="shared" si="16"/>
        <v>1.2760078114590372</v>
      </c>
      <c r="F362">
        <f t="shared" si="17"/>
        <v>4.0383786855308381</v>
      </c>
    </row>
    <row r="363" spans="3:6">
      <c r="C363">
        <v>1.61</v>
      </c>
      <c r="D363">
        <f t="shared" si="15"/>
        <v>3.1863834471585752</v>
      </c>
      <c r="E363">
        <f t="shared" si="16"/>
        <v>1.2999989471036819</v>
      </c>
      <c r="F363">
        <f t="shared" si="17"/>
        <v>4.1422951263747487</v>
      </c>
    </row>
    <row r="364" spans="3:6">
      <c r="C364">
        <v>1.62</v>
      </c>
      <c r="D364">
        <f t="shared" si="15"/>
        <v>3.208063924430594</v>
      </c>
      <c r="E364">
        <f t="shared" si="16"/>
        <v>1.276626845379234</v>
      </c>
      <c r="F364">
        <f t="shared" si="17"/>
        <v>4.0955005276207546</v>
      </c>
    </row>
    <row r="365" spans="3:6">
      <c r="C365">
        <v>1.63</v>
      </c>
      <c r="D365">
        <f t="shared" si="15"/>
        <v>3.2298966974567822</v>
      </c>
      <c r="E365">
        <f t="shared" si="16"/>
        <v>1.2095814472420823</v>
      </c>
      <c r="F365">
        <f t="shared" si="17"/>
        <v>3.9068231217521965</v>
      </c>
    </row>
    <row r="366" spans="3:6">
      <c r="C366">
        <v>1.64</v>
      </c>
      <c r="D366">
        <f t="shared" si="15"/>
        <v>3.2518828360473879</v>
      </c>
      <c r="E366">
        <f t="shared" si="16"/>
        <v>1.1094477468634727</v>
      </c>
      <c r="F366">
        <f t="shared" si="17"/>
        <v>3.6077940855167743</v>
      </c>
    </row>
    <row r="367" spans="3:6">
      <c r="C367">
        <v>1.65</v>
      </c>
      <c r="D367">
        <f t="shared" si="15"/>
        <v>3.2740234175275997</v>
      </c>
      <c r="E367">
        <f t="shared" si="16"/>
        <v>0.99203465379280997</v>
      </c>
      <c r="F367">
        <f t="shared" si="17"/>
        <v>3.247944687516545</v>
      </c>
    </row>
    <row r="368" spans="3:6">
      <c r="C368">
        <v>1.66</v>
      </c>
      <c r="D368">
        <f t="shared" si="15"/>
        <v>3.2963195267903411</v>
      </c>
      <c r="E368">
        <f t="shared" si="16"/>
        <v>0.8758791137461881</v>
      </c>
      <c r="F368">
        <f t="shared" si="17"/>
        <v>2.8871774257493783</v>
      </c>
    </row>
    <row r="369" spans="3:6">
      <c r="C369">
        <v>1.67</v>
      </c>
      <c r="D369">
        <f t="shared" si="15"/>
        <v>3.3187722563494257</v>
      </c>
      <c r="E369">
        <f t="shared" si="16"/>
        <v>0.77931953246827623</v>
      </c>
      <c r="F369">
        <f t="shared" si="17"/>
        <v>2.5863840431869205</v>
      </c>
    </row>
    <row r="370" spans="3:6">
      <c r="C370">
        <v>1.68</v>
      </c>
      <c r="D370">
        <f t="shared" si="15"/>
        <v>3.3413827063930959</v>
      </c>
      <c r="E370">
        <f t="shared" si="16"/>
        <v>0.71760054469023105</v>
      </c>
      <c r="F370">
        <f t="shared" si="17"/>
        <v>2.3977780501262038</v>
      </c>
    </row>
    <row r="371" spans="3:6">
      <c r="C371">
        <v>1.69</v>
      </c>
      <c r="D371">
        <f t="shared" si="15"/>
        <v>3.3641519848379264</v>
      </c>
      <c r="E371">
        <f t="shared" si="16"/>
        <v>0.70046622150474658</v>
      </c>
      <c r="F371">
        <f t="shared" si="17"/>
        <v>2.3564748293871158</v>
      </c>
    </row>
    <row r="372" spans="3:6">
      <c r="C372">
        <v>1.7</v>
      </c>
      <c r="D372">
        <f t="shared" si="15"/>
        <v>3.387081207383118</v>
      </c>
      <c r="E372">
        <f t="shared" si="16"/>
        <v>0.73062169579321257</v>
      </c>
      <c r="F372">
        <f t="shared" si="17"/>
        <v>2.4746750155275756</v>
      </c>
    </row>
    <row r="373" spans="3:6">
      <c r="C373">
        <v>1.71</v>
      </c>
      <c r="D373">
        <f t="shared" si="15"/>
        <v>3.4101714975651625</v>
      </c>
      <c r="E373">
        <f t="shared" si="16"/>
        <v>0.80330608122422431</v>
      </c>
      <c r="F373">
        <f t="shared" si="17"/>
        <v>2.739411502011615</v>
      </c>
    </row>
    <row r="374" spans="3:6">
      <c r="C374">
        <v>1.72</v>
      </c>
      <c r="D374">
        <f t="shared" si="15"/>
        <v>3.4334239868128988</v>
      </c>
      <c r="E374">
        <f t="shared" si="16"/>
        <v>0.90704411152290687</v>
      </c>
      <c r="F374">
        <f t="shared" si="17"/>
        <v>3.1142670096001424</v>
      </c>
    </row>
    <row r="375" spans="3:6">
      <c r="C375">
        <v>1.73</v>
      </c>
      <c r="D375">
        <f t="shared" si="15"/>
        <v>3.4568398145029526</v>
      </c>
      <c r="E375">
        <f t="shared" si="16"/>
        <v>1.0254578326975137</v>
      </c>
      <c r="F375">
        <f t="shared" si="17"/>
        <v>3.5448434641626729</v>
      </c>
    </row>
    <row r="376" spans="3:6">
      <c r="C376">
        <v>1.74</v>
      </c>
      <c r="D376">
        <f t="shared" si="15"/>
        <v>3.4804201280155662</v>
      </c>
      <c r="E376">
        <f t="shared" si="16"/>
        <v>1.1398523218561516</v>
      </c>
      <c r="F376">
        <f t="shared" si="17"/>
        <v>3.9671649639534277</v>
      </c>
    </row>
    <row r="377" spans="3:6">
      <c r="C377">
        <v>1.75</v>
      </c>
      <c r="D377">
        <f t="shared" si="15"/>
        <v>3.5041660827908188</v>
      </c>
      <c r="E377">
        <f t="shared" si="16"/>
        <v>1.2321672044673666</v>
      </c>
      <c r="F377">
        <f t="shared" si="17"/>
        <v>4.3177185262217259</v>
      </c>
    </row>
    <row r="378" spans="3:6">
      <c r="C378">
        <v>1.76</v>
      </c>
      <c r="D378">
        <f t="shared" si="15"/>
        <v>3.5280788423852467</v>
      </c>
      <c r="E378">
        <f t="shared" si="16"/>
        <v>1.2878279903870151</v>
      </c>
      <c r="F378">
        <f t="shared" si="17"/>
        <v>4.5435586855159391</v>
      </c>
    </row>
    <row r="379" spans="3:6">
      <c r="C379">
        <v>1.77</v>
      </c>
      <c r="D379">
        <f t="shared" si="15"/>
        <v>3.5521595785288533</v>
      </c>
      <c r="E379">
        <f t="shared" si="16"/>
        <v>1.2980470653880665</v>
      </c>
      <c r="F379">
        <f t="shared" si="17"/>
        <v>4.6108703166994891</v>
      </c>
    </row>
    <row r="380" spans="3:6">
      <c r="C380">
        <v>1.78</v>
      </c>
      <c r="D380">
        <f t="shared" si="15"/>
        <v>3.5764094711825294</v>
      </c>
      <c r="E380">
        <f t="shared" si="16"/>
        <v>1.2612110622249355</v>
      </c>
      <c r="F380">
        <f t="shared" si="17"/>
        <v>4.5106071881014378</v>
      </c>
    </row>
    <row r="381" spans="3:6">
      <c r="C381">
        <v>1.79</v>
      </c>
      <c r="D381">
        <f t="shared" si="15"/>
        <v>3.6008297085958656</v>
      </c>
      <c r="E381">
        <f t="shared" si="16"/>
        <v>1.1831355758468329</v>
      </c>
      <c r="F381">
        <f t="shared" si="17"/>
        <v>4.2602697308059527</v>
      </c>
    </row>
    <row r="382" spans="3:6">
      <c r="C382">
        <v>1.8</v>
      </c>
      <c r="D382">
        <f t="shared" si="15"/>
        <v>3.6254214873653825</v>
      </c>
      <c r="E382">
        <f t="shared" si="16"/>
        <v>1.0761470088286109</v>
      </c>
      <c r="F382">
        <f t="shared" si="17"/>
        <v>3.90148648937123</v>
      </c>
    </row>
    <row r="383" spans="3:6">
      <c r="C383">
        <v>1.81</v>
      </c>
      <c r="D383">
        <f t="shared" si="15"/>
        <v>3.6501860124931587</v>
      </c>
      <c r="E383">
        <f t="shared" si="16"/>
        <v>0.95713650343722045</v>
      </c>
      <c r="F383">
        <f t="shared" si="17"/>
        <v>3.4937262768931521</v>
      </c>
    </row>
    <row r="384" spans="3:6">
      <c r="C384">
        <v>1.82</v>
      </c>
      <c r="D384">
        <f t="shared" si="15"/>
        <v>3.6751244974458817</v>
      </c>
      <c r="E384">
        <f t="shared" si="16"/>
        <v>0.84489320167028692</v>
      </c>
      <c r="F384">
        <f t="shared" si="17"/>
        <v>3.1050877031839552</v>
      </c>
    </row>
    <row r="385" spans="3:6">
      <c r="C385">
        <v>1.83</v>
      </c>
      <c r="D385">
        <f t="shared" si="15"/>
        <v>3.7002381642143032</v>
      </c>
      <c r="E385">
        <f t="shared" si="16"/>
        <v>0.757137852870435</v>
      </c>
      <c r="F385">
        <f t="shared" si="17"/>
        <v>2.8015903787624574</v>
      </c>
    </row>
    <row r="386" spans="3:6">
      <c r="C386">
        <v>1.84</v>
      </c>
      <c r="D386">
        <f t="shared" si="15"/>
        <v>3.7255282433731205</v>
      </c>
      <c r="E386">
        <f t="shared" si="16"/>
        <v>0.70772509704804998</v>
      </c>
      <c r="F386">
        <f t="shared" si="17"/>
        <v>2.6366498375964929</v>
      </c>
    </row>
    <row r="387" spans="3:6">
      <c r="C387">
        <v>1.85</v>
      </c>
      <c r="D387">
        <f t="shared" ref="D387:D402" si="18">EXP($A$3*C387)+0.1</f>
        <v>3.7509959741412717</v>
      </c>
      <c r="E387">
        <f t="shared" ref="E387:E402" si="19">$A$1*SIN($A$2*C387)+1</f>
        <v>0.70445612185952577</v>
      </c>
      <c r="F387">
        <f t="shared" ref="F387:F402" si="20">D387*E387</f>
        <v>2.6424120770542543</v>
      </c>
    </row>
    <row r="388" spans="3:6">
      <c r="C388">
        <v>1.86</v>
      </c>
      <c r="D388">
        <f t="shared" si="18"/>
        <v>3.7766426044426611</v>
      </c>
      <c r="E388">
        <f t="shared" si="19"/>
        <v>0.74784702660888502</v>
      </c>
      <c r="F388">
        <f t="shared" si="20"/>
        <v>2.8243509422968796</v>
      </c>
    </row>
    <row r="389" spans="3:6">
      <c r="C389">
        <v>1.87</v>
      </c>
      <c r="D389">
        <f t="shared" si="18"/>
        <v>3.8024693909673033</v>
      </c>
      <c r="E389">
        <f t="shared" si="19"/>
        <v>0.8310473415156685</v>
      </c>
      <c r="F389">
        <f t="shared" si="20"/>
        <v>3.1600320785580807</v>
      </c>
    </row>
    <row r="390" spans="3:6">
      <c r="C390">
        <v>1.88</v>
      </c>
      <c r="D390">
        <f t="shared" si="18"/>
        <v>3.8284775992329068</v>
      </c>
      <c r="E390">
        <f t="shared" si="19"/>
        <v>0.94092156626509071</v>
      </c>
      <c r="F390">
        <f t="shared" si="20"/>
        <v>3.602297139081041</v>
      </c>
    </row>
    <row r="391" spans="3:6">
      <c r="C391">
        <v>1.89</v>
      </c>
      <c r="D391">
        <f t="shared" si="18"/>
        <v>3.8546685036468804</v>
      </c>
      <c r="E391">
        <f t="shared" si="19"/>
        <v>1.0601229766843205</v>
      </c>
      <c r="F391">
        <f t="shared" si="20"/>
        <v>4.0864226482174262</v>
      </c>
    </row>
    <row r="392" spans="3:6">
      <c r="C392">
        <v>1.9</v>
      </c>
      <c r="D392">
        <f t="shared" si="18"/>
        <v>3.8810433875687802</v>
      </c>
      <c r="E392">
        <f t="shared" si="19"/>
        <v>1.1698322910694541</v>
      </c>
      <c r="F392">
        <f t="shared" si="20"/>
        <v>4.5401698778195412</v>
      </c>
    </row>
    <row r="393" spans="3:6">
      <c r="C393">
        <v>1.91</v>
      </c>
      <c r="D393">
        <f t="shared" si="18"/>
        <v>3.9076035433731966</v>
      </c>
      <c r="E393">
        <f t="shared" si="19"/>
        <v>1.2527288209681138</v>
      </c>
      <c r="F393">
        <f t="shared" si="20"/>
        <v>4.8951675797007281</v>
      </c>
    </row>
    <row r="394" spans="3:6">
      <c r="C394">
        <v>1.92</v>
      </c>
      <c r="D394">
        <f t="shared" si="18"/>
        <v>3.9343502725130768</v>
      </c>
      <c r="E394">
        <f t="shared" si="19"/>
        <v>1.2957250270386846</v>
      </c>
      <c r="F394">
        <f t="shared" si="20"/>
        <v>5.0978361132316623</v>
      </c>
    </row>
    <row r="395" spans="3:6">
      <c r="C395">
        <v>1.93</v>
      </c>
      <c r="D395">
        <f t="shared" si="18"/>
        <v>3.9612848855835017</v>
      </c>
      <c r="E395">
        <f t="shared" si="19"/>
        <v>1.2920327537434466</v>
      </c>
      <c r="F395">
        <f t="shared" si="20"/>
        <v>5.1181098190827452</v>
      </c>
    </row>
    <row r="396" spans="3:6">
      <c r="C396">
        <v>1.94</v>
      </c>
      <c r="D396">
        <f t="shared" si="18"/>
        <v>3.9884087023858994</v>
      </c>
      <c r="E396">
        <f t="shared" si="19"/>
        <v>1.242234929849994</v>
      </c>
      <c r="F396">
        <f t="shared" si="20"/>
        <v>4.9545406046214531</v>
      </c>
    </row>
    <row r="397" spans="3:6">
      <c r="C397">
        <v>1.95</v>
      </c>
      <c r="D397">
        <f t="shared" si="18"/>
        <v>4.0157230519927216</v>
      </c>
      <c r="E397">
        <f t="shared" si="19"/>
        <v>1.1541935367962606</v>
      </c>
      <c r="F397">
        <f t="shared" si="20"/>
        <v>4.634921592173753</v>
      </c>
    </row>
    <row r="398" spans="3:6">
      <c r="C398">
        <v>1.96</v>
      </c>
      <c r="D398">
        <f t="shared" si="18"/>
        <v>4.0432292728125629</v>
      </c>
      <c r="E398">
        <f t="shared" si="19"/>
        <v>1.0418083746907738</v>
      </c>
      <c r="F398">
        <f t="shared" si="20"/>
        <v>4.2122701172110153</v>
      </c>
    </row>
    <row r="399" spans="3:6">
      <c r="C399">
        <v>1.97</v>
      </c>
      <c r="D399">
        <f t="shared" si="18"/>
        <v>4.070928712655749</v>
      </c>
      <c r="E399">
        <f t="shared" si="19"/>
        <v>0.92282258950440155</v>
      </c>
      <c r="F399">
        <f t="shared" si="20"/>
        <v>3.7567449763007978</v>
      </c>
    </row>
    <row r="400" spans="3:6">
      <c r="C400">
        <v>1.98</v>
      </c>
      <c r="D400">
        <f t="shared" si="18"/>
        <v>4.0988227288003722</v>
      </c>
      <c r="E400">
        <f t="shared" si="19"/>
        <v>0.81602142045793324</v>
      </c>
      <c r="F400">
        <f t="shared" si="20"/>
        <v>3.3447271453609417</v>
      </c>
    </row>
    <row r="401" spans="3:6">
      <c r="C401">
        <v>1.99</v>
      </c>
      <c r="D401">
        <f t="shared" si="18"/>
        <v>4.1269126880588063</v>
      </c>
      <c r="E401">
        <f t="shared" si="19"/>
        <v>0.73826642379909169</v>
      </c>
      <c r="F401">
        <f t="shared" si="20"/>
        <v>3.0467610715442714</v>
      </c>
    </row>
    <row r="402" spans="3:6">
      <c r="C402">
        <v>2</v>
      </c>
      <c r="D402">
        <f t="shared" si="18"/>
        <v>4.1551999668446742</v>
      </c>
      <c r="E402">
        <f t="shared" si="19"/>
        <v>0.70183340382298742</v>
      </c>
      <c r="F402">
        <f t="shared" si="20"/>
        <v>2.9162581362957622</v>
      </c>
    </row>
  </sheetData>
  <phoneticPr fontId="1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75F0D-3566-408C-885A-FD7845BB8636}">
  <dimension ref="A1:F402"/>
  <sheetViews>
    <sheetView zoomScaleNormal="100" workbookViewId="0">
      <selection activeCell="P15" sqref="P15"/>
    </sheetView>
  </sheetViews>
  <sheetFormatPr defaultRowHeight="18.75"/>
  <sheetData>
    <row r="1" spans="1:6">
      <c r="A1">
        <v>0.3</v>
      </c>
      <c r="C1" t="s">
        <v>0</v>
      </c>
      <c r="D1" t="s">
        <v>5</v>
      </c>
      <c r="E1" t="s">
        <v>6</v>
      </c>
      <c r="F1" t="s">
        <v>8</v>
      </c>
    </row>
    <row r="2" spans="1:6">
      <c r="A2">
        <v>40</v>
      </c>
      <c r="C2">
        <v>-2</v>
      </c>
      <c r="D2">
        <f>EXP($A$3*C2)+0.1</f>
        <v>0.3465969639416065</v>
      </c>
      <c r="E2">
        <f>$A$1*SIN($A$2*C2)</f>
        <v>0.29816659617701258</v>
      </c>
      <c r="F2">
        <f>D2+E2</f>
        <v>0.64476356011861902</v>
      </c>
    </row>
    <row r="3" spans="1:6">
      <c r="A3">
        <v>0.7</v>
      </c>
      <c r="C3">
        <v>-1.99</v>
      </c>
      <c r="D3">
        <f t="shared" ref="D3:D66" si="0">EXP($A$3*C3)+0.1</f>
        <v>0.34832919843664528</v>
      </c>
      <c r="E3">
        <f t="shared" ref="E3:E66" si="1">$A$1*SIN($A$2*C3)</f>
        <v>0.26173357620090837</v>
      </c>
      <c r="F3">
        <f t="shared" ref="F3:F66" si="2">D3+E3</f>
        <v>0.61006277463755365</v>
      </c>
    </row>
    <row r="4" spans="1:6">
      <c r="C4">
        <v>-1.98</v>
      </c>
      <c r="D4">
        <f t="shared" si="0"/>
        <v>0.35007360111209418</v>
      </c>
      <c r="E4">
        <f t="shared" si="1"/>
        <v>0.18397857954206673</v>
      </c>
      <c r="F4">
        <f t="shared" si="2"/>
        <v>0.53405218065416094</v>
      </c>
    </row>
    <row r="5" spans="1:6">
      <c r="C5">
        <v>-1.97</v>
      </c>
      <c r="D5">
        <f t="shared" si="0"/>
        <v>0.35183025744403307</v>
      </c>
      <c r="E5">
        <f t="shared" si="1"/>
        <v>7.7177410495598397E-2</v>
      </c>
      <c r="F5">
        <f t="shared" si="2"/>
        <v>0.42900766793963147</v>
      </c>
    </row>
    <row r="6" spans="1:6">
      <c r="C6">
        <v>-1.96</v>
      </c>
      <c r="D6">
        <f t="shared" si="0"/>
        <v>0.35359925350897392</v>
      </c>
      <c r="E6">
        <f t="shared" si="1"/>
        <v>-4.1808374690773725E-2</v>
      </c>
      <c r="F6">
        <f t="shared" si="2"/>
        <v>0.31179087881820022</v>
      </c>
    </row>
    <row r="7" spans="1:6">
      <c r="C7">
        <v>-1.95</v>
      </c>
      <c r="D7">
        <f t="shared" si="0"/>
        <v>0.35538067598807765</v>
      </c>
      <c r="E7">
        <f t="shared" si="1"/>
        <v>-0.15419353679626055</v>
      </c>
      <c r="F7">
        <f t="shared" si="2"/>
        <v>0.2011871391918171</v>
      </c>
    </row>
    <row r="8" spans="1:6">
      <c r="C8">
        <v>-1.94</v>
      </c>
      <c r="D8">
        <f t="shared" si="0"/>
        <v>0.35717461217140245</v>
      </c>
      <c r="E8">
        <f t="shared" si="1"/>
        <v>-0.24223492984999395</v>
      </c>
      <c r="F8">
        <f t="shared" si="2"/>
        <v>0.1149396823214085</v>
      </c>
    </row>
    <row r="9" spans="1:6">
      <c r="C9">
        <v>-1.93</v>
      </c>
      <c r="D9">
        <f t="shared" si="0"/>
        <v>0.35898114996218</v>
      </c>
      <c r="E9">
        <f t="shared" si="1"/>
        <v>-0.29203275374344656</v>
      </c>
      <c r="F9">
        <f t="shared" si="2"/>
        <v>6.6948396218733441E-2</v>
      </c>
    </row>
    <row r="10" spans="1:6">
      <c r="C10">
        <v>-1.92</v>
      </c>
      <c r="D10">
        <f t="shared" si="0"/>
        <v>0.36080037788112373</v>
      </c>
      <c r="E10">
        <f t="shared" si="1"/>
        <v>-0.29572502703868453</v>
      </c>
      <c r="F10">
        <f t="shared" si="2"/>
        <v>6.5075350842439206E-2</v>
      </c>
    </row>
    <row r="11" spans="1:6">
      <c r="C11">
        <v>-1.91</v>
      </c>
      <c r="D11">
        <f t="shared" si="0"/>
        <v>0.36263238507076534</v>
      </c>
      <c r="E11">
        <f t="shared" si="1"/>
        <v>-0.25272882096811383</v>
      </c>
      <c r="F11">
        <f t="shared" si="2"/>
        <v>0.10990356410265151</v>
      </c>
    </row>
    <row r="12" spans="1:6">
      <c r="C12">
        <v>-1.9</v>
      </c>
      <c r="D12">
        <f t="shared" si="0"/>
        <v>0.36447726129982405</v>
      </c>
      <c r="E12">
        <f t="shared" si="1"/>
        <v>-0.16983229106945411</v>
      </c>
      <c r="F12">
        <f t="shared" si="2"/>
        <v>0.19464497023036995</v>
      </c>
    </row>
    <row r="13" spans="1:6">
      <c r="C13">
        <v>-1.89</v>
      </c>
      <c r="D13">
        <f t="shared" si="0"/>
        <v>0.36633509696760391</v>
      </c>
      <c r="E13">
        <f t="shared" si="1"/>
        <v>-6.0122976684320484E-2</v>
      </c>
      <c r="F13">
        <f t="shared" si="2"/>
        <v>0.30621212028328343</v>
      </c>
    </row>
    <row r="14" spans="1:6">
      <c r="C14">
        <v>-1.88</v>
      </c>
      <c r="D14">
        <f t="shared" si="0"/>
        <v>0.36820598310842445</v>
      </c>
      <c r="E14">
        <f t="shared" si="1"/>
        <v>5.9078433734909327E-2</v>
      </c>
      <c r="F14">
        <f t="shared" si="2"/>
        <v>0.42728441684333379</v>
      </c>
    </row>
    <row r="15" spans="1:6">
      <c r="C15">
        <v>-1.87</v>
      </c>
      <c r="D15">
        <f t="shared" si="0"/>
        <v>0.370090011396081</v>
      </c>
      <c r="E15">
        <f t="shared" si="1"/>
        <v>0.16895265848433152</v>
      </c>
      <c r="F15">
        <f t="shared" si="2"/>
        <v>0.53904266988041249</v>
      </c>
    </row>
    <row r="16" spans="1:6">
      <c r="C16">
        <v>-1.86</v>
      </c>
      <c r="D16">
        <f t="shared" si="0"/>
        <v>0.37198727414833654</v>
      </c>
      <c r="E16">
        <f t="shared" si="1"/>
        <v>0.25215297339111498</v>
      </c>
      <c r="F16">
        <f t="shared" si="2"/>
        <v>0.62414024753945152</v>
      </c>
    </row>
    <row r="17" spans="3:6">
      <c r="C17">
        <v>-1.85</v>
      </c>
      <c r="D17">
        <f t="shared" si="0"/>
        <v>0.37389786433144556</v>
      </c>
      <c r="E17">
        <f t="shared" si="1"/>
        <v>0.29554387814047423</v>
      </c>
      <c r="F17">
        <f t="shared" si="2"/>
        <v>0.66944174247191979</v>
      </c>
    </row>
    <row r="18" spans="3:6">
      <c r="C18">
        <v>-1.84</v>
      </c>
      <c r="D18">
        <f t="shared" si="0"/>
        <v>0.37582187556470936</v>
      </c>
      <c r="E18">
        <f t="shared" si="1"/>
        <v>0.29227490295195008</v>
      </c>
      <c r="F18">
        <f t="shared" si="2"/>
        <v>0.66809677851665938</v>
      </c>
    </row>
    <row r="19" spans="3:6">
      <c r="C19">
        <v>-1.83</v>
      </c>
      <c r="D19">
        <f t="shared" si="0"/>
        <v>0.3777594021250632</v>
      </c>
      <c r="E19">
        <f t="shared" si="1"/>
        <v>0.24286214712956503</v>
      </c>
      <c r="F19">
        <f t="shared" si="2"/>
        <v>0.6206215492546282</v>
      </c>
    </row>
    <row r="20" spans="3:6">
      <c r="C20">
        <v>-1.82</v>
      </c>
      <c r="D20">
        <f t="shared" si="0"/>
        <v>0.37971053895169637</v>
      </c>
      <c r="E20">
        <f t="shared" si="1"/>
        <v>0.15510679832971305</v>
      </c>
      <c r="F20">
        <f t="shared" si="2"/>
        <v>0.53481733728140946</v>
      </c>
    </row>
    <row r="21" spans="3:6">
      <c r="C21">
        <v>-1.81</v>
      </c>
      <c r="D21">
        <f t="shared" si="0"/>
        <v>0.38167538165070358</v>
      </c>
      <c r="E21">
        <f t="shared" si="1"/>
        <v>4.2863496562779581E-2</v>
      </c>
      <c r="F21">
        <f t="shared" si="2"/>
        <v>0.42453887821348318</v>
      </c>
    </row>
    <row r="22" spans="3:6">
      <c r="C22">
        <v>-1.8</v>
      </c>
      <c r="D22">
        <f t="shared" si="0"/>
        <v>0.38365402649977043</v>
      </c>
      <c r="E22">
        <f t="shared" si="1"/>
        <v>-7.6147008828610876E-2</v>
      </c>
      <c r="F22">
        <f t="shared" si="2"/>
        <v>0.30750701767115957</v>
      </c>
    </row>
    <row r="23" spans="3:6">
      <c r="C23">
        <v>-1.79</v>
      </c>
      <c r="D23">
        <f t="shared" si="0"/>
        <v>0.38564657045289019</v>
      </c>
      <c r="E23">
        <f t="shared" si="1"/>
        <v>-0.18313557584683285</v>
      </c>
      <c r="F23">
        <f t="shared" si="2"/>
        <v>0.20251099460605734</v>
      </c>
    </row>
    <row r="24" spans="3:6">
      <c r="C24">
        <v>-1.78</v>
      </c>
      <c r="D24">
        <f t="shared" si="0"/>
        <v>0.38765311114511536</v>
      </c>
      <c r="E24">
        <f t="shared" si="1"/>
        <v>-0.26121106222493545</v>
      </c>
      <c r="F24">
        <f t="shared" si="2"/>
        <v>0.12644204892017991</v>
      </c>
    </row>
    <row r="25" spans="3:6">
      <c r="C25">
        <v>-1.77</v>
      </c>
      <c r="D25">
        <f t="shared" si="0"/>
        <v>0.38967374689734147</v>
      </c>
      <c r="E25">
        <f t="shared" si="1"/>
        <v>-0.29804706538806636</v>
      </c>
      <c r="F25">
        <f t="shared" si="2"/>
        <v>9.162668150927511E-2</v>
      </c>
    </row>
    <row r="26" spans="3:6">
      <c r="C26">
        <v>-1.76</v>
      </c>
      <c r="D26">
        <f t="shared" si="0"/>
        <v>0.39170857672112436</v>
      </c>
      <c r="E26">
        <f t="shared" si="1"/>
        <v>-0.28782799038701506</v>
      </c>
      <c r="F26">
        <f t="shared" si="2"/>
        <v>0.10388058633410929</v>
      </c>
    </row>
    <row r="27" spans="3:6">
      <c r="C27">
        <v>-1.75</v>
      </c>
      <c r="D27">
        <f t="shared" si="0"/>
        <v>0.39375770032353286</v>
      </c>
      <c r="E27">
        <f t="shared" si="1"/>
        <v>-0.23216720446736672</v>
      </c>
      <c r="F27">
        <f t="shared" si="2"/>
        <v>0.16159049585616614</v>
      </c>
    </row>
    <row r="28" spans="3:6">
      <c r="C28">
        <v>-1.74</v>
      </c>
      <c r="D28">
        <f t="shared" si="0"/>
        <v>0.39582121811203319</v>
      </c>
      <c r="E28">
        <f t="shared" si="1"/>
        <v>-0.1398523218561516</v>
      </c>
      <c r="F28">
        <f t="shared" si="2"/>
        <v>0.2559688962558816</v>
      </c>
    </row>
    <row r="29" spans="3:6">
      <c r="C29">
        <v>-1.73</v>
      </c>
      <c r="D29">
        <f t="shared" si="0"/>
        <v>0.39789923119941017</v>
      </c>
      <c r="E29">
        <f t="shared" si="1"/>
        <v>-2.5457832697513741E-2</v>
      </c>
      <c r="F29">
        <f t="shared" si="2"/>
        <v>0.37244139850189645</v>
      </c>
    </row>
    <row r="30" spans="3:6">
      <c r="C30">
        <v>-1.72</v>
      </c>
      <c r="D30">
        <f t="shared" si="0"/>
        <v>0.39999184140872046</v>
      </c>
      <c r="E30">
        <f t="shared" si="1"/>
        <v>9.2955888477093185E-2</v>
      </c>
      <c r="F30">
        <f t="shared" si="2"/>
        <v>0.49294772988581365</v>
      </c>
    </row>
    <row r="31" spans="3:6">
      <c r="C31">
        <v>-1.71</v>
      </c>
      <c r="D31">
        <f t="shared" si="0"/>
        <v>0.40209915127828344</v>
      </c>
      <c r="E31">
        <f t="shared" si="1"/>
        <v>0.19669391877577569</v>
      </c>
      <c r="F31">
        <f t="shared" si="2"/>
        <v>0.59879307005405913</v>
      </c>
    </row>
    <row r="32" spans="3:6">
      <c r="C32">
        <v>-1.7</v>
      </c>
      <c r="D32">
        <f t="shared" si="0"/>
        <v>0.40422126406670411</v>
      </c>
      <c r="E32">
        <f t="shared" si="1"/>
        <v>0.26937830420678738</v>
      </c>
      <c r="F32">
        <f t="shared" si="2"/>
        <v>0.67359956827349143</v>
      </c>
    </row>
    <row r="33" spans="3:6">
      <c r="C33">
        <v>-1.69</v>
      </c>
      <c r="D33">
        <f t="shared" si="0"/>
        <v>0.4063582837579337</v>
      </c>
      <c r="E33">
        <f t="shared" si="1"/>
        <v>0.29953377849525337</v>
      </c>
      <c r="F33">
        <f t="shared" si="2"/>
        <v>0.70589206225318701</v>
      </c>
    </row>
    <row r="34" spans="3:6">
      <c r="C34">
        <v>-1.68</v>
      </c>
      <c r="D34">
        <f t="shared" si="0"/>
        <v>0.4085103150663647</v>
      </c>
      <c r="E34">
        <f t="shared" si="1"/>
        <v>0.28239945530976895</v>
      </c>
      <c r="F34">
        <f t="shared" si="2"/>
        <v>0.69090977037613366</v>
      </c>
    </row>
    <row r="35" spans="3:6">
      <c r="C35">
        <v>-1.67</v>
      </c>
      <c r="D35">
        <f t="shared" si="0"/>
        <v>0.41067746344196199</v>
      </c>
      <c r="E35">
        <f t="shared" si="1"/>
        <v>0.2206804675317238</v>
      </c>
      <c r="F35">
        <f t="shared" si="2"/>
        <v>0.63135793097368575</v>
      </c>
    </row>
    <row r="36" spans="3:6">
      <c r="C36">
        <v>-1.66</v>
      </c>
      <c r="D36">
        <f t="shared" si="0"/>
        <v>0.41285983507542923</v>
      </c>
      <c r="E36">
        <f t="shared" si="1"/>
        <v>0.12412088625381193</v>
      </c>
      <c r="F36">
        <f t="shared" si="2"/>
        <v>0.53698072132924113</v>
      </c>
    </row>
    <row r="37" spans="3:6">
      <c r="C37">
        <v>-1.65</v>
      </c>
      <c r="D37">
        <f t="shared" si="0"/>
        <v>0.4150575369034134</v>
      </c>
      <c r="E37">
        <f t="shared" si="1"/>
        <v>7.9653462071900376E-3</v>
      </c>
      <c r="F37">
        <f t="shared" si="2"/>
        <v>0.42302288311060343</v>
      </c>
    </row>
    <row r="38" spans="3:6">
      <c r="C38">
        <v>-1.64</v>
      </c>
      <c r="D38">
        <f t="shared" si="0"/>
        <v>0.41727067661374362</v>
      </c>
      <c r="E38">
        <f t="shared" si="1"/>
        <v>-0.10944774686347274</v>
      </c>
      <c r="F38">
        <f t="shared" si="2"/>
        <v>0.30782292975027087</v>
      </c>
    </row>
    <row r="39" spans="3:6">
      <c r="C39">
        <v>-1.63</v>
      </c>
      <c r="D39">
        <f t="shared" si="0"/>
        <v>0.41949936265070875</v>
      </c>
      <c r="E39">
        <f t="shared" si="1"/>
        <v>-0.20958144724208225</v>
      </c>
      <c r="F39">
        <f t="shared" si="2"/>
        <v>0.2099179154086265</v>
      </c>
    </row>
    <row r="40" spans="3:6">
      <c r="C40">
        <v>-1.62</v>
      </c>
      <c r="D40">
        <f t="shared" si="0"/>
        <v>0.42174370422037022</v>
      </c>
      <c r="E40">
        <f t="shared" si="1"/>
        <v>-0.27662684537923399</v>
      </c>
      <c r="F40">
        <f t="shared" si="2"/>
        <v>0.14511685884113623</v>
      </c>
    </row>
    <row r="41" spans="3:6">
      <c r="C41">
        <v>-1.61</v>
      </c>
      <c r="D41">
        <f t="shared" si="0"/>
        <v>0.42400381129591413</v>
      </c>
      <c r="E41">
        <f t="shared" si="1"/>
        <v>-0.29999894710368197</v>
      </c>
      <c r="F41">
        <f t="shared" si="2"/>
        <v>0.12400486419223217</v>
      </c>
    </row>
    <row r="42" spans="3:6">
      <c r="C42">
        <v>-1.6</v>
      </c>
      <c r="D42">
        <f t="shared" si="0"/>
        <v>0.42627979462303955</v>
      </c>
      <c r="E42">
        <f t="shared" si="1"/>
        <v>-0.27600781145903719</v>
      </c>
      <c r="F42">
        <f t="shared" si="2"/>
        <v>0.15027198316400237</v>
      </c>
    </row>
    <row r="43" spans="3:6">
      <c r="C43">
        <v>-1.59</v>
      </c>
      <c r="D43">
        <f t="shared" si="0"/>
        <v>0.42857176572538458</v>
      </c>
      <c r="E43">
        <f t="shared" si="1"/>
        <v>-0.20844111124636175</v>
      </c>
      <c r="F43">
        <f t="shared" si="2"/>
        <v>0.22013065447902283</v>
      </c>
    </row>
    <row r="44" spans="3:6">
      <c r="C44">
        <v>-1.58</v>
      </c>
      <c r="D44">
        <f t="shared" si="0"/>
        <v>0.43087983690999221</v>
      </c>
      <c r="E44">
        <f t="shared" si="1"/>
        <v>-0.1079661427722428</v>
      </c>
      <c r="F44">
        <f t="shared" si="2"/>
        <v>0.3229136941377494</v>
      </c>
    </row>
    <row r="45" spans="3:6">
      <c r="C45">
        <v>-1.57</v>
      </c>
      <c r="D45">
        <f t="shared" si="0"/>
        <v>0.43320412127281183</v>
      </c>
      <c r="E45">
        <f t="shared" si="1"/>
        <v>9.5543056854428821E-3</v>
      </c>
      <c r="F45">
        <f t="shared" si="2"/>
        <v>0.44275842695825474</v>
      </c>
    </row>
    <row r="46" spans="3:6">
      <c r="C46">
        <v>-1.56</v>
      </c>
      <c r="D46">
        <f t="shared" si="0"/>
        <v>0.43554473270424277</v>
      </c>
      <c r="E46">
        <f t="shared" si="1"/>
        <v>0.12556633935552569</v>
      </c>
      <c r="F46">
        <f t="shared" si="2"/>
        <v>0.56111107205976851</v>
      </c>
    </row>
    <row r="47" spans="3:6">
      <c r="C47">
        <v>-1.55</v>
      </c>
      <c r="D47">
        <f t="shared" si="0"/>
        <v>0.43790178589471307</v>
      </c>
      <c r="E47">
        <f t="shared" si="1"/>
        <v>0.22175420899476683</v>
      </c>
      <c r="F47">
        <f t="shared" si="2"/>
        <v>0.6596559948894799</v>
      </c>
    </row>
    <row r="48" spans="3:6">
      <c r="C48">
        <v>-1.54</v>
      </c>
      <c r="D48">
        <f t="shared" si="0"/>
        <v>0.44027539634030088</v>
      </c>
      <c r="E48">
        <f t="shared" si="1"/>
        <v>0.28293196496655959</v>
      </c>
      <c r="F48">
        <f t="shared" si="2"/>
        <v>0.72320736130686047</v>
      </c>
    </row>
    <row r="49" spans="3:6">
      <c r="C49">
        <v>-1.53</v>
      </c>
      <c r="D49">
        <f t="shared" si="0"/>
        <v>0.44266568034839293</v>
      </c>
      <c r="E49">
        <f t="shared" si="1"/>
        <v>0.29944098477981113</v>
      </c>
      <c r="F49">
        <f t="shared" si="2"/>
        <v>0.742106665128204</v>
      </c>
    </row>
    <row r="50" spans="3:6">
      <c r="C50">
        <v>-1.52</v>
      </c>
      <c r="D50">
        <f t="shared" si="0"/>
        <v>0.44507275504338384</v>
      </c>
      <c r="E50">
        <f t="shared" si="1"/>
        <v>0.26867485720643103</v>
      </c>
      <c r="F50">
        <f t="shared" si="2"/>
        <v>0.71374761224981487</v>
      </c>
    </row>
    <row r="51" spans="3:6">
      <c r="C51">
        <v>-1.51</v>
      </c>
      <c r="D51">
        <f t="shared" si="0"/>
        <v>0.44749673837241521</v>
      </c>
      <c r="E51">
        <f t="shared" si="1"/>
        <v>0.19549087730446643</v>
      </c>
      <c r="F51">
        <f t="shared" si="2"/>
        <v>0.64298761567688167</v>
      </c>
    </row>
    <row r="52" spans="3:6">
      <c r="C52">
        <v>-1.5</v>
      </c>
      <c r="D52">
        <f t="shared" si="0"/>
        <v>0.44993774911115547</v>
      </c>
      <c r="E52">
        <f t="shared" si="1"/>
        <v>9.1443186330665005E-2</v>
      </c>
      <c r="F52">
        <f t="shared" si="2"/>
        <v>0.54138093544182042</v>
      </c>
    </row>
    <row r="53" spans="3:6">
      <c r="C53">
        <v>-1.49</v>
      </c>
      <c r="D53">
        <f t="shared" si="0"/>
        <v>0.45239590686961872</v>
      </c>
      <c r="E53">
        <f t="shared" si="1"/>
        <v>-2.7041373111439636E-2</v>
      </c>
      <c r="F53">
        <f t="shared" si="2"/>
        <v>0.42535453375817911</v>
      </c>
    </row>
    <row r="54" spans="3:6">
      <c r="C54">
        <v>-1.48</v>
      </c>
      <c r="D54">
        <f t="shared" si="0"/>
        <v>0.45487133209802744</v>
      </c>
      <c r="E54">
        <f t="shared" si="1"/>
        <v>-0.14125669432511601</v>
      </c>
      <c r="F54">
        <f t="shared" si="2"/>
        <v>0.31361463777291143</v>
      </c>
    </row>
    <row r="55" spans="3:6">
      <c r="C55">
        <v>-1.47</v>
      </c>
      <c r="D55">
        <f t="shared" si="0"/>
        <v>0.45736414609271292</v>
      </c>
      <c r="E55">
        <f t="shared" si="1"/>
        <v>-0.23317068945786795</v>
      </c>
      <c r="F55">
        <f t="shared" si="2"/>
        <v>0.22419345663484497</v>
      </c>
    </row>
    <row r="56" spans="3:6">
      <c r="C56">
        <v>-1.46</v>
      </c>
      <c r="D56">
        <f t="shared" si="0"/>
        <v>0.45987447100205958</v>
      </c>
      <c r="E56">
        <f t="shared" si="1"/>
        <v>-0.28827215968368614</v>
      </c>
      <c r="F56">
        <f t="shared" si="2"/>
        <v>0.17160231131837345</v>
      </c>
    </row>
    <row r="57" spans="3:6">
      <c r="C57">
        <v>-1.45</v>
      </c>
      <c r="D57">
        <f t="shared" si="0"/>
        <v>0.46240242983249036</v>
      </c>
      <c r="E57">
        <f t="shared" si="1"/>
        <v>-0.29786179442536115</v>
      </c>
      <c r="F57">
        <f t="shared" si="2"/>
        <v>0.16454063540712921</v>
      </c>
    </row>
    <row r="58" spans="3:6">
      <c r="C58">
        <v>-1.44</v>
      </c>
      <c r="D58">
        <f t="shared" si="0"/>
        <v>0.46494814645449378</v>
      </c>
      <c r="E58">
        <f t="shared" si="1"/>
        <v>-0.26042560121412539</v>
      </c>
      <c r="F58">
        <f t="shared" si="2"/>
        <v>0.20452254524036839</v>
      </c>
    </row>
    <row r="59" spans="3:6">
      <c r="C59">
        <v>-1.43</v>
      </c>
      <c r="D59">
        <f t="shared" si="0"/>
        <v>0.46751174560869357</v>
      </c>
      <c r="E59">
        <f t="shared" si="1"/>
        <v>-0.181873931810802</v>
      </c>
      <c r="F59">
        <f t="shared" si="2"/>
        <v>0.28563781379789155</v>
      </c>
    </row>
    <row r="60" spans="3:6">
      <c r="C60">
        <v>-1.42</v>
      </c>
      <c r="D60">
        <f t="shared" si="0"/>
        <v>0.4700933529119613</v>
      </c>
      <c r="E60">
        <f t="shared" si="1"/>
        <v>-7.4608367619615271E-2</v>
      </c>
      <c r="F60">
        <f t="shared" si="2"/>
        <v>0.39548498529234605</v>
      </c>
    </row>
    <row r="61" spans="3:6">
      <c r="C61">
        <v>-1.41</v>
      </c>
      <c r="D61">
        <f t="shared" si="0"/>
        <v>0.47269309486357136</v>
      </c>
      <c r="E61">
        <f t="shared" si="1"/>
        <v>4.44362173294909E-2</v>
      </c>
      <c r="F61">
        <f t="shared" si="2"/>
        <v>0.51712931219306224</v>
      </c>
    </row>
    <row r="62" spans="3:6">
      <c r="C62">
        <v>-1.4</v>
      </c>
      <c r="D62">
        <f t="shared" si="0"/>
        <v>0.47531109885139955</v>
      </c>
      <c r="E62">
        <f t="shared" si="1"/>
        <v>0.15646530062607356</v>
      </c>
      <c r="F62">
        <f t="shared" si="2"/>
        <v>0.63177639947747311</v>
      </c>
    </row>
    <row r="63" spans="3:6">
      <c r="C63">
        <v>-1.39</v>
      </c>
      <c r="D63">
        <f t="shared" si="0"/>
        <v>0.47794749315816509</v>
      </c>
      <c r="E63">
        <f t="shared" si="1"/>
        <v>0.2437919533137336</v>
      </c>
      <c r="F63">
        <f t="shared" si="2"/>
        <v>0.72173944647189869</v>
      </c>
    </row>
    <row r="64" spans="3:6">
      <c r="C64">
        <v>-1.38</v>
      </c>
      <c r="D64">
        <f t="shared" si="0"/>
        <v>0.4806024069677165</v>
      </c>
      <c r="E64">
        <f t="shared" si="1"/>
        <v>0.29262921707202977</v>
      </c>
      <c r="F64">
        <f t="shared" si="2"/>
        <v>0.77323162403974632</v>
      </c>
    </row>
    <row r="65" spans="3:6">
      <c r="C65">
        <v>-1.37</v>
      </c>
      <c r="D65">
        <f t="shared" si="0"/>
        <v>0.48327597037136161</v>
      </c>
      <c r="E65">
        <f t="shared" si="1"/>
        <v>0.29526676178756661</v>
      </c>
      <c r="F65">
        <f t="shared" si="2"/>
        <v>0.77854273215892822</v>
      </c>
    </row>
    <row r="66" spans="3:6">
      <c r="C66">
        <v>-1.36</v>
      </c>
      <c r="D66">
        <f t="shared" si="0"/>
        <v>0.48596831437424215</v>
      </c>
      <c r="E66">
        <f t="shared" si="1"/>
        <v>0.25128817714410945</v>
      </c>
      <c r="F66">
        <f t="shared" si="2"/>
        <v>0.7372564915183516</v>
      </c>
    </row>
    <row r="67" spans="3:6">
      <c r="C67">
        <v>-1.35</v>
      </c>
      <c r="D67">
        <f t="shared" ref="D67:D130" si="3">EXP($A$3*C67)+0.1</f>
        <v>0.48867957090175307</v>
      </c>
      <c r="E67">
        <f t="shared" ref="E67:E130" si="4">$A$1*SIN($A$2*C67)</f>
        <v>0.16763671465548488</v>
      </c>
      <c r="F67">
        <f t="shared" ref="F67:F130" si="5">D67+E67</f>
        <v>0.65631628555723798</v>
      </c>
    </row>
    <row r="68" spans="3:6">
      <c r="C68">
        <v>-1.34</v>
      </c>
      <c r="D68">
        <f t="shared" si="3"/>
        <v>0.49140987280600656</v>
      </c>
      <c r="E68">
        <f t="shared" si="4"/>
        <v>5.7519100919809753E-2</v>
      </c>
      <c r="F68">
        <f t="shared" si="5"/>
        <v>0.54892897372581628</v>
      </c>
    </row>
    <row r="69" spans="3:6">
      <c r="C69">
        <v>-1.33</v>
      </c>
      <c r="D69">
        <f t="shared" si="3"/>
        <v>0.49415935387234222</v>
      </c>
      <c r="E69">
        <f t="shared" si="4"/>
        <v>-6.1679514120780349E-2</v>
      </c>
      <c r="F69">
        <f t="shared" si="5"/>
        <v>0.4324798397515619</v>
      </c>
    </row>
    <row r="70" spans="3:6">
      <c r="C70">
        <v>-1.32</v>
      </c>
      <c r="D70">
        <f t="shared" si="3"/>
        <v>0.49692814882588254</v>
      </c>
      <c r="E70">
        <f t="shared" si="4"/>
        <v>-0.17114029009121168</v>
      </c>
      <c r="F70">
        <f t="shared" si="5"/>
        <v>0.32578785873467087</v>
      </c>
    </row>
    <row r="71" spans="3:6">
      <c r="C71">
        <v>-1.31</v>
      </c>
      <c r="D71">
        <f t="shared" si="3"/>
        <v>0.49971639333813411</v>
      </c>
      <c r="E71">
        <f t="shared" si="4"/>
        <v>-0.25358177728992692</v>
      </c>
      <c r="F71">
        <f t="shared" si="5"/>
        <v>0.24613461604820719</v>
      </c>
    </row>
    <row r="72" spans="3:6">
      <c r="C72">
        <v>-1.3</v>
      </c>
      <c r="D72">
        <f t="shared" si="3"/>
        <v>0.50252422403363606</v>
      </c>
      <c r="E72">
        <f t="shared" si="4"/>
        <v>-0.29598827761214558</v>
      </c>
      <c r="F72">
        <f t="shared" si="5"/>
        <v>0.20653594642149048</v>
      </c>
    </row>
    <row r="73" spans="3:6">
      <c r="C73">
        <v>-1.29</v>
      </c>
      <c r="D73">
        <f t="shared" si="3"/>
        <v>0.50535177849665402</v>
      </c>
      <c r="E73">
        <f t="shared" si="4"/>
        <v>-0.2916647370913617</v>
      </c>
      <c r="F73">
        <f t="shared" si="5"/>
        <v>0.21368704140529232</v>
      </c>
    </row>
    <row r="74" spans="3:6">
      <c r="C74">
        <v>-1.28</v>
      </c>
      <c r="D74">
        <f t="shared" si="3"/>
        <v>0.50819919527792268</v>
      </c>
      <c r="E74">
        <f t="shared" si="4"/>
        <v>-0.24129374770977421</v>
      </c>
      <c r="F74">
        <f t="shared" si="5"/>
        <v>0.26690544756814849</v>
      </c>
    </row>
    <row r="75" spans="3:6">
      <c r="C75">
        <v>-1.27</v>
      </c>
      <c r="D75">
        <f t="shared" si="3"/>
        <v>0.51106661390143404</v>
      </c>
      <c r="E75">
        <f t="shared" si="4"/>
        <v>-0.15282778113312878</v>
      </c>
      <c r="F75">
        <f t="shared" si="5"/>
        <v>0.35823883276830526</v>
      </c>
    </row>
    <row r="76" spans="3:6">
      <c r="C76">
        <v>-1.26</v>
      </c>
      <c r="D76">
        <f t="shared" si="3"/>
        <v>0.51395417487127415</v>
      </c>
      <c r="E76">
        <f t="shared" si="4"/>
        <v>-4.0233668293697143E-2</v>
      </c>
      <c r="F76">
        <f t="shared" si="5"/>
        <v>0.47372050657757703</v>
      </c>
    </row>
    <row r="77" spans="3:6">
      <c r="C77">
        <v>-1.25</v>
      </c>
      <c r="D77">
        <f t="shared" si="3"/>
        <v>0.51686201967850842</v>
      </c>
      <c r="E77">
        <f t="shared" si="4"/>
        <v>7.8712456111178622E-2</v>
      </c>
      <c r="F77">
        <f t="shared" si="5"/>
        <v>0.59557447578968703</v>
      </c>
    </row>
    <row r="78" spans="3:6">
      <c r="C78">
        <v>-1.24</v>
      </c>
      <c r="D78">
        <f t="shared" si="3"/>
        <v>0.51979029080811423</v>
      </c>
      <c r="E78">
        <f t="shared" si="4"/>
        <v>0.18523161442603853</v>
      </c>
      <c r="F78">
        <f t="shared" si="5"/>
        <v>0.70502190523415276</v>
      </c>
    </row>
    <row r="79" spans="3:6">
      <c r="C79">
        <v>-1.23</v>
      </c>
      <c r="D79">
        <f t="shared" si="3"/>
        <v>0.52273913174596287</v>
      </c>
      <c r="E79">
        <f t="shared" si="4"/>
        <v>0.26250677369683401</v>
      </c>
      <c r="F79">
        <f t="shared" si="5"/>
        <v>0.78524590544279693</v>
      </c>
    </row>
    <row r="80" spans="3:6">
      <c r="C80">
        <v>-1.22</v>
      </c>
      <c r="D80">
        <f t="shared" si="3"/>
        <v>0.52570868698585016</v>
      </c>
      <c r="E80">
        <f t="shared" si="4"/>
        <v>0.29833788540135464</v>
      </c>
      <c r="F80">
        <f t="shared" si="5"/>
        <v>0.8240465723872048</v>
      </c>
    </row>
    <row r="81" spans="3:6">
      <c r="C81">
        <v>-1.21</v>
      </c>
      <c r="D81">
        <f t="shared" si="3"/>
        <v>0.52869910203657722</v>
      </c>
      <c r="E81">
        <f t="shared" si="4"/>
        <v>0.28706800485614631</v>
      </c>
      <c r="F81">
        <f t="shared" si="5"/>
        <v>0.81576710689272347</v>
      </c>
    </row>
    <row r="82" spans="3:6">
      <c r="C82">
        <v>-1.2</v>
      </c>
      <c r="D82">
        <f t="shared" si="3"/>
        <v>0.53171052342907976</v>
      </c>
      <c r="E82">
        <f t="shared" si="4"/>
        <v>0.23047639839710005</v>
      </c>
      <c r="F82">
        <f t="shared" si="5"/>
        <v>0.76218692182617986</v>
      </c>
    </row>
    <row r="83" spans="3:6">
      <c r="C83">
        <v>-1.19</v>
      </c>
      <c r="D83">
        <f t="shared" si="3"/>
        <v>0.53474309872360848</v>
      </c>
      <c r="E83">
        <f t="shared" si="4"/>
        <v>0.13749763634752785</v>
      </c>
      <c r="F83">
        <f t="shared" si="5"/>
        <v>0.67224073507113635</v>
      </c>
    </row>
    <row r="84" spans="3:6">
      <c r="C84">
        <v>-1.18</v>
      </c>
      <c r="D84">
        <f t="shared" si="3"/>
        <v>0.53779697651695968</v>
      </c>
      <c r="E84">
        <f t="shared" si="4"/>
        <v>2.2811020817503944E-2</v>
      </c>
      <c r="F84">
        <f t="shared" si="5"/>
        <v>0.56060799733446365</v>
      </c>
    </row>
    <row r="85" spans="3:6">
      <c r="C85">
        <v>-1.17</v>
      </c>
      <c r="D85">
        <f t="shared" si="3"/>
        <v>0.54087230644975615</v>
      </c>
      <c r="E85">
        <f t="shared" si="4"/>
        <v>-9.5476953330746461E-2</v>
      </c>
      <c r="F85">
        <f t="shared" si="5"/>
        <v>0.44539535311900968</v>
      </c>
    </row>
    <row r="86" spans="3:6">
      <c r="C86">
        <v>-1.1599999999999999</v>
      </c>
      <c r="D86">
        <f t="shared" si="3"/>
        <v>0.54396923921378004</v>
      </c>
      <c r="E86">
        <f t="shared" si="4"/>
        <v>-0.19869121589587285</v>
      </c>
      <c r="F86">
        <f t="shared" si="5"/>
        <v>0.34527802331790719</v>
      </c>
    </row>
    <row r="87" spans="3:6">
      <c r="C87">
        <v>-1.1499999999999999</v>
      </c>
      <c r="D87">
        <f t="shared" si="3"/>
        <v>0.54708792655935645</v>
      </c>
      <c r="E87">
        <f t="shared" si="4"/>
        <v>-0.27053650429464277</v>
      </c>
      <c r="F87">
        <f t="shared" si="5"/>
        <v>0.27655142226471369</v>
      </c>
    </row>
    <row r="88" spans="3:6">
      <c r="C88">
        <v>-1.1399999999999999</v>
      </c>
      <c r="D88">
        <f t="shared" si="3"/>
        <v>0.55022852130278921</v>
      </c>
      <c r="E88">
        <f t="shared" si="4"/>
        <v>-0.29967002722350639</v>
      </c>
      <c r="F88">
        <f t="shared" si="5"/>
        <v>0.25055849407928282</v>
      </c>
    </row>
    <row r="89" spans="3:6">
      <c r="C89">
        <v>-1.1299999999999999</v>
      </c>
      <c r="D89">
        <f t="shared" si="3"/>
        <v>0.55339117733384924</v>
      </c>
      <c r="E89">
        <f t="shared" si="4"/>
        <v>-0.28149224200006556</v>
      </c>
      <c r="F89">
        <f t="shared" si="5"/>
        <v>0.27189893533378368</v>
      </c>
    </row>
    <row r="90" spans="3:6">
      <c r="C90">
        <v>-1.1200000000000001</v>
      </c>
      <c r="D90">
        <f t="shared" si="3"/>
        <v>0.55657604962331475</v>
      </c>
      <c r="E90">
        <f t="shared" si="4"/>
        <v>-0.21887302121785748</v>
      </c>
      <c r="F90">
        <f t="shared" si="5"/>
        <v>0.3377030284054573</v>
      </c>
    </row>
    <row r="91" spans="3:6">
      <c r="C91">
        <v>-1.1100000000000001</v>
      </c>
      <c r="D91">
        <f t="shared" si="3"/>
        <v>0.55978329423056516</v>
      </c>
      <c r="E91">
        <f t="shared" si="4"/>
        <v>-0.1216985629666027</v>
      </c>
      <c r="F91">
        <f t="shared" si="5"/>
        <v>0.43808473126396247</v>
      </c>
    </row>
    <row r="92" spans="3:6">
      <c r="C92">
        <v>-1.1000000000000001</v>
      </c>
      <c r="D92">
        <f t="shared" si="3"/>
        <v>0.5630130683112281</v>
      </c>
      <c r="E92">
        <f t="shared" si="4"/>
        <v>-5.3105775316240732E-3</v>
      </c>
      <c r="F92">
        <f t="shared" si="5"/>
        <v>0.55770249077960399</v>
      </c>
    </row>
    <row r="93" spans="3:6">
      <c r="C93">
        <v>-1.0900000000000001</v>
      </c>
      <c r="D93">
        <f t="shared" si="3"/>
        <v>0.56626553012487957</v>
      </c>
      <c r="E93">
        <f t="shared" si="4"/>
        <v>0.11191583132658663</v>
      </c>
      <c r="F93">
        <f t="shared" si="5"/>
        <v>0.67818136145146624</v>
      </c>
    </row>
    <row r="94" spans="3:6">
      <c r="C94">
        <v>-1.08</v>
      </c>
      <c r="D94">
        <f t="shared" si="3"/>
        <v>0.56954083904279929</v>
      </c>
      <c r="E94">
        <f t="shared" si="4"/>
        <v>0.21147319122427441</v>
      </c>
      <c r="F94">
        <f t="shared" si="5"/>
        <v>0.78101403026707372</v>
      </c>
    </row>
    <row r="95" spans="3:6">
      <c r="C95">
        <v>-1.07</v>
      </c>
      <c r="D95">
        <f t="shared" si="3"/>
        <v>0.57283915555577958</v>
      </c>
      <c r="E95">
        <f t="shared" si="4"/>
        <v>0.27764358410139839</v>
      </c>
      <c r="F95">
        <f t="shared" si="5"/>
        <v>0.85048273965717791</v>
      </c>
    </row>
    <row r="96" spans="3:6">
      <c r="C96">
        <v>-1.06</v>
      </c>
      <c r="D96">
        <f t="shared" si="3"/>
        <v>0.57616064128198941</v>
      </c>
      <c r="E96">
        <f t="shared" si="4"/>
        <v>0.29998015987764109</v>
      </c>
      <c r="F96">
        <f t="shared" si="5"/>
        <v>0.87614080115963056</v>
      </c>
    </row>
    <row r="97" spans="3:6">
      <c r="C97">
        <v>-1.05</v>
      </c>
      <c r="D97">
        <f t="shared" si="3"/>
        <v>0.57950545897489414</v>
      </c>
      <c r="E97">
        <f t="shared" si="4"/>
        <v>0.27495646437469012</v>
      </c>
      <c r="F97">
        <f t="shared" si="5"/>
        <v>0.85446192334958426</v>
      </c>
    </row>
    <row r="98" spans="3:6">
      <c r="C98">
        <v>-1.04</v>
      </c>
      <c r="D98">
        <f t="shared" si="3"/>
        <v>0.58287377253122974</v>
      </c>
      <c r="E98">
        <f t="shared" si="4"/>
        <v>0.20652318889130111</v>
      </c>
      <c r="F98">
        <f t="shared" si="5"/>
        <v>0.78939696142253091</v>
      </c>
    </row>
    <row r="99" spans="3:6">
      <c r="C99">
        <v>-1.03</v>
      </c>
      <c r="D99">
        <f t="shared" si="3"/>
        <v>0.58626574699903455</v>
      </c>
      <c r="E99">
        <f t="shared" si="4"/>
        <v>0.10548444291504488</v>
      </c>
      <c r="F99">
        <f t="shared" si="5"/>
        <v>0.69175018991407944</v>
      </c>
    </row>
    <row r="100" spans="3:6">
      <c r="C100">
        <v>-1.02</v>
      </c>
      <c r="D100">
        <f t="shared" si="3"/>
        <v>0.58968154858573618</v>
      </c>
      <c r="E100">
        <f t="shared" si="4"/>
        <v>-1.2207977204959456E-2</v>
      </c>
      <c r="F100">
        <f t="shared" si="5"/>
        <v>0.57747357138077671</v>
      </c>
    </row>
    <row r="101" spans="3:6">
      <c r="C101">
        <v>-1.01</v>
      </c>
      <c r="D101">
        <f t="shared" si="3"/>
        <v>0.59312134466629574</v>
      </c>
      <c r="E101">
        <f t="shared" si="4"/>
        <v>-0.12797302615337194</v>
      </c>
      <c r="F101">
        <f t="shared" si="5"/>
        <v>0.46514831851292382</v>
      </c>
    </row>
    <row r="102" spans="3:6">
      <c r="C102">
        <v>-1</v>
      </c>
      <c r="D102">
        <f t="shared" si="3"/>
        <v>0.5965853037914095</v>
      </c>
      <c r="E102">
        <f t="shared" si="4"/>
        <v>-0.22353394814380464</v>
      </c>
      <c r="F102">
        <f t="shared" si="5"/>
        <v>0.37305135564760483</v>
      </c>
    </row>
    <row r="103" spans="3:6">
      <c r="C103">
        <v>-0.99</v>
      </c>
      <c r="D103">
        <f t="shared" si="3"/>
        <v>0.60007359569576768</v>
      </c>
      <c r="E103">
        <f t="shared" si="4"/>
        <v>-0.28380377478807245</v>
      </c>
      <c r="F103">
        <f t="shared" si="5"/>
        <v>0.31626982090769523</v>
      </c>
    </row>
    <row r="104" spans="3:6">
      <c r="C104">
        <v>-0.98</v>
      </c>
      <c r="D104">
        <f t="shared" si="3"/>
        <v>0.60358639130637148</v>
      </c>
      <c r="E104">
        <f t="shared" si="4"/>
        <v>-0.29926722567234154</v>
      </c>
      <c r="F104">
        <f t="shared" si="5"/>
        <v>0.30431916563402994</v>
      </c>
    </row>
    <row r="105" spans="3:6">
      <c r="C105">
        <v>-0.97</v>
      </c>
      <c r="D105">
        <f t="shared" si="3"/>
        <v>0.60712386275090868</v>
      </c>
      <c r="E105">
        <f t="shared" si="4"/>
        <v>-0.2674829619124322</v>
      </c>
      <c r="F105">
        <f t="shared" si="5"/>
        <v>0.33964090083847648</v>
      </c>
    </row>
    <row r="106" spans="3:6">
      <c r="C106">
        <v>-0.96</v>
      </c>
      <c r="D106">
        <f t="shared" si="3"/>
        <v>0.61068618336618785</v>
      </c>
      <c r="E106">
        <f t="shared" si="4"/>
        <v>-0.19346901988346019</v>
      </c>
      <c r="F106">
        <f t="shared" si="5"/>
        <v>0.41721716348272764</v>
      </c>
    </row>
    <row r="107" spans="3:6">
      <c r="C107">
        <v>-0.95</v>
      </c>
      <c r="D107">
        <f t="shared" si="3"/>
        <v>0.61427352770663202</v>
      </c>
      <c r="E107">
        <f t="shared" si="4"/>
        <v>-8.8910573612815597E-2</v>
      </c>
      <c r="F107">
        <f t="shared" si="5"/>
        <v>0.52536295409381639</v>
      </c>
    </row>
    <row r="108" spans="3:6">
      <c r="C108">
        <v>-0.94</v>
      </c>
      <c r="D108">
        <f t="shared" si="3"/>
        <v>0.61788607155283148</v>
      </c>
      <c r="E108">
        <f t="shared" si="4"/>
        <v>2.968489726508898E-2</v>
      </c>
      <c r="F108">
        <f t="shared" si="5"/>
        <v>0.64757096881792042</v>
      </c>
    </row>
    <row r="109" spans="3:6">
      <c r="C109">
        <v>-0.93</v>
      </c>
      <c r="D109">
        <f t="shared" si="3"/>
        <v>0.6215239919201575</v>
      </c>
      <c r="E109">
        <f t="shared" si="4"/>
        <v>0.1435937755765245</v>
      </c>
      <c r="F109">
        <f t="shared" si="5"/>
        <v>0.76511776749668203</v>
      </c>
    </row>
    <row r="110" spans="3:6">
      <c r="C110">
        <v>-0.92</v>
      </c>
      <c r="D110">
        <f t="shared" si="3"/>
        <v>0.62518746706743611</v>
      </c>
      <c r="E110">
        <f t="shared" si="4"/>
        <v>0.23483235406519498</v>
      </c>
      <c r="F110">
        <f t="shared" si="5"/>
        <v>0.86001982113263109</v>
      </c>
    </row>
    <row r="111" spans="3:6">
      <c r="C111">
        <v>-0.91</v>
      </c>
      <c r="D111">
        <f t="shared" si="3"/>
        <v>0.62887667650568246</v>
      </c>
      <c r="E111">
        <f t="shared" si="4"/>
        <v>0.28899606734212824</v>
      </c>
      <c r="F111">
        <f t="shared" si="5"/>
        <v>0.9178727438478107</v>
      </c>
    </row>
    <row r="112" spans="3:6">
      <c r="C112">
        <v>-0.9</v>
      </c>
      <c r="D112">
        <f t="shared" si="3"/>
        <v>0.63259180100689716</v>
      </c>
      <c r="E112">
        <f t="shared" si="4"/>
        <v>0.29753365603293475</v>
      </c>
      <c r="F112">
        <f t="shared" si="5"/>
        <v>0.93012545703983185</v>
      </c>
    </row>
    <row r="113" spans="3:6">
      <c r="C113">
        <v>-0.89</v>
      </c>
      <c r="D113">
        <f t="shared" si="3"/>
        <v>0.63633302261292413</v>
      </c>
      <c r="E113">
        <f t="shared" si="4"/>
        <v>0.25909722260788681</v>
      </c>
      <c r="F113">
        <f t="shared" si="5"/>
        <v>0.89543024522081094</v>
      </c>
    </row>
    <row r="114" spans="3:6">
      <c r="C114">
        <v>-0.88</v>
      </c>
      <c r="D114">
        <f t="shared" si="3"/>
        <v>0.64010052464437062</v>
      </c>
      <c r="E114">
        <f t="shared" si="4"/>
        <v>0.17975503476427956</v>
      </c>
      <c r="F114">
        <f t="shared" si="5"/>
        <v>0.81985555940865018</v>
      </c>
    </row>
    <row r="115" spans="3:6">
      <c r="C115">
        <v>-0.87</v>
      </c>
      <c r="D115">
        <f t="shared" si="3"/>
        <v>0.6438944917095899</v>
      </c>
      <c r="E115">
        <f t="shared" si="4"/>
        <v>7.2033479386132346E-2</v>
      </c>
      <c r="F115">
        <f t="shared" si="5"/>
        <v>0.71592797109572226</v>
      </c>
    </row>
    <row r="116" spans="3:6">
      <c r="C116">
        <v>-0.86</v>
      </c>
      <c r="D116">
        <f t="shared" si="3"/>
        <v>0.64771510971372748</v>
      </c>
      <c r="E116">
        <f t="shared" si="4"/>
        <v>-4.7060578514522999E-2</v>
      </c>
      <c r="F116">
        <f t="shared" si="5"/>
        <v>0.60065453119920442</v>
      </c>
    </row>
    <row r="117" spans="3:6">
      <c r="C117">
        <v>-0.85</v>
      </c>
      <c r="D117">
        <f t="shared" si="3"/>
        <v>0.65156256586782979</v>
      </c>
      <c r="E117">
        <f t="shared" si="4"/>
        <v>-0.15872480583600715</v>
      </c>
      <c r="F117">
        <f t="shared" si="5"/>
        <v>0.49283776003182267</v>
      </c>
    </row>
    <row r="118" spans="3:6">
      <c r="C118">
        <v>-0.84</v>
      </c>
      <c r="D118">
        <f t="shared" si="3"/>
        <v>0.65543704869801822</v>
      </c>
      <c r="E118">
        <f t="shared" si="4"/>
        <v>-0.24532987635793252</v>
      </c>
      <c r="F118">
        <f t="shared" si="5"/>
        <v>0.4101071723400857</v>
      </c>
    </row>
    <row r="119" spans="3:6">
      <c r="C119">
        <v>-0.83</v>
      </c>
      <c r="D119">
        <f t="shared" si="3"/>
        <v>0.65933874805472681</v>
      </c>
      <c r="E119">
        <f t="shared" si="4"/>
        <v>-0.29320275371767801</v>
      </c>
      <c r="F119">
        <f t="shared" si="5"/>
        <v>0.3661359943370488</v>
      </c>
    </row>
    <row r="120" spans="3:6">
      <c r="C120">
        <v>-0.82</v>
      </c>
      <c r="D120">
        <f t="shared" si="3"/>
        <v>0.6632678551220047</v>
      </c>
      <c r="E120">
        <f t="shared" si="4"/>
        <v>-0.29478536320924187</v>
      </c>
      <c r="F120">
        <f t="shared" si="5"/>
        <v>0.36848249191276283</v>
      </c>
    </row>
    <row r="121" spans="3:6">
      <c r="C121">
        <v>-0.81</v>
      </c>
      <c r="D121">
        <f t="shared" si="3"/>
        <v>0.6672245624268841</v>
      </c>
      <c r="E121">
        <f t="shared" si="4"/>
        <v>-0.24982784559233509</v>
      </c>
      <c r="F121">
        <f t="shared" si="5"/>
        <v>0.41739671683454904</v>
      </c>
    </row>
    <row r="122" spans="3:6">
      <c r="C122">
        <v>-0.8</v>
      </c>
      <c r="D122">
        <f t="shared" si="3"/>
        <v>0.67120906384881485</v>
      </c>
      <c r="E122">
        <f t="shared" si="4"/>
        <v>-0.16542800437250718</v>
      </c>
      <c r="F122">
        <f t="shared" si="5"/>
        <v>0.50578105947630769</v>
      </c>
    </row>
    <row r="123" spans="3:6">
      <c r="C123">
        <v>-0.79</v>
      </c>
      <c r="D123">
        <f t="shared" si="3"/>
        <v>0.67522155462916389</v>
      </c>
      <c r="E123">
        <f t="shared" si="4"/>
        <v>-5.4910718694176401E-2</v>
      </c>
      <c r="F123">
        <f t="shared" si="5"/>
        <v>0.62031083593498748</v>
      </c>
    </row>
    <row r="124" spans="3:6">
      <c r="C124">
        <v>-0.78</v>
      </c>
      <c r="D124">
        <f t="shared" si="3"/>
        <v>0.67926223138078212</v>
      </c>
      <c r="E124">
        <f t="shared" si="4"/>
        <v>6.4275762088765259E-2</v>
      </c>
      <c r="F124">
        <f t="shared" si="5"/>
        <v>0.74353799346954741</v>
      </c>
    </row>
    <row r="125" spans="3:6">
      <c r="C125">
        <v>-0.77</v>
      </c>
      <c r="D125">
        <f t="shared" si="3"/>
        <v>0.68333129209763888</v>
      </c>
      <c r="E125">
        <f t="shared" si="4"/>
        <v>0.17331451333371953</v>
      </c>
      <c r="F125">
        <f t="shared" si="5"/>
        <v>0.85664580543135838</v>
      </c>
    </row>
    <row r="126" spans="3:6">
      <c r="C126">
        <v>-0.76</v>
      </c>
      <c r="D126">
        <f t="shared" si="3"/>
        <v>0.6874289361645235</v>
      </c>
      <c r="E126">
        <f t="shared" si="4"/>
        <v>0.25499071376379839</v>
      </c>
      <c r="F126">
        <f t="shared" si="5"/>
        <v>0.94241964992832195</v>
      </c>
    </row>
    <row r="127" spans="3:6">
      <c r="C127">
        <v>-0.75</v>
      </c>
      <c r="D127">
        <f t="shared" si="3"/>
        <v>0.69155536436681508</v>
      </c>
      <c r="E127">
        <f t="shared" si="4"/>
        <v>0.29640948722785854</v>
      </c>
      <c r="F127">
        <f t="shared" si="5"/>
        <v>0.98796485159467362</v>
      </c>
    </row>
    <row r="128" spans="3:6">
      <c r="C128">
        <v>-0.74</v>
      </c>
      <c r="D128">
        <f t="shared" si="3"/>
        <v>0.69571077890032118</v>
      </c>
      <c r="E128">
        <f t="shared" si="4"/>
        <v>0.29103172011215561</v>
      </c>
      <c r="F128">
        <f t="shared" si="5"/>
        <v>0.98674249901247679</v>
      </c>
    </row>
    <row r="129" spans="3:6">
      <c r="C129">
        <v>-0.73</v>
      </c>
      <c r="D129">
        <f t="shared" si="3"/>
        <v>0.69989538338118551</v>
      </c>
      <c r="E129">
        <f t="shared" si="4"/>
        <v>0.23970644359788409</v>
      </c>
      <c r="F129">
        <f t="shared" si="5"/>
        <v>0.93960182697906958</v>
      </c>
    </row>
    <row r="130" spans="3:6">
      <c r="C130">
        <v>-0.72</v>
      </c>
      <c r="D130">
        <f t="shared" si="3"/>
        <v>0.70410938285586466</v>
      </c>
      <c r="E130">
        <f t="shared" si="4"/>
        <v>0.15053679030617131</v>
      </c>
      <c r="F130">
        <f t="shared" si="5"/>
        <v>0.85464617316203595</v>
      </c>
    </row>
    <row r="131" spans="3:6">
      <c r="C131">
        <v>-0.71</v>
      </c>
      <c r="D131">
        <f t="shared" ref="D131:D194" si="6">EXP($A$3*C131)+0.1</f>
        <v>0.70835298381117628</v>
      </c>
      <c r="E131">
        <f t="shared" ref="E131:E194" si="7">$A$1*SIN($A$2*C131)</f>
        <v>3.7600687828928732E-2</v>
      </c>
      <c r="F131">
        <f t="shared" ref="F131:F194" si="8">D131+E131</f>
        <v>0.74595367164010506</v>
      </c>
    </row>
    <row r="132" spans="3:6">
      <c r="C132">
        <v>-0.7</v>
      </c>
      <c r="D132">
        <f t="shared" si="6"/>
        <v>0.71262639418441609</v>
      </c>
      <c r="E132">
        <f t="shared" si="7"/>
        <v>-8.1271736492360705E-2</v>
      </c>
      <c r="F132">
        <f t="shared" si="8"/>
        <v>0.63135465769205534</v>
      </c>
    </row>
    <row r="133" spans="3:6">
      <c r="C133">
        <v>-0.69</v>
      </c>
      <c r="D133">
        <f t="shared" si="6"/>
        <v>0.71692982337354749</v>
      </c>
      <c r="E133">
        <f t="shared" si="7"/>
        <v>-0.18731314062491825</v>
      </c>
      <c r="F133">
        <f t="shared" si="8"/>
        <v>0.52961668274862927</v>
      </c>
    </row>
    <row r="134" spans="3:6">
      <c r="C134">
        <v>-0.68</v>
      </c>
      <c r="D134">
        <f t="shared" si="6"/>
        <v>0.72126348224746173</v>
      </c>
      <c r="E134">
        <f t="shared" si="7"/>
        <v>-0.26378191849521676</v>
      </c>
      <c r="F134">
        <f t="shared" si="8"/>
        <v>0.45748156375224497</v>
      </c>
    </row>
    <row r="135" spans="3:6">
      <c r="C135">
        <v>-0.67</v>
      </c>
      <c r="D135">
        <f t="shared" si="6"/>
        <v>0.72562758315631071</v>
      </c>
      <c r="E135">
        <f t="shared" si="7"/>
        <v>-0.29860533147346774</v>
      </c>
      <c r="F135">
        <f t="shared" si="8"/>
        <v>0.42702225168284297</v>
      </c>
    </row>
    <row r="136" spans="3:6">
      <c r="C136">
        <v>-0.66</v>
      </c>
      <c r="D136">
        <f t="shared" si="6"/>
        <v>0.73002233994191223</v>
      </c>
      <c r="E136">
        <f t="shared" si="7"/>
        <v>-0.2862855283478094</v>
      </c>
      <c r="F136">
        <f t="shared" si="8"/>
        <v>0.44373681159410283</v>
      </c>
    </row>
    <row r="137" spans="3:6">
      <c r="C137">
        <v>-0.65</v>
      </c>
      <c r="D137">
        <f t="shared" si="6"/>
        <v>0.7344479679482282</v>
      </c>
      <c r="E137">
        <f t="shared" si="7"/>
        <v>-0.22876753514388079</v>
      </c>
      <c r="F137">
        <f t="shared" si="8"/>
        <v>0.50568043280434738</v>
      </c>
    </row>
    <row r="138" spans="3:6">
      <c r="C138">
        <v>-0.64</v>
      </c>
      <c r="D138">
        <f t="shared" si="6"/>
        <v>0.73890468403191623</v>
      </c>
      <c r="E138">
        <f t="shared" si="7"/>
        <v>-0.13513217828261678</v>
      </c>
      <c r="F138">
        <f t="shared" si="8"/>
        <v>0.60377250574929942</v>
      </c>
    </row>
    <row r="139" spans="3:6">
      <c r="C139">
        <v>-0.63</v>
      </c>
      <c r="D139">
        <f t="shared" si="6"/>
        <v>0.7433927065729562</v>
      </c>
      <c r="E139">
        <f t="shared" si="7"/>
        <v>-2.0162421757642476E-2</v>
      </c>
      <c r="F139">
        <f t="shared" si="8"/>
        <v>0.72323028481531371</v>
      </c>
    </row>
    <row r="140" spans="3:6">
      <c r="C140">
        <v>-0.62</v>
      </c>
      <c r="D140">
        <f t="shared" si="6"/>
        <v>0.74791225548535056</v>
      </c>
      <c r="E140">
        <f t="shared" si="7"/>
        <v>9.799053783141666E-2</v>
      </c>
      <c r="F140">
        <f t="shared" si="8"/>
        <v>0.84590279331676721</v>
      </c>
    </row>
    <row r="141" spans="3:6">
      <c r="C141">
        <v>-0.61</v>
      </c>
      <c r="D141">
        <f t="shared" si="6"/>
        <v>0.7524635522279004</v>
      </c>
      <c r="E141">
        <f t="shared" si="7"/>
        <v>0.20067294611340727</v>
      </c>
      <c r="F141">
        <f t="shared" si="8"/>
        <v>0.95313649834130765</v>
      </c>
    </row>
    <row r="142" spans="3:6">
      <c r="C142">
        <v>-0.6</v>
      </c>
      <c r="D142">
        <f t="shared" si="6"/>
        <v>0.75704681981505673</v>
      </c>
      <c r="E142">
        <f t="shared" si="7"/>
        <v>0.27167350860198713</v>
      </c>
      <c r="F142">
        <f t="shared" si="8"/>
        <v>1.0287203284170439</v>
      </c>
    </row>
    <row r="143" spans="3:6">
      <c r="C143">
        <v>-0.59</v>
      </c>
      <c r="D143">
        <f t="shared" si="6"/>
        <v>0.76166228282784831</v>
      </c>
      <c r="E143">
        <f t="shared" si="7"/>
        <v>0.29978279764098831</v>
      </c>
      <c r="F143">
        <f t="shared" si="8"/>
        <v>1.0614450804688367</v>
      </c>
    </row>
    <row r="144" spans="3:6">
      <c r="C144">
        <v>-0.57999999999999996</v>
      </c>
      <c r="D144">
        <f t="shared" si="6"/>
        <v>0.76631016742488633</v>
      </c>
      <c r="E144">
        <f t="shared" si="7"/>
        <v>0.28056297455836166</v>
      </c>
      <c r="F144">
        <f t="shared" si="8"/>
        <v>1.046873141983248</v>
      </c>
    </row>
    <row r="145" spans="3:6">
      <c r="C145">
        <v>-0.56999999999999995</v>
      </c>
      <c r="D145">
        <f t="shared" si="6"/>
        <v>0.77099070135344594</v>
      </c>
      <c r="E145">
        <f t="shared" si="7"/>
        <v>0.21704842681327274</v>
      </c>
      <c r="F145">
        <f t="shared" si="8"/>
        <v>0.98803912816671868</v>
      </c>
    </row>
    <row r="146" spans="3:6">
      <c r="C146">
        <v>-0.56000000000000005</v>
      </c>
      <c r="D146">
        <f t="shared" si="6"/>
        <v>0.775704113960626</v>
      </c>
      <c r="E146">
        <f t="shared" si="7"/>
        <v>0.11926670493643084</v>
      </c>
      <c r="F146">
        <f t="shared" si="8"/>
        <v>0.89497081889705687</v>
      </c>
    </row>
    <row r="147" spans="3:6">
      <c r="C147">
        <v>-0.55000000000000004</v>
      </c>
      <c r="D147">
        <f t="shared" si="6"/>
        <v>0.78045063620458766</v>
      </c>
      <c r="E147">
        <f t="shared" si="7"/>
        <v>2.6553927871211629E-3</v>
      </c>
      <c r="F147">
        <f t="shared" si="8"/>
        <v>0.78310602899170878</v>
      </c>
    </row>
    <row r="148" spans="3:6">
      <c r="C148">
        <v>-0.54</v>
      </c>
      <c r="D148">
        <f t="shared" si="6"/>
        <v>0.7852305006658703</v>
      </c>
      <c r="E148">
        <f t="shared" si="7"/>
        <v>-0.11437514749648203</v>
      </c>
      <c r="F148">
        <f t="shared" si="8"/>
        <v>0.67085535316938827</v>
      </c>
    </row>
    <row r="149" spans="3:6">
      <c r="C149">
        <v>-0.53</v>
      </c>
      <c r="D149">
        <f t="shared" si="6"/>
        <v>0.79004394155878899</v>
      </c>
      <c r="E149">
        <f t="shared" si="7"/>
        <v>-0.21334836687179398</v>
      </c>
      <c r="F149">
        <f t="shared" si="8"/>
        <v>0.57669557468699506</v>
      </c>
    </row>
    <row r="150" spans="3:6">
      <c r="C150">
        <v>-0.52</v>
      </c>
      <c r="D150">
        <f t="shared" si="6"/>
        <v>0.79489119474291059</v>
      </c>
      <c r="E150">
        <f t="shared" si="7"/>
        <v>-0.27863857022317212</v>
      </c>
      <c r="F150">
        <f t="shared" si="8"/>
        <v>0.51625262451973852</v>
      </c>
    </row>
    <row r="151" spans="3:6">
      <c r="C151">
        <v>-0.51</v>
      </c>
      <c r="D151">
        <f t="shared" si="6"/>
        <v>0.79977249773461101</v>
      </c>
      <c r="E151">
        <f t="shared" si="7"/>
        <v>-0.29993787004280076</v>
      </c>
      <c r="F151">
        <f t="shared" si="8"/>
        <v>0.49983462769181025</v>
      </c>
    </row>
    <row r="152" spans="3:6">
      <c r="C152">
        <v>-0.5</v>
      </c>
      <c r="D152">
        <f t="shared" si="6"/>
        <v>0.80468808971871342</v>
      </c>
      <c r="E152">
        <f t="shared" si="7"/>
        <v>-0.27388357521828827</v>
      </c>
      <c r="F152">
        <f t="shared" si="8"/>
        <v>0.53080451450042521</v>
      </c>
    </row>
    <row r="153" spans="3:6">
      <c r="C153">
        <v>-0.49</v>
      </c>
      <c r="D153">
        <f t="shared" si="6"/>
        <v>0.80963821156020865</v>
      </c>
      <c r="E153">
        <f t="shared" si="7"/>
        <v>-0.20458908602044068</v>
      </c>
      <c r="F153">
        <f t="shared" si="8"/>
        <v>0.60504912553976797</v>
      </c>
    </row>
    <row r="154" spans="3:6">
      <c r="C154">
        <v>-0.48</v>
      </c>
      <c r="D154">
        <f t="shared" si="6"/>
        <v>0.81462310581605735</v>
      </c>
      <c r="E154">
        <f t="shared" si="7"/>
        <v>-0.10299447864596861</v>
      </c>
      <c r="F154">
        <f t="shared" si="8"/>
        <v>0.71162862717008868</v>
      </c>
    </row>
    <row r="155" spans="3:6">
      <c r="C155">
        <v>-0.47</v>
      </c>
      <c r="D155">
        <f t="shared" si="6"/>
        <v>0.8196430167470754</v>
      </c>
      <c r="E155">
        <f t="shared" si="7"/>
        <v>1.4860692263511289E-2</v>
      </c>
      <c r="F155">
        <f t="shared" si="8"/>
        <v>0.83450370901058668</v>
      </c>
    </row>
    <row r="156" spans="3:6">
      <c r="C156">
        <v>-0.46</v>
      </c>
      <c r="D156">
        <f t="shared" si="6"/>
        <v>0.82469819032990288</v>
      </c>
      <c r="E156">
        <f t="shared" si="7"/>
        <v>0.13036968662156806</v>
      </c>
      <c r="F156">
        <f t="shared" si="8"/>
        <v>0.95506787695147088</v>
      </c>
    </row>
    <row r="157" spans="3:6">
      <c r="C157">
        <v>-0.45</v>
      </c>
      <c r="D157">
        <f t="shared" si="6"/>
        <v>0.82978887426905679</v>
      </c>
      <c r="E157">
        <f t="shared" si="7"/>
        <v>0.22529617403150282</v>
      </c>
      <c r="F157">
        <f t="shared" si="8"/>
        <v>1.0550850483005596</v>
      </c>
    </row>
    <row r="158" spans="3:6">
      <c r="C158">
        <v>-0.44</v>
      </c>
      <c r="D158">
        <f t="shared" si="6"/>
        <v>0.83491531800906871</v>
      </c>
      <c r="E158">
        <f t="shared" si="7"/>
        <v>0.28465334937543718</v>
      </c>
      <c r="F158">
        <f t="shared" si="8"/>
        <v>1.119568667384506</v>
      </c>
    </row>
    <row r="159" spans="3:6">
      <c r="C159">
        <v>-0.43</v>
      </c>
      <c r="D159">
        <f t="shared" si="6"/>
        <v>0.84007777274670759</v>
      </c>
      <c r="E159">
        <f t="shared" si="7"/>
        <v>0.29907001981247883</v>
      </c>
      <c r="F159">
        <f t="shared" si="8"/>
        <v>1.1391477925591864</v>
      </c>
    </row>
    <row r="160" spans="3:6">
      <c r="C160">
        <v>-0.42</v>
      </c>
      <c r="D160">
        <f t="shared" si="6"/>
        <v>0.84527649144328865</v>
      </c>
      <c r="E160">
        <f t="shared" si="7"/>
        <v>0.26627011007445134</v>
      </c>
      <c r="F160">
        <f t="shared" si="8"/>
        <v>1.11154660151774</v>
      </c>
    </row>
    <row r="161" spans="3:6">
      <c r="C161">
        <v>-0.41</v>
      </c>
      <c r="D161">
        <f t="shared" si="6"/>
        <v>0.85051172883706794</v>
      </c>
      <c r="E161">
        <f t="shared" si="7"/>
        <v>0.19143200470438423</v>
      </c>
      <c r="F161">
        <f t="shared" si="8"/>
        <v>1.0419437335414521</v>
      </c>
    </row>
    <row r="162" spans="3:6">
      <c r="C162">
        <v>-0.4</v>
      </c>
      <c r="D162">
        <f t="shared" si="6"/>
        <v>0.85578374145572544</v>
      </c>
      <c r="E162">
        <f t="shared" si="7"/>
        <v>8.6370994999519585E-2</v>
      </c>
      <c r="F162">
        <f t="shared" si="8"/>
        <v>0.94215473645524506</v>
      </c>
    </row>
    <row r="163" spans="3:6">
      <c r="C163">
        <v>-0.39</v>
      </c>
      <c r="D163">
        <f t="shared" si="6"/>
        <v>0.86109278762893426</v>
      </c>
      <c r="E163">
        <f t="shared" si="7"/>
        <v>-3.232609568983269E-2</v>
      </c>
      <c r="F163">
        <f t="shared" si="8"/>
        <v>0.82876669193910157</v>
      </c>
    </row>
    <row r="164" spans="3:6">
      <c r="C164">
        <v>-0.38</v>
      </c>
      <c r="D164">
        <f t="shared" si="6"/>
        <v>0.86643912750101915</v>
      </c>
      <c r="E164">
        <f t="shared" si="7"/>
        <v>-0.1459196066561399</v>
      </c>
      <c r="F164">
        <f t="shared" si="8"/>
        <v>0.72051952084487925</v>
      </c>
    </row>
    <row r="165" spans="3:6">
      <c r="C165">
        <v>-0.37</v>
      </c>
      <c r="D165">
        <f t="shared" si="6"/>
        <v>0.8718230230437034</v>
      </c>
      <c r="E165">
        <f t="shared" si="7"/>
        <v>-0.23647562021259488</v>
      </c>
      <c r="F165">
        <f t="shared" si="8"/>
        <v>0.63534740283110858</v>
      </c>
    </row>
    <row r="166" spans="3:6">
      <c r="C166">
        <v>-0.36</v>
      </c>
      <c r="D166">
        <f t="shared" si="6"/>
        <v>0.87724473806894609</v>
      </c>
      <c r="E166">
        <f t="shared" si="7"/>
        <v>-0.28969733296478339</v>
      </c>
      <c r="F166">
        <f t="shared" si="8"/>
        <v>0.5875474051041627</v>
      </c>
    </row>
    <row r="167" spans="3:6">
      <c r="C167">
        <v>-0.35</v>
      </c>
      <c r="D167">
        <f t="shared" si="6"/>
        <v>0.88270453824186812</v>
      </c>
      <c r="E167">
        <f t="shared" si="7"/>
        <v>-0.29718220670846107</v>
      </c>
      <c r="F167">
        <f t="shared" si="8"/>
        <v>0.58552233153340705</v>
      </c>
    </row>
    <row r="168" spans="3:6">
      <c r="C168">
        <v>-0.34</v>
      </c>
      <c r="D168">
        <f t="shared" si="6"/>
        <v>0.88820269109377037</v>
      </c>
      <c r="E168">
        <f t="shared" si="7"/>
        <v>-0.257748544456949</v>
      </c>
      <c r="F168">
        <f t="shared" si="8"/>
        <v>0.63045414663682142</v>
      </c>
    </row>
    <row r="169" spans="3:6">
      <c r="C169">
        <v>-0.33</v>
      </c>
      <c r="D169">
        <f t="shared" si="6"/>
        <v>0.89373946603524279</v>
      </c>
      <c r="E169">
        <f t="shared" si="7"/>
        <v>-0.17762205441216733</v>
      </c>
      <c r="F169">
        <f t="shared" si="8"/>
        <v>0.71611741162307552</v>
      </c>
    </row>
    <row r="170" spans="3:6">
      <c r="C170">
        <v>-0.32</v>
      </c>
      <c r="D170">
        <f t="shared" si="6"/>
        <v>0.89931513436936517</v>
      </c>
      <c r="E170">
        <f t="shared" si="7"/>
        <v>-6.9452947530461676E-2</v>
      </c>
      <c r="F170">
        <f t="shared" si="8"/>
        <v>0.82986218683890345</v>
      </c>
    </row>
    <row r="171" spans="3:6">
      <c r="C171">
        <v>-0.31</v>
      </c>
      <c r="D171">
        <f t="shared" si="6"/>
        <v>0.90492996930500147</v>
      </c>
      <c r="E171">
        <f t="shared" si="7"/>
        <v>4.9681252634492822E-2</v>
      </c>
      <c r="F171">
        <f t="shared" si="8"/>
        <v>0.95461122193949433</v>
      </c>
    </row>
    <row r="172" spans="3:6">
      <c r="C172">
        <v>-0.3</v>
      </c>
      <c r="D172">
        <f t="shared" si="6"/>
        <v>0.91058424597018706</v>
      </c>
      <c r="E172">
        <f t="shared" si="7"/>
        <v>0.16097187540013047</v>
      </c>
      <c r="F172">
        <f t="shared" si="8"/>
        <v>1.0715561213703175</v>
      </c>
    </row>
    <row r="173" spans="3:6">
      <c r="C173">
        <v>-0.28999999999999998</v>
      </c>
      <c r="D173">
        <f t="shared" si="6"/>
        <v>0.91627824142560987</v>
      </c>
      <c r="E173">
        <f t="shared" si="7"/>
        <v>0.24684857849061265</v>
      </c>
      <c r="F173">
        <f t="shared" si="8"/>
        <v>1.1631268199162226</v>
      </c>
    </row>
    <row r="174" spans="3:6">
      <c r="C174">
        <v>-0.28000000000000003</v>
      </c>
      <c r="D174">
        <f t="shared" si="6"/>
        <v>0.92201223467818649</v>
      </c>
      <c r="E174">
        <f t="shared" si="7"/>
        <v>0.29375331874539506</v>
      </c>
      <c r="F174">
        <f t="shared" si="8"/>
        <v>1.2157655534235816</v>
      </c>
    </row>
    <row r="175" spans="3:6">
      <c r="C175">
        <v>-0.27</v>
      </c>
      <c r="D175">
        <f t="shared" si="6"/>
        <v>0.92778650669473361</v>
      </c>
      <c r="E175">
        <f t="shared" si="7"/>
        <v>0.29428086901994743</v>
      </c>
      <c r="F175">
        <f t="shared" si="8"/>
        <v>1.2220673757146812</v>
      </c>
    </row>
    <row r="176" spans="3:6">
      <c r="C176">
        <v>-0.26</v>
      </c>
      <c r="D176">
        <f t="shared" si="6"/>
        <v>0.93360134041573528</v>
      </c>
      <c r="E176">
        <f t="shared" si="7"/>
        <v>0.2483479407256961</v>
      </c>
      <c r="F176">
        <f t="shared" si="8"/>
        <v>1.1819492811414314</v>
      </c>
    </row>
    <row r="177" spans="3:6">
      <c r="C177">
        <v>-0.25</v>
      </c>
      <c r="D177">
        <f t="shared" si="6"/>
        <v>0.93945702076920734</v>
      </c>
      <c r="E177">
        <f t="shared" si="7"/>
        <v>0.16320633326681092</v>
      </c>
      <c r="F177">
        <f t="shared" si="8"/>
        <v>1.1026633540360182</v>
      </c>
    </row>
    <row r="178" spans="3:6">
      <c r="C178">
        <v>-0.24</v>
      </c>
      <c r="D178">
        <f t="shared" si="6"/>
        <v>0.94535383468465872</v>
      </c>
      <c r="E178">
        <f t="shared" si="7"/>
        <v>5.229803436689389E-2</v>
      </c>
      <c r="F178">
        <f t="shared" si="8"/>
        <v>0.99765186905155256</v>
      </c>
    </row>
    <row r="179" spans="3:6">
      <c r="C179">
        <v>-0.23</v>
      </c>
      <c r="D179">
        <f t="shared" si="6"/>
        <v>0.95129207110715108</v>
      </c>
      <c r="E179">
        <f t="shared" si="7"/>
        <v>-6.6866974230073775E-2</v>
      </c>
      <c r="F179">
        <f t="shared" si="8"/>
        <v>0.88442509687707727</v>
      </c>
    </row>
    <row r="180" spans="3:6">
      <c r="C180">
        <v>-0.22</v>
      </c>
      <c r="D180">
        <f t="shared" si="6"/>
        <v>0.95727202101145747</v>
      </c>
      <c r="E180">
        <f t="shared" si="7"/>
        <v>-0.17547515786752851</v>
      </c>
      <c r="F180">
        <f t="shared" si="8"/>
        <v>0.78179686314392893</v>
      </c>
    </row>
    <row r="181" spans="3:6">
      <c r="C181">
        <v>-0.21</v>
      </c>
      <c r="D181">
        <f t="shared" si="6"/>
        <v>0.96329397741631939</v>
      </c>
      <c r="E181">
        <f t="shared" si="7"/>
        <v>-0.25637967242648413</v>
      </c>
      <c r="F181">
        <f t="shared" si="8"/>
        <v>0.70691430498983521</v>
      </c>
    </row>
    <row r="182" spans="3:6">
      <c r="C182">
        <v>-0.2</v>
      </c>
      <c r="D182">
        <f t="shared" si="6"/>
        <v>0.96935823539880583</v>
      </c>
      <c r="E182">
        <f t="shared" si="7"/>
        <v>-0.29680747398701451</v>
      </c>
      <c r="F182">
        <f t="shared" si="8"/>
        <v>0.67255076141179138</v>
      </c>
    </row>
    <row r="183" spans="3:6">
      <c r="C183">
        <v>-0.19</v>
      </c>
      <c r="D183">
        <f t="shared" si="6"/>
        <v>0.97546509210877108</v>
      </c>
      <c r="E183">
        <f t="shared" si="7"/>
        <v>-0.29037590160944587</v>
      </c>
      <c r="F183">
        <f t="shared" si="8"/>
        <v>0.68508919049932526</v>
      </c>
    </row>
    <row r="184" spans="3:6">
      <c r="C184">
        <v>-0.18</v>
      </c>
      <c r="D184">
        <f t="shared" si="6"/>
        <v>0.98161484678341604</v>
      </c>
      <c r="E184">
        <f t="shared" si="7"/>
        <v>-0.23810035915474578</v>
      </c>
      <c r="F184">
        <f t="shared" si="8"/>
        <v>0.74351448762867023</v>
      </c>
    </row>
    <row r="185" spans="3:6">
      <c r="C185">
        <v>-0.17</v>
      </c>
      <c r="D185">
        <f t="shared" si="6"/>
        <v>0.98780780076195007</v>
      </c>
      <c r="E185">
        <f t="shared" si="7"/>
        <v>-0.14823400534158268</v>
      </c>
      <c r="F185">
        <f t="shared" si="8"/>
        <v>0.83957379542036736</v>
      </c>
    </row>
    <row r="186" spans="3:6">
      <c r="C186">
        <v>-0.16</v>
      </c>
      <c r="D186">
        <f t="shared" si="6"/>
        <v>0.9940442575003573</v>
      </c>
      <c r="E186">
        <f t="shared" si="7"/>
        <v>-3.496476145514809E-2</v>
      </c>
      <c r="F186">
        <f t="shared" si="8"/>
        <v>0.95907949604520926</v>
      </c>
    </row>
    <row r="187" spans="3:6">
      <c r="C187">
        <v>-0.15</v>
      </c>
      <c r="D187">
        <f t="shared" si="6"/>
        <v>1.0003245225862656</v>
      </c>
      <c r="E187">
        <f t="shared" si="7"/>
        <v>8.3824649459677755E-2</v>
      </c>
      <c r="F187">
        <f t="shared" si="8"/>
        <v>1.0841491720459433</v>
      </c>
    </row>
    <row r="188" spans="3:6">
      <c r="C188">
        <v>-0.14000000000000001</v>
      </c>
      <c r="D188">
        <f t="shared" si="6"/>
        <v>1.006648903753921</v>
      </c>
      <c r="E188">
        <f t="shared" si="7"/>
        <v>0.18937999136169625</v>
      </c>
      <c r="F188">
        <f t="shared" si="8"/>
        <v>1.1960288951156173</v>
      </c>
    </row>
    <row r="189" spans="3:6">
      <c r="C189">
        <v>-0.13</v>
      </c>
      <c r="D189">
        <f t="shared" si="6"/>
        <v>1.0130177108992657</v>
      </c>
      <c r="E189">
        <f t="shared" si="7"/>
        <v>0.26503639671604595</v>
      </c>
      <c r="F189">
        <f t="shared" si="8"/>
        <v>1.2780541076153118</v>
      </c>
    </row>
    <row r="190" spans="3:6">
      <c r="C190">
        <v>-0.12</v>
      </c>
      <c r="D190">
        <f t="shared" si="6"/>
        <v>1.0194312560951246</v>
      </c>
      <c r="E190">
        <f t="shared" si="7"/>
        <v>0.29884938265075217</v>
      </c>
      <c r="F190">
        <f t="shared" si="8"/>
        <v>1.3182806387458768</v>
      </c>
    </row>
    <row r="191" spans="3:6">
      <c r="C191">
        <v>-0.11</v>
      </c>
      <c r="D191">
        <f t="shared" si="6"/>
        <v>1.0258898536064953</v>
      </c>
      <c r="E191">
        <f t="shared" si="7"/>
        <v>0.28548062216685477</v>
      </c>
      <c r="F191">
        <f t="shared" si="8"/>
        <v>1.3113704757733502</v>
      </c>
    </row>
    <row r="192" spans="3:6">
      <c r="C192">
        <v>-0.1</v>
      </c>
      <c r="D192">
        <f t="shared" si="6"/>
        <v>1.0323938199059484</v>
      </c>
      <c r="E192">
        <f t="shared" si="7"/>
        <v>0.22704074859237844</v>
      </c>
      <c r="F192">
        <f t="shared" si="8"/>
        <v>1.2594345684983268</v>
      </c>
    </row>
    <row r="193" spans="3:6">
      <c r="C193">
        <v>-9.0000000000000094E-2</v>
      </c>
      <c r="D193">
        <f t="shared" si="6"/>
        <v>1.0389434736891332</v>
      </c>
      <c r="E193">
        <f t="shared" si="7"/>
        <v>0.13275613298845668</v>
      </c>
      <c r="F193">
        <f t="shared" si="8"/>
        <v>1.1716996066775898</v>
      </c>
    </row>
    <row r="194" spans="3:6">
      <c r="C194">
        <v>-8.0000000000000099E-2</v>
      </c>
      <c r="D194">
        <f t="shared" si="6"/>
        <v>1.0455391358903963</v>
      </c>
      <c r="E194">
        <f t="shared" si="7"/>
        <v>1.7512243028275087E-2</v>
      </c>
      <c r="F194">
        <f t="shared" si="8"/>
        <v>1.0630513789186713</v>
      </c>
    </row>
    <row r="195" spans="3:6">
      <c r="C195">
        <v>-7.0000000000000104E-2</v>
      </c>
      <c r="D195">
        <f t="shared" ref="D195:D258" si="9">EXP($A$3*C195)+0.1</f>
        <v>1.0521811296985049</v>
      </c>
      <c r="E195">
        <f t="shared" ref="E195:E258" si="10">$A$1*SIN($A$2*C195)</f>
        <v>-0.10049644504677026</v>
      </c>
      <c r="F195">
        <f t="shared" ref="F195:F258" si="11">D195+E195</f>
        <v>0.95168468465173461</v>
      </c>
    </row>
    <row r="196" spans="3:6">
      <c r="C196">
        <v>-6.0000000000000102E-2</v>
      </c>
      <c r="D196">
        <f t="shared" si="9"/>
        <v>1.0588697805724845</v>
      </c>
      <c r="E196">
        <f t="shared" si="10"/>
        <v>-0.20263895416534441</v>
      </c>
      <c r="F196">
        <f t="shared" si="11"/>
        <v>0.8562308264071401</v>
      </c>
    </row>
    <row r="197" spans="3:6">
      <c r="C197">
        <v>-0.05</v>
      </c>
      <c r="D197">
        <f t="shared" si="9"/>
        <v>1.0656054162575666</v>
      </c>
      <c r="E197">
        <f t="shared" si="10"/>
        <v>-0.2727892280477045</v>
      </c>
      <c r="F197">
        <f t="shared" si="11"/>
        <v>0.7928161882098621</v>
      </c>
    </row>
    <row r="198" spans="3:6">
      <c r="C198">
        <v>-0.04</v>
      </c>
      <c r="D198">
        <f t="shared" si="9"/>
        <v>1.0723883668012468</v>
      </c>
      <c r="E198">
        <f t="shared" si="10"/>
        <v>-0.29987208091245154</v>
      </c>
      <c r="F198">
        <f t="shared" si="11"/>
        <v>0.77251628588879528</v>
      </c>
    </row>
    <row r="199" spans="3:6">
      <c r="C199">
        <v>-0.03</v>
      </c>
      <c r="D199">
        <f t="shared" si="9"/>
        <v>1.0792189645694596</v>
      </c>
      <c r="E199">
        <f t="shared" si="10"/>
        <v>-0.27961172579016785</v>
      </c>
      <c r="F199">
        <f t="shared" si="11"/>
        <v>0.79960723877929185</v>
      </c>
    </row>
    <row r="200" spans="3:6">
      <c r="C200">
        <v>-0.02</v>
      </c>
      <c r="D200">
        <f t="shared" si="9"/>
        <v>1.086097544262862</v>
      </c>
      <c r="E200">
        <f t="shared" si="10"/>
        <v>-0.21520682726985682</v>
      </c>
      <c r="F200">
        <f t="shared" si="11"/>
        <v>0.87089071699300513</v>
      </c>
    </row>
    <row r="201" spans="3:6">
      <c r="C201">
        <v>-0.01</v>
      </c>
      <c r="D201">
        <f t="shared" si="9"/>
        <v>1.0930244429332352</v>
      </c>
      <c r="E201">
        <f t="shared" si="10"/>
        <v>-0.11682550269259515</v>
      </c>
      <c r="F201">
        <f t="shared" si="11"/>
        <v>0.97619894024064002</v>
      </c>
    </row>
    <row r="202" spans="3:6">
      <c r="C202">
        <v>0</v>
      </c>
      <c r="D202">
        <f t="shared" si="9"/>
        <v>1.1000000000000001</v>
      </c>
      <c r="E202">
        <f t="shared" si="10"/>
        <v>0</v>
      </c>
      <c r="F202">
        <f t="shared" si="11"/>
        <v>1.1000000000000001</v>
      </c>
    </row>
    <row r="203" spans="3:6">
      <c r="C203">
        <v>9.9999999999997903E-3</v>
      </c>
      <c r="D203">
        <f t="shared" si="9"/>
        <v>1.1070245572668485</v>
      </c>
      <c r="E203">
        <f t="shared" si="10"/>
        <v>0.11682550269259281</v>
      </c>
      <c r="F203">
        <f t="shared" si="11"/>
        <v>1.2238500599594413</v>
      </c>
    </row>
    <row r="204" spans="3:6">
      <c r="C204">
        <v>0.02</v>
      </c>
      <c r="D204">
        <f t="shared" si="9"/>
        <v>1.1140984589384924</v>
      </c>
      <c r="E204">
        <f t="shared" si="10"/>
        <v>0.21520682726985682</v>
      </c>
      <c r="F204">
        <f t="shared" si="11"/>
        <v>1.3293052862083492</v>
      </c>
    </row>
    <row r="205" spans="3:6">
      <c r="C205">
        <v>2.9999999999999801E-2</v>
      </c>
      <c r="D205">
        <f t="shared" si="9"/>
        <v>1.1212220516375286</v>
      </c>
      <c r="E205">
        <f t="shared" si="10"/>
        <v>0.27961172579016702</v>
      </c>
      <c r="F205">
        <f t="shared" si="11"/>
        <v>1.4008337774276955</v>
      </c>
    </row>
    <row r="206" spans="3:6">
      <c r="C206">
        <v>0.04</v>
      </c>
      <c r="D206">
        <f t="shared" si="9"/>
        <v>1.1283956844214251</v>
      </c>
      <c r="E206">
        <f t="shared" si="10"/>
        <v>0.29987208091245154</v>
      </c>
      <c r="F206">
        <f t="shared" si="11"/>
        <v>1.4282677653338767</v>
      </c>
    </row>
    <row r="207" spans="3:6">
      <c r="C207">
        <v>4.9999999999999802E-2</v>
      </c>
      <c r="D207">
        <f t="shared" si="9"/>
        <v>1.1356197087996232</v>
      </c>
      <c r="E207">
        <f t="shared" si="10"/>
        <v>0.2727892280477055</v>
      </c>
      <c r="F207">
        <f t="shared" si="11"/>
        <v>1.4084089368473287</v>
      </c>
    </row>
    <row r="208" spans="3:6">
      <c r="C208">
        <v>6.0000000000000102E-2</v>
      </c>
      <c r="D208">
        <f t="shared" si="9"/>
        <v>1.1428944787507633</v>
      </c>
      <c r="E208">
        <f t="shared" si="10"/>
        <v>0.20263895416534441</v>
      </c>
      <c r="F208">
        <f t="shared" si="11"/>
        <v>1.3455334329161077</v>
      </c>
    </row>
    <row r="209" spans="3:6">
      <c r="C209">
        <v>6.9999999999999798E-2</v>
      </c>
      <c r="D209">
        <f t="shared" si="9"/>
        <v>1.1502203507400282</v>
      </c>
      <c r="E209">
        <f t="shared" si="10"/>
        <v>0.10049644504677378</v>
      </c>
      <c r="F209">
        <f t="shared" si="11"/>
        <v>1.2507167957868019</v>
      </c>
    </row>
    <row r="210" spans="3:6">
      <c r="C210">
        <v>8.0000000000000099E-2</v>
      </c>
      <c r="D210">
        <f t="shared" si="9"/>
        <v>1.1575976837366113</v>
      </c>
      <c r="E210">
        <f t="shared" si="10"/>
        <v>-1.7512243028275087E-2</v>
      </c>
      <c r="F210">
        <f t="shared" si="11"/>
        <v>1.1400854407083363</v>
      </c>
    </row>
    <row r="211" spans="3:6">
      <c r="C211">
        <v>8.99999999999999E-2</v>
      </c>
      <c r="D211">
        <f t="shared" si="9"/>
        <v>1.1650268392313055</v>
      </c>
      <c r="E211">
        <f t="shared" si="10"/>
        <v>-0.13275613298845465</v>
      </c>
      <c r="F211">
        <f t="shared" si="11"/>
        <v>1.0322707062428509</v>
      </c>
    </row>
    <row r="212" spans="3:6">
      <c r="C212">
        <v>0.1</v>
      </c>
      <c r="D212">
        <f t="shared" si="9"/>
        <v>1.1725081812542166</v>
      </c>
      <c r="E212">
        <f t="shared" si="10"/>
        <v>-0.22704074859237844</v>
      </c>
      <c r="F212">
        <f t="shared" si="11"/>
        <v>0.94546743266183819</v>
      </c>
    </row>
    <row r="213" spans="3:6">
      <c r="C213">
        <v>0.11</v>
      </c>
      <c r="D213">
        <f t="shared" si="9"/>
        <v>1.1800420763926005</v>
      </c>
      <c r="E213">
        <f t="shared" si="10"/>
        <v>-0.28548062216685477</v>
      </c>
      <c r="F213">
        <f t="shared" si="11"/>
        <v>0.89456145422574573</v>
      </c>
    </row>
    <row r="214" spans="3:6">
      <c r="C214">
        <v>0.12</v>
      </c>
      <c r="D214">
        <f t="shared" si="9"/>
        <v>1.1876288938088262</v>
      </c>
      <c r="E214">
        <f t="shared" si="10"/>
        <v>-0.29884938265075217</v>
      </c>
      <c r="F214">
        <f t="shared" si="11"/>
        <v>0.88877951115807408</v>
      </c>
    </row>
    <row r="215" spans="3:6">
      <c r="C215">
        <v>0.13</v>
      </c>
      <c r="D215">
        <f t="shared" si="9"/>
        <v>1.1952690052584656</v>
      </c>
      <c r="E215">
        <f t="shared" si="10"/>
        <v>-0.26503639671604595</v>
      </c>
      <c r="F215">
        <f t="shared" si="11"/>
        <v>0.93023260854241963</v>
      </c>
    </row>
    <row r="216" spans="3:6">
      <c r="C216">
        <v>0.14000000000000001</v>
      </c>
      <c r="D216">
        <f t="shared" si="9"/>
        <v>1.2029627851085078</v>
      </c>
      <c r="E216">
        <f t="shared" si="10"/>
        <v>-0.18937999136169625</v>
      </c>
      <c r="F216">
        <f t="shared" si="11"/>
        <v>1.0135827937468116</v>
      </c>
    </row>
    <row r="217" spans="3:6">
      <c r="C217">
        <v>0.15</v>
      </c>
      <c r="D217">
        <f t="shared" si="9"/>
        <v>1.2107106103557053</v>
      </c>
      <c r="E217">
        <f t="shared" si="10"/>
        <v>-8.3824649459677755E-2</v>
      </c>
      <c r="F217">
        <f t="shared" si="11"/>
        <v>1.1268859608960275</v>
      </c>
    </row>
    <row r="218" spans="3:6">
      <c r="C218">
        <v>0.16</v>
      </c>
      <c r="D218">
        <f t="shared" si="9"/>
        <v>1.2185128606450453</v>
      </c>
      <c r="E218">
        <f t="shared" si="10"/>
        <v>3.496476145514809E-2</v>
      </c>
      <c r="F218">
        <f t="shared" si="11"/>
        <v>1.2534776221001933</v>
      </c>
    </row>
    <row r="219" spans="3:6">
      <c r="C219">
        <v>0.17</v>
      </c>
      <c r="D219">
        <f t="shared" si="9"/>
        <v>1.226369918288353</v>
      </c>
      <c r="E219">
        <f t="shared" si="10"/>
        <v>0.14823400534158268</v>
      </c>
      <c r="F219">
        <f t="shared" si="11"/>
        <v>1.3746039236299357</v>
      </c>
    </row>
    <row r="220" spans="3:6">
      <c r="C220">
        <v>0.18</v>
      </c>
      <c r="D220">
        <f t="shared" si="9"/>
        <v>1.2342821682830252</v>
      </c>
      <c r="E220">
        <f t="shared" si="10"/>
        <v>0.23810035915474578</v>
      </c>
      <c r="F220">
        <f t="shared" si="11"/>
        <v>1.4723825274377709</v>
      </c>
    </row>
    <row r="221" spans="3:6">
      <c r="C221">
        <v>0.19</v>
      </c>
      <c r="D221">
        <f t="shared" si="9"/>
        <v>1.2422499983308943</v>
      </c>
      <c r="E221">
        <f t="shared" si="10"/>
        <v>0.29037590160944587</v>
      </c>
      <c r="F221">
        <f t="shared" si="11"/>
        <v>1.5326258999403402</v>
      </c>
    </row>
    <row r="222" spans="3:6">
      <c r="C222">
        <v>0.2</v>
      </c>
      <c r="D222">
        <f t="shared" si="9"/>
        <v>1.2502737988572274</v>
      </c>
      <c r="E222">
        <f t="shared" si="10"/>
        <v>0.29680747398701451</v>
      </c>
      <c r="F222">
        <f t="shared" si="11"/>
        <v>1.547081272844242</v>
      </c>
    </row>
    <row r="223" spans="3:6">
      <c r="C223">
        <v>0.21</v>
      </c>
      <c r="D223">
        <f t="shared" si="9"/>
        <v>1.2583539630298555</v>
      </c>
      <c r="E223">
        <f t="shared" si="10"/>
        <v>0.25637967242648413</v>
      </c>
      <c r="F223">
        <f t="shared" si="11"/>
        <v>1.5147336354563397</v>
      </c>
    </row>
    <row r="224" spans="3:6">
      <c r="C224">
        <v>0.22</v>
      </c>
      <c r="D224">
        <f t="shared" si="9"/>
        <v>1.2664908867784397</v>
      </c>
      <c r="E224">
        <f t="shared" si="10"/>
        <v>0.17547515786752851</v>
      </c>
      <c r="F224">
        <f t="shared" si="11"/>
        <v>1.4419660446459681</v>
      </c>
    </row>
    <row r="225" spans="3:6">
      <c r="C225">
        <v>0.23</v>
      </c>
      <c r="D225">
        <f t="shared" si="9"/>
        <v>1.2746849688138717</v>
      </c>
      <c r="E225">
        <f t="shared" si="10"/>
        <v>6.6866974230073775E-2</v>
      </c>
      <c r="F225">
        <f t="shared" si="11"/>
        <v>1.3415519430439455</v>
      </c>
    </row>
    <row r="226" spans="3:6">
      <c r="C226">
        <v>0.24</v>
      </c>
      <c r="D226">
        <f t="shared" si="9"/>
        <v>1.2829366106478108</v>
      </c>
      <c r="E226">
        <f t="shared" si="10"/>
        <v>-5.229803436689389E-2</v>
      </c>
      <c r="F226">
        <f t="shared" si="11"/>
        <v>1.2306385762809169</v>
      </c>
    </row>
    <row r="227" spans="3:6">
      <c r="C227">
        <v>0.25</v>
      </c>
      <c r="D227">
        <f t="shared" si="9"/>
        <v>1.2912462166123582</v>
      </c>
      <c r="E227">
        <f t="shared" si="10"/>
        <v>-0.16320633326681092</v>
      </c>
      <c r="F227">
        <f t="shared" si="11"/>
        <v>1.1280398833455472</v>
      </c>
    </row>
    <row r="228" spans="3:6">
      <c r="C228">
        <v>0.26</v>
      </c>
      <c r="D228">
        <f t="shared" si="9"/>
        <v>1.2996141938798684</v>
      </c>
      <c r="E228">
        <f t="shared" si="10"/>
        <v>-0.2483479407256961</v>
      </c>
      <c r="F228">
        <f t="shared" si="11"/>
        <v>1.0512662531541723</v>
      </c>
    </row>
    <row r="229" spans="3:6">
      <c r="C229">
        <v>0.27</v>
      </c>
      <c r="D229">
        <f t="shared" si="9"/>
        <v>1.308040952482902</v>
      </c>
      <c r="E229">
        <f t="shared" si="10"/>
        <v>-0.29428086901994743</v>
      </c>
      <c r="F229">
        <f t="shared" si="11"/>
        <v>1.0137600834629545</v>
      </c>
    </row>
    <row r="230" spans="3:6">
      <c r="C230">
        <v>0.28000000000000003</v>
      </c>
      <c r="D230">
        <f t="shared" si="9"/>
        <v>1.3165269053343163</v>
      </c>
      <c r="E230">
        <f t="shared" si="10"/>
        <v>-0.29375331874539506</v>
      </c>
      <c r="F230">
        <f t="shared" si="11"/>
        <v>1.0227735865889211</v>
      </c>
    </row>
    <row r="231" spans="3:6">
      <c r="C231">
        <v>0.28999999999999998</v>
      </c>
      <c r="D231">
        <f t="shared" si="9"/>
        <v>1.3250724682474992</v>
      </c>
      <c r="E231">
        <f t="shared" si="10"/>
        <v>-0.24684857849061265</v>
      </c>
      <c r="F231">
        <f t="shared" si="11"/>
        <v>1.0782238897568865</v>
      </c>
    </row>
    <row r="232" spans="3:6">
      <c r="C232">
        <v>0.3</v>
      </c>
      <c r="D232">
        <f t="shared" si="9"/>
        <v>1.3336780599567433</v>
      </c>
      <c r="E232">
        <f t="shared" si="10"/>
        <v>-0.16097187540013047</v>
      </c>
      <c r="F232">
        <f t="shared" si="11"/>
        <v>1.1727061845566129</v>
      </c>
    </row>
    <row r="233" spans="3:6">
      <c r="C233">
        <v>0.31</v>
      </c>
      <c r="D233">
        <f t="shared" si="9"/>
        <v>1.342344102137764</v>
      </c>
      <c r="E233">
        <f t="shared" si="10"/>
        <v>-4.9681252634492822E-2</v>
      </c>
      <c r="F233">
        <f t="shared" si="11"/>
        <v>1.2926628495032713</v>
      </c>
    </row>
    <row r="234" spans="3:6">
      <c r="C234">
        <v>0.32</v>
      </c>
      <c r="D234">
        <f t="shared" si="9"/>
        <v>1.3510710194283624</v>
      </c>
      <c r="E234">
        <f t="shared" si="10"/>
        <v>6.9452947530461676E-2</v>
      </c>
      <c r="F234">
        <f t="shared" si="11"/>
        <v>1.4205239669588241</v>
      </c>
    </row>
    <row r="235" spans="3:6">
      <c r="C235">
        <v>0.33</v>
      </c>
      <c r="D235">
        <f t="shared" si="9"/>
        <v>1.3598592394492315</v>
      </c>
      <c r="E235">
        <f t="shared" si="10"/>
        <v>0.17762205441216733</v>
      </c>
      <c r="F235">
        <f t="shared" si="11"/>
        <v>1.5374812938613989</v>
      </c>
    </row>
    <row r="236" spans="3:6">
      <c r="C236">
        <v>0.34</v>
      </c>
      <c r="D236">
        <f t="shared" si="9"/>
        <v>1.3687091928249109</v>
      </c>
      <c r="E236">
        <f t="shared" si="10"/>
        <v>0.257748544456949</v>
      </c>
      <c r="F236">
        <f t="shared" si="11"/>
        <v>1.6264577372818598</v>
      </c>
    </row>
    <row r="237" spans="3:6">
      <c r="C237">
        <v>0.35</v>
      </c>
      <c r="D237">
        <f t="shared" si="9"/>
        <v>1.3776213132048867</v>
      </c>
      <c r="E237">
        <f t="shared" si="10"/>
        <v>0.29718220670846107</v>
      </c>
      <c r="F237">
        <f t="shared" si="11"/>
        <v>1.6748035199133477</v>
      </c>
    </row>
    <row r="238" spans="3:6">
      <c r="C238">
        <v>0.36</v>
      </c>
      <c r="D238">
        <f t="shared" si="9"/>
        <v>1.3865960372848407</v>
      </c>
      <c r="E238">
        <f t="shared" si="10"/>
        <v>0.28969733296478339</v>
      </c>
      <c r="F238">
        <f t="shared" si="11"/>
        <v>1.6762933702496241</v>
      </c>
    </row>
    <row r="239" spans="3:6">
      <c r="C239">
        <v>0.37</v>
      </c>
      <c r="D239">
        <f t="shared" si="9"/>
        <v>1.3956338048280486</v>
      </c>
      <c r="E239">
        <f t="shared" si="10"/>
        <v>0.23647562021259488</v>
      </c>
      <c r="F239">
        <f t="shared" si="11"/>
        <v>1.6321094250406434</v>
      </c>
    </row>
    <row r="240" spans="3:6">
      <c r="C240">
        <v>0.38</v>
      </c>
      <c r="D240">
        <f t="shared" si="9"/>
        <v>1.4047350586869278</v>
      </c>
      <c r="E240">
        <f t="shared" si="10"/>
        <v>0.1459196066561399</v>
      </c>
      <c r="F240">
        <f t="shared" si="11"/>
        <v>1.5506546653430677</v>
      </c>
    </row>
    <row r="241" spans="3:6">
      <c r="C241">
        <v>0.39</v>
      </c>
      <c r="D241">
        <f t="shared" si="9"/>
        <v>1.4139002448247393</v>
      </c>
      <c r="E241">
        <f t="shared" si="10"/>
        <v>3.232609568983269E-2</v>
      </c>
      <c r="F241">
        <f t="shared" si="11"/>
        <v>1.4462263405145719</v>
      </c>
    </row>
    <row r="242" spans="3:6">
      <c r="C242">
        <v>0.4</v>
      </c>
      <c r="D242">
        <f t="shared" si="9"/>
        <v>1.423129812337437</v>
      </c>
      <c r="E242">
        <f t="shared" si="10"/>
        <v>-8.6370994999519585E-2</v>
      </c>
      <c r="F242">
        <f t="shared" si="11"/>
        <v>1.3367588173379175</v>
      </c>
    </row>
    <row r="243" spans="3:6">
      <c r="C243">
        <v>0.41</v>
      </c>
      <c r="D243">
        <f t="shared" si="9"/>
        <v>1.4324242134756759</v>
      </c>
      <c r="E243">
        <f t="shared" si="10"/>
        <v>-0.19143200470438423</v>
      </c>
      <c r="F243">
        <f t="shared" si="11"/>
        <v>1.2409922087712917</v>
      </c>
    </row>
    <row r="244" spans="3:6">
      <c r="C244">
        <v>0.42</v>
      </c>
      <c r="D244">
        <f t="shared" si="9"/>
        <v>1.4417839036669715</v>
      </c>
      <c r="E244">
        <f t="shared" si="10"/>
        <v>-0.26627011007445134</v>
      </c>
      <c r="F244">
        <f t="shared" si="11"/>
        <v>1.1755137935925202</v>
      </c>
    </row>
    <row r="245" spans="3:6">
      <c r="C245">
        <v>0.43</v>
      </c>
      <c r="D245">
        <f t="shared" si="9"/>
        <v>1.4512093415380156</v>
      </c>
      <c r="E245">
        <f t="shared" si="10"/>
        <v>-0.29907001981247883</v>
      </c>
      <c r="F245">
        <f t="shared" si="11"/>
        <v>1.1521393217255369</v>
      </c>
    </row>
    <row r="246" spans="3:6">
      <c r="C246">
        <v>0.44</v>
      </c>
      <c r="D246">
        <f t="shared" si="9"/>
        <v>1.4607009889371503</v>
      </c>
      <c r="E246">
        <f t="shared" si="10"/>
        <v>-0.28465334937543718</v>
      </c>
      <c r="F246">
        <f t="shared" si="11"/>
        <v>1.176047639561713</v>
      </c>
    </row>
    <row r="247" spans="3:6">
      <c r="C247">
        <v>0.45</v>
      </c>
      <c r="D247">
        <f t="shared" si="9"/>
        <v>1.4702593109569968</v>
      </c>
      <c r="E247">
        <f t="shared" si="10"/>
        <v>-0.22529617403150282</v>
      </c>
      <c r="F247">
        <f t="shared" si="11"/>
        <v>1.2449631369254939</v>
      </c>
    </row>
    <row r="248" spans="3:6">
      <c r="C248">
        <v>0.46</v>
      </c>
      <c r="D248">
        <f t="shared" si="9"/>
        <v>1.4798847759572467</v>
      </c>
      <c r="E248">
        <f t="shared" si="10"/>
        <v>-0.13036968662156806</v>
      </c>
      <c r="F248">
        <f t="shared" si="11"/>
        <v>1.3495150893356787</v>
      </c>
    </row>
    <row r="249" spans="3:6">
      <c r="C249">
        <v>0.47</v>
      </c>
      <c r="D249">
        <f t="shared" si="9"/>
        <v>1.4895778555876107</v>
      </c>
      <c r="E249">
        <f t="shared" si="10"/>
        <v>-1.4860692263511289E-2</v>
      </c>
      <c r="F249">
        <f t="shared" si="11"/>
        <v>1.4747171633240994</v>
      </c>
    </row>
    <row r="250" spans="3:6">
      <c r="C250">
        <v>0.48</v>
      </c>
      <c r="D250">
        <f t="shared" si="9"/>
        <v>1.4993390248109304</v>
      </c>
      <c r="E250">
        <f t="shared" si="10"/>
        <v>0.10299447864596861</v>
      </c>
      <c r="F250">
        <f t="shared" si="11"/>
        <v>1.6023335034568991</v>
      </c>
    </row>
    <row r="251" spans="3:6">
      <c r="C251">
        <v>0.49</v>
      </c>
      <c r="D251">
        <f t="shared" si="9"/>
        <v>1.5091687619264509</v>
      </c>
      <c r="E251">
        <f t="shared" si="10"/>
        <v>0.20458908602044068</v>
      </c>
      <c r="F251">
        <f t="shared" si="11"/>
        <v>1.7137578479468916</v>
      </c>
    </row>
    <row r="252" spans="3:6">
      <c r="C252">
        <v>0.5</v>
      </c>
      <c r="D252">
        <f t="shared" si="9"/>
        <v>1.5190675485932572</v>
      </c>
      <c r="E252">
        <f t="shared" si="10"/>
        <v>0.27388357521828827</v>
      </c>
      <c r="F252">
        <f t="shared" si="11"/>
        <v>1.7929511238115454</v>
      </c>
    </row>
    <row r="253" spans="3:6">
      <c r="C253">
        <v>0.51</v>
      </c>
      <c r="D253">
        <f t="shared" si="9"/>
        <v>1.5290358698538771</v>
      </c>
      <c r="E253">
        <f t="shared" si="10"/>
        <v>0.29993787004280076</v>
      </c>
      <c r="F253">
        <f t="shared" si="11"/>
        <v>1.8289737398966779</v>
      </c>
    </row>
    <row r="254" spans="3:6">
      <c r="C254">
        <v>0.52</v>
      </c>
      <c r="D254">
        <f t="shared" si="9"/>
        <v>1.5390742141580465</v>
      </c>
      <c r="E254">
        <f t="shared" si="10"/>
        <v>0.27863857022317212</v>
      </c>
      <c r="F254">
        <f t="shared" si="11"/>
        <v>1.8177127843812186</v>
      </c>
    </row>
    <row r="255" spans="3:6">
      <c r="C255">
        <v>0.53</v>
      </c>
      <c r="D255">
        <f t="shared" si="9"/>
        <v>1.5491830733866447</v>
      </c>
      <c r="E255">
        <f t="shared" si="10"/>
        <v>0.21334836687179398</v>
      </c>
      <c r="F255">
        <f t="shared" si="11"/>
        <v>1.7625314402584387</v>
      </c>
    </row>
    <row r="256" spans="3:6">
      <c r="C256">
        <v>0.54</v>
      </c>
      <c r="D256">
        <f t="shared" si="9"/>
        <v>1.5593629428757967</v>
      </c>
      <c r="E256">
        <f t="shared" si="10"/>
        <v>0.11437514749648203</v>
      </c>
      <c r="F256">
        <f t="shared" si="11"/>
        <v>1.6737380903722787</v>
      </c>
    </row>
    <row r="257" spans="3:6">
      <c r="C257">
        <v>0.55000000000000004</v>
      </c>
      <c r="D257">
        <f t="shared" si="9"/>
        <v>1.5696143214411444</v>
      </c>
      <c r="E257">
        <f t="shared" si="10"/>
        <v>-2.6553927871211629E-3</v>
      </c>
      <c r="F257">
        <f t="shared" si="11"/>
        <v>1.5669589286540233</v>
      </c>
    </row>
    <row r="258" spans="3:6">
      <c r="C258">
        <v>0.56000000000000005</v>
      </c>
      <c r="D258">
        <f t="shared" si="9"/>
        <v>1.5799377114022886</v>
      </c>
      <c r="E258">
        <f t="shared" si="10"/>
        <v>-0.11926670493643084</v>
      </c>
      <c r="F258">
        <f t="shared" si="11"/>
        <v>1.4606710064658577</v>
      </c>
    </row>
    <row r="259" spans="3:6">
      <c r="C259">
        <v>0.56999999999999995</v>
      </c>
      <c r="D259">
        <f t="shared" ref="D259:D322" si="12">EXP($A$3*C259)+0.1</f>
        <v>1.5903336186074026</v>
      </c>
      <c r="E259">
        <f t="shared" ref="E259:E322" si="13">$A$1*SIN($A$2*C259)</f>
        <v>-0.21704842681327274</v>
      </c>
      <c r="F259">
        <f t="shared" ref="F259:F322" si="14">D259+E259</f>
        <v>1.37328519179413</v>
      </c>
    </row>
    <row r="260" spans="3:6">
      <c r="C260">
        <v>0.57999999999999996</v>
      </c>
      <c r="D260">
        <f t="shared" si="12"/>
        <v>1.6008025524580201</v>
      </c>
      <c r="E260">
        <f t="shared" si="13"/>
        <v>-0.28056297455836166</v>
      </c>
      <c r="F260">
        <f t="shared" si="14"/>
        <v>1.3202395778996583</v>
      </c>
    </row>
    <row r="261" spans="3:6">
      <c r="C261">
        <v>0.59</v>
      </c>
      <c r="D261">
        <f t="shared" si="12"/>
        <v>1.6113450259339939</v>
      </c>
      <c r="E261">
        <f t="shared" si="13"/>
        <v>-0.29978279764098831</v>
      </c>
      <c r="F261">
        <f t="shared" si="14"/>
        <v>1.3115622282930055</v>
      </c>
    </row>
    <row r="262" spans="3:6">
      <c r="C262">
        <v>0.6</v>
      </c>
      <c r="D262">
        <f t="shared" si="12"/>
        <v>1.6219615556186338</v>
      </c>
      <c r="E262">
        <f t="shared" si="13"/>
        <v>-0.27167350860198713</v>
      </c>
      <c r="F262">
        <f t="shared" si="14"/>
        <v>1.3502880470166465</v>
      </c>
    </row>
    <row r="263" spans="3:6">
      <c r="C263">
        <v>0.61</v>
      </c>
      <c r="D263">
        <f t="shared" si="12"/>
        <v>1.6326526617240189</v>
      </c>
      <c r="E263">
        <f t="shared" si="13"/>
        <v>-0.20067294611340727</v>
      </c>
      <c r="F263">
        <f t="shared" si="14"/>
        <v>1.4319797156106115</v>
      </c>
    </row>
    <row r="264" spans="3:6">
      <c r="C264">
        <v>0.62</v>
      </c>
      <c r="D264">
        <f t="shared" si="12"/>
        <v>1.6434188681164872</v>
      </c>
      <c r="E264">
        <f t="shared" si="13"/>
        <v>-9.799053783141666E-2</v>
      </c>
      <c r="F264">
        <f t="shared" si="14"/>
        <v>1.5454283302850704</v>
      </c>
    </row>
    <row r="265" spans="3:6">
      <c r="C265">
        <v>0.63</v>
      </c>
      <c r="D265">
        <f t="shared" si="12"/>
        <v>1.6542607023423059</v>
      </c>
      <c r="E265">
        <f t="shared" si="13"/>
        <v>2.0162421757642476E-2</v>
      </c>
      <c r="F265">
        <f t="shared" si="14"/>
        <v>1.6744231240999483</v>
      </c>
    </row>
    <row r="266" spans="3:6">
      <c r="C266">
        <v>0.64</v>
      </c>
      <c r="D266">
        <f t="shared" si="12"/>
        <v>1.6651786956535217</v>
      </c>
      <c r="E266">
        <f t="shared" si="13"/>
        <v>0.13513217828261678</v>
      </c>
      <c r="F266">
        <f t="shared" si="14"/>
        <v>1.8003108739361384</v>
      </c>
    </row>
    <row r="267" spans="3:6">
      <c r="C267">
        <v>0.65</v>
      </c>
      <c r="D267">
        <f t="shared" si="12"/>
        <v>1.6761733830339911</v>
      </c>
      <c r="E267">
        <f t="shared" si="13"/>
        <v>0.22876753514388079</v>
      </c>
      <c r="F267">
        <f t="shared" si="14"/>
        <v>1.9049409181778718</v>
      </c>
    </row>
    <row r="268" spans="3:6">
      <c r="C268">
        <v>0.66</v>
      </c>
      <c r="D268">
        <f t="shared" si="12"/>
        <v>1.6872453032255958</v>
      </c>
      <c r="E268">
        <f t="shared" si="13"/>
        <v>0.2862855283478094</v>
      </c>
      <c r="F268">
        <f t="shared" si="14"/>
        <v>1.9735308315734053</v>
      </c>
    </row>
    <row r="269" spans="3:6">
      <c r="C269">
        <v>0.67</v>
      </c>
      <c r="D269">
        <f t="shared" si="12"/>
        <v>1.6983949987546405</v>
      </c>
      <c r="E269">
        <f t="shared" si="13"/>
        <v>0.29860533147346774</v>
      </c>
      <c r="F269">
        <f t="shared" si="14"/>
        <v>1.9970003302281083</v>
      </c>
    </row>
    <row r="270" spans="3:6">
      <c r="C270">
        <v>0.68</v>
      </c>
      <c r="D270">
        <f t="shared" si="12"/>
        <v>1.7096230159584367</v>
      </c>
      <c r="E270">
        <f t="shared" si="13"/>
        <v>0.26378191849521676</v>
      </c>
      <c r="F270">
        <f t="shared" si="14"/>
        <v>1.9734049344536535</v>
      </c>
    </row>
    <row r="271" spans="3:6">
      <c r="C271">
        <v>0.69</v>
      </c>
      <c r="D271">
        <f t="shared" si="12"/>
        <v>1.7209299050120743</v>
      </c>
      <c r="E271">
        <f t="shared" si="13"/>
        <v>0.18731314062491825</v>
      </c>
      <c r="F271">
        <f t="shared" si="14"/>
        <v>1.9082430456369925</v>
      </c>
    </row>
    <row r="272" spans="3:6">
      <c r="C272">
        <v>0.7</v>
      </c>
      <c r="D272">
        <f t="shared" si="12"/>
        <v>1.732316219955379</v>
      </c>
      <c r="E272">
        <f t="shared" si="13"/>
        <v>8.1271736492360705E-2</v>
      </c>
      <c r="F272">
        <f t="shared" si="14"/>
        <v>1.8135879564477397</v>
      </c>
    </row>
    <row r="273" spans="3:6">
      <c r="C273">
        <v>0.71</v>
      </c>
      <c r="D273">
        <f t="shared" si="12"/>
        <v>1.7437825187200613</v>
      </c>
      <c r="E273">
        <f t="shared" si="13"/>
        <v>-3.7600687828928732E-2</v>
      </c>
      <c r="F273">
        <f t="shared" si="14"/>
        <v>1.7061818308911325</v>
      </c>
    </row>
    <row r="274" spans="3:6">
      <c r="C274">
        <v>0.72</v>
      </c>
      <c r="D274">
        <f t="shared" si="12"/>
        <v>1.755329363157055</v>
      </c>
      <c r="E274">
        <f t="shared" si="13"/>
        <v>-0.15053679030617131</v>
      </c>
      <c r="F274">
        <f t="shared" si="14"/>
        <v>1.6047925728508836</v>
      </c>
    </row>
    <row r="275" spans="3:6">
      <c r="C275">
        <v>0.73</v>
      </c>
      <c r="D275">
        <f t="shared" si="12"/>
        <v>1.7669573190640477</v>
      </c>
      <c r="E275">
        <f t="shared" si="13"/>
        <v>-0.23970644359788409</v>
      </c>
      <c r="F275">
        <f t="shared" si="14"/>
        <v>1.5272508754661636</v>
      </c>
    </row>
    <row r="276" spans="3:6">
      <c r="C276">
        <v>0.74</v>
      </c>
      <c r="D276">
        <f t="shared" si="12"/>
        <v>1.7786669562132054</v>
      </c>
      <c r="E276">
        <f t="shared" si="13"/>
        <v>-0.29103172011215561</v>
      </c>
      <c r="F276">
        <f t="shared" si="14"/>
        <v>1.4876352361010499</v>
      </c>
    </row>
    <row r="277" spans="3:6">
      <c r="C277">
        <v>0.75</v>
      </c>
      <c r="D277">
        <f t="shared" si="12"/>
        <v>1.7904588483790913</v>
      </c>
      <c r="E277">
        <f t="shared" si="13"/>
        <v>-0.29640948722785854</v>
      </c>
      <c r="F277">
        <f t="shared" si="14"/>
        <v>1.4940493611512329</v>
      </c>
    </row>
    <row r="278" spans="3:6">
      <c r="C278">
        <v>0.76</v>
      </c>
      <c r="D278">
        <f t="shared" si="12"/>
        <v>1.8023335733667811</v>
      </c>
      <c r="E278">
        <f t="shared" si="13"/>
        <v>-0.25499071376379839</v>
      </c>
      <c r="F278">
        <f t="shared" si="14"/>
        <v>1.5473428596029828</v>
      </c>
    </row>
    <row r="279" spans="3:6">
      <c r="C279">
        <v>0.77</v>
      </c>
      <c r="D279">
        <f t="shared" si="12"/>
        <v>1.814291713040175</v>
      </c>
      <c r="E279">
        <f t="shared" si="13"/>
        <v>-0.17331451333371953</v>
      </c>
      <c r="F279">
        <f t="shared" si="14"/>
        <v>1.6409771997064555</v>
      </c>
    </row>
    <row r="280" spans="3:6">
      <c r="C280">
        <v>0.78</v>
      </c>
      <c r="D280">
        <f t="shared" si="12"/>
        <v>1.8263338533505096</v>
      </c>
      <c r="E280">
        <f t="shared" si="13"/>
        <v>-6.4275762088765259E-2</v>
      </c>
      <c r="F280">
        <f t="shared" si="14"/>
        <v>1.7620580912617443</v>
      </c>
    </row>
    <row r="281" spans="3:6">
      <c r="C281">
        <v>0.79</v>
      </c>
      <c r="D281">
        <f t="shared" si="12"/>
        <v>1.8384605843650696</v>
      </c>
      <c r="E281">
        <f t="shared" si="13"/>
        <v>5.4910718694176401E-2</v>
      </c>
      <c r="F281">
        <f t="shared" si="14"/>
        <v>1.8933713030592461</v>
      </c>
    </row>
    <row r="282" spans="3:6">
      <c r="C282">
        <v>0.8</v>
      </c>
      <c r="D282">
        <f t="shared" si="12"/>
        <v>1.8506725002961011</v>
      </c>
      <c r="E282">
        <f t="shared" si="13"/>
        <v>0.16542800437250718</v>
      </c>
      <c r="F282">
        <f t="shared" si="14"/>
        <v>2.0161005046686085</v>
      </c>
    </row>
    <row r="283" spans="3:6">
      <c r="C283">
        <v>0.81</v>
      </c>
      <c r="D283">
        <f t="shared" si="12"/>
        <v>1.8629701995299279</v>
      </c>
      <c r="E283">
        <f t="shared" si="13"/>
        <v>0.24982784559233509</v>
      </c>
      <c r="F283">
        <f t="shared" si="14"/>
        <v>2.112798045122263</v>
      </c>
    </row>
    <row r="284" spans="3:6">
      <c r="C284">
        <v>0.82</v>
      </c>
      <c r="D284">
        <f t="shared" si="12"/>
        <v>1.8753542846562734</v>
      </c>
      <c r="E284">
        <f t="shared" si="13"/>
        <v>0.29478536320924187</v>
      </c>
      <c r="F284">
        <f t="shared" si="14"/>
        <v>2.1701396478655153</v>
      </c>
    </row>
    <row r="285" spans="3:6">
      <c r="C285">
        <v>0.83</v>
      </c>
      <c r="D285">
        <f t="shared" si="12"/>
        <v>1.8878253624977863</v>
      </c>
      <c r="E285">
        <f t="shared" si="13"/>
        <v>0.29320275371767801</v>
      </c>
      <c r="F285">
        <f t="shared" si="14"/>
        <v>2.1810281162154643</v>
      </c>
    </row>
    <row r="286" spans="3:6">
      <c r="C286">
        <v>0.84</v>
      </c>
      <c r="D286">
        <f t="shared" si="12"/>
        <v>1.9003840441397764</v>
      </c>
      <c r="E286">
        <f t="shared" si="13"/>
        <v>0.24532987635793252</v>
      </c>
      <c r="F286">
        <f t="shared" si="14"/>
        <v>2.1457139204977089</v>
      </c>
    </row>
    <row r="287" spans="3:6">
      <c r="C287">
        <v>0.85</v>
      </c>
      <c r="D287">
        <f t="shared" si="12"/>
        <v>1.9130309449601566</v>
      </c>
      <c r="E287">
        <f t="shared" si="13"/>
        <v>0.15872480583600715</v>
      </c>
      <c r="F287">
        <f t="shared" si="14"/>
        <v>2.0717557507961639</v>
      </c>
    </row>
    <row r="288" spans="3:6">
      <c r="C288">
        <v>0.86</v>
      </c>
      <c r="D288">
        <f t="shared" si="12"/>
        <v>1.9257666846595978</v>
      </c>
      <c r="E288">
        <f t="shared" si="13"/>
        <v>4.7060578514522999E-2</v>
      </c>
      <c r="F288">
        <f t="shared" si="14"/>
        <v>1.9728272631741208</v>
      </c>
    </row>
    <row r="289" spans="3:6">
      <c r="C289">
        <v>0.87</v>
      </c>
      <c r="D289">
        <f t="shared" si="12"/>
        <v>1.9385918872918935</v>
      </c>
      <c r="E289">
        <f t="shared" si="13"/>
        <v>-7.2033479386132346E-2</v>
      </c>
      <c r="F289">
        <f t="shared" si="14"/>
        <v>1.8665584079057611</v>
      </c>
    </row>
    <row r="290" spans="3:6">
      <c r="C290">
        <v>0.88</v>
      </c>
      <c r="D290">
        <f t="shared" si="12"/>
        <v>1.9515071812945384</v>
      </c>
      <c r="E290">
        <f t="shared" si="13"/>
        <v>-0.17975503476427956</v>
      </c>
      <c r="F290">
        <f t="shared" si="14"/>
        <v>1.7717521465302588</v>
      </c>
    </row>
    <row r="291" spans="3:6">
      <c r="C291">
        <v>0.89</v>
      </c>
      <c r="D291">
        <f t="shared" si="12"/>
        <v>1.9645131995195233</v>
      </c>
      <c r="E291">
        <f t="shared" si="13"/>
        <v>-0.25909722260788681</v>
      </c>
      <c r="F291">
        <f t="shared" si="14"/>
        <v>1.7054159769116364</v>
      </c>
    </row>
    <row r="292" spans="3:6">
      <c r="C292">
        <v>0.9</v>
      </c>
      <c r="D292">
        <f t="shared" si="12"/>
        <v>1.9776105792643432</v>
      </c>
      <c r="E292">
        <f t="shared" si="13"/>
        <v>-0.29753365603293475</v>
      </c>
      <c r="F292">
        <f t="shared" si="14"/>
        <v>1.6800769232314086</v>
      </c>
    </row>
    <row r="293" spans="3:6">
      <c r="C293">
        <v>0.91</v>
      </c>
      <c r="D293">
        <f t="shared" si="12"/>
        <v>1.9907999623032262</v>
      </c>
      <c r="E293">
        <f t="shared" si="13"/>
        <v>-0.28899606734212824</v>
      </c>
      <c r="F293">
        <f t="shared" si="14"/>
        <v>1.7018038949610981</v>
      </c>
    </row>
    <row r="294" spans="3:6">
      <c r="C294">
        <v>0.92</v>
      </c>
      <c r="D294">
        <f t="shared" si="12"/>
        <v>2.0040819949185802</v>
      </c>
      <c r="E294">
        <f t="shared" si="13"/>
        <v>-0.23483235406519498</v>
      </c>
      <c r="F294">
        <f t="shared" si="14"/>
        <v>1.7692496408533853</v>
      </c>
    </row>
    <row r="295" spans="3:6">
      <c r="C295">
        <v>0.93</v>
      </c>
      <c r="D295">
        <f t="shared" si="12"/>
        <v>2.0174573279326613</v>
      </c>
      <c r="E295">
        <f t="shared" si="13"/>
        <v>-0.1435937755765245</v>
      </c>
      <c r="F295">
        <f t="shared" si="14"/>
        <v>1.8738635523561369</v>
      </c>
    </row>
    <row r="296" spans="3:6">
      <c r="C296">
        <v>0.94</v>
      </c>
      <c r="D296">
        <f t="shared" si="12"/>
        <v>2.0309266167394622</v>
      </c>
      <c r="E296">
        <f t="shared" si="13"/>
        <v>-2.968489726508898E-2</v>
      </c>
      <c r="F296">
        <f t="shared" si="14"/>
        <v>2.0012417194743732</v>
      </c>
    </row>
    <row r="297" spans="3:6">
      <c r="C297">
        <v>0.95</v>
      </c>
      <c r="D297">
        <f t="shared" si="12"/>
        <v>2.0444905213368307</v>
      </c>
      <c r="E297">
        <f t="shared" si="13"/>
        <v>8.8910573612815597E-2</v>
      </c>
      <c r="F297">
        <f t="shared" si="14"/>
        <v>2.1334010949496465</v>
      </c>
    </row>
    <row r="298" spans="3:6">
      <c r="C298">
        <v>0.96</v>
      </c>
      <c r="D298">
        <f t="shared" si="12"/>
        <v>2.0581497063588055</v>
      </c>
      <c r="E298">
        <f t="shared" si="13"/>
        <v>0.19346901988346019</v>
      </c>
      <c r="F298">
        <f t="shared" si="14"/>
        <v>2.2516187262422656</v>
      </c>
    </row>
    <row r="299" spans="3:6">
      <c r="C299">
        <v>0.97</v>
      </c>
      <c r="D299">
        <f t="shared" si="12"/>
        <v>2.0719048411081857</v>
      </c>
      <c r="E299">
        <f t="shared" si="13"/>
        <v>0.2674829619124322</v>
      </c>
      <c r="F299">
        <f t="shared" si="14"/>
        <v>2.3393878030206179</v>
      </c>
    </row>
    <row r="300" spans="3:6">
      <c r="C300">
        <v>0.98</v>
      </c>
      <c r="D300">
        <f t="shared" si="12"/>
        <v>2.0857565995893261</v>
      </c>
      <c r="E300">
        <f t="shared" si="13"/>
        <v>0.29926722567234154</v>
      </c>
      <c r="F300">
        <f t="shared" si="14"/>
        <v>2.3850238252616678</v>
      </c>
    </row>
    <row r="301" spans="3:6">
      <c r="C301">
        <v>0.99</v>
      </c>
      <c r="D301">
        <f t="shared" si="12"/>
        <v>2.0997056605411637</v>
      </c>
      <c r="E301">
        <f t="shared" si="13"/>
        <v>0.28380377478807245</v>
      </c>
      <c r="F301">
        <f t="shared" si="14"/>
        <v>2.3835094353292363</v>
      </c>
    </row>
    <row r="302" spans="3:6">
      <c r="C302">
        <v>1</v>
      </c>
      <c r="D302">
        <f t="shared" si="12"/>
        <v>2.1137527074704767</v>
      </c>
      <c r="E302">
        <f t="shared" si="13"/>
        <v>0.22353394814380464</v>
      </c>
      <c r="F302">
        <f t="shared" si="14"/>
        <v>2.3372866556142813</v>
      </c>
    </row>
    <row r="303" spans="3:6">
      <c r="C303">
        <v>1.01</v>
      </c>
      <c r="D303">
        <f t="shared" si="12"/>
        <v>2.1278984286853744</v>
      </c>
      <c r="E303">
        <f t="shared" si="13"/>
        <v>0.12797302615337194</v>
      </c>
      <c r="F303">
        <f t="shared" si="14"/>
        <v>2.2558714548387462</v>
      </c>
    </row>
    <row r="304" spans="3:6">
      <c r="C304">
        <v>1.02</v>
      </c>
      <c r="D304">
        <f t="shared" si="12"/>
        <v>2.1421435173290266</v>
      </c>
      <c r="E304">
        <f t="shared" si="13"/>
        <v>1.2207977204959456E-2</v>
      </c>
      <c r="F304">
        <f t="shared" si="14"/>
        <v>2.1543514945339859</v>
      </c>
    </row>
    <row r="305" spans="3:6">
      <c r="C305">
        <v>1.03</v>
      </c>
      <c r="D305">
        <f t="shared" si="12"/>
        <v>2.1564886714136282</v>
      </c>
      <c r="E305">
        <f t="shared" si="13"/>
        <v>-0.10548444291504488</v>
      </c>
      <c r="F305">
        <f t="shared" si="14"/>
        <v>2.0510042284985834</v>
      </c>
    </row>
    <row r="306" spans="3:6">
      <c r="C306">
        <v>1.04</v>
      </c>
      <c r="D306">
        <f t="shared" si="12"/>
        <v>2.1709345938545983</v>
      </c>
      <c r="E306">
        <f t="shared" si="13"/>
        <v>-0.20652318889130111</v>
      </c>
      <c r="F306">
        <f t="shared" si="14"/>
        <v>1.9644114049632972</v>
      </c>
    </row>
    <row r="307" spans="3:6">
      <c r="C307">
        <v>1.05</v>
      </c>
      <c r="D307">
        <f t="shared" si="12"/>
        <v>2.1854819925050277</v>
      </c>
      <c r="E307">
        <f t="shared" si="13"/>
        <v>-0.27495646437469012</v>
      </c>
      <c r="F307">
        <f t="shared" si="14"/>
        <v>1.9105255281303375</v>
      </c>
    </row>
    <row r="308" spans="3:6">
      <c r="C308">
        <v>1.06</v>
      </c>
      <c r="D308">
        <f t="shared" si="12"/>
        <v>2.2001315801903609</v>
      </c>
      <c r="E308">
        <f t="shared" si="13"/>
        <v>-0.29998015987764109</v>
      </c>
      <c r="F308">
        <f t="shared" si="14"/>
        <v>1.9001514203127199</v>
      </c>
    </row>
    <row r="309" spans="3:6">
      <c r="C309">
        <v>1.07</v>
      </c>
      <c r="D309">
        <f t="shared" si="12"/>
        <v>2.2148840747433254</v>
      </c>
      <c r="E309">
        <f t="shared" si="13"/>
        <v>-0.27764358410139839</v>
      </c>
      <c r="F309">
        <f t="shared" si="14"/>
        <v>1.9372404906419269</v>
      </c>
    </row>
    <row r="310" spans="3:6">
      <c r="C310">
        <v>1.08</v>
      </c>
      <c r="D310">
        <f t="shared" si="12"/>
        <v>2.2297401990391057</v>
      </c>
      <c r="E310">
        <f t="shared" si="13"/>
        <v>-0.21147319122427441</v>
      </c>
      <c r="F310">
        <f t="shared" si="14"/>
        <v>2.0182670078148313</v>
      </c>
    </row>
    <row r="311" spans="3:6">
      <c r="C311">
        <v>1.0900000000000001</v>
      </c>
      <c r="D311">
        <f t="shared" si="12"/>
        <v>2.2447006810307655</v>
      </c>
      <c r="E311">
        <f t="shared" si="13"/>
        <v>-0.11191583132658663</v>
      </c>
      <c r="F311">
        <f t="shared" si="14"/>
        <v>2.132784849704179</v>
      </c>
    </row>
    <row r="312" spans="3:6">
      <c r="C312">
        <v>1.1000000000000001</v>
      </c>
      <c r="D312">
        <f t="shared" si="12"/>
        <v>2.2597662537849152</v>
      </c>
      <c r="E312">
        <f t="shared" si="13"/>
        <v>5.3105775316240732E-3</v>
      </c>
      <c r="F312">
        <f t="shared" si="14"/>
        <v>2.2650768313165393</v>
      </c>
    </row>
    <row r="313" spans="3:6">
      <c r="C313">
        <v>1.1100000000000001</v>
      </c>
      <c r="D313">
        <f t="shared" si="12"/>
        <v>2.2749376555176344</v>
      </c>
      <c r="E313">
        <f t="shared" si="13"/>
        <v>0.1216985629666027</v>
      </c>
      <c r="F313">
        <f t="shared" si="14"/>
        <v>2.3966362184842369</v>
      </c>
    </row>
    <row r="314" spans="3:6">
      <c r="C314">
        <v>1.1200000000000001</v>
      </c>
      <c r="D314">
        <f t="shared" si="12"/>
        <v>2.2902156296306431</v>
      </c>
      <c r="E314">
        <f t="shared" si="13"/>
        <v>0.21887302121785748</v>
      </c>
      <c r="F314">
        <f t="shared" si="14"/>
        <v>2.5090886508485006</v>
      </c>
    </row>
    <row r="315" spans="3:6">
      <c r="C315">
        <v>1.1299999999999999</v>
      </c>
      <c r="D315">
        <f t="shared" si="12"/>
        <v>2.30560092474773</v>
      </c>
      <c r="E315">
        <f t="shared" si="13"/>
        <v>0.28149224200006556</v>
      </c>
      <c r="F315">
        <f t="shared" si="14"/>
        <v>2.5870931667477954</v>
      </c>
    </row>
    <row r="316" spans="3:6">
      <c r="C316">
        <v>1.1399999999999999</v>
      </c>
      <c r="D316">
        <f t="shared" si="12"/>
        <v>2.3210942947514348</v>
      </c>
      <c r="E316">
        <f t="shared" si="13"/>
        <v>0.29967002722350639</v>
      </c>
      <c r="F316">
        <f t="shared" si="14"/>
        <v>2.6207643219749412</v>
      </c>
    </row>
    <row r="317" spans="3:6">
      <c r="C317">
        <v>1.1499999999999999</v>
      </c>
      <c r="D317">
        <f t="shared" si="12"/>
        <v>2.336696498819987</v>
      </c>
      <c r="E317">
        <f t="shared" si="13"/>
        <v>0.27053650429464277</v>
      </c>
      <c r="F317">
        <f t="shared" si="14"/>
        <v>2.6072330031146298</v>
      </c>
    </row>
    <row r="318" spans="3:6">
      <c r="C318">
        <v>1.1599999999999999</v>
      </c>
      <c r="D318">
        <f t="shared" si="12"/>
        <v>2.3524083014645076</v>
      </c>
      <c r="E318">
        <f t="shared" si="13"/>
        <v>0.19869121589587285</v>
      </c>
      <c r="F318">
        <f t="shared" si="14"/>
        <v>2.5510995173603805</v>
      </c>
    </row>
    <row r="319" spans="3:6">
      <c r="C319">
        <v>1.17</v>
      </c>
      <c r="D319">
        <f t="shared" si="12"/>
        <v>2.36823047256647</v>
      </c>
      <c r="E319">
        <f t="shared" si="13"/>
        <v>9.5476953330746461E-2</v>
      </c>
      <c r="F319">
        <f t="shared" si="14"/>
        <v>2.4637074258972165</v>
      </c>
    </row>
    <row r="320" spans="3:6">
      <c r="C320">
        <v>1.18</v>
      </c>
      <c r="D320">
        <f t="shared" si="12"/>
        <v>2.384163787415424</v>
      </c>
      <c r="E320">
        <f t="shared" si="13"/>
        <v>-2.2811020817503944E-2</v>
      </c>
      <c r="F320">
        <f t="shared" si="14"/>
        <v>2.3613527665979199</v>
      </c>
    </row>
    <row r="321" spans="3:6">
      <c r="C321">
        <v>1.19</v>
      </c>
      <c r="D321">
        <f t="shared" si="12"/>
        <v>2.4002090267469858</v>
      </c>
      <c r="E321">
        <f t="shared" si="13"/>
        <v>-0.13749763634752785</v>
      </c>
      <c r="F321">
        <f t="shared" si="14"/>
        <v>2.262711390399458</v>
      </c>
    </row>
    <row r="322" spans="3:6">
      <c r="C322">
        <v>1.2</v>
      </c>
      <c r="D322">
        <f t="shared" si="12"/>
        <v>2.4163669767810916</v>
      </c>
      <c r="E322">
        <f t="shared" si="13"/>
        <v>-0.23047639839710005</v>
      </c>
      <c r="F322">
        <f t="shared" si="14"/>
        <v>2.1858905783839915</v>
      </c>
    </row>
    <row r="323" spans="3:6">
      <c r="C323">
        <v>1.21</v>
      </c>
      <c r="D323">
        <f t="shared" ref="D323:D386" si="15">EXP($A$3*C323)+0.1</f>
        <v>2.4326384292605274</v>
      </c>
      <c r="E323">
        <f t="shared" ref="E323:E386" si="16">$A$1*SIN($A$2*C323)</f>
        <v>-0.28706800485614631</v>
      </c>
      <c r="F323">
        <f t="shared" ref="F323:F386" si="17">D323+E323</f>
        <v>2.1455704244043812</v>
      </c>
    </row>
    <row r="324" spans="3:6">
      <c r="C324">
        <v>1.22</v>
      </c>
      <c r="D324">
        <f t="shared" si="15"/>
        <v>2.4490241814897198</v>
      </c>
      <c r="E324">
        <f t="shared" si="16"/>
        <v>-0.29833788540135464</v>
      </c>
      <c r="F324">
        <f t="shared" si="17"/>
        <v>2.1506862960883653</v>
      </c>
    </row>
    <row r="325" spans="3:6">
      <c r="C325">
        <v>1.23</v>
      </c>
      <c r="D325">
        <f t="shared" si="15"/>
        <v>2.4655250363738062</v>
      </c>
      <c r="E325">
        <f t="shared" si="16"/>
        <v>-0.26250677369683401</v>
      </c>
      <c r="F325">
        <f t="shared" si="17"/>
        <v>2.2030182626769723</v>
      </c>
    </row>
    <row r="326" spans="3:6">
      <c r="C326">
        <v>1.24</v>
      </c>
      <c r="D326">
        <f t="shared" si="15"/>
        <v>2.4821418024579782</v>
      </c>
      <c r="E326">
        <f t="shared" si="16"/>
        <v>-0.18523161442603853</v>
      </c>
      <c r="F326">
        <f t="shared" si="17"/>
        <v>2.2969101880319398</v>
      </c>
    </row>
    <row r="327" spans="3:6">
      <c r="C327">
        <v>1.25</v>
      </c>
      <c r="D327">
        <f t="shared" si="15"/>
        <v>2.4988752939670982</v>
      </c>
      <c r="E327">
        <f t="shared" si="16"/>
        <v>-7.8712456111178622E-2</v>
      </c>
      <c r="F327">
        <f t="shared" si="17"/>
        <v>2.4201628378559197</v>
      </c>
    </row>
    <row r="328" spans="3:6">
      <c r="C328">
        <v>1.26</v>
      </c>
      <c r="D328">
        <f t="shared" si="15"/>
        <v>2.5157263308455979</v>
      </c>
      <c r="E328">
        <f t="shared" si="16"/>
        <v>4.0233668293697143E-2</v>
      </c>
      <c r="F328">
        <f t="shared" si="17"/>
        <v>2.5559599991392949</v>
      </c>
    </row>
    <row r="329" spans="3:6">
      <c r="C329">
        <v>1.27</v>
      </c>
      <c r="D329">
        <f t="shared" si="15"/>
        <v>2.5326957387976567</v>
      </c>
      <c r="E329">
        <f t="shared" si="16"/>
        <v>0.15282778113312878</v>
      </c>
      <c r="F329">
        <f t="shared" si="17"/>
        <v>2.6855235199307854</v>
      </c>
    </row>
    <row r="330" spans="3:6">
      <c r="C330">
        <v>1.28</v>
      </c>
      <c r="D330">
        <f t="shared" si="15"/>
        <v>2.5497843493276591</v>
      </c>
      <c r="E330">
        <f t="shared" si="16"/>
        <v>0.24129374770977421</v>
      </c>
      <c r="F330">
        <f t="shared" si="17"/>
        <v>2.7910780970374334</v>
      </c>
    </row>
    <row r="331" spans="3:6">
      <c r="C331">
        <v>1.29</v>
      </c>
      <c r="D331">
        <f t="shared" si="15"/>
        <v>2.5669929997809406</v>
      </c>
      <c r="E331">
        <f t="shared" si="16"/>
        <v>0.2916647370913617</v>
      </c>
      <c r="F331">
        <f t="shared" si="17"/>
        <v>2.8586577368723023</v>
      </c>
    </row>
    <row r="332" spans="3:6">
      <c r="C332">
        <v>1.3</v>
      </c>
      <c r="D332">
        <f t="shared" si="15"/>
        <v>2.5843225333848165</v>
      </c>
      <c r="E332">
        <f t="shared" si="16"/>
        <v>0.29598827761214558</v>
      </c>
      <c r="F332">
        <f t="shared" si="17"/>
        <v>2.8803108109969622</v>
      </c>
    </row>
    <row r="333" spans="3:6">
      <c r="C333">
        <v>1.31</v>
      </c>
      <c r="D333">
        <f t="shared" si="15"/>
        <v>2.6017737992899006</v>
      </c>
      <c r="E333">
        <f t="shared" si="16"/>
        <v>0.25358177728992692</v>
      </c>
      <c r="F333">
        <f t="shared" si="17"/>
        <v>2.8553555765798277</v>
      </c>
    </row>
    <row r="334" spans="3:6">
      <c r="C334">
        <v>1.32</v>
      </c>
      <c r="D334">
        <f t="shared" si="15"/>
        <v>2.6193476526117134</v>
      </c>
      <c r="E334">
        <f t="shared" si="16"/>
        <v>0.17114029009121168</v>
      </c>
      <c r="F334">
        <f t="shared" si="17"/>
        <v>2.7904879427029252</v>
      </c>
    </row>
    <row r="335" spans="3:6">
      <c r="C335">
        <v>1.33</v>
      </c>
      <c r="D335">
        <f t="shared" si="15"/>
        <v>2.6370449544725849</v>
      </c>
      <c r="E335">
        <f t="shared" si="16"/>
        <v>6.1679514120780349E-2</v>
      </c>
      <c r="F335">
        <f t="shared" si="17"/>
        <v>2.6987244685933653</v>
      </c>
    </row>
    <row r="336" spans="3:6">
      <c r="C336">
        <v>1.34</v>
      </c>
      <c r="D336">
        <f t="shared" si="15"/>
        <v>2.6548665720438471</v>
      </c>
      <c r="E336">
        <f t="shared" si="16"/>
        <v>-5.7519100919809753E-2</v>
      </c>
      <c r="F336">
        <f t="shared" si="17"/>
        <v>2.5973474711240372</v>
      </c>
    </row>
    <row r="337" spans="3:6">
      <c r="C337">
        <v>1.35</v>
      </c>
      <c r="D337">
        <f t="shared" si="15"/>
        <v>2.6728133785883261</v>
      </c>
      <c r="E337">
        <f t="shared" si="16"/>
        <v>-0.16763671465548488</v>
      </c>
      <c r="F337">
        <f t="shared" si="17"/>
        <v>2.5051766639328412</v>
      </c>
    </row>
    <row r="338" spans="3:6">
      <c r="C338">
        <v>1.36</v>
      </c>
      <c r="D338">
        <f t="shared" si="15"/>
        <v>2.6908862535031339</v>
      </c>
      <c r="E338">
        <f t="shared" si="16"/>
        <v>-0.25128817714410945</v>
      </c>
      <c r="F338">
        <f t="shared" si="17"/>
        <v>2.4395980763590246</v>
      </c>
    </row>
    <row r="339" spans="3:6">
      <c r="C339">
        <v>1.37</v>
      </c>
      <c r="D339">
        <f t="shared" si="15"/>
        <v>2.7090860823627572</v>
      </c>
      <c r="E339">
        <f t="shared" si="16"/>
        <v>-0.29526676178756661</v>
      </c>
      <c r="F339">
        <f t="shared" si="17"/>
        <v>2.4138193205751906</v>
      </c>
    </row>
    <row r="340" spans="3:6">
      <c r="C340">
        <v>1.38</v>
      </c>
      <c r="D340">
        <f t="shared" si="15"/>
        <v>2.7274137569624517</v>
      </c>
      <c r="E340">
        <f t="shared" si="16"/>
        <v>-0.29262921707202977</v>
      </c>
      <c r="F340">
        <f t="shared" si="17"/>
        <v>2.4347845398904218</v>
      </c>
    </row>
    <row r="341" spans="3:6">
      <c r="C341">
        <v>1.39</v>
      </c>
      <c r="D341">
        <f t="shared" si="15"/>
        <v>2.7458701753619401</v>
      </c>
      <c r="E341">
        <f t="shared" si="16"/>
        <v>-0.2437919533137336</v>
      </c>
      <c r="F341">
        <f t="shared" si="17"/>
        <v>2.5020782220482065</v>
      </c>
    </row>
    <row r="342" spans="3:6">
      <c r="C342">
        <v>1.4</v>
      </c>
      <c r="D342">
        <f t="shared" si="15"/>
        <v>2.764456241929417</v>
      </c>
      <c r="E342">
        <f t="shared" si="16"/>
        <v>-0.15646530062607356</v>
      </c>
      <c r="F342">
        <f t="shared" si="17"/>
        <v>2.6079909413033433</v>
      </c>
    </row>
    <row r="343" spans="3:6">
      <c r="C343">
        <v>1.41</v>
      </c>
      <c r="D343">
        <f t="shared" si="15"/>
        <v>2.7831728673858622</v>
      </c>
      <c r="E343">
        <f t="shared" si="16"/>
        <v>-4.44362173294909E-2</v>
      </c>
      <c r="F343">
        <f t="shared" si="17"/>
        <v>2.7387366500563712</v>
      </c>
    </row>
    <row r="344" spans="3:6">
      <c r="C344">
        <v>1.42</v>
      </c>
      <c r="D344">
        <f t="shared" si="15"/>
        <v>2.8020209688496682</v>
      </c>
      <c r="E344">
        <f t="shared" si="16"/>
        <v>7.4608367619615271E-2</v>
      </c>
      <c r="F344">
        <f t="shared" si="17"/>
        <v>2.8766293364692834</v>
      </c>
    </row>
    <row r="345" spans="3:6">
      <c r="C345">
        <v>1.43</v>
      </c>
      <c r="D345">
        <f t="shared" si="15"/>
        <v>2.8210014698815784</v>
      </c>
      <c r="E345">
        <f t="shared" si="16"/>
        <v>0.181873931810802</v>
      </c>
      <c r="F345">
        <f t="shared" si="17"/>
        <v>3.0028754016923802</v>
      </c>
    </row>
    <row r="346" spans="3:6">
      <c r="C346">
        <v>1.44</v>
      </c>
      <c r="D346">
        <f t="shared" si="15"/>
        <v>2.8401153005299413</v>
      </c>
      <c r="E346">
        <f t="shared" si="16"/>
        <v>0.26042560121412539</v>
      </c>
      <c r="F346">
        <f t="shared" si="17"/>
        <v>3.1005409017440666</v>
      </c>
    </row>
    <row r="347" spans="3:6">
      <c r="C347">
        <v>1.45</v>
      </c>
      <c r="D347">
        <f t="shared" si="15"/>
        <v>2.8593633973762813</v>
      </c>
      <c r="E347">
        <f t="shared" si="16"/>
        <v>0.29786179442536115</v>
      </c>
      <c r="F347">
        <f t="shared" si="17"/>
        <v>3.1572251918016425</v>
      </c>
    </row>
    <row r="348" spans="3:6">
      <c r="C348">
        <v>1.46</v>
      </c>
      <c r="D348">
        <f t="shared" si="15"/>
        <v>2.8787467035811973</v>
      </c>
      <c r="E348">
        <f t="shared" si="16"/>
        <v>0.28827215968368614</v>
      </c>
      <c r="F348">
        <f t="shared" si="17"/>
        <v>3.1670188632648832</v>
      </c>
    </row>
    <row r="349" spans="3:6">
      <c r="C349">
        <v>1.47</v>
      </c>
      <c r="D349">
        <f t="shared" si="15"/>
        <v>2.8982661689305695</v>
      </c>
      <c r="E349">
        <f t="shared" si="16"/>
        <v>0.23317068945786795</v>
      </c>
      <c r="F349">
        <f t="shared" si="17"/>
        <v>3.1314368583884375</v>
      </c>
    </row>
    <row r="350" spans="3:6">
      <c r="C350">
        <v>1.48</v>
      </c>
      <c r="D350">
        <f t="shared" si="15"/>
        <v>2.9179227498821074</v>
      </c>
      <c r="E350">
        <f t="shared" si="16"/>
        <v>0.14125669432511601</v>
      </c>
      <c r="F350">
        <f t="shared" si="17"/>
        <v>3.0591794442072233</v>
      </c>
    </row>
    <row r="351" spans="3:6">
      <c r="C351">
        <v>1.49</v>
      </c>
      <c r="D351">
        <f t="shared" si="15"/>
        <v>2.9377174096122096</v>
      </c>
      <c r="E351">
        <f t="shared" si="16"/>
        <v>2.7041373111439636E-2</v>
      </c>
      <c r="F351">
        <f t="shared" si="17"/>
        <v>2.9647587827236492</v>
      </c>
    </row>
    <row r="352" spans="3:6">
      <c r="C352">
        <v>1.5</v>
      </c>
      <c r="D352">
        <f t="shared" si="15"/>
        <v>2.9576511180631635</v>
      </c>
      <c r="E352">
        <f t="shared" si="16"/>
        <v>-9.1443186330665005E-2</v>
      </c>
      <c r="F352">
        <f t="shared" si="17"/>
        <v>2.8662079317324984</v>
      </c>
    </row>
    <row r="353" spans="3:6">
      <c r="C353">
        <v>1.51</v>
      </c>
      <c r="D353">
        <f t="shared" si="15"/>
        <v>2.9777248519906721</v>
      </c>
      <c r="E353">
        <f t="shared" si="16"/>
        <v>-0.19549087730446643</v>
      </c>
      <c r="F353">
        <f t="shared" si="17"/>
        <v>2.7822339746862057</v>
      </c>
    </row>
    <row r="354" spans="3:6">
      <c r="C354">
        <v>1.52</v>
      </c>
      <c r="D354">
        <f t="shared" si="15"/>
        <v>2.9979395950117138</v>
      </c>
      <c r="E354">
        <f t="shared" si="16"/>
        <v>-0.26867485720643103</v>
      </c>
      <c r="F354">
        <f t="shared" si="17"/>
        <v>2.7292647378052828</v>
      </c>
    </row>
    <row r="355" spans="3:6">
      <c r="C355">
        <v>1.53</v>
      </c>
      <c r="D355">
        <f t="shared" si="15"/>
        <v>3.0182963376527416</v>
      </c>
      <c r="E355">
        <f t="shared" si="16"/>
        <v>-0.29944098477981113</v>
      </c>
      <c r="F355">
        <f t="shared" si="17"/>
        <v>2.7188553528729305</v>
      </c>
    </row>
    <row r="356" spans="3:6">
      <c r="C356">
        <v>1.54</v>
      </c>
      <c r="D356">
        <f t="shared" si="15"/>
        <v>3.0387960773982177</v>
      </c>
      <c r="E356">
        <f t="shared" si="16"/>
        <v>-0.28293196496655959</v>
      </c>
      <c r="F356">
        <f t="shared" si="17"/>
        <v>2.7558641124316581</v>
      </c>
    </row>
    <row r="357" spans="3:6">
      <c r="C357">
        <v>1.55</v>
      </c>
      <c r="D357">
        <f t="shared" si="15"/>
        <v>3.0594398187394916</v>
      </c>
      <c r="E357">
        <f t="shared" si="16"/>
        <v>-0.22175420899476683</v>
      </c>
      <c r="F357">
        <f t="shared" si="17"/>
        <v>2.8376856097447245</v>
      </c>
    </row>
    <row r="358" spans="3:6">
      <c r="C358">
        <v>1.56</v>
      </c>
      <c r="D358">
        <f t="shared" si="15"/>
        <v>3.0802285732240184</v>
      </c>
      <c r="E358">
        <f t="shared" si="16"/>
        <v>-0.12556633935552569</v>
      </c>
      <c r="F358">
        <f t="shared" si="17"/>
        <v>2.9546622338684929</v>
      </c>
    </row>
    <row r="359" spans="3:6">
      <c r="C359">
        <v>1.57</v>
      </c>
      <c r="D359">
        <f t="shared" si="15"/>
        <v>3.1011633595049295</v>
      </c>
      <c r="E359">
        <f t="shared" si="16"/>
        <v>-9.5543056854428821E-3</v>
      </c>
      <c r="F359">
        <f t="shared" si="17"/>
        <v>3.0916090538194867</v>
      </c>
    </row>
    <row r="360" spans="3:6">
      <c r="C360">
        <v>1.58</v>
      </c>
      <c r="D360">
        <f t="shared" si="15"/>
        <v>3.1222452033909391</v>
      </c>
      <c r="E360">
        <f t="shared" si="16"/>
        <v>0.1079661427722428</v>
      </c>
      <c r="F360">
        <f t="shared" si="17"/>
        <v>3.2302113461631818</v>
      </c>
    </row>
    <row r="361" spans="3:6">
      <c r="C361">
        <v>1.59</v>
      </c>
      <c r="D361">
        <f t="shared" si="15"/>
        <v>3.1434751378966177</v>
      </c>
      <c r="E361">
        <f t="shared" si="16"/>
        <v>0.20844111124636175</v>
      </c>
      <c r="F361">
        <f t="shared" si="17"/>
        <v>3.3519162491429793</v>
      </c>
    </row>
    <row r="362" spans="3:6">
      <c r="C362">
        <v>1.6</v>
      </c>
      <c r="D362">
        <f t="shared" si="15"/>
        <v>3.1648542032930016</v>
      </c>
      <c r="E362">
        <f t="shared" si="16"/>
        <v>0.27600781145903719</v>
      </c>
      <c r="F362">
        <f t="shared" si="17"/>
        <v>3.4408620147520388</v>
      </c>
    </row>
    <row r="363" spans="3:6">
      <c r="C363">
        <v>1.61</v>
      </c>
      <c r="D363">
        <f t="shared" si="15"/>
        <v>3.1863834471585752</v>
      </c>
      <c r="E363">
        <f t="shared" si="16"/>
        <v>0.29999894710368197</v>
      </c>
      <c r="F363">
        <f t="shared" si="17"/>
        <v>3.4863823942622574</v>
      </c>
    </row>
    <row r="364" spans="3:6">
      <c r="C364">
        <v>1.62</v>
      </c>
      <c r="D364">
        <f t="shared" si="15"/>
        <v>3.208063924430594</v>
      </c>
      <c r="E364">
        <f t="shared" si="16"/>
        <v>0.27662684537923399</v>
      </c>
      <c r="F364">
        <f t="shared" si="17"/>
        <v>3.4846907698098279</v>
      </c>
    </row>
    <row r="365" spans="3:6">
      <c r="C365">
        <v>1.63</v>
      </c>
      <c r="D365">
        <f t="shared" si="15"/>
        <v>3.2298966974567822</v>
      </c>
      <c r="E365">
        <f t="shared" si="16"/>
        <v>0.20958144724208225</v>
      </c>
      <c r="F365">
        <f t="shared" si="17"/>
        <v>3.4394781446988643</v>
      </c>
    </row>
    <row r="366" spans="3:6">
      <c r="C366">
        <v>1.64</v>
      </c>
      <c r="D366">
        <f t="shared" si="15"/>
        <v>3.2518828360473879</v>
      </c>
      <c r="E366">
        <f t="shared" si="16"/>
        <v>0.10944774686347274</v>
      </c>
      <c r="F366">
        <f t="shared" si="17"/>
        <v>3.3613305829108606</v>
      </c>
    </row>
    <row r="367" spans="3:6">
      <c r="C367">
        <v>1.65</v>
      </c>
      <c r="D367">
        <f t="shared" si="15"/>
        <v>3.2740234175275997</v>
      </c>
      <c r="E367">
        <f t="shared" si="16"/>
        <v>-7.9653462071900376E-3</v>
      </c>
      <c r="F367">
        <f t="shared" si="17"/>
        <v>3.2660580713204097</v>
      </c>
    </row>
    <row r="368" spans="3:6">
      <c r="C368">
        <v>1.66</v>
      </c>
      <c r="D368">
        <f t="shared" si="15"/>
        <v>3.2963195267903411</v>
      </c>
      <c r="E368">
        <f t="shared" si="16"/>
        <v>-0.12412088625381193</v>
      </c>
      <c r="F368">
        <f t="shared" si="17"/>
        <v>3.172198640536529</v>
      </c>
    </row>
    <row r="369" spans="3:6">
      <c r="C369">
        <v>1.67</v>
      </c>
      <c r="D369">
        <f t="shared" si="15"/>
        <v>3.3187722563494257</v>
      </c>
      <c r="E369">
        <f t="shared" si="16"/>
        <v>-0.2206804675317238</v>
      </c>
      <c r="F369">
        <f t="shared" si="17"/>
        <v>3.098091788817702</v>
      </c>
    </row>
    <row r="370" spans="3:6">
      <c r="C370">
        <v>1.68</v>
      </c>
      <c r="D370">
        <f t="shared" si="15"/>
        <v>3.3413827063930959</v>
      </c>
      <c r="E370">
        <f t="shared" si="16"/>
        <v>-0.28239945530976895</v>
      </c>
      <c r="F370">
        <f t="shared" si="17"/>
        <v>3.058983251083327</v>
      </c>
    </row>
    <row r="371" spans="3:6">
      <c r="C371">
        <v>1.69</v>
      </c>
      <c r="D371">
        <f t="shared" si="15"/>
        <v>3.3641519848379264</v>
      </c>
      <c r="E371">
        <f t="shared" si="16"/>
        <v>-0.29953377849525337</v>
      </c>
      <c r="F371">
        <f t="shared" si="17"/>
        <v>3.064618206342673</v>
      </c>
    </row>
    <row r="372" spans="3:6">
      <c r="C372">
        <v>1.7</v>
      </c>
      <c r="D372">
        <f t="shared" si="15"/>
        <v>3.387081207383118</v>
      </c>
      <c r="E372">
        <f t="shared" si="16"/>
        <v>-0.26937830420678738</v>
      </c>
      <c r="F372">
        <f t="shared" si="17"/>
        <v>3.1177029031763306</v>
      </c>
    </row>
    <row r="373" spans="3:6">
      <c r="C373">
        <v>1.71</v>
      </c>
      <c r="D373">
        <f t="shared" si="15"/>
        <v>3.4101714975651625</v>
      </c>
      <c r="E373">
        <f t="shared" si="16"/>
        <v>-0.19669391877577569</v>
      </c>
      <c r="F373">
        <f t="shared" si="17"/>
        <v>3.2134775787893868</v>
      </c>
    </row>
    <row r="374" spans="3:6">
      <c r="C374">
        <v>1.72</v>
      </c>
      <c r="D374">
        <f t="shared" si="15"/>
        <v>3.4334239868128988</v>
      </c>
      <c r="E374">
        <f t="shared" si="16"/>
        <v>-9.2955888477093185E-2</v>
      </c>
      <c r="F374">
        <f t="shared" si="17"/>
        <v>3.3404680983358057</v>
      </c>
    </row>
    <row r="375" spans="3:6">
      <c r="C375">
        <v>1.73</v>
      </c>
      <c r="D375">
        <f t="shared" si="15"/>
        <v>3.4568398145029526</v>
      </c>
      <c r="E375">
        <f t="shared" si="16"/>
        <v>2.5457832697513741E-2</v>
      </c>
      <c r="F375">
        <f t="shared" si="17"/>
        <v>3.4822976472004665</v>
      </c>
    </row>
    <row r="376" spans="3:6">
      <c r="C376">
        <v>1.74</v>
      </c>
      <c r="D376">
        <f t="shared" si="15"/>
        <v>3.4804201280155662</v>
      </c>
      <c r="E376">
        <f t="shared" si="16"/>
        <v>0.1398523218561516</v>
      </c>
      <c r="F376">
        <f t="shared" si="17"/>
        <v>3.6202724498717176</v>
      </c>
    </row>
    <row r="377" spans="3:6">
      <c r="C377">
        <v>1.75</v>
      </c>
      <c r="D377">
        <f t="shared" si="15"/>
        <v>3.5041660827908188</v>
      </c>
      <c r="E377">
        <f t="shared" si="16"/>
        <v>0.23216720446736672</v>
      </c>
      <c r="F377">
        <f t="shared" si="17"/>
        <v>3.7363332872581854</v>
      </c>
    </row>
    <row r="378" spans="3:6">
      <c r="C378">
        <v>1.76</v>
      </c>
      <c r="D378">
        <f t="shared" si="15"/>
        <v>3.5280788423852467</v>
      </c>
      <c r="E378">
        <f t="shared" si="16"/>
        <v>0.28782799038701506</v>
      </c>
      <c r="F378">
        <f t="shared" si="17"/>
        <v>3.8159068327722618</v>
      </c>
    </row>
    <row r="379" spans="3:6">
      <c r="C379">
        <v>1.77</v>
      </c>
      <c r="D379">
        <f t="shared" si="15"/>
        <v>3.5521595785288533</v>
      </c>
      <c r="E379">
        <f t="shared" si="16"/>
        <v>0.29804706538806636</v>
      </c>
      <c r="F379">
        <f t="shared" si="17"/>
        <v>3.8502066439169198</v>
      </c>
    </row>
    <row r="380" spans="3:6">
      <c r="C380">
        <v>1.78</v>
      </c>
      <c r="D380">
        <f t="shared" si="15"/>
        <v>3.5764094711825294</v>
      </c>
      <c r="E380">
        <f t="shared" si="16"/>
        <v>0.26121106222493545</v>
      </c>
      <c r="F380">
        <f t="shared" si="17"/>
        <v>3.8376205334074647</v>
      </c>
    </row>
    <row r="381" spans="3:6">
      <c r="C381">
        <v>1.79</v>
      </c>
      <c r="D381">
        <f t="shared" si="15"/>
        <v>3.6008297085958656</v>
      </c>
      <c r="E381">
        <f t="shared" si="16"/>
        <v>0.18313557584683285</v>
      </c>
      <c r="F381">
        <f t="shared" si="17"/>
        <v>3.7839652844426985</v>
      </c>
    </row>
    <row r="382" spans="3:6">
      <c r="C382">
        <v>1.8</v>
      </c>
      <c r="D382">
        <f t="shared" si="15"/>
        <v>3.6254214873653825</v>
      </c>
      <c r="E382">
        <f t="shared" si="16"/>
        <v>7.6147008828610876E-2</v>
      </c>
      <c r="F382">
        <f t="shared" si="17"/>
        <v>3.7015684961939934</v>
      </c>
    </row>
    <row r="383" spans="3:6">
      <c r="C383">
        <v>1.81</v>
      </c>
      <c r="D383">
        <f t="shared" si="15"/>
        <v>3.6501860124931587</v>
      </c>
      <c r="E383">
        <f t="shared" si="16"/>
        <v>-4.2863496562779581E-2</v>
      </c>
      <c r="F383">
        <f t="shared" si="17"/>
        <v>3.6073225159303792</v>
      </c>
    </row>
    <row r="384" spans="3:6">
      <c r="C384">
        <v>1.82</v>
      </c>
      <c r="D384">
        <f t="shared" si="15"/>
        <v>3.6751244974458817</v>
      </c>
      <c r="E384">
        <f t="shared" si="16"/>
        <v>-0.15510679832971305</v>
      </c>
      <c r="F384">
        <f t="shared" si="17"/>
        <v>3.5200176991161687</v>
      </c>
    </row>
    <row r="385" spans="3:6">
      <c r="C385">
        <v>1.83</v>
      </c>
      <c r="D385">
        <f t="shared" si="15"/>
        <v>3.7002381642143032</v>
      </c>
      <c r="E385">
        <f t="shared" si="16"/>
        <v>-0.24286214712956503</v>
      </c>
      <c r="F385">
        <f t="shared" si="17"/>
        <v>3.4573760170847381</v>
      </c>
    </row>
    <row r="386" spans="3:6">
      <c r="C386">
        <v>1.84</v>
      </c>
      <c r="D386">
        <f t="shared" si="15"/>
        <v>3.7255282433731205</v>
      </c>
      <c r="E386">
        <f t="shared" si="16"/>
        <v>-0.29227490295195008</v>
      </c>
      <c r="F386">
        <f t="shared" si="17"/>
        <v>3.4332533404211705</v>
      </c>
    </row>
    <row r="387" spans="3:6">
      <c r="C387">
        <v>1.85</v>
      </c>
      <c r="D387">
        <f t="shared" ref="D387:D402" si="18">EXP($A$3*C387)+0.1</f>
        <v>3.7509959741412717</v>
      </c>
      <c r="E387">
        <f t="shared" ref="E387:E402" si="19">$A$1*SIN($A$2*C387)</f>
        <v>-0.29554387814047423</v>
      </c>
      <c r="F387">
        <f t="shared" ref="F387:F402" si="20">D387+E387</f>
        <v>3.4554520960007977</v>
      </c>
    </row>
    <row r="388" spans="3:6">
      <c r="C388">
        <v>1.86</v>
      </c>
      <c r="D388">
        <f t="shared" si="18"/>
        <v>3.7766426044426611</v>
      </c>
      <c r="E388">
        <f t="shared" si="19"/>
        <v>-0.25215297339111498</v>
      </c>
      <c r="F388">
        <f t="shared" si="20"/>
        <v>3.5244896310515461</v>
      </c>
    </row>
    <row r="389" spans="3:6">
      <c r="C389">
        <v>1.87</v>
      </c>
      <c r="D389">
        <f t="shared" si="18"/>
        <v>3.8024693909673033</v>
      </c>
      <c r="E389">
        <f t="shared" si="19"/>
        <v>-0.16895265848433152</v>
      </c>
      <c r="F389">
        <f t="shared" si="20"/>
        <v>3.6335167324829718</v>
      </c>
    </row>
    <row r="390" spans="3:6">
      <c r="C390">
        <v>1.88</v>
      </c>
      <c r="D390">
        <f t="shared" si="18"/>
        <v>3.8284775992329068</v>
      </c>
      <c r="E390">
        <f t="shared" si="19"/>
        <v>-5.9078433734909327E-2</v>
      </c>
      <c r="F390">
        <f t="shared" si="20"/>
        <v>3.7693991654979975</v>
      </c>
    </row>
    <row r="391" spans="3:6">
      <c r="C391">
        <v>1.89</v>
      </c>
      <c r="D391">
        <f t="shared" si="18"/>
        <v>3.8546685036468804</v>
      </c>
      <c r="E391">
        <f t="shared" si="19"/>
        <v>6.0122976684320484E-2</v>
      </c>
      <c r="F391">
        <f t="shared" si="20"/>
        <v>3.9147914803312007</v>
      </c>
    </row>
    <row r="392" spans="3:6">
      <c r="C392">
        <v>1.9</v>
      </c>
      <c r="D392">
        <f t="shared" si="18"/>
        <v>3.8810433875687802</v>
      </c>
      <c r="E392">
        <f t="shared" si="19"/>
        <v>0.16983229106945411</v>
      </c>
      <c r="F392">
        <f t="shared" si="20"/>
        <v>4.0508756786382341</v>
      </c>
    </row>
    <row r="393" spans="3:6">
      <c r="C393">
        <v>1.91</v>
      </c>
      <c r="D393">
        <f t="shared" si="18"/>
        <v>3.9076035433731966</v>
      </c>
      <c r="E393">
        <f t="shared" si="19"/>
        <v>0.25272882096811383</v>
      </c>
      <c r="F393">
        <f t="shared" si="20"/>
        <v>4.1603323643413104</v>
      </c>
    </row>
    <row r="394" spans="3:6">
      <c r="C394">
        <v>1.92</v>
      </c>
      <c r="D394">
        <f t="shared" si="18"/>
        <v>3.9343502725130768</v>
      </c>
      <c r="E394">
        <f t="shared" si="19"/>
        <v>0.29572502703868453</v>
      </c>
      <c r="F394">
        <f t="shared" si="20"/>
        <v>4.2300752995517614</v>
      </c>
    </row>
    <row r="395" spans="3:6">
      <c r="C395">
        <v>1.93</v>
      </c>
      <c r="D395">
        <f t="shared" si="18"/>
        <v>3.9612848855835017</v>
      </c>
      <c r="E395">
        <f t="shared" si="19"/>
        <v>0.29203275374344656</v>
      </c>
      <c r="F395">
        <f t="shared" si="20"/>
        <v>4.2533176393269478</v>
      </c>
    </row>
    <row r="396" spans="3:6">
      <c r="C396">
        <v>1.94</v>
      </c>
      <c r="D396">
        <f t="shared" si="18"/>
        <v>3.9884087023858994</v>
      </c>
      <c r="E396">
        <f t="shared" si="19"/>
        <v>0.24223492984999395</v>
      </c>
      <c r="F396">
        <f t="shared" si="20"/>
        <v>4.2306436322358936</v>
      </c>
    </row>
    <row r="397" spans="3:6">
      <c r="C397">
        <v>1.95</v>
      </c>
      <c r="D397">
        <f t="shared" si="18"/>
        <v>4.0157230519927216</v>
      </c>
      <c r="E397">
        <f t="shared" si="19"/>
        <v>0.15419353679626055</v>
      </c>
      <c r="F397">
        <f t="shared" si="20"/>
        <v>4.1699165887889817</v>
      </c>
    </row>
    <row r="398" spans="3:6">
      <c r="C398">
        <v>1.96</v>
      </c>
      <c r="D398">
        <f t="shared" si="18"/>
        <v>4.0432292728125629</v>
      </c>
      <c r="E398">
        <f t="shared" si="19"/>
        <v>4.1808374690773725E-2</v>
      </c>
      <c r="F398">
        <f t="shared" si="20"/>
        <v>4.085037647503337</v>
      </c>
    </row>
    <row r="399" spans="3:6">
      <c r="C399">
        <v>1.97</v>
      </c>
      <c r="D399">
        <f t="shared" si="18"/>
        <v>4.070928712655749</v>
      </c>
      <c r="E399">
        <f t="shared" si="19"/>
        <v>-7.7177410495598397E-2</v>
      </c>
      <c r="F399">
        <f t="shared" si="20"/>
        <v>3.9937513021601507</v>
      </c>
    </row>
    <row r="400" spans="3:6">
      <c r="C400">
        <v>1.98</v>
      </c>
      <c r="D400">
        <f t="shared" si="18"/>
        <v>4.0988227288003722</v>
      </c>
      <c r="E400">
        <f t="shared" si="19"/>
        <v>-0.18397857954206673</v>
      </c>
      <c r="F400">
        <f t="shared" si="20"/>
        <v>3.9148441492583057</v>
      </c>
    </row>
    <row r="401" spans="3:6">
      <c r="C401">
        <v>1.99</v>
      </c>
      <c r="D401">
        <f t="shared" si="18"/>
        <v>4.1269126880588063</v>
      </c>
      <c r="E401">
        <f t="shared" si="19"/>
        <v>-0.26173357620090837</v>
      </c>
      <c r="F401">
        <f t="shared" si="20"/>
        <v>3.865179111857898</v>
      </c>
    </row>
    <row r="402" spans="3:6">
      <c r="C402">
        <v>2</v>
      </c>
      <c r="D402">
        <f t="shared" si="18"/>
        <v>4.1551999668446742</v>
      </c>
      <c r="E402">
        <f t="shared" si="19"/>
        <v>-0.29816659617701258</v>
      </c>
      <c r="F402">
        <f t="shared" si="20"/>
        <v>3.8570333706676614</v>
      </c>
    </row>
  </sheetData>
  <phoneticPr fontId="1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E0141-356B-40F9-A4D9-DA098570505F}">
  <dimension ref="A1:G402"/>
  <sheetViews>
    <sheetView zoomScale="93" zoomScaleNormal="93" workbookViewId="0">
      <selection activeCell="M25" sqref="M25"/>
    </sheetView>
  </sheetViews>
  <sheetFormatPr defaultRowHeight="18.75"/>
  <cols>
    <col min="3" max="3" width="9" style="1"/>
  </cols>
  <sheetData>
    <row r="1" spans="1:7">
      <c r="A1">
        <v>7000</v>
      </c>
      <c r="C1" s="1" t="s">
        <v>0</v>
      </c>
      <c r="D1" t="s">
        <v>1</v>
      </c>
      <c r="E1" t="s">
        <v>2</v>
      </c>
      <c r="F1" t="s">
        <v>3</v>
      </c>
      <c r="G1" t="s">
        <v>4</v>
      </c>
    </row>
    <row r="2" spans="1:7">
      <c r="A2">
        <v>0.3</v>
      </c>
      <c r="C2" s="1">
        <v>-100</v>
      </c>
      <c r="D2">
        <f>C2*C2/$A$1+$A$2</f>
        <v>1.7285714285714286</v>
      </c>
      <c r="E2">
        <f>$A$3*SIN(C2)</f>
        <v>0.15190969233292764</v>
      </c>
      <c r="F2">
        <f>D2+E2</f>
        <v>1.8804811209043564</v>
      </c>
      <c r="G2">
        <f>D2*(E2+1)</f>
        <v>1.9911581824612037</v>
      </c>
    </row>
    <row r="3" spans="1:7">
      <c r="A3">
        <v>0.3</v>
      </c>
      <c r="C3" s="1">
        <v>-99.5</v>
      </c>
      <c r="D3">
        <f t="shared" ref="D3:D66" si="0">C3*C3/$A$1+$A$2</f>
        <v>1.7143214285714286</v>
      </c>
      <c r="E3">
        <f t="shared" ref="E3:E66" si="1">$A$3*SIN(C3)</f>
        <v>0.2573386039120365</v>
      </c>
      <c r="F3">
        <f t="shared" ref="F3:F66" si="2">D3+E3</f>
        <v>1.971660032483465</v>
      </c>
      <c r="G3">
        <f t="shared" ref="G3:G66" si="3">D3*(E3+1)</f>
        <v>2.155482511656488</v>
      </c>
    </row>
    <row r="4" spans="1:7">
      <c r="C4" s="1">
        <v>-99</v>
      </c>
      <c r="D4">
        <f t="shared" si="0"/>
        <v>1.7001428571428572</v>
      </c>
      <c r="E4">
        <f t="shared" si="1"/>
        <v>0.29976205025590608</v>
      </c>
      <c r="F4">
        <f t="shared" si="2"/>
        <v>1.9999049073987631</v>
      </c>
      <c r="G4">
        <f t="shared" si="3"/>
        <v>2.209781165727934</v>
      </c>
    </row>
    <row r="5" spans="1:7">
      <c r="C5" s="1">
        <v>-98.5</v>
      </c>
      <c r="D5">
        <f t="shared" si="0"/>
        <v>1.6860357142857143</v>
      </c>
      <c r="E5">
        <f t="shared" si="1"/>
        <v>0.26879329213014097</v>
      </c>
      <c r="F5">
        <f t="shared" si="2"/>
        <v>1.9548290064158553</v>
      </c>
      <c r="G5">
        <f t="shared" si="3"/>
        <v>2.1392308045775654</v>
      </c>
    </row>
    <row r="6" spans="1:7">
      <c r="C6" s="1">
        <v>-98</v>
      </c>
      <c r="D6">
        <f t="shared" si="0"/>
        <v>1.6720000000000002</v>
      </c>
      <c r="E6">
        <f t="shared" si="1"/>
        <v>0.17201456159712686</v>
      </c>
      <c r="F6">
        <f t="shared" si="2"/>
        <v>1.8440145615971271</v>
      </c>
      <c r="G6">
        <f t="shared" si="3"/>
        <v>1.9596083469903964</v>
      </c>
    </row>
    <row r="7" spans="1:7">
      <c r="C7" s="1">
        <v>-97.5</v>
      </c>
      <c r="D7">
        <f t="shared" si="0"/>
        <v>1.6580357142857143</v>
      </c>
      <c r="E7">
        <f t="shared" si="1"/>
        <v>3.3120667167570846E-2</v>
      </c>
      <c r="F7">
        <f t="shared" si="2"/>
        <v>1.6911563814532851</v>
      </c>
      <c r="G7">
        <f t="shared" si="3"/>
        <v>1.7129509633305169</v>
      </c>
    </row>
    <row r="8" spans="1:7">
      <c r="C8" s="1">
        <v>-97</v>
      </c>
      <c r="D8">
        <f t="shared" si="0"/>
        <v>1.6441428571428571</v>
      </c>
      <c r="E8">
        <f t="shared" si="1"/>
        <v>-0.1138823217082565</v>
      </c>
      <c r="F8">
        <f t="shared" si="2"/>
        <v>1.5302605354346006</v>
      </c>
      <c r="G8">
        <f t="shared" si="3"/>
        <v>1.4569040513513822</v>
      </c>
    </row>
    <row r="9" spans="1:7">
      <c r="C9" s="1">
        <v>-96.5</v>
      </c>
      <c r="D9">
        <f t="shared" si="0"/>
        <v>1.6303214285714287</v>
      </c>
      <c r="E9">
        <f t="shared" si="1"/>
        <v>-0.23300294644508157</v>
      </c>
      <c r="F9">
        <f t="shared" si="2"/>
        <v>1.3973184821263471</v>
      </c>
      <c r="G9">
        <f t="shared" si="3"/>
        <v>1.2504517320617312</v>
      </c>
    </row>
    <row r="10" spans="1:7">
      <c r="C10" s="1">
        <v>-96</v>
      </c>
      <c r="D10">
        <f t="shared" si="0"/>
        <v>1.6165714285714285</v>
      </c>
      <c r="E10">
        <f t="shared" si="1"/>
        <v>-0.29507632363030345</v>
      </c>
      <c r="F10">
        <f t="shared" si="2"/>
        <v>1.3214951049411252</v>
      </c>
      <c r="G10">
        <f t="shared" si="3"/>
        <v>1.1395594745427837</v>
      </c>
    </row>
    <row r="11" spans="1:7">
      <c r="C11" s="1">
        <v>-95.5</v>
      </c>
      <c r="D11">
        <f t="shared" si="0"/>
        <v>1.6028928571428571</v>
      </c>
      <c r="E11">
        <f t="shared" si="1"/>
        <v>-0.28490472564426728</v>
      </c>
      <c r="F11">
        <f t="shared" si="2"/>
        <v>1.31798813149859</v>
      </c>
      <c r="G11">
        <f t="shared" si="3"/>
        <v>1.1462211074414157</v>
      </c>
    </row>
    <row r="12" spans="1:7">
      <c r="C12" s="1">
        <v>-95</v>
      </c>
      <c r="D12">
        <f t="shared" si="0"/>
        <v>1.5892857142857144</v>
      </c>
      <c r="E12">
        <f t="shared" si="1"/>
        <v>-0.20497851442083628</v>
      </c>
      <c r="F12">
        <f t="shared" si="2"/>
        <v>1.3843071998648782</v>
      </c>
      <c r="G12">
        <f t="shared" si="3"/>
        <v>1.2635162895811711</v>
      </c>
    </row>
    <row r="13" spans="1:7">
      <c r="C13" s="1">
        <v>-94.5</v>
      </c>
      <c r="D13">
        <f t="shared" si="0"/>
        <v>1.57575</v>
      </c>
      <c r="E13">
        <f t="shared" si="1"/>
        <v>-7.4866413991573136E-2</v>
      </c>
      <c r="F13">
        <f t="shared" si="2"/>
        <v>1.5008835860084269</v>
      </c>
      <c r="G13">
        <f t="shared" si="3"/>
        <v>1.4577792481527787</v>
      </c>
    </row>
    <row r="14" spans="1:7">
      <c r="C14" s="1">
        <v>-94</v>
      </c>
      <c r="D14">
        <f t="shared" si="0"/>
        <v>1.5622857142857143</v>
      </c>
      <c r="E14">
        <f t="shared" si="1"/>
        <v>7.3575595640296296E-2</v>
      </c>
      <c r="F14">
        <f t="shared" si="2"/>
        <v>1.6358613099260106</v>
      </c>
      <c r="G14">
        <f t="shared" si="3"/>
        <v>1.6772318162746116</v>
      </c>
    </row>
    <row r="15" spans="1:7">
      <c r="C15" s="1">
        <v>-93.5</v>
      </c>
      <c r="D15">
        <f t="shared" si="0"/>
        <v>1.5488928571428573</v>
      </c>
      <c r="E15">
        <f t="shared" si="1"/>
        <v>0.20400373342081585</v>
      </c>
      <c r="F15">
        <f t="shared" si="2"/>
        <v>1.7528965905636731</v>
      </c>
      <c r="G15">
        <f t="shared" si="3"/>
        <v>1.8648727826688345</v>
      </c>
    </row>
    <row r="16" spans="1:7">
      <c r="C16" s="1">
        <v>-93</v>
      </c>
      <c r="D16">
        <f t="shared" si="0"/>
        <v>1.5355714285714286</v>
      </c>
      <c r="E16">
        <f t="shared" si="1"/>
        <v>0.28448464238098414</v>
      </c>
      <c r="F16">
        <f t="shared" si="2"/>
        <v>1.8200560709524127</v>
      </c>
      <c r="G16">
        <f t="shared" si="3"/>
        <v>1.9724179172790284</v>
      </c>
    </row>
    <row r="17" spans="3:7">
      <c r="C17" s="1">
        <v>-92.5</v>
      </c>
      <c r="D17">
        <f t="shared" si="0"/>
        <v>1.5223214285714286</v>
      </c>
      <c r="E17">
        <f t="shared" si="1"/>
        <v>0.29531378913752532</v>
      </c>
      <c r="F17">
        <f t="shared" si="2"/>
        <v>1.8176352177089539</v>
      </c>
      <c r="G17">
        <f t="shared" si="3"/>
        <v>1.9718839379281077</v>
      </c>
    </row>
    <row r="18" spans="3:7">
      <c r="C18" s="1">
        <v>-92</v>
      </c>
      <c r="D18">
        <f t="shared" si="0"/>
        <v>1.5091428571428571</v>
      </c>
      <c r="E18">
        <f t="shared" si="1"/>
        <v>0.2338398208847414</v>
      </c>
      <c r="F18">
        <f t="shared" si="2"/>
        <v>1.7429826780275985</v>
      </c>
      <c r="G18">
        <f t="shared" si="3"/>
        <v>1.8620405525466297</v>
      </c>
    </row>
    <row r="19" spans="3:7">
      <c r="C19" s="1">
        <v>-91.5</v>
      </c>
      <c r="D19">
        <f t="shared" si="0"/>
        <v>1.4960357142857144</v>
      </c>
      <c r="E19">
        <f t="shared" si="1"/>
        <v>0.11511370903050916</v>
      </c>
      <c r="F19">
        <f t="shared" si="2"/>
        <v>1.6111494233162236</v>
      </c>
      <c r="G19">
        <f t="shared" si="3"/>
        <v>1.6682499341992501</v>
      </c>
    </row>
    <row r="20" spans="3:7">
      <c r="C20" s="1">
        <v>-91</v>
      </c>
      <c r="D20">
        <f t="shared" si="0"/>
        <v>1.4830000000000001</v>
      </c>
      <c r="E20">
        <f t="shared" si="1"/>
        <v>-3.1796253525347054E-2</v>
      </c>
      <c r="F20">
        <f t="shared" si="2"/>
        <v>1.451203746474653</v>
      </c>
      <c r="G20">
        <f t="shared" si="3"/>
        <v>1.4358461560219105</v>
      </c>
    </row>
    <row r="21" spans="3:7">
      <c r="C21" s="1">
        <v>-90.5</v>
      </c>
      <c r="D21">
        <f t="shared" si="0"/>
        <v>1.4700357142857143</v>
      </c>
      <c r="E21">
        <f t="shared" si="1"/>
        <v>-0.17092138428508891</v>
      </c>
      <c r="F21">
        <f t="shared" si="2"/>
        <v>1.2991143300006254</v>
      </c>
      <c r="G21">
        <f t="shared" si="3"/>
        <v>1.2187751750514806</v>
      </c>
    </row>
    <row r="22" spans="3:7">
      <c r="C22" s="1">
        <v>-90</v>
      </c>
      <c r="D22">
        <f t="shared" si="0"/>
        <v>1.4571428571428573</v>
      </c>
      <c r="E22">
        <f t="shared" si="1"/>
        <v>-0.26819899908016737</v>
      </c>
      <c r="F22">
        <f t="shared" si="2"/>
        <v>1.1889438580626899</v>
      </c>
      <c r="G22">
        <f t="shared" si="3"/>
        <v>1.0663386013403275</v>
      </c>
    </row>
    <row r="23" spans="3:7">
      <c r="C23" s="1">
        <v>-89.5</v>
      </c>
      <c r="D23">
        <f t="shared" si="0"/>
        <v>1.4443214285714285</v>
      </c>
      <c r="E23">
        <f t="shared" si="1"/>
        <v>-0.2998121451333251</v>
      </c>
      <c r="F23">
        <f t="shared" si="2"/>
        <v>1.1445092834381034</v>
      </c>
      <c r="G23">
        <f t="shared" si="3"/>
        <v>1.0112963228093999</v>
      </c>
    </row>
    <row r="24" spans="3:7">
      <c r="C24" s="1">
        <v>-89</v>
      </c>
      <c r="D24">
        <f t="shared" si="0"/>
        <v>1.4315714285714287</v>
      </c>
      <c r="E24">
        <f t="shared" si="1"/>
        <v>-0.25802082174373597</v>
      </c>
      <c r="F24">
        <f t="shared" si="2"/>
        <v>1.1735506068276926</v>
      </c>
      <c r="G24">
        <f t="shared" si="3"/>
        <v>1.0621961921865746</v>
      </c>
    </row>
    <row r="25" spans="3:7">
      <c r="C25" s="1">
        <v>-88.5</v>
      </c>
      <c r="D25">
        <f t="shared" si="0"/>
        <v>1.4188928571428572</v>
      </c>
      <c r="E25">
        <f t="shared" si="1"/>
        <v>-0.15305700240052891</v>
      </c>
      <c r="F25">
        <f t="shared" si="2"/>
        <v>1.2658358547423283</v>
      </c>
      <c r="G25">
        <f t="shared" si="3"/>
        <v>1.2017213697010496</v>
      </c>
    </row>
    <row r="26" spans="3:7">
      <c r="C26" s="1">
        <v>-88</v>
      </c>
      <c r="D26">
        <f t="shared" si="0"/>
        <v>1.4062857142857144</v>
      </c>
      <c r="E26">
        <f t="shared" si="1"/>
        <v>-1.0619490820098203E-2</v>
      </c>
      <c r="F26">
        <f t="shared" si="2"/>
        <v>1.3956662234656161</v>
      </c>
      <c r="G26">
        <f t="shared" si="3"/>
        <v>1.391351676052422</v>
      </c>
    </row>
    <row r="27" spans="3:7">
      <c r="C27" s="1">
        <v>-87.5</v>
      </c>
      <c r="D27">
        <f t="shared" si="0"/>
        <v>1.39375</v>
      </c>
      <c r="E27">
        <f t="shared" si="1"/>
        <v>0.13441804248078273</v>
      </c>
      <c r="F27">
        <f t="shared" si="2"/>
        <v>1.5281680424807829</v>
      </c>
      <c r="G27">
        <f t="shared" si="3"/>
        <v>1.5810951467075911</v>
      </c>
    </row>
    <row r="28" spans="3:7">
      <c r="C28" s="1">
        <v>-87</v>
      </c>
      <c r="D28">
        <f t="shared" si="0"/>
        <v>1.3812857142857142</v>
      </c>
      <c r="E28">
        <f t="shared" si="1"/>
        <v>0.24654535098924674</v>
      </c>
      <c r="F28">
        <f t="shared" si="2"/>
        <v>1.627831065274961</v>
      </c>
      <c r="G28">
        <f t="shared" si="3"/>
        <v>1.7218352855307182</v>
      </c>
    </row>
    <row r="29" spans="3:7">
      <c r="C29" s="1">
        <v>-86.5</v>
      </c>
      <c r="D29">
        <f t="shared" si="0"/>
        <v>1.3688928571428571</v>
      </c>
      <c r="E29">
        <f t="shared" si="1"/>
        <v>0.29830975900582585</v>
      </c>
      <c r="F29">
        <f t="shared" si="2"/>
        <v>1.667202616148683</v>
      </c>
      <c r="G29">
        <f t="shared" si="3"/>
        <v>1.7772469554619392</v>
      </c>
    </row>
    <row r="30" spans="3:7">
      <c r="C30" s="1">
        <v>-86</v>
      </c>
      <c r="D30">
        <f t="shared" si="0"/>
        <v>1.3565714285714285</v>
      </c>
      <c r="E30">
        <f t="shared" si="1"/>
        <v>0.2770375341012179</v>
      </c>
      <c r="F30">
        <f t="shared" si="2"/>
        <v>1.6336089626726464</v>
      </c>
      <c r="G30">
        <f t="shared" si="3"/>
        <v>1.7323926319750236</v>
      </c>
    </row>
    <row r="31" spans="3:7">
      <c r="C31" s="1">
        <v>-85.5</v>
      </c>
      <c r="D31">
        <f t="shared" si="0"/>
        <v>1.3443214285714287</v>
      </c>
      <c r="E31">
        <f t="shared" si="1"/>
        <v>0.18793685882685079</v>
      </c>
      <c r="F31">
        <f t="shared" si="2"/>
        <v>1.5322582873982795</v>
      </c>
      <c r="G31">
        <f t="shared" si="3"/>
        <v>1.5969689751107676</v>
      </c>
    </row>
    <row r="32" spans="3:7">
      <c r="C32" s="1">
        <v>-85</v>
      </c>
      <c r="D32">
        <f t="shared" si="0"/>
        <v>1.3321428571428573</v>
      </c>
      <c r="E32">
        <f t="shared" si="1"/>
        <v>5.2822685984576123E-2</v>
      </c>
      <c r="F32">
        <f t="shared" si="2"/>
        <v>1.3849655431274335</v>
      </c>
      <c r="G32">
        <f t="shared" si="3"/>
        <v>1.4025102209723106</v>
      </c>
    </row>
    <row r="33" spans="3:7">
      <c r="C33" s="1">
        <v>-84.5</v>
      </c>
      <c r="D33">
        <f t="shared" si="0"/>
        <v>1.3200357142857144</v>
      </c>
      <c r="E33">
        <f t="shared" si="1"/>
        <v>-9.522432264230081E-2</v>
      </c>
      <c r="F33">
        <f t="shared" si="2"/>
        <v>1.2248113916434136</v>
      </c>
      <c r="G33">
        <f t="shared" si="3"/>
        <v>1.1943362075292114</v>
      </c>
    </row>
    <row r="34" spans="3:7">
      <c r="C34" s="1">
        <v>-84</v>
      </c>
      <c r="D34">
        <f t="shared" si="0"/>
        <v>1.3080000000000001</v>
      </c>
      <c r="E34">
        <f t="shared" si="1"/>
        <v>-0.21995709602198765</v>
      </c>
      <c r="F34">
        <f t="shared" si="2"/>
        <v>1.0880429039780124</v>
      </c>
      <c r="G34">
        <f t="shared" si="3"/>
        <v>1.0202961184032402</v>
      </c>
    </row>
    <row r="35" spans="3:7">
      <c r="C35" s="1">
        <v>-83.5</v>
      </c>
      <c r="D35">
        <f t="shared" si="0"/>
        <v>1.2960357142857142</v>
      </c>
      <c r="E35">
        <f t="shared" si="1"/>
        <v>-0.29083670102358444</v>
      </c>
      <c r="F35">
        <f t="shared" si="2"/>
        <v>1.0051990132621298</v>
      </c>
      <c r="G35">
        <f t="shared" si="3"/>
        <v>0.91910096273411224</v>
      </c>
    </row>
    <row r="36" spans="3:7">
      <c r="C36" s="1">
        <v>-83</v>
      </c>
      <c r="D36">
        <f t="shared" si="0"/>
        <v>1.284142857142857</v>
      </c>
      <c r="E36">
        <f t="shared" si="1"/>
        <v>-0.2905093383300556</v>
      </c>
      <c r="F36">
        <f t="shared" si="2"/>
        <v>0.99363351881280138</v>
      </c>
      <c r="G36">
        <f t="shared" si="3"/>
        <v>0.91108736539301849</v>
      </c>
    </row>
    <row r="37" spans="3:7">
      <c r="C37" s="1">
        <v>-82.5</v>
      </c>
      <c r="D37">
        <f t="shared" si="0"/>
        <v>1.2723214285714286</v>
      </c>
      <c r="E37">
        <f t="shared" si="1"/>
        <v>-0.21905515774595005</v>
      </c>
      <c r="F37">
        <f t="shared" si="2"/>
        <v>1.0532662708254785</v>
      </c>
      <c r="G37">
        <f t="shared" si="3"/>
        <v>0.99361285733216176</v>
      </c>
    </row>
    <row r="38" spans="3:7">
      <c r="C38" s="1">
        <v>-82</v>
      </c>
      <c r="D38">
        <f t="shared" si="0"/>
        <v>1.2605714285714285</v>
      </c>
      <c r="E38">
        <f t="shared" si="1"/>
        <v>-9.3968634729925546E-2</v>
      </c>
      <c r="F38">
        <f t="shared" si="2"/>
        <v>1.1666027938415029</v>
      </c>
      <c r="G38">
        <f t="shared" si="3"/>
        <v>1.1421172524490195</v>
      </c>
    </row>
    <row r="39" spans="3:7">
      <c r="C39" s="1">
        <v>-81.5</v>
      </c>
      <c r="D39">
        <f t="shared" si="0"/>
        <v>1.248892857142857</v>
      </c>
      <c r="E39">
        <f t="shared" si="1"/>
        <v>5.4124687338692641E-2</v>
      </c>
      <c r="F39">
        <f t="shared" si="2"/>
        <v>1.3030175444815497</v>
      </c>
      <c r="G39">
        <f t="shared" si="3"/>
        <v>1.3164887925552407</v>
      </c>
    </row>
    <row r="40" spans="3:7">
      <c r="C40" s="1">
        <v>-81</v>
      </c>
      <c r="D40">
        <f t="shared" si="0"/>
        <v>1.2372857142857143</v>
      </c>
      <c r="E40">
        <f t="shared" si="1"/>
        <v>0.18896639828233616</v>
      </c>
      <c r="F40">
        <f t="shared" si="2"/>
        <v>1.4262521125680505</v>
      </c>
      <c r="G40">
        <f t="shared" si="3"/>
        <v>1.4710911393604735</v>
      </c>
    </row>
    <row r="41" spans="3:7">
      <c r="C41" s="1">
        <v>-80.5</v>
      </c>
      <c r="D41">
        <f t="shared" si="0"/>
        <v>1.2257499999999999</v>
      </c>
      <c r="E41">
        <f t="shared" si="1"/>
        <v>0.27754254449292554</v>
      </c>
      <c r="F41">
        <f t="shared" si="2"/>
        <v>1.5032925444929255</v>
      </c>
      <c r="G41">
        <f t="shared" si="3"/>
        <v>1.5659477739122034</v>
      </c>
    </row>
    <row r="42" spans="3:7">
      <c r="C42" s="1">
        <v>-80</v>
      </c>
      <c r="D42">
        <f t="shared" si="0"/>
        <v>1.2142857142857142</v>
      </c>
      <c r="E42">
        <f t="shared" si="1"/>
        <v>0.29816659617701258</v>
      </c>
      <c r="F42">
        <f t="shared" si="2"/>
        <v>1.5124523104627268</v>
      </c>
      <c r="G42">
        <f t="shared" si="3"/>
        <v>1.576345152500658</v>
      </c>
    </row>
    <row r="43" spans="3:7">
      <c r="C43" s="1">
        <v>-79.5</v>
      </c>
      <c r="D43">
        <f t="shared" si="0"/>
        <v>1.2028928571428572</v>
      </c>
      <c r="E43">
        <f t="shared" si="1"/>
        <v>0.24578906619338423</v>
      </c>
      <c r="F43">
        <f t="shared" si="2"/>
        <v>1.4486819233362414</v>
      </c>
      <c r="G43">
        <f t="shared" si="3"/>
        <v>1.4985507692306919</v>
      </c>
    </row>
    <row r="44" spans="3:7">
      <c r="C44" s="1">
        <v>-79</v>
      </c>
      <c r="D44">
        <f t="shared" si="0"/>
        <v>1.1915714285714285</v>
      </c>
      <c r="E44">
        <f t="shared" si="1"/>
        <v>0.13323380061225251</v>
      </c>
      <c r="F44">
        <f t="shared" si="2"/>
        <v>1.3248052291836809</v>
      </c>
      <c r="G44">
        <f t="shared" si="3"/>
        <v>1.3503290187009711</v>
      </c>
    </row>
    <row r="45" spans="3:7">
      <c r="C45" s="1">
        <v>-78.5</v>
      </c>
      <c r="D45">
        <f t="shared" si="0"/>
        <v>1.1803214285714285</v>
      </c>
      <c r="E45">
        <f t="shared" si="1"/>
        <v>-1.1941746050000897E-2</v>
      </c>
      <c r="F45">
        <f t="shared" si="2"/>
        <v>1.1683796825214277</v>
      </c>
      <c r="G45">
        <f t="shared" si="3"/>
        <v>1.1662263298140543</v>
      </c>
    </row>
    <row r="46" spans="3:7">
      <c r="C46" s="1">
        <v>-78</v>
      </c>
      <c r="D46">
        <f t="shared" si="0"/>
        <v>1.169142857142857</v>
      </c>
      <c r="E46">
        <f t="shared" si="1"/>
        <v>-0.15419353679626055</v>
      </c>
      <c r="F46">
        <f t="shared" si="2"/>
        <v>1.0149493203465965</v>
      </c>
      <c r="G46">
        <f t="shared" si="3"/>
        <v>0.9888685849799147</v>
      </c>
    </row>
    <row r="47" spans="3:7">
      <c r="C47" s="1">
        <v>-77.5</v>
      </c>
      <c r="D47">
        <f t="shared" si="0"/>
        <v>1.1580357142857143</v>
      </c>
      <c r="E47">
        <f t="shared" si="1"/>
        <v>-0.25869337204719867</v>
      </c>
      <c r="F47">
        <f t="shared" si="2"/>
        <v>0.89934234223851561</v>
      </c>
      <c r="G47">
        <f t="shared" si="3"/>
        <v>0.85845955040605659</v>
      </c>
    </row>
    <row r="48" spans="3:7">
      <c r="C48" s="1">
        <v>-77</v>
      </c>
      <c r="D48">
        <f t="shared" si="0"/>
        <v>1.147</v>
      </c>
      <c r="E48">
        <f t="shared" si="1"/>
        <v>-0.29985604757421935</v>
      </c>
      <c r="F48">
        <f t="shared" si="2"/>
        <v>0.84714395242578067</v>
      </c>
      <c r="G48">
        <f t="shared" si="3"/>
        <v>0.80306511343237041</v>
      </c>
    </row>
    <row r="49" spans="3:7">
      <c r="C49" s="1">
        <v>-76.5</v>
      </c>
      <c r="D49">
        <f t="shared" si="0"/>
        <v>1.1360357142857143</v>
      </c>
      <c r="E49">
        <f t="shared" si="1"/>
        <v>-0.26760350480981115</v>
      </c>
      <c r="F49">
        <f t="shared" si="2"/>
        <v>0.86843220947590316</v>
      </c>
      <c r="G49">
        <f t="shared" si="3"/>
        <v>0.83202857555373999</v>
      </c>
    </row>
    <row r="50" spans="3:7">
      <c r="C50" s="1">
        <v>-76</v>
      </c>
      <c r="D50">
        <f t="shared" si="0"/>
        <v>1.1251428571428572</v>
      </c>
      <c r="E50">
        <f t="shared" si="1"/>
        <v>-0.16983229106945411</v>
      </c>
      <c r="F50">
        <f t="shared" si="2"/>
        <v>0.95531056607340314</v>
      </c>
      <c r="G50">
        <f t="shared" si="3"/>
        <v>0.93405726793385435</v>
      </c>
    </row>
    <row r="51" spans="3:7">
      <c r="C51" s="1">
        <v>-75.5</v>
      </c>
      <c r="D51">
        <f t="shared" si="0"/>
        <v>1.1143214285714285</v>
      </c>
      <c r="E51">
        <f t="shared" si="1"/>
        <v>-3.0480209367074851E-2</v>
      </c>
      <c r="F51">
        <f t="shared" si="2"/>
        <v>1.0838412192043536</v>
      </c>
      <c r="G51">
        <f t="shared" si="3"/>
        <v>1.0803566781263534</v>
      </c>
    </row>
    <row r="52" spans="3:7">
      <c r="C52" s="1">
        <v>-75</v>
      </c>
      <c r="D52">
        <f t="shared" si="0"/>
        <v>1.1035714285714286</v>
      </c>
      <c r="E52">
        <f t="shared" si="1"/>
        <v>0.11633449062282913</v>
      </c>
      <c r="F52">
        <f t="shared" si="2"/>
        <v>1.2199059191942578</v>
      </c>
      <c r="G52">
        <f t="shared" si="3"/>
        <v>1.2319548485801937</v>
      </c>
    </row>
    <row r="53" spans="3:7">
      <c r="C53" s="1">
        <v>-74.5</v>
      </c>
      <c r="D53">
        <f t="shared" si="0"/>
        <v>1.0928928571428571</v>
      </c>
      <c r="E53">
        <f t="shared" si="1"/>
        <v>0.2346664500010627</v>
      </c>
      <c r="F53">
        <f t="shared" si="2"/>
        <v>1.3275593071439198</v>
      </c>
      <c r="G53">
        <f t="shared" si="3"/>
        <v>1.3493581441600899</v>
      </c>
    </row>
    <row r="54" spans="3:7">
      <c r="C54" s="1">
        <v>-74</v>
      </c>
      <c r="D54">
        <f t="shared" si="0"/>
        <v>1.0822857142857143</v>
      </c>
      <c r="E54">
        <f t="shared" si="1"/>
        <v>0.29554387814047423</v>
      </c>
      <c r="F54">
        <f t="shared" si="2"/>
        <v>1.3778295924261885</v>
      </c>
      <c r="G54">
        <f t="shared" si="3"/>
        <v>1.4021486315417475</v>
      </c>
    </row>
    <row r="55" spans="3:7">
      <c r="C55" s="1">
        <v>-73.5</v>
      </c>
      <c r="D55">
        <f t="shared" si="0"/>
        <v>1.07175</v>
      </c>
      <c r="E55">
        <f t="shared" si="1"/>
        <v>0.28406185745800427</v>
      </c>
      <c r="F55">
        <f t="shared" si="2"/>
        <v>1.3558118574580043</v>
      </c>
      <c r="G55">
        <f t="shared" si="3"/>
        <v>1.376193295730616</v>
      </c>
    </row>
    <row r="56" spans="3:7">
      <c r="C56" s="1">
        <v>-73</v>
      </c>
      <c r="D56">
        <f t="shared" si="0"/>
        <v>1.0612857142857142</v>
      </c>
      <c r="E56">
        <f t="shared" si="1"/>
        <v>0.20303158706619229</v>
      </c>
      <c r="F56">
        <f t="shared" si="2"/>
        <v>1.2643173013519065</v>
      </c>
      <c r="G56">
        <f t="shared" si="3"/>
        <v>1.2767602371878202</v>
      </c>
    </row>
    <row r="57" spans="3:7">
      <c r="C57" s="1">
        <v>-72.5</v>
      </c>
      <c r="D57">
        <f t="shared" si="0"/>
        <v>1.0508928571428571</v>
      </c>
      <c r="E57">
        <f t="shared" si="1"/>
        <v>7.2292103186430326E-2</v>
      </c>
      <c r="F57">
        <f t="shared" si="2"/>
        <v>1.1231849603292874</v>
      </c>
      <c r="G57">
        <f t="shared" si="3"/>
        <v>1.126864112009311</v>
      </c>
    </row>
    <row r="58" spans="3:7">
      <c r="C58" s="1">
        <v>-72</v>
      </c>
      <c r="D58">
        <f t="shared" si="0"/>
        <v>1.0405714285714285</v>
      </c>
      <c r="E58">
        <f t="shared" si="1"/>
        <v>-7.6147008828610876E-2</v>
      </c>
      <c r="F58">
        <f t="shared" si="2"/>
        <v>0.96442441974281756</v>
      </c>
      <c r="G58">
        <f t="shared" si="3"/>
        <v>0.9613350268131996</v>
      </c>
    </row>
    <row r="59" spans="3:7">
      <c r="C59" s="1">
        <v>-71.5</v>
      </c>
      <c r="D59">
        <f t="shared" si="0"/>
        <v>1.0303214285714286</v>
      </c>
      <c r="E59">
        <f t="shared" si="1"/>
        <v>-0.20594267736263266</v>
      </c>
      <c r="F59">
        <f t="shared" si="2"/>
        <v>0.82437875120879589</v>
      </c>
      <c r="G59">
        <f t="shared" si="3"/>
        <v>0.81813427502733604</v>
      </c>
    </row>
    <row r="60" spans="3:7">
      <c r="C60" s="1">
        <v>-71</v>
      </c>
      <c r="D60">
        <f t="shared" si="0"/>
        <v>1.0201428571428572</v>
      </c>
      <c r="E60">
        <f t="shared" si="1"/>
        <v>-0.28531639597631236</v>
      </c>
      <c r="F60">
        <f t="shared" si="2"/>
        <v>0.73482646116654493</v>
      </c>
      <c r="G60">
        <f t="shared" si="3"/>
        <v>0.72907937376187915</v>
      </c>
    </row>
    <row r="61" spans="3:7">
      <c r="C61" s="1">
        <v>-70.5</v>
      </c>
      <c r="D61">
        <f t="shared" si="0"/>
        <v>1.0100357142857144</v>
      </c>
      <c r="E61">
        <f t="shared" si="1"/>
        <v>-0.29483471009780782</v>
      </c>
      <c r="F61">
        <f t="shared" si="2"/>
        <v>0.71520100418790655</v>
      </c>
      <c r="G61">
        <f t="shared" si="3"/>
        <v>0.71224212727585356</v>
      </c>
    </row>
    <row r="62" spans="3:7">
      <c r="C62" s="1">
        <v>-70</v>
      </c>
      <c r="D62">
        <f t="shared" si="0"/>
        <v>1</v>
      </c>
      <c r="E62">
        <f t="shared" si="1"/>
        <v>-0.23216720446736672</v>
      </c>
      <c r="F62">
        <f t="shared" si="2"/>
        <v>0.76783279553263328</v>
      </c>
      <c r="G62">
        <f t="shared" si="3"/>
        <v>0.76783279553263328</v>
      </c>
    </row>
    <row r="63" spans="3:7">
      <c r="C63" s="1">
        <v>-69.5</v>
      </c>
      <c r="D63">
        <f t="shared" si="0"/>
        <v>0.99003571428571435</v>
      </c>
      <c r="E63">
        <f t="shared" si="1"/>
        <v>-0.11265707006898751</v>
      </c>
      <c r="F63">
        <f t="shared" si="2"/>
        <v>0.87737864421672684</v>
      </c>
      <c r="G63">
        <f t="shared" si="3"/>
        <v>0.87850119145062855</v>
      </c>
    </row>
    <row r="64" spans="3:7">
      <c r="C64" s="1">
        <v>-69</v>
      </c>
      <c r="D64">
        <f t="shared" si="0"/>
        <v>0.9801428571428572</v>
      </c>
      <c r="E64">
        <f t="shared" si="1"/>
        <v>3.4435444134956167E-2</v>
      </c>
      <c r="F64">
        <f t="shared" si="2"/>
        <v>1.0145783012778133</v>
      </c>
      <c r="G64">
        <f t="shared" si="3"/>
        <v>1.0138945117442764</v>
      </c>
    </row>
    <row r="65" spans="3:7">
      <c r="C65" s="1">
        <v>-68.5</v>
      </c>
      <c r="D65">
        <f t="shared" si="0"/>
        <v>0.97032142857142856</v>
      </c>
      <c r="E65">
        <f t="shared" si="1"/>
        <v>0.1730969606365628</v>
      </c>
      <c r="F65">
        <f t="shared" si="2"/>
        <v>1.1434183892079914</v>
      </c>
      <c r="G65">
        <f t="shared" si="3"/>
        <v>1.1382811186976707</v>
      </c>
    </row>
    <row r="66" spans="3:7">
      <c r="C66" s="1">
        <v>-68</v>
      </c>
      <c r="D66">
        <f t="shared" si="0"/>
        <v>0.96057142857142863</v>
      </c>
      <c r="E66">
        <f t="shared" si="1"/>
        <v>0.26937830420678738</v>
      </c>
      <c r="F66">
        <f t="shared" si="2"/>
        <v>1.2299497327782161</v>
      </c>
      <c r="G66">
        <f t="shared" si="3"/>
        <v>1.2193285310694912</v>
      </c>
    </row>
    <row r="67" spans="3:7">
      <c r="C67" s="1">
        <v>-67.5</v>
      </c>
      <c r="D67">
        <f t="shared" ref="D67:D130" si="4">C67*C67/$A$1+$A$2</f>
        <v>0.95089285714285721</v>
      </c>
      <c r="E67">
        <f t="shared" ref="E67:E130" si="5">$A$3*SIN(C67)</f>
        <v>0.29970644401039048</v>
      </c>
      <c r="F67">
        <f t="shared" ref="F67:F130" si="6">D67+E67</f>
        <v>1.2505993011532477</v>
      </c>
      <c r="G67">
        <f t="shared" ref="G67:G130" si="7">D67*(E67+1)</f>
        <v>1.2358815739920233</v>
      </c>
    </row>
    <row r="68" spans="3:7">
      <c r="C68" s="1">
        <v>-67</v>
      </c>
      <c r="D68">
        <f t="shared" si="4"/>
        <v>0.94128571428571428</v>
      </c>
      <c r="E68">
        <f t="shared" si="5"/>
        <v>0.25665599369259667</v>
      </c>
      <c r="F68">
        <f t="shared" si="6"/>
        <v>1.197941707978311</v>
      </c>
      <c r="G68">
        <f t="shared" si="7"/>
        <v>1.1828723346343599</v>
      </c>
    </row>
    <row r="69" spans="3:7">
      <c r="C69" s="1">
        <v>-66.5</v>
      </c>
      <c r="D69">
        <f t="shared" si="4"/>
        <v>0.93175000000000008</v>
      </c>
      <c r="E69">
        <f t="shared" si="5"/>
        <v>0.15076720492814619</v>
      </c>
      <c r="F69">
        <f t="shared" si="6"/>
        <v>1.0825172049281462</v>
      </c>
      <c r="G69">
        <f t="shared" si="7"/>
        <v>1.0722273431918001</v>
      </c>
    </row>
    <row r="70" spans="3:7">
      <c r="C70" s="1">
        <v>-66</v>
      </c>
      <c r="D70">
        <f t="shared" si="4"/>
        <v>0.92228571428571438</v>
      </c>
      <c r="E70">
        <f t="shared" si="5"/>
        <v>7.9653462071900376E-3</v>
      </c>
      <c r="F70">
        <f t="shared" si="6"/>
        <v>0.9302510604929044</v>
      </c>
      <c r="G70">
        <f t="shared" si="7"/>
        <v>0.9296320393019456</v>
      </c>
    </row>
    <row r="71" spans="3:7">
      <c r="C71" s="1">
        <v>-65.5</v>
      </c>
      <c r="D71">
        <f t="shared" si="4"/>
        <v>0.91289285714285717</v>
      </c>
      <c r="E71">
        <f t="shared" si="5"/>
        <v>-0.13678670706644699</v>
      </c>
      <c r="F71">
        <f t="shared" si="6"/>
        <v>0.77610615007641015</v>
      </c>
      <c r="G71">
        <f t="shared" si="7"/>
        <v>0.78802124930980533</v>
      </c>
    </row>
    <row r="72" spans="3:7">
      <c r="C72" s="1">
        <v>-65</v>
      </c>
      <c r="D72">
        <f t="shared" si="4"/>
        <v>0.90357142857142847</v>
      </c>
      <c r="E72">
        <f t="shared" si="5"/>
        <v>-0.24804860384703101</v>
      </c>
      <c r="F72">
        <f t="shared" si="6"/>
        <v>0.65552282472439749</v>
      </c>
      <c r="G72">
        <f t="shared" si="7"/>
        <v>0.6794417972382184</v>
      </c>
    </row>
    <row r="73" spans="3:7">
      <c r="C73" s="1">
        <v>-64.5</v>
      </c>
      <c r="D73">
        <f t="shared" si="4"/>
        <v>0.89432142857142849</v>
      </c>
      <c r="E73">
        <f t="shared" si="5"/>
        <v>-0.29857955140836828</v>
      </c>
      <c r="F73">
        <f t="shared" si="6"/>
        <v>0.59574187716306026</v>
      </c>
      <c r="G73">
        <f t="shared" si="7"/>
        <v>0.62729533761368039</v>
      </c>
    </row>
    <row r="74" spans="3:7">
      <c r="C74" s="1">
        <v>-64</v>
      </c>
      <c r="D74">
        <f t="shared" si="4"/>
        <v>0.88514285714285723</v>
      </c>
      <c r="E74">
        <f t="shared" si="5"/>
        <v>-0.27600781145903719</v>
      </c>
      <c r="F74">
        <f t="shared" si="6"/>
        <v>0.60913504568382004</v>
      </c>
      <c r="G74">
        <f t="shared" si="7"/>
        <v>0.64083651431425803</v>
      </c>
    </row>
    <row r="75" spans="3:7">
      <c r="C75" s="1">
        <v>-63.5</v>
      </c>
      <c r="D75">
        <f t="shared" si="4"/>
        <v>0.87603571428571425</v>
      </c>
      <c r="E75">
        <f t="shared" si="5"/>
        <v>-0.18585973315558535</v>
      </c>
      <c r="F75">
        <f t="shared" si="6"/>
        <v>0.6901759811301289</v>
      </c>
      <c r="G75">
        <f t="shared" si="7"/>
        <v>0.71321595019380879</v>
      </c>
    </row>
    <row r="76" spans="3:7">
      <c r="C76" s="1">
        <v>-63</v>
      </c>
      <c r="D76">
        <f t="shared" si="4"/>
        <v>0.86699999999999999</v>
      </c>
      <c r="E76">
        <f t="shared" si="5"/>
        <v>-5.0206710090842072E-2</v>
      </c>
      <c r="F76">
        <f t="shared" si="6"/>
        <v>0.81679328990915789</v>
      </c>
      <c r="G76">
        <f t="shared" si="7"/>
        <v>0.82347078235123994</v>
      </c>
    </row>
    <row r="77" spans="3:7">
      <c r="C77" s="1">
        <v>-62.5</v>
      </c>
      <c r="D77">
        <f t="shared" si="4"/>
        <v>0.85803571428571423</v>
      </c>
      <c r="E77">
        <f t="shared" si="5"/>
        <v>9.7738666624368517E-2</v>
      </c>
      <c r="F77">
        <f t="shared" si="6"/>
        <v>0.95577438091008271</v>
      </c>
      <c r="G77">
        <f t="shared" si="7"/>
        <v>0.94189898091608759</v>
      </c>
    </row>
    <row r="78" spans="3:7">
      <c r="C78" s="1">
        <v>-62</v>
      </c>
      <c r="D78">
        <f t="shared" si="4"/>
        <v>0.8491428571428572</v>
      </c>
      <c r="E78">
        <f t="shared" si="5"/>
        <v>0.22175420899476683</v>
      </c>
      <c r="F78">
        <f t="shared" si="6"/>
        <v>1.070897066137624</v>
      </c>
      <c r="G78">
        <f t="shared" si="7"/>
        <v>1.0374438597521278</v>
      </c>
    </row>
    <row r="79" spans="3:7">
      <c r="C79" s="1">
        <v>-61.5</v>
      </c>
      <c r="D79">
        <f t="shared" si="4"/>
        <v>0.84032142857142866</v>
      </c>
      <c r="E79">
        <f t="shared" si="5"/>
        <v>0.29147658705483276</v>
      </c>
      <c r="F79">
        <f t="shared" si="6"/>
        <v>1.1317980156262615</v>
      </c>
      <c r="G79">
        <f t="shared" si="7"/>
        <v>1.0852554506004701</v>
      </c>
    </row>
    <row r="80" spans="3:7">
      <c r="C80" s="1">
        <v>-61</v>
      </c>
      <c r="D80">
        <f t="shared" si="4"/>
        <v>0.83157142857142863</v>
      </c>
      <c r="E80">
        <f t="shared" si="5"/>
        <v>0.28983533100251785</v>
      </c>
      <c r="F80">
        <f t="shared" si="6"/>
        <v>1.1214067595739465</v>
      </c>
      <c r="G80">
        <f t="shared" si="7"/>
        <v>1.0725902088236654</v>
      </c>
    </row>
    <row r="81" spans="3:7">
      <c r="C81" s="1">
        <v>-60.5</v>
      </c>
      <c r="D81">
        <f t="shared" si="4"/>
        <v>0.82289285714285709</v>
      </c>
      <c r="E81">
        <f t="shared" si="5"/>
        <v>0.21723227756023486</v>
      </c>
      <c r="F81">
        <f t="shared" si="6"/>
        <v>1.040125134703092</v>
      </c>
      <c r="G81">
        <f t="shared" si="7"/>
        <v>1.001651746688049</v>
      </c>
    </row>
    <row r="82" spans="3:7">
      <c r="C82" s="1">
        <v>-60</v>
      </c>
      <c r="D82">
        <f t="shared" si="4"/>
        <v>0.81428571428571428</v>
      </c>
      <c r="E82">
        <f t="shared" si="5"/>
        <v>9.1443186330665005E-2</v>
      </c>
      <c r="F82">
        <f t="shared" si="6"/>
        <v>0.90572890061637934</v>
      </c>
      <c r="G82">
        <f t="shared" si="7"/>
        <v>0.88874659458354155</v>
      </c>
    </row>
    <row r="83" spans="3:7">
      <c r="C83" s="1">
        <v>-59.5</v>
      </c>
      <c r="D83">
        <f t="shared" si="4"/>
        <v>0.80574999999999997</v>
      </c>
      <c r="E83">
        <f t="shared" si="5"/>
        <v>-5.6734386105267452E-2</v>
      </c>
      <c r="F83">
        <f t="shared" si="6"/>
        <v>0.74901561389473248</v>
      </c>
      <c r="G83">
        <f t="shared" si="7"/>
        <v>0.76003626839568073</v>
      </c>
    </row>
    <row r="84" spans="3:7">
      <c r="C84" s="1">
        <v>-59</v>
      </c>
      <c r="D84">
        <f t="shared" si="4"/>
        <v>0.79728571428571426</v>
      </c>
      <c r="E84">
        <f t="shared" si="5"/>
        <v>-0.19102140214174135</v>
      </c>
      <c r="F84">
        <f t="shared" si="6"/>
        <v>0.60626431214397292</v>
      </c>
      <c r="G84">
        <f t="shared" si="7"/>
        <v>0.64498707923527732</v>
      </c>
    </row>
    <row r="85" spans="3:7">
      <c r="C85" s="1">
        <v>-58.5</v>
      </c>
      <c r="D85">
        <f t="shared" si="4"/>
        <v>0.78889285714285706</v>
      </c>
      <c r="E85">
        <f t="shared" si="5"/>
        <v>-0.27853971682961359</v>
      </c>
      <c r="F85">
        <f t="shared" si="6"/>
        <v>0.51035314031324353</v>
      </c>
      <c r="G85">
        <f t="shared" si="7"/>
        <v>0.56915486410538085</v>
      </c>
    </row>
    <row r="86" spans="3:7">
      <c r="C86" s="1">
        <v>-58</v>
      </c>
      <c r="D86">
        <f t="shared" si="4"/>
        <v>0.78057142857142858</v>
      </c>
      <c r="E86">
        <f t="shared" si="5"/>
        <v>-0.29786179442536115</v>
      </c>
      <c r="F86">
        <f t="shared" si="6"/>
        <v>0.48270963414606743</v>
      </c>
      <c r="G86">
        <f t="shared" si="7"/>
        <v>0.54806902217997522</v>
      </c>
    </row>
    <row r="87" spans="3:7">
      <c r="C87" s="1">
        <v>-57.5</v>
      </c>
      <c r="D87">
        <f t="shared" si="4"/>
        <v>0.7723214285714286</v>
      </c>
      <c r="E87">
        <f t="shared" si="5"/>
        <v>-0.24425691645253034</v>
      </c>
      <c r="F87">
        <f t="shared" si="6"/>
        <v>0.52806451211889827</v>
      </c>
      <c r="G87">
        <f t="shared" si="7"/>
        <v>0.58367657791835825</v>
      </c>
    </row>
    <row r="88" spans="3:7">
      <c r="C88" s="1">
        <v>-57</v>
      </c>
      <c r="D88">
        <f t="shared" si="4"/>
        <v>0.76414285714285712</v>
      </c>
      <c r="E88">
        <f t="shared" si="5"/>
        <v>-0.13084942657434748</v>
      </c>
      <c r="F88">
        <f t="shared" si="6"/>
        <v>0.63329343056850962</v>
      </c>
      <c r="G88">
        <f t="shared" si="7"/>
        <v>0.66415520246483073</v>
      </c>
    </row>
    <row r="89" spans="3:7">
      <c r="C89" s="1">
        <v>-56.5</v>
      </c>
      <c r="D89">
        <f t="shared" si="4"/>
        <v>0.75603571428571426</v>
      </c>
      <c r="E89">
        <f t="shared" si="5"/>
        <v>1.4594566462526179E-2</v>
      </c>
      <c r="F89">
        <f t="shared" si="6"/>
        <v>0.77063028074824047</v>
      </c>
      <c r="G89">
        <f t="shared" si="7"/>
        <v>0.76706972776590054</v>
      </c>
    </row>
    <row r="90" spans="3:7">
      <c r="C90" s="1">
        <v>-56</v>
      </c>
      <c r="D90">
        <f t="shared" si="4"/>
        <v>0.748</v>
      </c>
      <c r="E90">
        <f t="shared" si="5"/>
        <v>0.15646530062607356</v>
      </c>
      <c r="F90">
        <f t="shared" si="6"/>
        <v>0.90446530062607355</v>
      </c>
      <c r="G90">
        <f t="shared" si="7"/>
        <v>0.8650360448683031</v>
      </c>
    </row>
    <row r="91" spans="3:7">
      <c r="C91" s="1">
        <v>-55.5</v>
      </c>
      <c r="D91">
        <f t="shared" si="4"/>
        <v>0.74003571428571435</v>
      </c>
      <c r="E91">
        <f t="shared" si="5"/>
        <v>0.26002787227822777</v>
      </c>
      <c r="F91">
        <f t="shared" si="6"/>
        <v>1.0000635865639422</v>
      </c>
      <c r="G91">
        <f t="shared" si="7"/>
        <v>0.93246562648132725</v>
      </c>
    </row>
    <row r="92" spans="3:7">
      <c r="C92" s="1">
        <v>-55</v>
      </c>
      <c r="D92">
        <f t="shared" si="4"/>
        <v>0.73214285714285721</v>
      </c>
      <c r="E92">
        <f t="shared" si="5"/>
        <v>0.29992655200758594</v>
      </c>
      <c r="F92">
        <f t="shared" si="6"/>
        <v>1.0320694091504432</v>
      </c>
      <c r="G92">
        <f t="shared" si="7"/>
        <v>0.951731939862697</v>
      </c>
    </row>
    <row r="93" spans="3:7">
      <c r="C93" s="1">
        <v>-54.5</v>
      </c>
      <c r="D93">
        <f t="shared" si="4"/>
        <v>0.72432142857142856</v>
      </c>
      <c r="E93">
        <f t="shared" si="5"/>
        <v>0.26639275150129899</v>
      </c>
      <c r="F93">
        <f t="shared" si="6"/>
        <v>0.99071418007272749</v>
      </c>
      <c r="G93">
        <f t="shared" si="7"/>
        <v>0.91727540689992293</v>
      </c>
    </row>
    <row r="94" spans="3:7">
      <c r="C94" s="1">
        <v>-54</v>
      </c>
      <c r="D94">
        <f t="shared" si="4"/>
        <v>0.71657142857142864</v>
      </c>
      <c r="E94">
        <f t="shared" si="5"/>
        <v>0.16763671465548488</v>
      </c>
      <c r="F94">
        <f t="shared" si="6"/>
        <v>0.88420814322691355</v>
      </c>
      <c r="G94">
        <f t="shared" si="7"/>
        <v>0.83669510867313035</v>
      </c>
    </row>
    <row r="95" spans="3:7">
      <c r="C95" s="1">
        <v>-53.5</v>
      </c>
      <c r="D95">
        <f t="shared" si="4"/>
        <v>0.70889285714285721</v>
      </c>
      <c r="E95">
        <f t="shared" si="5"/>
        <v>2.7837363527192606E-2</v>
      </c>
      <c r="F95">
        <f t="shared" si="6"/>
        <v>0.73673022067004978</v>
      </c>
      <c r="G95">
        <f t="shared" si="7"/>
        <v>0.72862656530897318</v>
      </c>
    </row>
    <row r="96" spans="3:7">
      <c r="C96" s="1">
        <v>-53</v>
      </c>
      <c r="D96">
        <f t="shared" si="4"/>
        <v>0.70128571428571429</v>
      </c>
      <c r="E96">
        <f t="shared" si="5"/>
        <v>-0.11877754505455024</v>
      </c>
      <c r="F96">
        <f t="shared" si="6"/>
        <v>0.582508169231164</v>
      </c>
      <c r="G96">
        <f t="shared" si="7"/>
        <v>0.61798871876103034</v>
      </c>
    </row>
    <row r="97" spans="3:7">
      <c r="C97" s="1">
        <v>-52.5</v>
      </c>
      <c r="D97">
        <f t="shared" si="4"/>
        <v>0.69374999999999998</v>
      </c>
      <c r="E97">
        <f t="shared" si="5"/>
        <v>-0.23631156809523537</v>
      </c>
      <c r="F97">
        <f t="shared" si="6"/>
        <v>0.45743843190476463</v>
      </c>
      <c r="G97">
        <f t="shared" si="7"/>
        <v>0.52980884963393049</v>
      </c>
    </row>
    <row r="98" spans="3:7">
      <c r="C98" s="1">
        <v>-52</v>
      </c>
      <c r="D98">
        <f t="shared" si="4"/>
        <v>0.68628571428571428</v>
      </c>
      <c r="E98">
        <f t="shared" si="5"/>
        <v>-0.29598827761214558</v>
      </c>
      <c r="F98">
        <f t="shared" si="6"/>
        <v>0.3902974366735687</v>
      </c>
      <c r="G98">
        <f t="shared" si="7"/>
        <v>0.48315318776446464</v>
      </c>
    </row>
    <row r="99" spans="3:7">
      <c r="C99" s="1">
        <v>-51.5</v>
      </c>
      <c r="D99">
        <f t="shared" si="4"/>
        <v>0.67889285714285719</v>
      </c>
      <c r="E99">
        <f t="shared" si="5"/>
        <v>-0.2831967338175358</v>
      </c>
      <c r="F99">
        <f t="shared" si="6"/>
        <v>0.39569612332532139</v>
      </c>
      <c r="G99">
        <f t="shared" si="7"/>
        <v>0.48663261738794505</v>
      </c>
    </row>
    <row r="100" spans="3:7">
      <c r="C100" s="1">
        <v>-51</v>
      </c>
      <c r="D100">
        <f t="shared" si="4"/>
        <v>0.67157142857142849</v>
      </c>
      <c r="E100">
        <f t="shared" si="5"/>
        <v>-0.20106875275301242</v>
      </c>
      <c r="F100">
        <f t="shared" si="6"/>
        <v>0.47050267581841609</v>
      </c>
      <c r="G100">
        <f t="shared" si="7"/>
        <v>0.5365393990440126</v>
      </c>
    </row>
    <row r="101" spans="3:7">
      <c r="C101" s="1">
        <v>-50.5</v>
      </c>
      <c r="D101">
        <f t="shared" si="4"/>
        <v>0.66432142857142851</v>
      </c>
      <c r="E101">
        <f t="shared" si="5"/>
        <v>-6.9712128496645362E-2</v>
      </c>
      <c r="F101">
        <f t="shared" si="6"/>
        <v>0.59460930007478319</v>
      </c>
      <c r="G101">
        <f t="shared" si="7"/>
        <v>0.61801016777978213</v>
      </c>
    </row>
    <row r="102" spans="3:7">
      <c r="C102" s="1">
        <v>-50</v>
      </c>
      <c r="D102">
        <f t="shared" si="4"/>
        <v>0.65714285714285714</v>
      </c>
      <c r="E102">
        <f t="shared" si="5"/>
        <v>7.8712456111178622E-2</v>
      </c>
      <c r="F102">
        <f t="shared" si="6"/>
        <v>0.73585531325403575</v>
      </c>
      <c r="G102">
        <f t="shared" si="7"/>
        <v>0.70886818544448882</v>
      </c>
    </row>
    <row r="103" spans="3:7">
      <c r="C103" s="1">
        <v>-49.5</v>
      </c>
      <c r="D103">
        <f t="shared" si="4"/>
        <v>0.65003571428571427</v>
      </c>
      <c r="E103">
        <f t="shared" si="5"/>
        <v>0.2078654862701087</v>
      </c>
      <c r="F103">
        <f t="shared" si="6"/>
        <v>0.85790120055582297</v>
      </c>
      <c r="G103">
        <f t="shared" si="7"/>
        <v>0.78515570412865165</v>
      </c>
    </row>
    <row r="104" spans="3:7">
      <c r="C104" s="1">
        <v>-49</v>
      </c>
      <c r="D104">
        <f t="shared" si="4"/>
        <v>0.64300000000000002</v>
      </c>
      <c r="E104">
        <f t="shared" si="5"/>
        <v>0.28612579582784153</v>
      </c>
      <c r="F104">
        <f t="shared" si="6"/>
        <v>0.92912579582784161</v>
      </c>
      <c r="G104">
        <f t="shared" si="7"/>
        <v>0.82697888671730213</v>
      </c>
    </row>
    <row r="105" spans="3:7">
      <c r="C105" s="1">
        <v>-48.5</v>
      </c>
      <c r="D105">
        <f t="shared" si="4"/>
        <v>0.63603571428571426</v>
      </c>
      <c r="E105">
        <f t="shared" si="5"/>
        <v>0.29433253158092909</v>
      </c>
      <c r="F105">
        <f t="shared" si="6"/>
        <v>0.93036824586664335</v>
      </c>
      <c r="G105">
        <f t="shared" si="7"/>
        <v>0.82324171624731302</v>
      </c>
    </row>
    <row r="106" spans="3:7">
      <c r="C106" s="1">
        <v>-48</v>
      </c>
      <c r="D106">
        <f t="shared" si="4"/>
        <v>0.62914285714285711</v>
      </c>
      <c r="E106">
        <f t="shared" si="5"/>
        <v>0.23047639839710005</v>
      </c>
      <c r="F106">
        <f t="shared" si="6"/>
        <v>0.85961925553995711</v>
      </c>
      <c r="G106">
        <f t="shared" si="7"/>
        <v>0.77414543693440407</v>
      </c>
    </row>
    <row r="107" spans="3:7">
      <c r="C107" s="1">
        <v>-47.5</v>
      </c>
      <c r="D107">
        <f t="shared" si="4"/>
        <v>0.62232142857142858</v>
      </c>
      <c r="E107">
        <f t="shared" si="5"/>
        <v>0.1101916047402574</v>
      </c>
      <c r="F107">
        <f t="shared" si="6"/>
        <v>0.73251303331168593</v>
      </c>
      <c r="G107">
        <f t="shared" si="7"/>
        <v>0.69089602544996376</v>
      </c>
    </row>
    <row r="108" spans="3:7">
      <c r="C108" s="1">
        <v>-47</v>
      </c>
      <c r="D108">
        <f t="shared" si="4"/>
        <v>0.61557142857142855</v>
      </c>
      <c r="E108">
        <f t="shared" si="5"/>
        <v>-3.70719368235672E-2</v>
      </c>
      <c r="F108">
        <f t="shared" si="6"/>
        <v>0.57849949174786131</v>
      </c>
      <c r="G108">
        <f t="shared" si="7"/>
        <v>0.59275100346103549</v>
      </c>
    </row>
    <row r="109" spans="3:7">
      <c r="C109" s="1">
        <v>-46.5</v>
      </c>
      <c r="D109">
        <f t="shared" si="4"/>
        <v>0.60889285714285712</v>
      </c>
      <c r="E109">
        <f t="shared" si="5"/>
        <v>-0.17525897532398568</v>
      </c>
      <c r="F109">
        <f t="shared" si="6"/>
        <v>0.43363388181887141</v>
      </c>
      <c r="G109">
        <f t="shared" si="7"/>
        <v>0.502178918917906</v>
      </c>
    </row>
    <row r="110" spans="3:7">
      <c r="C110" s="1">
        <v>-46</v>
      </c>
      <c r="D110">
        <f t="shared" si="4"/>
        <v>0.60228571428571431</v>
      </c>
      <c r="E110">
        <f t="shared" si="5"/>
        <v>-0.27053650429464277</v>
      </c>
      <c r="F110">
        <f t="shared" si="6"/>
        <v>0.33174920999107155</v>
      </c>
      <c r="G110">
        <f t="shared" si="7"/>
        <v>0.43934544255625513</v>
      </c>
    </row>
    <row r="111" spans="3:7">
      <c r="C111" s="1">
        <v>-45.5</v>
      </c>
      <c r="D111">
        <f t="shared" si="4"/>
        <v>0.59575</v>
      </c>
      <c r="E111">
        <f t="shared" si="5"/>
        <v>-0.29957726172353111</v>
      </c>
      <c r="F111">
        <f t="shared" si="6"/>
        <v>0.29617273827646889</v>
      </c>
      <c r="G111">
        <f t="shared" si="7"/>
        <v>0.41727684632820639</v>
      </c>
    </row>
    <row r="112" spans="3:7">
      <c r="C112" s="1">
        <v>-45</v>
      </c>
      <c r="D112">
        <f t="shared" si="4"/>
        <v>0.5892857142857143</v>
      </c>
      <c r="E112">
        <f t="shared" si="5"/>
        <v>-0.25527105736023553</v>
      </c>
      <c r="F112">
        <f t="shared" si="6"/>
        <v>0.33401465692547877</v>
      </c>
      <c r="G112">
        <f t="shared" si="7"/>
        <v>0.43885812691271842</v>
      </c>
    </row>
    <row r="113" spans="3:7">
      <c r="C113" s="1">
        <v>-44.5</v>
      </c>
      <c r="D113">
        <f t="shared" si="4"/>
        <v>0.5828928571428571</v>
      </c>
      <c r="E113">
        <f t="shared" si="5"/>
        <v>-0.14846559526578842</v>
      </c>
      <c r="F113">
        <f t="shared" si="6"/>
        <v>0.4344272618770687</v>
      </c>
      <c r="G113">
        <f t="shared" si="7"/>
        <v>0.49635332213096667</v>
      </c>
    </row>
    <row r="114" spans="3:7">
      <c r="C114" s="1">
        <v>-44</v>
      </c>
      <c r="D114">
        <f t="shared" si="4"/>
        <v>0.57657142857142851</v>
      </c>
      <c r="E114">
        <f t="shared" si="5"/>
        <v>-5.3105775316240732E-3</v>
      </c>
      <c r="F114">
        <f t="shared" si="6"/>
        <v>0.5712608510398044</v>
      </c>
      <c r="G114">
        <f t="shared" si="7"/>
        <v>0.57350950129748068</v>
      </c>
    </row>
    <row r="115" spans="3:7">
      <c r="C115" s="1">
        <v>-43.5</v>
      </c>
      <c r="D115">
        <f t="shared" si="4"/>
        <v>0.57032142857142853</v>
      </c>
      <c r="E115">
        <f t="shared" si="5"/>
        <v>0.1391446547951482</v>
      </c>
      <c r="F115">
        <f t="shared" si="6"/>
        <v>0.70946608336657668</v>
      </c>
      <c r="G115">
        <f t="shared" si="7"/>
        <v>0.64967860687227574</v>
      </c>
    </row>
    <row r="116" spans="3:7">
      <c r="C116" s="1">
        <v>-43</v>
      </c>
      <c r="D116">
        <f t="shared" si="4"/>
        <v>0.56414285714285706</v>
      </c>
      <c r="E116">
        <f t="shared" si="5"/>
        <v>0.24953242278857948</v>
      </c>
      <c r="F116">
        <f t="shared" si="6"/>
        <v>0.81367527993143651</v>
      </c>
      <c r="G116">
        <f t="shared" si="7"/>
        <v>0.70491479108458566</v>
      </c>
    </row>
    <row r="117" spans="3:7">
      <c r="C117" s="1">
        <v>-42.5</v>
      </c>
      <c r="D117">
        <f t="shared" si="4"/>
        <v>0.5580357142857143</v>
      </c>
      <c r="E117">
        <f t="shared" si="5"/>
        <v>0.29882595093587822</v>
      </c>
      <c r="F117">
        <f t="shared" si="6"/>
        <v>0.85686166522159257</v>
      </c>
      <c r="G117">
        <f t="shared" si="7"/>
        <v>0.72479126726332488</v>
      </c>
    </row>
    <row r="118" spans="3:7">
      <c r="C118" s="1">
        <v>-42</v>
      </c>
      <c r="D118">
        <f t="shared" si="4"/>
        <v>0.55200000000000005</v>
      </c>
      <c r="E118">
        <f t="shared" si="5"/>
        <v>0.27495646437469012</v>
      </c>
      <c r="F118">
        <f t="shared" si="6"/>
        <v>0.82695646437469017</v>
      </c>
      <c r="G118">
        <f t="shared" si="7"/>
        <v>0.70377596833482903</v>
      </c>
    </row>
    <row r="119" spans="3:7">
      <c r="C119" s="1">
        <v>-41.5</v>
      </c>
      <c r="D119">
        <f t="shared" si="4"/>
        <v>0.54603571428571429</v>
      </c>
      <c r="E119">
        <f t="shared" si="5"/>
        <v>0.18376804589264092</v>
      </c>
      <c r="F119">
        <f t="shared" si="6"/>
        <v>0.72980376017835524</v>
      </c>
      <c r="G119">
        <f t="shared" si="7"/>
        <v>0.64637963048759239</v>
      </c>
    </row>
    <row r="120" spans="3:7">
      <c r="C120" s="1">
        <v>-41</v>
      </c>
      <c r="D120">
        <f t="shared" si="4"/>
        <v>0.54014285714285715</v>
      </c>
      <c r="E120">
        <f t="shared" si="5"/>
        <v>4.7586800641412692E-2</v>
      </c>
      <c r="F120">
        <f t="shared" si="6"/>
        <v>0.58772965778426989</v>
      </c>
      <c r="G120">
        <f t="shared" si="7"/>
        <v>0.56584652760359733</v>
      </c>
    </row>
    <row r="121" spans="3:7">
      <c r="C121" s="1">
        <v>-40.5</v>
      </c>
      <c r="D121">
        <f t="shared" si="4"/>
        <v>0.53432142857142861</v>
      </c>
      <c r="E121">
        <f t="shared" si="5"/>
        <v>-0.10024535305452616</v>
      </c>
      <c r="F121">
        <f t="shared" si="6"/>
        <v>0.43407607551690247</v>
      </c>
      <c r="G121">
        <f t="shared" si="7"/>
        <v>0.48075818831968697</v>
      </c>
    </row>
    <row r="122" spans="3:7">
      <c r="C122" s="1">
        <v>-40</v>
      </c>
      <c r="D122">
        <f t="shared" si="4"/>
        <v>0.52857142857142858</v>
      </c>
      <c r="E122">
        <f t="shared" si="5"/>
        <v>-0.22353394814380464</v>
      </c>
      <c r="F122">
        <f t="shared" si="6"/>
        <v>0.30503748042762391</v>
      </c>
      <c r="G122">
        <f t="shared" si="7"/>
        <v>0.41041777026684612</v>
      </c>
    </row>
    <row r="123" spans="3:7">
      <c r="C123" s="1">
        <v>-39.5</v>
      </c>
      <c r="D123">
        <f t="shared" si="4"/>
        <v>0.52289285714285716</v>
      </c>
      <c r="E123">
        <f t="shared" si="5"/>
        <v>-0.29209363670849342</v>
      </c>
      <c r="F123">
        <f t="shared" si="6"/>
        <v>0.23079922043436374</v>
      </c>
      <c r="G123">
        <f t="shared" si="7"/>
        <v>0.37015918089110528</v>
      </c>
    </row>
    <row r="124" spans="3:7">
      <c r="C124" s="1">
        <v>-39</v>
      </c>
      <c r="D124">
        <f t="shared" si="4"/>
        <v>0.51728571428571424</v>
      </c>
      <c r="E124">
        <f t="shared" si="5"/>
        <v>-0.28913861588522632</v>
      </c>
      <c r="F124">
        <f t="shared" si="6"/>
        <v>0.22814709840048791</v>
      </c>
      <c r="G124">
        <f t="shared" si="7"/>
        <v>0.36771843883994221</v>
      </c>
    </row>
    <row r="125" spans="3:7">
      <c r="C125" s="1">
        <v>-38.5</v>
      </c>
      <c r="D125">
        <f t="shared" si="4"/>
        <v>0.51174999999999993</v>
      </c>
      <c r="E125">
        <f t="shared" si="5"/>
        <v>-0.21539237783149323</v>
      </c>
      <c r="F125">
        <f t="shared" si="6"/>
        <v>0.2963576221685067</v>
      </c>
      <c r="G125">
        <f t="shared" si="7"/>
        <v>0.40152295064473326</v>
      </c>
    </row>
    <row r="126" spans="3:7">
      <c r="C126" s="1">
        <v>-38</v>
      </c>
      <c r="D126">
        <f t="shared" si="4"/>
        <v>0.50628571428571423</v>
      </c>
      <c r="E126">
        <f t="shared" si="5"/>
        <v>-8.8910573612815597E-2</v>
      </c>
      <c r="F126">
        <f t="shared" si="6"/>
        <v>0.4173751406728986</v>
      </c>
      <c r="G126">
        <f t="shared" si="7"/>
        <v>0.46127156101659728</v>
      </c>
    </row>
    <row r="127" spans="3:7">
      <c r="C127" s="1">
        <v>-37.5</v>
      </c>
      <c r="D127">
        <f t="shared" si="4"/>
        <v>0.50089285714285714</v>
      </c>
      <c r="E127">
        <f t="shared" si="5"/>
        <v>5.9339639890938677E-2</v>
      </c>
      <c r="F127">
        <f t="shared" si="6"/>
        <v>0.56023249703379585</v>
      </c>
      <c r="G127">
        <f t="shared" si="7"/>
        <v>0.53061565890965767</v>
      </c>
    </row>
    <row r="128" spans="3:7">
      <c r="C128" s="1">
        <v>-37</v>
      </c>
      <c r="D128">
        <f t="shared" si="4"/>
        <v>0.49557142857142855</v>
      </c>
      <c r="E128">
        <f t="shared" si="5"/>
        <v>0.19306144000709985</v>
      </c>
      <c r="F128">
        <f t="shared" si="6"/>
        <v>0.68863286857852835</v>
      </c>
      <c r="G128">
        <f t="shared" si="7"/>
        <v>0.59124716219780415</v>
      </c>
    </row>
    <row r="129" spans="3:7">
      <c r="C129" s="1">
        <v>-36.5</v>
      </c>
      <c r="D129">
        <f t="shared" si="4"/>
        <v>0.49032142857142857</v>
      </c>
      <c r="E129">
        <f t="shared" si="5"/>
        <v>0.27951506635641166</v>
      </c>
      <c r="F129">
        <f t="shared" si="6"/>
        <v>0.76983649492784023</v>
      </c>
      <c r="G129">
        <f t="shared" si="7"/>
        <v>0.62737365521454203</v>
      </c>
    </row>
    <row r="130" spans="3:7">
      <c r="C130" s="1">
        <v>-36</v>
      </c>
      <c r="D130">
        <f t="shared" si="4"/>
        <v>0.4851428571428571</v>
      </c>
      <c r="E130">
        <f t="shared" si="5"/>
        <v>0.29753365603293475</v>
      </c>
      <c r="F130">
        <f t="shared" si="6"/>
        <v>0.78267651317579179</v>
      </c>
      <c r="G130">
        <f t="shared" si="7"/>
        <v>0.62948918512683516</v>
      </c>
    </row>
    <row r="131" spans="3:7">
      <c r="C131" s="1">
        <v>-35.5</v>
      </c>
      <c r="D131">
        <f t="shared" ref="D131:D194" si="8">C131*C131/$A$1+$A$2</f>
        <v>0.48003571428571429</v>
      </c>
      <c r="E131">
        <f t="shared" ref="E131:E194" si="9">$A$3*SIN(C131)</f>
        <v>0.24270562986357194</v>
      </c>
      <c r="F131">
        <f t="shared" ref="F131:F194" si="10">D131+E131</f>
        <v>0.72274134414928626</v>
      </c>
      <c r="G131">
        <f t="shared" ref="G131:G194" si="11">D131*(E131+1)</f>
        <v>0.5965430846784382</v>
      </c>
    </row>
    <row r="132" spans="3:7">
      <c r="C132" s="1">
        <v>-35</v>
      </c>
      <c r="D132">
        <f t="shared" si="8"/>
        <v>0.47499999999999998</v>
      </c>
      <c r="E132">
        <f t="shared" si="9"/>
        <v>0.12845480084884531</v>
      </c>
      <c r="F132">
        <f t="shared" si="10"/>
        <v>0.60345480084884529</v>
      </c>
      <c r="G132">
        <f t="shared" si="11"/>
        <v>0.53601603040320145</v>
      </c>
    </row>
    <row r="133" spans="3:7">
      <c r="C133" s="1">
        <v>-34.5</v>
      </c>
      <c r="D133">
        <f t="shared" si="8"/>
        <v>0.47003571428571428</v>
      </c>
      <c r="E133">
        <f t="shared" si="9"/>
        <v>-1.7246243431477369E-2</v>
      </c>
      <c r="F133">
        <f t="shared" si="10"/>
        <v>0.45278947085423693</v>
      </c>
      <c r="G133">
        <f t="shared" si="11"/>
        <v>0.46192936393565448</v>
      </c>
    </row>
    <row r="134" spans="3:7">
      <c r="C134" s="1">
        <v>-34</v>
      </c>
      <c r="D134">
        <f t="shared" si="8"/>
        <v>0.46514285714285714</v>
      </c>
      <c r="E134">
        <f t="shared" si="9"/>
        <v>-0.15872480583600715</v>
      </c>
      <c r="F134">
        <f t="shared" si="10"/>
        <v>0.30641805130684996</v>
      </c>
      <c r="G134">
        <f t="shared" si="11"/>
        <v>0.39131314745685153</v>
      </c>
    </row>
    <row r="135" spans="3:7">
      <c r="C135" s="1">
        <v>-33.5</v>
      </c>
      <c r="D135">
        <f t="shared" si="8"/>
        <v>0.46032142857142855</v>
      </c>
      <c r="E135">
        <f t="shared" si="9"/>
        <v>-0.26134200005075292</v>
      </c>
      <c r="F135">
        <f t="shared" si="10"/>
        <v>0.19897942852067563</v>
      </c>
      <c r="G135">
        <f t="shared" si="11"/>
        <v>0.34002010576235159</v>
      </c>
    </row>
    <row r="136" spans="3:7">
      <c r="C136" s="1">
        <v>-33</v>
      </c>
      <c r="D136">
        <f t="shared" si="8"/>
        <v>0.45557142857142857</v>
      </c>
      <c r="E136">
        <f t="shared" si="9"/>
        <v>-0.29997355803218012</v>
      </c>
      <c r="F136">
        <f t="shared" si="10"/>
        <v>0.15559787053924845</v>
      </c>
      <c r="G136">
        <f t="shared" si="11"/>
        <v>0.31891204620505398</v>
      </c>
    </row>
    <row r="137" spans="3:7">
      <c r="C137" s="1">
        <v>-32.5</v>
      </c>
      <c r="D137">
        <f t="shared" si="8"/>
        <v>0.4508928571428571</v>
      </c>
      <c r="E137">
        <f t="shared" si="9"/>
        <v>-0.26516112706374917</v>
      </c>
      <c r="F137">
        <f t="shared" si="10"/>
        <v>0.18573173007910793</v>
      </c>
      <c r="G137">
        <f t="shared" si="11"/>
        <v>0.33133359895786307</v>
      </c>
    </row>
    <row r="138" spans="3:7">
      <c r="C138" s="1">
        <v>-32</v>
      </c>
      <c r="D138">
        <f t="shared" si="8"/>
        <v>0.44628571428571429</v>
      </c>
      <c r="E138">
        <f t="shared" si="9"/>
        <v>-0.16542800437250718</v>
      </c>
      <c r="F138">
        <f t="shared" si="10"/>
        <v>0.28085770991320713</v>
      </c>
      <c r="G138">
        <f t="shared" si="11"/>
        <v>0.37245755919146967</v>
      </c>
    </row>
    <row r="139" spans="3:7">
      <c r="C139" s="1">
        <v>-31.5</v>
      </c>
      <c r="D139">
        <f t="shared" si="8"/>
        <v>0.44174999999999998</v>
      </c>
      <c r="E139">
        <f t="shared" si="9"/>
        <v>-2.5192336707524049E-2</v>
      </c>
      <c r="F139">
        <f t="shared" si="10"/>
        <v>0.4165576632924759</v>
      </c>
      <c r="G139">
        <f t="shared" si="11"/>
        <v>0.4306212852594512</v>
      </c>
    </row>
    <row r="140" spans="3:7">
      <c r="C140" s="1">
        <v>-31</v>
      </c>
      <c r="D140">
        <f t="shared" si="8"/>
        <v>0.43728571428571428</v>
      </c>
      <c r="E140">
        <f t="shared" si="9"/>
        <v>0.1212112935969195</v>
      </c>
      <c r="F140">
        <f t="shared" si="10"/>
        <v>0.55849700788263379</v>
      </c>
      <c r="G140">
        <f t="shared" si="11"/>
        <v>0.49028968138573858</v>
      </c>
    </row>
    <row r="141" spans="3:7">
      <c r="C141" s="1">
        <v>-30.5</v>
      </c>
      <c r="D141">
        <f t="shared" si="8"/>
        <v>0.43289285714285713</v>
      </c>
      <c r="E141">
        <f t="shared" si="9"/>
        <v>0.23793817183718552</v>
      </c>
      <c r="F141">
        <f t="shared" si="10"/>
        <v>0.67083102898004265</v>
      </c>
      <c r="G141">
        <f t="shared" si="11"/>
        <v>0.53589459217280455</v>
      </c>
    </row>
    <row r="142" spans="3:7">
      <c r="C142" s="1">
        <v>-30</v>
      </c>
      <c r="D142">
        <f t="shared" si="8"/>
        <v>0.42857142857142855</v>
      </c>
      <c r="E142">
        <f t="shared" si="9"/>
        <v>0.29640948722785854</v>
      </c>
      <c r="F142">
        <f t="shared" si="10"/>
        <v>0.72498091579928703</v>
      </c>
      <c r="G142">
        <f t="shared" si="11"/>
        <v>0.5556040659547965</v>
      </c>
    </row>
    <row r="143" spans="3:7">
      <c r="C143" s="1">
        <v>-29.5</v>
      </c>
      <c r="D143">
        <f t="shared" si="8"/>
        <v>0.42432142857142857</v>
      </c>
      <c r="E143">
        <f t="shared" si="9"/>
        <v>0.28230942250288604</v>
      </c>
      <c r="F143">
        <f t="shared" si="10"/>
        <v>0.70663085107431467</v>
      </c>
      <c r="G143">
        <f t="shared" si="11"/>
        <v>0.54411136602702825</v>
      </c>
    </row>
    <row r="144" spans="3:7">
      <c r="C144" s="1">
        <v>-29</v>
      </c>
      <c r="D144">
        <f t="shared" si="8"/>
        <v>0.42014285714285715</v>
      </c>
      <c r="E144">
        <f t="shared" si="9"/>
        <v>0.19909016526389026</v>
      </c>
      <c r="F144">
        <f t="shared" si="10"/>
        <v>0.61923302240674738</v>
      </c>
      <c r="G144">
        <f t="shared" si="11"/>
        <v>0.5037891680058717</v>
      </c>
    </row>
    <row r="145" spans="3:7">
      <c r="C145" s="1">
        <v>-28.5</v>
      </c>
      <c r="D145">
        <f t="shared" si="8"/>
        <v>0.41603571428571429</v>
      </c>
      <c r="E145">
        <f t="shared" si="9"/>
        <v>6.7126692056038925E-2</v>
      </c>
      <c r="F145">
        <f t="shared" si="10"/>
        <v>0.48316240634175323</v>
      </c>
      <c r="G145">
        <f t="shared" si="11"/>
        <v>0.44396281556288564</v>
      </c>
    </row>
    <row r="146" spans="3:7">
      <c r="C146" s="1">
        <v>-28</v>
      </c>
      <c r="D146">
        <f t="shared" si="8"/>
        <v>0.41199999999999998</v>
      </c>
      <c r="E146">
        <f t="shared" si="9"/>
        <v>-8.1271736492360705E-2</v>
      </c>
      <c r="F146">
        <f t="shared" si="10"/>
        <v>0.33072826350763929</v>
      </c>
      <c r="G146">
        <f t="shared" si="11"/>
        <v>0.37851604456514737</v>
      </c>
    </row>
    <row r="147" spans="3:7">
      <c r="C147" s="1">
        <v>-27.5</v>
      </c>
      <c r="D147">
        <f t="shared" si="8"/>
        <v>0.40803571428571428</v>
      </c>
      <c r="E147">
        <f t="shared" si="9"/>
        <v>-0.20977200949652933</v>
      </c>
      <c r="F147">
        <f t="shared" si="10"/>
        <v>0.19826370478918495</v>
      </c>
      <c r="G147">
        <f t="shared" si="11"/>
        <v>0.32244124255364831</v>
      </c>
    </row>
    <row r="148" spans="3:7">
      <c r="C148" s="1">
        <v>-27</v>
      </c>
      <c r="D148">
        <f t="shared" si="8"/>
        <v>0.40414285714285714</v>
      </c>
      <c r="E148">
        <f t="shared" si="9"/>
        <v>-0.28691277852135089</v>
      </c>
      <c r="F148">
        <f t="shared" si="10"/>
        <v>0.11723007862150625</v>
      </c>
      <c r="G148">
        <f t="shared" si="11"/>
        <v>0.2881891070804426</v>
      </c>
    </row>
    <row r="149" spans="3:7">
      <c r="C149" s="1">
        <v>-26.5</v>
      </c>
      <c r="D149">
        <f t="shared" si="8"/>
        <v>0.40032142857142855</v>
      </c>
      <c r="E149">
        <f t="shared" si="9"/>
        <v>-0.29380729293117508</v>
      </c>
      <c r="F149">
        <f t="shared" si="10"/>
        <v>0.10651413564025347</v>
      </c>
      <c r="G149">
        <f t="shared" si="11"/>
        <v>0.28270407334051639</v>
      </c>
    </row>
    <row r="150" spans="3:7">
      <c r="C150" s="1">
        <v>-26</v>
      </c>
      <c r="D150">
        <f t="shared" si="8"/>
        <v>0.39657142857142857</v>
      </c>
      <c r="E150">
        <f t="shared" si="9"/>
        <v>-0.22876753514388079</v>
      </c>
      <c r="F150">
        <f t="shared" si="10"/>
        <v>0.16780389342754778</v>
      </c>
      <c r="G150">
        <f t="shared" si="11"/>
        <v>0.30584876034865527</v>
      </c>
    </row>
    <row r="151" spans="3:7">
      <c r="C151" s="1">
        <v>-25.5</v>
      </c>
      <c r="D151">
        <f t="shared" si="8"/>
        <v>0.39289285714285715</v>
      </c>
      <c r="E151">
        <f t="shared" si="9"/>
        <v>-0.10771750620665048</v>
      </c>
      <c r="F151">
        <f t="shared" si="10"/>
        <v>0.28517535093620666</v>
      </c>
      <c r="G151">
        <f t="shared" si="11"/>
        <v>0.35057141836502281</v>
      </c>
    </row>
    <row r="152" spans="3:7">
      <c r="C152" s="1">
        <v>-25</v>
      </c>
      <c r="D152">
        <f t="shared" si="8"/>
        <v>0.38928571428571429</v>
      </c>
      <c r="E152">
        <f t="shared" si="9"/>
        <v>3.970552502933191E-2</v>
      </c>
      <c r="F152">
        <f t="shared" si="10"/>
        <v>0.42899123931504618</v>
      </c>
      <c r="G152">
        <f t="shared" si="11"/>
        <v>0.40474250795784705</v>
      </c>
    </row>
    <row r="153" spans="3:7">
      <c r="C153" s="1">
        <v>-24.5</v>
      </c>
      <c r="D153">
        <f t="shared" si="8"/>
        <v>0.38574999999999998</v>
      </c>
      <c r="E153">
        <f t="shared" si="9"/>
        <v>0.1774072589595373</v>
      </c>
      <c r="F153">
        <f t="shared" si="10"/>
        <v>0.56315725895953728</v>
      </c>
      <c r="G153">
        <f t="shared" si="11"/>
        <v>0.45418485014364146</v>
      </c>
    </row>
    <row r="154" spans="3:7">
      <c r="C154" s="1">
        <v>-24</v>
      </c>
      <c r="D154">
        <f t="shared" si="8"/>
        <v>0.38228571428571428</v>
      </c>
      <c r="E154">
        <f t="shared" si="9"/>
        <v>0.27167350860198713</v>
      </c>
      <c r="F154">
        <f t="shared" si="10"/>
        <v>0.65395922288770136</v>
      </c>
      <c r="G154">
        <f t="shared" si="11"/>
        <v>0.48614261557413102</v>
      </c>
    </row>
    <row r="155" spans="3:7">
      <c r="C155" s="1">
        <v>-23.5</v>
      </c>
      <c r="D155">
        <f t="shared" si="8"/>
        <v>0.37889285714285714</v>
      </c>
      <c r="E155">
        <f t="shared" si="9"/>
        <v>0.29942460839381885</v>
      </c>
      <c r="F155">
        <f t="shared" si="10"/>
        <v>0.67831746553667593</v>
      </c>
      <c r="G155">
        <f t="shared" si="11"/>
        <v>0.49234270251607226</v>
      </c>
    </row>
    <row r="156" spans="3:7">
      <c r="C156" s="1">
        <v>-23</v>
      </c>
      <c r="D156">
        <f t="shared" si="8"/>
        <v>0.37557142857142856</v>
      </c>
      <c r="E156">
        <f t="shared" si="9"/>
        <v>0.2538661212525512</v>
      </c>
      <c r="F156">
        <f t="shared" si="10"/>
        <v>0.6294375498239797</v>
      </c>
      <c r="G156">
        <f t="shared" si="11"/>
        <v>0.47091629039613675</v>
      </c>
    </row>
    <row r="157" spans="3:7">
      <c r="C157" s="1">
        <v>-22.5</v>
      </c>
      <c r="D157">
        <f t="shared" si="8"/>
        <v>0.37232142857142858</v>
      </c>
      <c r="E157">
        <f t="shared" si="9"/>
        <v>0.14615235373815286</v>
      </c>
      <c r="F157">
        <f t="shared" si="10"/>
        <v>0.51847378230958141</v>
      </c>
      <c r="G157">
        <f t="shared" si="11"/>
        <v>0.42673708170429442</v>
      </c>
    </row>
    <row r="158" spans="3:7">
      <c r="C158" s="1">
        <v>-22</v>
      </c>
      <c r="D158">
        <f t="shared" si="8"/>
        <v>0.36914285714285711</v>
      </c>
      <c r="E158">
        <f t="shared" si="9"/>
        <v>2.6553927871211629E-3</v>
      </c>
      <c r="F158">
        <f t="shared" si="10"/>
        <v>0.37179824992997829</v>
      </c>
      <c r="G158">
        <f t="shared" si="11"/>
        <v>0.37012307642313153</v>
      </c>
    </row>
    <row r="159" spans="3:7">
      <c r="C159" s="1">
        <v>-21.5</v>
      </c>
      <c r="D159">
        <f t="shared" si="8"/>
        <v>0.36603571428571424</v>
      </c>
      <c r="E159">
        <f t="shared" si="9"/>
        <v>-0.14149170092825883</v>
      </c>
      <c r="F159">
        <f t="shared" si="10"/>
        <v>0.22454401335745541</v>
      </c>
      <c r="G159">
        <f t="shared" si="11"/>
        <v>0.31424469847093839</v>
      </c>
    </row>
    <row r="160" spans="3:7">
      <c r="C160" s="1">
        <v>-21</v>
      </c>
      <c r="D160">
        <f t="shared" si="8"/>
        <v>0.36299999999999999</v>
      </c>
      <c r="E160">
        <f t="shared" si="9"/>
        <v>-0.25099669156081683</v>
      </c>
      <c r="F160">
        <f t="shared" si="10"/>
        <v>0.11200330843918316</v>
      </c>
      <c r="G160">
        <f t="shared" si="11"/>
        <v>0.27188820096342348</v>
      </c>
    </row>
    <row r="161" spans="3:7">
      <c r="C161" s="1">
        <v>-20.5</v>
      </c>
      <c r="D161">
        <f t="shared" si="8"/>
        <v>0.36003571428571429</v>
      </c>
      <c r="E161">
        <f t="shared" si="9"/>
        <v>-0.29904893828363976</v>
      </c>
      <c r="F161">
        <f t="shared" si="10"/>
        <v>6.0986776002074528E-2</v>
      </c>
      <c r="G161">
        <f t="shared" si="11"/>
        <v>0.25236741618437958</v>
      </c>
    </row>
    <row r="162" spans="3:7">
      <c r="C162" s="1">
        <v>-20</v>
      </c>
      <c r="D162">
        <f t="shared" si="8"/>
        <v>0.35714285714285715</v>
      </c>
      <c r="E162">
        <f t="shared" si="9"/>
        <v>-0.27388357521828827</v>
      </c>
      <c r="F162">
        <f t="shared" si="10"/>
        <v>8.3259281924568884E-2</v>
      </c>
      <c r="G162">
        <f t="shared" si="11"/>
        <v>0.25932729456489706</v>
      </c>
    </row>
    <row r="163" spans="3:7">
      <c r="C163" s="1">
        <v>-19.5</v>
      </c>
      <c r="D163">
        <f t="shared" si="8"/>
        <v>0.35432142857142856</v>
      </c>
      <c r="E163">
        <f t="shared" si="9"/>
        <v>-0.1816619609158803</v>
      </c>
      <c r="F163">
        <f t="shared" si="10"/>
        <v>0.17265946765554827</v>
      </c>
      <c r="G163">
        <f t="shared" si="11"/>
        <v>0.28995470306262683</v>
      </c>
    </row>
    <row r="164" spans="3:7">
      <c r="C164" s="1">
        <v>-19</v>
      </c>
      <c r="D164">
        <f t="shared" si="8"/>
        <v>0.35157142857142853</v>
      </c>
      <c r="E164">
        <f t="shared" si="9"/>
        <v>-4.4963162898885703E-2</v>
      </c>
      <c r="F164">
        <f t="shared" si="10"/>
        <v>0.30660826567254285</v>
      </c>
      <c r="G164">
        <f t="shared" si="11"/>
        <v>0.33576366515797745</v>
      </c>
    </row>
    <row r="165" spans="3:7">
      <c r="C165" s="1">
        <v>-18.5</v>
      </c>
      <c r="D165">
        <f t="shared" si="8"/>
        <v>0.34889285714285712</v>
      </c>
      <c r="E165">
        <f t="shared" si="9"/>
        <v>0.10274418554088376</v>
      </c>
      <c r="F165">
        <f t="shared" si="10"/>
        <v>0.45163704268374089</v>
      </c>
      <c r="G165">
        <f t="shared" si="11"/>
        <v>0.38473956959103184</v>
      </c>
    </row>
    <row r="166" spans="3:7">
      <c r="C166" s="1">
        <v>-18</v>
      </c>
      <c r="D166">
        <f t="shared" si="8"/>
        <v>0.34628571428571425</v>
      </c>
      <c r="E166">
        <f t="shared" si="9"/>
        <v>0.22529617403150282</v>
      </c>
      <c r="F166">
        <f t="shared" si="10"/>
        <v>0.57158188831721701</v>
      </c>
      <c r="G166">
        <f t="shared" si="11"/>
        <v>0.42430256083605178</v>
      </c>
    </row>
    <row r="167" spans="3:7">
      <c r="C167" s="1">
        <v>-17.5</v>
      </c>
      <c r="D167">
        <f t="shared" si="8"/>
        <v>0.34375</v>
      </c>
      <c r="E167">
        <f t="shared" si="9"/>
        <v>0.29268780164044728</v>
      </c>
      <c r="F167">
        <f t="shared" si="10"/>
        <v>0.63643780164044728</v>
      </c>
      <c r="G167">
        <f t="shared" si="11"/>
        <v>0.44436143181390375</v>
      </c>
    </row>
    <row r="168" spans="3:7">
      <c r="C168" s="1">
        <v>-17</v>
      </c>
      <c r="D168">
        <f t="shared" si="8"/>
        <v>0.3412857142857143</v>
      </c>
      <c r="E168">
        <f t="shared" si="9"/>
        <v>0.28841924756386705</v>
      </c>
      <c r="F168">
        <f t="shared" si="10"/>
        <v>0.62970496184958136</v>
      </c>
      <c r="G168">
        <f t="shared" si="11"/>
        <v>0.43971908320429692</v>
      </c>
    </row>
    <row r="169" spans="3:7">
      <c r="C169" s="1">
        <v>-16.5</v>
      </c>
      <c r="D169">
        <f t="shared" si="8"/>
        <v>0.33889285714285711</v>
      </c>
      <c r="E169">
        <f t="shared" si="9"/>
        <v>0.2135356027107369</v>
      </c>
      <c r="F169">
        <f t="shared" si="10"/>
        <v>0.55242845985359401</v>
      </c>
      <c r="G169">
        <f t="shared" si="11"/>
        <v>0.41125854764722075</v>
      </c>
    </row>
    <row r="170" spans="3:7">
      <c r="C170" s="1">
        <v>-16</v>
      </c>
      <c r="D170">
        <f t="shared" si="8"/>
        <v>0.33657142857142858</v>
      </c>
      <c r="E170">
        <f t="shared" si="9"/>
        <v>8.6370994999519585E-2</v>
      </c>
      <c r="F170">
        <f t="shared" si="10"/>
        <v>0.42294242357094813</v>
      </c>
      <c r="G170">
        <f t="shared" si="11"/>
        <v>0.36564143774555258</v>
      </c>
    </row>
    <row r="171" spans="3:7">
      <c r="C171" s="1">
        <v>-15.5</v>
      </c>
      <c r="D171">
        <f t="shared" si="8"/>
        <v>0.33432142857142855</v>
      </c>
      <c r="E171">
        <f t="shared" si="9"/>
        <v>-6.1940244581338975E-2</v>
      </c>
      <c r="F171">
        <f t="shared" si="10"/>
        <v>0.27238118399008959</v>
      </c>
      <c r="G171">
        <f t="shared" si="11"/>
        <v>0.31361347751693164</v>
      </c>
    </row>
    <row r="172" spans="3:7">
      <c r="C172" s="1">
        <v>-15</v>
      </c>
      <c r="D172">
        <f t="shared" si="8"/>
        <v>0.33214285714285713</v>
      </c>
      <c r="E172">
        <f t="shared" si="9"/>
        <v>-0.19508635204713504</v>
      </c>
      <c r="F172">
        <f t="shared" si="10"/>
        <v>0.13705650509572209</v>
      </c>
      <c r="G172">
        <f t="shared" si="11"/>
        <v>0.26734631878434439</v>
      </c>
    </row>
    <row r="173" spans="3:7">
      <c r="C173" s="1">
        <v>-14.5</v>
      </c>
      <c r="D173">
        <f t="shared" si="8"/>
        <v>0.33003571428571427</v>
      </c>
      <c r="E173">
        <f t="shared" si="9"/>
        <v>-0.28046851665740491</v>
      </c>
      <c r="F173">
        <f t="shared" si="10"/>
        <v>4.9567197628309356E-2</v>
      </c>
      <c r="G173">
        <f t="shared" si="11"/>
        <v>0.2374710870560329</v>
      </c>
    </row>
    <row r="174" spans="3:7">
      <c r="C174" s="1">
        <v>-14</v>
      </c>
      <c r="D174">
        <f t="shared" si="8"/>
        <v>0.32800000000000001</v>
      </c>
      <c r="E174">
        <f t="shared" si="9"/>
        <v>-0.29718220670846107</v>
      </c>
      <c r="F174">
        <f t="shared" si="10"/>
        <v>3.0817793291538942E-2</v>
      </c>
      <c r="G174">
        <f t="shared" si="11"/>
        <v>0.23052423619962478</v>
      </c>
    </row>
    <row r="175" spans="3:7">
      <c r="C175" s="1">
        <v>-13.5</v>
      </c>
      <c r="D175">
        <f t="shared" si="8"/>
        <v>0.32603571428571426</v>
      </c>
      <c r="E175">
        <f t="shared" si="9"/>
        <v>-0.24113532796548628</v>
      </c>
      <c r="F175">
        <f t="shared" si="10"/>
        <v>8.4900386320227977E-2</v>
      </c>
      <c r="G175">
        <f t="shared" si="11"/>
        <v>0.24741698539296697</v>
      </c>
    </row>
    <row r="176" spans="3:7">
      <c r="C176" s="1">
        <v>-13</v>
      </c>
      <c r="D176">
        <f t="shared" si="8"/>
        <v>0.32414285714285712</v>
      </c>
      <c r="E176">
        <f t="shared" si="9"/>
        <v>-0.12605011104799227</v>
      </c>
      <c r="F176">
        <f t="shared" si="10"/>
        <v>0.19809274609486485</v>
      </c>
      <c r="G176">
        <f t="shared" si="11"/>
        <v>0.28328461400458649</v>
      </c>
    </row>
    <row r="177" spans="3:7">
      <c r="C177" s="1">
        <v>-12.5</v>
      </c>
      <c r="D177">
        <f t="shared" si="8"/>
        <v>0.32232142857142854</v>
      </c>
      <c r="E177">
        <f t="shared" si="9"/>
        <v>1.9896569205360204E-2</v>
      </c>
      <c r="F177">
        <f t="shared" si="10"/>
        <v>0.34221799777678874</v>
      </c>
      <c r="G177">
        <f t="shared" si="11"/>
        <v>0.32873451918137059</v>
      </c>
    </row>
    <row r="178" spans="3:7">
      <c r="C178" s="1">
        <v>-12</v>
      </c>
      <c r="D178">
        <f t="shared" si="8"/>
        <v>0.32057142857142856</v>
      </c>
      <c r="E178">
        <f t="shared" si="9"/>
        <v>0.16097187540013047</v>
      </c>
      <c r="F178">
        <f t="shared" si="10"/>
        <v>0.48154330397155903</v>
      </c>
      <c r="G178">
        <f t="shared" si="11"/>
        <v>0.37217441262827045</v>
      </c>
    </row>
    <row r="179" spans="3:7">
      <c r="C179" s="1">
        <v>-11.5</v>
      </c>
      <c r="D179">
        <f t="shared" si="8"/>
        <v>0.31889285714285714</v>
      </c>
      <c r="E179">
        <f t="shared" si="9"/>
        <v>0.26263565240652853</v>
      </c>
      <c r="F179">
        <f t="shared" si="10"/>
        <v>0.58152850954938562</v>
      </c>
      <c r="G179">
        <f t="shared" si="11"/>
        <v>0.40264549072635331</v>
      </c>
    </row>
    <row r="180" spans="3:7">
      <c r="C180" s="1">
        <v>-11</v>
      </c>
      <c r="D180">
        <f t="shared" si="8"/>
        <v>0.31728571428571428</v>
      </c>
      <c r="E180">
        <f t="shared" si="9"/>
        <v>0.29999706196521103</v>
      </c>
      <c r="F180">
        <f t="shared" si="10"/>
        <v>0.61728277625092531</v>
      </c>
      <c r="G180">
        <f t="shared" si="11"/>
        <v>0.41247049637496197</v>
      </c>
    </row>
    <row r="181" spans="3:7">
      <c r="C181" s="1">
        <v>-10.5</v>
      </c>
      <c r="D181">
        <f t="shared" si="8"/>
        <v>0.31574999999999998</v>
      </c>
      <c r="E181">
        <f t="shared" si="9"/>
        <v>0.263908727991501</v>
      </c>
      <c r="F181">
        <f t="shared" si="10"/>
        <v>0.57965872799150098</v>
      </c>
      <c r="G181">
        <f t="shared" si="11"/>
        <v>0.39907918086331645</v>
      </c>
    </row>
    <row r="182" spans="3:7">
      <c r="C182" s="1">
        <v>-10</v>
      </c>
      <c r="D182">
        <f t="shared" si="8"/>
        <v>0.31428571428571428</v>
      </c>
      <c r="E182">
        <f t="shared" si="9"/>
        <v>0.16320633326681092</v>
      </c>
      <c r="F182">
        <f t="shared" si="10"/>
        <v>0.47749204755252517</v>
      </c>
      <c r="G182">
        <f t="shared" si="11"/>
        <v>0.36557913331242631</v>
      </c>
    </row>
    <row r="183" spans="3:7">
      <c r="C183" s="1">
        <v>-9.5</v>
      </c>
      <c r="D183">
        <f t="shared" si="8"/>
        <v>0.31289285714285714</v>
      </c>
      <c r="E183">
        <f t="shared" si="9"/>
        <v>2.2545336138542791E-2</v>
      </c>
      <c r="F183">
        <f t="shared" si="10"/>
        <v>0.33543819328139995</v>
      </c>
      <c r="G183">
        <f t="shared" si="11"/>
        <v>0.3199471317824919</v>
      </c>
    </row>
    <row r="184" spans="3:7">
      <c r="C184" s="1">
        <v>-9</v>
      </c>
      <c r="D184">
        <f t="shared" si="8"/>
        <v>0.31157142857142855</v>
      </c>
      <c r="E184">
        <f t="shared" si="9"/>
        <v>-0.12363554557252697</v>
      </c>
      <c r="F184">
        <f t="shared" si="10"/>
        <v>0.18793588299890157</v>
      </c>
      <c r="G184">
        <f t="shared" si="11"/>
        <v>0.27305012501518838</v>
      </c>
    </row>
    <row r="185" spans="3:7">
      <c r="C185" s="1">
        <v>-8.5</v>
      </c>
      <c r="D185">
        <f t="shared" si="8"/>
        <v>0.31032142857142858</v>
      </c>
      <c r="E185">
        <f t="shared" si="9"/>
        <v>-0.23954613378704706</v>
      </c>
      <c r="F185">
        <f t="shared" si="10"/>
        <v>7.0775294784381521E-2</v>
      </c>
      <c r="G185">
        <f t="shared" si="11"/>
        <v>0.23598513012586958</v>
      </c>
    </row>
    <row r="186" spans="3:7">
      <c r="C186" s="1">
        <v>-8</v>
      </c>
      <c r="D186">
        <f t="shared" si="8"/>
        <v>0.30914285714285711</v>
      </c>
      <c r="E186">
        <f t="shared" si="9"/>
        <v>-0.29680747398701451</v>
      </c>
      <c r="F186">
        <f t="shared" si="10"/>
        <v>1.2335383155842594E-2</v>
      </c>
      <c r="G186">
        <f t="shared" si="11"/>
        <v>0.21738694661315719</v>
      </c>
    </row>
    <row r="187" spans="3:7">
      <c r="C187" s="1">
        <v>-7.5</v>
      </c>
      <c r="D187">
        <f t="shared" si="8"/>
        <v>0.3080357142857143</v>
      </c>
      <c r="E187">
        <f t="shared" si="9"/>
        <v>-0.28139999303242164</v>
      </c>
      <c r="F187">
        <f t="shared" si="10"/>
        <v>2.6635721253292666E-2</v>
      </c>
      <c r="G187">
        <f t="shared" si="11"/>
        <v>0.22135446643197729</v>
      </c>
    </row>
    <row r="188" spans="3:7">
      <c r="C188" s="1">
        <v>-7</v>
      </c>
      <c r="D188">
        <f t="shared" si="8"/>
        <v>0.307</v>
      </c>
      <c r="E188">
        <f t="shared" si="9"/>
        <v>-0.19709597961563671</v>
      </c>
      <c r="F188">
        <f t="shared" si="10"/>
        <v>0.10990402038436328</v>
      </c>
      <c r="G188">
        <f t="shared" si="11"/>
        <v>0.24649153425799952</v>
      </c>
    </row>
    <row r="189" spans="3:7">
      <c r="C189" s="1">
        <v>-6.5</v>
      </c>
      <c r="D189">
        <f t="shared" si="8"/>
        <v>0.3060357142857143</v>
      </c>
      <c r="E189">
        <f t="shared" si="9"/>
        <v>-6.4535996426344652E-2</v>
      </c>
      <c r="F189">
        <f t="shared" si="10"/>
        <v>0.24149971785936963</v>
      </c>
      <c r="G189">
        <f t="shared" si="11"/>
        <v>0.28628539452223761</v>
      </c>
    </row>
    <row r="190" spans="3:7">
      <c r="C190" s="1">
        <v>-6</v>
      </c>
      <c r="D190">
        <f t="shared" si="8"/>
        <v>0.3051428571428571</v>
      </c>
      <c r="E190">
        <f t="shared" si="9"/>
        <v>8.3824649459677755E-2</v>
      </c>
      <c r="F190">
        <f t="shared" si="10"/>
        <v>0.38896750660253487</v>
      </c>
      <c r="G190">
        <f t="shared" si="11"/>
        <v>0.3307213501779816</v>
      </c>
    </row>
    <row r="191" spans="3:7">
      <c r="C191" s="1">
        <v>-5.5</v>
      </c>
      <c r="D191">
        <f t="shared" si="8"/>
        <v>0.30432142857142858</v>
      </c>
      <c r="E191">
        <f t="shared" si="9"/>
        <v>0.21166209767111757</v>
      </c>
      <c r="F191">
        <f t="shared" si="10"/>
        <v>0.51598352624254618</v>
      </c>
      <c r="G191">
        <f t="shared" si="11"/>
        <v>0.36873474050912836</v>
      </c>
    </row>
    <row r="192" spans="3:7">
      <c r="C192" s="1">
        <v>-5</v>
      </c>
      <c r="D192">
        <f t="shared" si="8"/>
        <v>0.30357142857142855</v>
      </c>
      <c r="E192">
        <f t="shared" si="9"/>
        <v>0.28767728239894153</v>
      </c>
      <c r="F192">
        <f t="shared" si="10"/>
        <v>0.59124871097037013</v>
      </c>
      <c r="G192">
        <f t="shared" si="11"/>
        <v>0.39090203215682151</v>
      </c>
    </row>
    <row r="193" spans="3:7">
      <c r="C193" s="1">
        <v>-4.5</v>
      </c>
      <c r="D193">
        <f t="shared" si="8"/>
        <v>0.30289285714285713</v>
      </c>
      <c r="E193">
        <f t="shared" si="9"/>
        <v>0.29325903529952907</v>
      </c>
      <c r="F193">
        <f t="shared" si="10"/>
        <v>0.5961518924423862</v>
      </c>
      <c r="G193">
        <f t="shared" si="11"/>
        <v>0.39171892422768945</v>
      </c>
    </row>
    <row r="194" spans="3:7">
      <c r="C194" s="1">
        <v>-4</v>
      </c>
      <c r="D194">
        <f t="shared" si="8"/>
        <v>0.30228571428571427</v>
      </c>
      <c r="E194">
        <f t="shared" si="9"/>
        <v>0.22704074859237844</v>
      </c>
      <c r="F194">
        <f t="shared" si="10"/>
        <v>0.52932646287809271</v>
      </c>
      <c r="G194">
        <f t="shared" si="11"/>
        <v>0.37091688914592469</v>
      </c>
    </row>
    <row r="195" spans="3:7">
      <c r="C195" s="1">
        <v>-3.5</v>
      </c>
      <c r="D195">
        <f t="shared" ref="D195:D258" si="12">C195*C195/$A$1+$A$2</f>
        <v>0.30174999999999996</v>
      </c>
      <c r="E195">
        <f t="shared" ref="E195:E258" si="13">$A$3*SIN(C195)</f>
        <v>0.10523496830688595</v>
      </c>
      <c r="F195">
        <f t="shared" ref="F195:F258" si="14">D195+E195</f>
        <v>0.40698496830688591</v>
      </c>
      <c r="G195">
        <f t="shared" ref="G195:G258" si="15">D195*(E195+1)</f>
        <v>0.33350465168660282</v>
      </c>
    </row>
    <row r="196" spans="3:7">
      <c r="C196" s="1">
        <v>-3</v>
      </c>
      <c r="D196">
        <f t="shared" si="12"/>
        <v>0.30128571428571427</v>
      </c>
      <c r="E196">
        <f t="shared" si="13"/>
        <v>-4.2336002417960164E-2</v>
      </c>
      <c r="F196">
        <f t="shared" si="14"/>
        <v>0.25894971186775412</v>
      </c>
      <c r="G196">
        <f t="shared" si="15"/>
        <v>0.28853048155721739</v>
      </c>
    </row>
    <row r="197" spans="3:7">
      <c r="C197" s="1">
        <v>-2.5</v>
      </c>
      <c r="D197">
        <f t="shared" si="12"/>
        <v>0.30089285714285713</v>
      </c>
      <c r="E197">
        <f t="shared" si="13"/>
        <v>-0.17954164323118696</v>
      </c>
      <c r="F197">
        <f t="shared" si="14"/>
        <v>0.12135121391167017</v>
      </c>
      <c r="G197">
        <f t="shared" si="15"/>
        <v>0.24687005913490179</v>
      </c>
    </row>
    <row r="198" spans="3:7">
      <c r="C198" s="1">
        <v>-2</v>
      </c>
      <c r="D198">
        <f t="shared" si="12"/>
        <v>0.30057142857142854</v>
      </c>
      <c r="E198">
        <f t="shared" si="13"/>
        <v>-0.2727892280477045</v>
      </c>
      <c r="F198">
        <f t="shared" si="14"/>
        <v>2.7782200523724043E-2</v>
      </c>
      <c r="G198">
        <f t="shared" si="15"/>
        <v>0.21857878059823282</v>
      </c>
    </row>
    <row r="199" spans="3:7">
      <c r="C199" s="1">
        <v>-1.5</v>
      </c>
      <c r="D199">
        <f t="shared" si="12"/>
        <v>0.30032142857142857</v>
      </c>
      <c r="E199">
        <f t="shared" si="13"/>
        <v>-0.29924849598121633</v>
      </c>
      <c r="F199">
        <f t="shared" si="14"/>
        <v>1.0729325902122389E-3</v>
      </c>
      <c r="G199">
        <f t="shared" si="15"/>
        <v>0.2104506927604983</v>
      </c>
    </row>
    <row r="200" spans="3:7">
      <c r="C200" s="1">
        <v>-1</v>
      </c>
      <c r="D200">
        <f t="shared" si="12"/>
        <v>0.30014285714285716</v>
      </c>
      <c r="E200">
        <f t="shared" si="13"/>
        <v>-0.25244129544236893</v>
      </c>
      <c r="F200">
        <f t="shared" si="14"/>
        <v>4.7701561700488226E-2</v>
      </c>
      <c r="G200">
        <f t="shared" si="15"/>
        <v>0.22437440546794041</v>
      </c>
    </row>
    <row r="201" spans="3:7">
      <c r="C201" s="1">
        <v>-0.5</v>
      </c>
      <c r="D201">
        <f t="shared" si="12"/>
        <v>0.30003571428571429</v>
      </c>
      <c r="E201">
        <f t="shared" si="13"/>
        <v>-0.1438276615812609</v>
      </c>
      <c r="F201">
        <f t="shared" si="14"/>
        <v>0.1562080527044534</v>
      </c>
      <c r="G201">
        <f t="shared" si="15"/>
        <v>0.25688227910913669</v>
      </c>
    </row>
    <row r="202" spans="3:7">
      <c r="C202" s="1">
        <v>0</v>
      </c>
      <c r="D202">
        <f t="shared" si="12"/>
        <v>0.3</v>
      </c>
      <c r="E202">
        <f t="shared" si="13"/>
        <v>0</v>
      </c>
      <c r="F202">
        <f t="shared" si="14"/>
        <v>0.3</v>
      </c>
      <c r="G202">
        <f t="shared" si="15"/>
        <v>0.3</v>
      </c>
    </row>
    <row r="203" spans="3:7">
      <c r="C203" s="1">
        <v>0.5</v>
      </c>
      <c r="D203">
        <f t="shared" si="12"/>
        <v>0.30003571428571429</v>
      </c>
      <c r="E203">
        <f t="shared" si="13"/>
        <v>0.1438276615812609</v>
      </c>
      <c r="F203">
        <f t="shared" si="14"/>
        <v>0.44386337586697522</v>
      </c>
      <c r="G203">
        <f t="shared" si="15"/>
        <v>0.34318914946229184</v>
      </c>
    </row>
    <row r="204" spans="3:7">
      <c r="C204" s="1">
        <v>1</v>
      </c>
      <c r="D204">
        <f t="shared" si="12"/>
        <v>0.30014285714285716</v>
      </c>
      <c r="E204">
        <f t="shared" si="13"/>
        <v>0.25244129544236893</v>
      </c>
      <c r="F204">
        <f t="shared" si="14"/>
        <v>0.55258415258522608</v>
      </c>
      <c r="G204">
        <f t="shared" si="15"/>
        <v>0.3759113088177739</v>
      </c>
    </row>
    <row r="205" spans="3:7">
      <c r="C205" s="1">
        <v>1.5</v>
      </c>
      <c r="D205">
        <f t="shared" si="12"/>
        <v>0.30032142857142857</v>
      </c>
      <c r="E205">
        <f t="shared" si="13"/>
        <v>0.29924849598121633</v>
      </c>
      <c r="F205">
        <f t="shared" si="14"/>
        <v>0.59956992455264491</v>
      </c>
      <c r="G205">
        <f t="shared" si="15"/>
        <v>0.39019216438235887</v>
      </c>
    </row>
    <row r="206" spans="3:7">
      <c r="C206" s="1">
        <v>2</v>
      </c>
      <c r="D206">
        <f t="shared" si="12"/>
        <v>0.30057142857142854</v>
      </c>
      <c r="E206">
        <f t="shared" si="13"/>
        <v>0.2727892280477045</v>
      </c>
      <c r="F206">
        <f t="shared" si="14"/>
        <v>0.57336065661913305</v>
      </c>
      <c r="G206">
        <f t="shared" si="15"/>
        <v>0.38256407654462427</v>
      </c>
    </row>
    <row r="207" spans="3:7">
      <c r="C207" s="1">
        <v>2.5</v>
      </c>
      <c r="D207">
        <f t="shared" si="12"/>
        <v>0.30089285714285713</v>
      </c>
      <c r="E207">
        <f t="shared" si="13"/>
        <v>0.17954164323118696</v>
      </c>
      <c r="F207">
        <f t="shared" si="14"/>
        <v>0.48043450037404412</v>
      </c>
      <c r="G207">
        <f t="shared" si="15"/>
        <v>0.35491565515081247</v>
      </c>
    </row>
    <row r="208" spans="3:7">
      <c r="C208" s="1">
        <v>3</v>
      </c>
      <c r="D208">
        <f t="shared" si="12"/>
        <v>0.30128571428571427</v>
      </c>
      <c r="E208">
        <f t="shared" si="13"/>
        <v>4.2336002417960164E-2</v>
      </c>
      <c r="F208">
        <f t="shared" si="14"/>
        <v>0.34362171670367442</v>
      </c>
      <c r="G208">
        <f t="shared" si="15"/>
        <v>0.31404094701421115</v>
      </c>
    </row>
    <row r="209" spans="3:7">
      <c r="C209" s="1">
        <v>3.5</v>
      </c>
      <c r="D209">
        <f t="shared" si="12"/>
        <v>0.30174999999999996</v>
      </c>
      <c r="E209">
        <f t="shared" si="13"/>
        <v>-0.10523496830688595</v>
      </c>
      <c r="F209">
        <f t="shared" si="14"/>
        <v>0.19651503169311402</v>
      </c>
      <c r="G209">
        <f t="shared" si="15"/>
        <v>0.26999534831339711</v>
      </c>
    </row>
    <row r="210" spans="3:7">
      <c r="C210" s="1">
        <v>4</v>
      </c>
      <c r="D210">
        <f t="shared" si="12"/>
        <v>0.30228571428571427</v>
      </c>
      <c r="E210">
        <f t="shared" si="13"/>
        <v>-0.22704074859237844</v>
      </c>
      <c r="F210">
        <f t="shared" si="14"/>
        <v>7.524496569333583E-2</v>
      </c>
      <c r="G210">
        <f t="shared" si="15"/>
        <v>0.23365453942550388</v>
      </c>
    </row>
    <row r="211" spans="3:7">
      <c r="C211" s="1">
        <v>4.5</v>
      </c>
      <c r="D211">
        <f t="shared" si="12"/>
        <v>0.30289285714285713</v>
      </c>
      <c r="E211">
        <f t="shared" si="13"/>
        <v>-0.29325903529952907</v>
      </c>
      <c r="F211">
        <f t="shared" si="14"/>
        <v>9.6338218433280609E-3</v>
      </c>
      <c r="G211">
        <f t="shared" si="15"/>
        <v>0.21406679005802479</v>
      </c>
    </row>
    <row r="212" spans="3:7">
      <c r="C212" s="1">
        <v>5</v>
      </c>
      <c r="D212">
        <f t="shared" si="12"/>
        <v>0.30357142857142855</v>
      </c>
      <c r="E212">
        <f t="shared" si="13"/>
        <v>-0.28767728239894153</v>
      </c>
      <c r="F212">
        <f t="shared" si="14"/>
        <v>1.5894146172487023E-2</v>
      </c>
      <c r="G212">
        <f t="shared" si="15"/>
        <v>0.21624082498603558</v>
      </c>
    </row>
    <row r="213" spans="3:7">
      <c r="C213" s="1">
        <v>5.5</v>
      </c>
      <c r="D213">
        <f t="shared" si="12"/>
        <v>0.30432142857142858</v>
      </c>
      <c r="E213">
        <f t="shared" si="13"/>
        <v>-0.21166209767111757</v>
      </c>
      <c r="F213">
        <f t="shared" si="14"/>
        <v>9.2659330900311004E-2</v>
      </c>
      <c r="G213">
        <f t="shared" si="15"/>
        <v>0.23990811663372885</v>
      </c>
    </row>
    <row r="214" spans="3:7">
      <c r="C214" s="1">
        <v>6</v>
      </c>
      <c r="D214">
        <f t="shared" si="12"/>
        <v>0.3051428571428571</v>
      </c>
      <c r="E214">
        <f t="shared" si="13"/>
        <v>-8.3824649459677755E-2</v>
      </c>
      <c r="F214">
        <f t="shared" si="14"/>
        <v>0.22131820768317934</v>
      </c>
      <c r="G214">
        <f t="shared" si="15"/>
        <v>0.27956436410773261</v>
      </c>
    </row>
    <row r="215" spans="3:7">
      <c r="C215" s="1">
        <v>6.5</v>
      </c>
      <c r="D215">
        <f t="shared" si="12"/>
        <v>0.3060357142857143</v>
      </c>
      <c r="E215">
        <f t="shared" si="13"/>
        <v>6.4535996426344652E-2</v>
      </c>
      <c r="F215">
        <f t="shared" si="14"/>
        <v>0.37057171071205897</v>
      </c>
      <c r="G215">
        <f t="shared" si="15"/>
        <v>0.32578603404919099</v>
      </c>
    </row>
    <row r="216" spans="3:7">
      <c r="C216" s="1">
        <v>7</v>
      </c>
      <c r="D216">
        <f t="shared" si="12"/>
        <v>0.307</v>
      </c>
      <c r="E216">
        <f t="shared" si="13"/>
        <v>0.19709597961563671</v>
      </c>
      <c r="F216">
        <f t="shared" si="14"/>
        <v>0.50409597961563668</v>
      </c>
      <c r="G216">
        <f t="shared" si="15"/>
        <v>0.36750846574200041</v>
      </c>
    </row>
    <row r="217" spans="3:7">
      <c r="C217" s="1">
        <v>7.5</v>
      </c>
      <c r="D217">
        <f t="shared" si="12"/>
        <v>0.3080357142857143</v>
      </c>
      <c r="E217">
        <f t="shared" si="13"/>
        <v>0.28139999303242164</v>
      </c>
      <c r="F217">
        <f t="shared" si="14"/>
        <v>0.58943570731813599</v>
      </c>
      <c r="G217">
        <f t="shared" si="15"/>
        <v>0.39471696213945129</v>
      </c>
    </row>
    <row r="218" spans="3:7">
      <c r="C218" s="1">
        <v>8</v>
      </c>
      <c r="D218">
        <f t="shared" si="12"/>
        <v>0.30914285714285711</v>
      </c>
      <c r="E218">
        <f t="shared" si="13"/>
        <v>0.29680747398701451</v>
      </c>
      <c r="F218">
        <f t="shared" si="14"/>
        <v>0.60595033112987162</v>
      </c>
      <c r="G218">
        <f t="shared" si="15"/>
        <v>0.40089876767255705</v>
      </c>
    </row>
    <row r="219" spans="3:7">
      <c r="C219" s="1">
        <v>8.5</v>
      </c>
      <c r="D219">
        <f t="shared" si="12"/>
        <v>0.31032142857142858</v>
      </c>
      <c r="E219">
        <f t="shared" si="13"/>
        <v>0.23954613378704706</v>
      </c>
      <c r="F219">
        <f t="shared" si="14"/>
        <v>0.54986756235847567</v>
      </c>
      <c r="G219">
        <f t="shared" si="15"/>
        <v>0.38465772701698758</v>
      </c>
    </row>
    <row r="220" spans="3:7">
      <c r="C220" s="1">
        <v>9</v>
      </c>
      <c r="D220">
        <f t="shared" si="12"/>
        <v>0.31157142857142855</v>
      </c>
      <c r="E220">
        <f t="shared" si="13"/>
        <v>0.12363554557252697</v>
      </c>
      <c r="F220">
        <f t="shared" si="14"/>
        <v>0.43520697414395554</v>
      </c>
      <c r="G220">
        <f t="shared" si="15"/>
        <v>0.35009273212766873</v>
      </c>
    </row>
    <row r="221" spans="3:7">
      <c r="C221" s="1">
        <v>9.5</v>
      </c>
      <c r="D221">
        <f t="shared" si="12"/>
        <v>0.31289285714285714</v>
      </c>
      <c r="E221">
        <f t="shared" si="13"/>
        <v>-2.2545336138542791E-2</v>
      </c>
      <c r="F221">
        <f t="shared" si="14"/>
        <v>0.29034752100431432</v>
      </c>
      <c r="G221">
        <f t="shared" si="15"/>
        <v>0.30583858250322238</v>
      </c>
    </row>
    <row r="222" spans="3:7">
      <c r="C222" s="1">
        <v>10</v>
      </c>
      <c r="D222">
        <f t="shared" si="12"/>
        <v>0.31428571428571428</v>
      </c>
      <c r="E222">
        <f t="shared" si="13"/>
        <v>-0.16320633326681092</v>
      </c>
      <c r="F222">
        <f t="shared" si="14"/>
        <v>0.15107938101890336</v>
      </c>
      <c r="G222">
        <f t="shared" si="15"/>
        <v>0.26299229525900231</v>
      </c>
    </row>
    <row r="223" spans="3:7">
      <c r="C223" s="1">
        <v>10.5</v>
      </c>
      <c r="D223">
        <f t="shared" si="12"/>
        <v>0.31574999999999998</v>
      </c>
      <c r="E223">
        <f t="shared" si="13"/>
        <v>-0.263908727991501</v>
      </c>
      <c r="F223">
        <f t="shared" si="14"/>
        <v>5.1841272008498973E-2</v>
      </c>
      <c r="G223">
        <f t="shared" si="15"/>
        <v>0.23242081913668355</v>
      </c>
    </row>
    <row r="224" spans="3:7">
      <c r="C224" s="1">
        <v>11</v>
      </c>
      <c r="D224">
        <f t="shared" si="12"/>
        <v>0.31728571428571428</v>
      </c>
      <c r="E224">
        <f t="shared" si="13"/>
        <v>-0.29999706196521103</v>
      </c>
      <c r="F224">
        <f t="shared" si="14"/>
        <v>1.7288652320503251E-2</v>
      </c>
      <c r="G224">
        <f t="shared" si="15"/>
        <v>0.22210093219646662</v>
      </c>
    </row>
    <row r="225" spans="3:7">
      <c r="C225" s="1">
        <v>11.5</v>
      </c>
      <c r="D225">
        <f t="shared" si="12"/>
        <v>0.31889285714285714</v>
      </c>
      <c r="E225">
        <f t="shared" si="13"/>
        <v>-0.26263565240652853</v>
      </c>
      <c r="F225">
        <f t="shared" si="14"/>
        <v>5.6257204736328614E-2</v>
      </c>
      <c r="G225">
        <f t="shared" si="15"/>
        <v>0.23514022355936096</v>
      </c>
    </row>
    <row r="226" spans="3:7">
      <c r="C226" s="1">
        <v>12</v>
      </c>
      <c r="D226">
        <f t="shared" si="12"/>
        <v>0.32057142857142856</v>
      </c>
      <c r="E226">
        <f t="shared" si="13"/>
        <v>-0.16097187540013047</v>
      </c>
      <c r="F226">
        <f t="shared" si="14"/>
        <v>0.15959955317129809</v>
      </c>
      <c r="G226">
        <f t="shared" si="15"/>
        <v>0.26896844451458674</v>
      </c>
    </row>
    <row r="227" spans="3:7">
      <c r="C227" s="1">
        <v>12.5</v>
      </c>
      <c r="D227">
        <f t="shared" si="12"/>
        <v>0.32232142857142854</v>
      </c>
      <c r="E227">
        <f t="shared" si="13"/>
        <v>-1.9896569205360204E-2</v>
      </c>
      <c r="F227">
        <f t="shared" si="14"/>
        <v>0.30242485936606833</v>
      </c>
      <c r="G227">
        <f t="shared" si="15"/>
        <v>0.31590833796148654</v>
      </c>
    </row>
    <row r="228" spans="3:7">
      <c r="C228" s="1">
        <v>13</v>
      </c>
      <c r="D228">
        <f t="shared" si="12"/>
        <v>0.32414285714285712</v>
      </c>
      <c r="E228">
        <f t="shared" si="13"/>
        <v>0.12605011104799227</v>
      </c>
      <c r="F228">
        <f t="shared" si="14"/>
        <v>0.45019296819084942</v>
      </c>
      <c r="G228">
        <f t="shared" si="15"/>
        <v>0.36500110028112781</v>
      </c>
    </row>
    <row r="229" spans="3:7">
      <c r="C229" s="1">
        <v>13.5</v>
      </c>
      <c r="D229">
        <f t="shared" si="12"/>
        <v>0.32603571428571426</v>
      </c>
      <c r="E229">
        <f t="shared" si="13"/>
        <v>0.24113532796548628</v>
      </c>
      <c r="F229">
        <f t="shared" si="14"/>
        <v>0.56717104225120052</v>
      </c>
      <c r="G229">
        <f t="shared" si="15"/>
        <v>0.4046544431784615</v>
      </c>
    </row>
    <row r="230" spans="3:7">
      <c r="C230" s="1">
        <v>14</v>
      </c>
      <c r="D230">
        <f t="shared" si="12"/>
        <v>0.32800000000000001</v>
      </c>
      <c r="E230">
        <f t="shared" si="13"/>
        <v>0.29718220670846107</v>
      </c>
      <c r="F230">
        <f t="shared" si="14"/>
        <v>0.62518220670846114</v>
      </c>
      <c r="G230">
        <f t="shared" si="15"/>
        <v>0.42547576380037527</v>
      </c>
    </row>
    <row r="231" spans="3:7">
      <c r="C231" s="1">
        <v>14.5</v>
      </c>
      <c r="D231">
        <f t="shared" si="12"/>
        <v>0.33003571428571427</v>
      </c>
      <c r="E231">
        <f t="shared" si="13"/>
        <v>0.28046851665740491</v>
      </c>
      <c r="F231">
        <f t="shared" si="14"/>
        <v>0.61050423094311923</v>
      </c>
      <c r="G231">
        <f t="shared" si="15"/>
        <v>0.42260034151539561</v>
      </c>
    </row>
    <row r="232" spans="3:7">
      <c r="C232" s="1">
        <v>15</v>
      </c>
      <c r="D232">
        <f t="shared" si="12"/>
        <v>0.33214285714285713</v>
      </c>
      <c r="E232">
        <f t="shared" si="13"/>
        <v>0.19508635204713504</v>
      </c>
      <c r="F232">
        <f t="shared" si="14"/>
        <v>0.52722920918999217</v>
      </c>
      <c r="G232">
        <f t="shared" si="15"/>
        <v>0.39693939550136986</v>
      </c>
    </row>
    <row r="233" spans="3:7">
      <c r="C233" s="1">
        <v>15.5</v>
      </c>
      <c r="D233">
        <f t="shared" si="12"/>
        <v>0.33432142857142855</v>
      </c>
      <c r="E233">
        <f t="shared" si="13"/>
        <v>6.1940244581338975E-2</v>
      </c>
      <c r="F233">
        <f t="shared" si="14"/>
        <v>0.3962616731527675</v>
      </c>
      <c r="G233">
        <f t="shared" si="15"/>
        <v>0.35502937962592551</v>
      </c>
    </row>
    <row r="234" spans="3:7">
      <c r="C234" s="1">
        <v>16</v>
      </c>
      <c r="D234">
        <f t="shared" si="12"/>
        <v>0.33657142857142858</v>
      </c>
      <c r="E234">
        <f t="shared" si="13"/>
        <v>-8.6370994999519585E-2</v>
      </c>
      <c r="F234">
        <f t="shared" si="14"/>
        <v>0.25020043357190902</v>
      </c>
      <c r="G234">
        <f t="shared" si="15"/>
        <v>0.30750141939730452</v>
      </c>
    </row>
    <row r="235" spans="3:7">
      <c r="C235" s="1">
        <v>16.5</v>
      </c>
      <c r="D235">
        <f t="shared" si="12"/>
        <v>0.33889285714285711</v>
      </c>
      <c r="E235">
        <f t="shared" si="13"/>
        <v>-0.2135356027107369</v>
      </c>
      <c r="F235">
        <f t="shared" si="14"/>
        <v>0.1253572544321202</v>
      </c>
      <c r="G235">
        <f t="shared" si="15"/>
        <v>0.26652716663849346</v>
      </c>
    </row>
    <row r="236" spans="3:7">
      <c r="C236" s="1">
        <v>17</v>
      </c>
      <c r="D236">
        <f t="shared" si="12"/>
        <v>0.3412857142857143</v>
      </c>
      <c r="E236">
        <f t="shared" si="13"/>
        <v>-0.28841924756386705</v>
      </c>
      <c r="F236">
        <f t="shared" si="14"/>
        <v>5.2866466721847249E-2</v>
      </c>
      <c r="G236">
        <f t="shared" si="15"/>
        <v>0.24285234536713168</v>
      </c>
    </row>
    <row r="237" spans="3:7">
      <c r="C237" s="1">
        <v>17.5</v>
      </c>
      <c r="D237">
        <f t="shared" si="12"/>
        <v>0.34375</v>
      </c>
      <c r="E237">
        <f t="shared" si="13"/>
        <v>-0.29268780164044728</v>
      </c>
      <c r="F237">
        <f t="shared" si="14"/>
        <v>5.1062198359552724E-2</v>
      </c>
      <c r="G237">
        <f t="shared" si="15"/>
        <v>0.24313856818609625</v>
      </c>
    </row>
    <row r="238" spans="3:7">
      <c r="C238" s="1">
        <v>18</v>
      </c>
      <c r="D238">
        <f t="shared" si="12"/>
        <v>0.34628571428571425</v>
      </c>
      <c r="E238">
        <f t="shared" si="13"/>
        <v>-0.22529617403150282</v>
      </c>
      <c r="F238">
        <f t="shared" si="14"/>
        <v>0.12098954025421144</v>
      </c>
      <c r="G238">
        <f t="shared" si="15"/>
        <v>0.26826886773537673</v>
      </c>
    </row>
    <row r="239" spans="3:7">
      <c r="C239" s="1">
        <v>18.5</v>
      </c>
      <c r="D239">
        <f t="shared" si="12"/>
        <v>0.34889285714285712</v>
      </c>
      <c r="E239">
        <f t="shared" si="13"/>
        <v>-0.10274418554088376</v>
      </c>
      <c r="F239">
        <f t="shared" si="14"/>
        <v>0.24614867160197335</v>
      </c>
      <c r="G239">
        <f t="shared" si="15"/>
        <v>0.31304614469468239</v>
      </c>
    </row>
    <row r="240" spans="3:7">
      <c r="C240" s="1">
        <v>19</v>
      </c>
      <c r="D240">
        <f t="shared" si="12"/>
        <v>0.35157142857142853</v>
      </c>
      <c r="E240">
        <f t="shared" si="13"/>
        <v>4.4963162898885703E-2</v>
      </c>
      <c r="F240">
        <f t="shared" si="14"/>
        <v>0.39653459147031422</v>
      </c>
      <c r="G240">
        <f t="shared" si="15"/>
        <v>0.36737919198487967</v>
      </c>
    </row>
    <row r="241" spans="3:7">
      <c r="C241" s="1">
        <v>19.5</v>
      </c>
      <c r="D241">
        <f t="shared" si="12"/>
        <v>0.35432142857142856</v>
      </c>
      <c r="E241">
        <f t="shared" si="13"/>
        <v>0.1816619609158803</v>
      </c>
      <c r="F241">
        <f t="shared" si="14"/>
        <v>0.53598338948730884</v>
      </c>
      <c r="G241">
        <f t="shared" si="15"/>
        <v>0.4186881540802303</v>
      </c>
    </row>
    <row r="242" spans="3:7">
      <c r="C242" s="1">
        <v>20</v>
      </c>
      <c r="D242">
        <f t="shared" si="12"/>
        <v>0.35714285714285715</v>
      </c>
      <c r="E242">
        <f t="shared" si="13"/>
        <v>0.27388357521828827</v>
      </c>
      <c r="F242">
        <f t="shared" si="14"/>
        <v>0.63102643236114542</v>
      </c>
      <c r="G242">
        <f t="shared" si="15"/>
        <v>0.45495841972081724</v>
      </c>
    </row>
    <row r="243" spans="3:7">
      <c r="C243" s="1">
        <v>20.5</v>
      </c>
      <c r="D243">
        <f t="shared" si="12"/>
        <v>0.36003571428571429</v>
      </c>
      <c r="E243">
        <f t="shared" si="13"/>
        <v>0.29904893828363976</v>
      </c>
      <c r="F243">
        <f t="shared" si="14"/>
        <v>0.65908465256935411</v>
      </c>
      <c r="G243">
        <f t="shared" si="15"/>
        <v>0.46770401238704901</v>
      </c>
    </row>
    <row r="244" spans="3:7">
      <c r="C244" s="1">
        <v>21</v>
      </c>
      <c r="D244">
        <f t="shared" si="12"/>
        <v>0.36299999999999999</v>
      </c>
      <c r="E244">
        <f t="shared" si="13"/>
        <v>0.25099669156081683</v>
      </c>
      <c r="F244">
        <f t="shared" si="14"/>
        <v>0.61399669156081682</v>
      </c>
      <c r="G244">
        <f t="shared" si="15"/>
        <v>0.4541117990365765</v>
      </c>
    </row>
    <row r="245" spans="3:7">
      <c r="C245" s="1">
        <v>21.5</v>
      </c>
      <c r="D245">
        <f t="shared" si="12"/>
        <v>0.36603571428571424</v>
      </c>
      <c r="E245">
        <f t="shared" si="13"/>
        <v>0.14149170092825883</v>
      </c>
      <c r="F245">
        <f t="shared" si="14"/>
        <v>0.50752741521397304</v>
      </c>
      <c r="G245">
        <f t="shared" si="15"/>
        <v>0.4178267301004901</v>
      </c>
    </row>
    <row r="246" spans="3:7">
      <c r="C246" s="1">
        <v>22</v>
      </c>
      <c r="D246">
        <f t="shared" si="12"/>
        <v>0.36914285714285711</v>
      </c>
      <c r="E246">
        <f t="shared" si="13"/>
        <v>-2.6553927871211629E-3</v>
      </c>
      <c r="F246">
        <f t="shared" si="14"/>
        <v>0.36648746435573593</v>
      </c>
      <c r="G246">
        <f t="shared" si="15"/>
        <v>0.36816263786258269</v>
      </c>
    </row>
    <row r="247" spans="3:7">
      <c r="C247" s="1">
        <v>22.5</v>
      </c>
      <c r="D247">
        <f t="shared" si="12"/>
        <v>0.37232142857142858</v>
      </c>
      <c r="E247">
        <f t="shared" si="13"/>
        <v>-0.14615235373815286</v>
      </c>
      <c r="F247">
        <f t="shared" si="14"/>
        <v>0.22616907483327572</v>
      </c>
      <c r="G247">
        <f t="shared" si="15"/>
        <v>0.31790577543856274</v>
      </c>
    </row>
    <row r="248" spans="3:7">
      <c r="C248" s="1">
        <v>23</v>
      </c>
      <c r="D248">
        <f t="shared" si="12"/>
        <v>0.37557142857142856</v>
      </c>
      <c r="E248">
        <f t="shared" si="13"/>
        <v>-0.2538661212525512</v>
      </c>
      <c r="F248">
        <f t="shared" si="14"/>
        <v>0.12170530731887735</v>
      </c>
      <c r="G248">
        <f t="shared" si="15"/>
        <v>0.28022656674672036</v>
      </c>
    </row>
    <row r="249" spans="3:7">
      <c r="C249" s="1">
        <v>23.5</v>
      </c>
      <c r="D249">
        <f t="shared" si="12"/>
        <v>0.37889285714285714</v>
      </c>
      <c r="E249">
        <f t="shared" si="13"/>
        <v>-0.29942460839381885</v>
      </c>
      <c r="F249">
        <f t="shared" si="14"/>
        <v>7.9468248749038295E-2</v>
      </c>
      <c r="G249">
        <f t="shared" si="15"/>
        <v>0.26544301176964202</v>
      </c>
    </row>
    <row r="250" spans="3:7">
      <c r="C250" s="1">
        <v>24</v>
      </c>
      <c r="D250">
        <f t="shared" si="12"/>
        <v>0.38228571428571428</v>
      </c>
      <c r="E250">
        <f t="shared" si="13"/>
        <v>-0.27167350860198713</v>
      </c>
      <c r="F250">
        <f t="shared" si="14"/>
        <v>0.11061220568372715</v>
      </c>
      <c r="G250">
        <f t="shared" si="15"/>
        <v>0.27842881299729749</v>
      </c>
    </row>
    <row r="251" spans="3:7">
      <c r="C251" s="1">
        <v>24.5</v>
      </c>
      <c r="D251">
        <f t="shared" si="12"/>
        <v>0.38574999999999998</v>
      </c>
      <c r="E251">
        <f t="shared" si="13"/>
        <v>-0.1774072589595373</v>
      </c>
      <c r="F251">
        <f t="shared" si="14"/>
        <v>0.20834274104046269</v>
      </c>
      <c r="G251">
        <f t="shared" si="15"/>
        <v>0.3173151498563585</v>
      </c>
    </row>
    <row r="252" spans="3:7">
      <c r="C252" s="1">
        <v>25</v>
      </c>
      <c r="D252">
        <f t="shared" si="12"/>
        <v>0.38928571428571429</v>
      </c>
      <c r="E252">
        <f t="shared" si="13"/>
        <v>-3.970552502933191E-2</v>
      </c>
      <c r="F252">
        <f t="shared" si="14"/>
        <v>0.3495801892563824</v>
      </c>
      <c r="G252">
        <f t="shared" si="15"/>
        <v>0.37382892061358153</v>
      </c>
    </row>
    <row r="253" spans="3:7">
      <c r="C253" s="1">
        <v>25.5</v>
      </c>
      <c r="D253">
        <f t="shared" si="12"/>
        <v>0.39289285714285715</v>
      </c>
      <c r="E253">
        <f t="shared" si="13"/>
        <v>0.10771750620665048</v>
      </c>
      <c r="F253">
        <f t="shared" si="14"/>
        <v>0.50061036334950759</v>
      </c>
      <c r="G253">
        <f t="shared" si="15"/>
        <v>0.4352142959206915</v>
      </c>
    </row>
    <row r="254" spans="3:7">
      <c r="C254" s="1">
        <v>26</v>
      </c>
      <c r="D254">
        <f t="shared" si="12"/>
        <v>0.39657142857142857</v>
      </c>
      <c r="E254">
        <f t="shared" si="13"/>
        <v>0.22876753514388079</v>
      </c>
      <c r="F254">
        <f t="shared" si="14"/>
        <v>0.62533896371530939</v>
      </c>
      <c r="G254">
        <f t="shared" si="15"/>
        <v>0.48729409679420183</v>
      </c>
    </row>
    <row r="255" spans="3:7">
      <c r="C255" s="1">
        <v>26.5</v>
      </c>
      <c r="D255">
        <f t="shared" si="12"/>
        <v>0.40032142857142855</v>
      </c>
      <c r="E255">
        <f t="shared" si="13"/>
        <v>0.29380729293117508</v>
      </c>
      <c r="F255">
        <f t="shared" si="14"/>
        <v>0.69412872150260363</v>
      </c>
      <c r="G255">
        <f t="shared" si="15"/>
        <v>0.51793878380234071</v>
      </c>
    </row>
    <row r="256" spans="3:7">
      <c r="C256" s="1">
        <v>27</v>
      </c>
      <c r="D256">
        <f t="shared" si="12"/>
        <v>0.40414285714285714</v>
      </c>
      <c r="E256">
        <f t="shared" si="13"/>
        <v>0.28691277852135089</v>
      </c>
      <c r="F256">
        <f t="shared" si="14"/>
        <v>0.69105563566420802</v>
      </c>
      <c r="G256">
        <f t="shared" si="15"/>
        <v>0.52009660720527173</v>
      </c>
    </row>
    <row r="257" spans="3:7">
      <c r="C257" s="1">
        <v>27.5</v>
      </c>
      <c r="D257">
        <f t="shared" si="12"/>
        <v>0.40803571428571428</v>
      </c>
      <c r="E257">
        <f t="shared" si="13"/>
        <v>0.20977200949652933</v>
      </c>
      <c r="F257">
        <f t="shared" si="14"/>
        <v>0.61780772378224358</v>
      </c>
      <c r="G257">
        <f t="shared" si="15"/>
        <v>0.4936301860177803</v>
      </c>
    </row>
    <row r="258" spans="3:7">
      <c r="C258" s="1">
        <v>28</v>
      </c>
      <c r="D258">
        <f t="shared" si="12"/>
        <v>0.41199999999999998</v>
      </c>
      <c r="E258">
        <f t="shared" si="13"/>
        <v>8.1271736492360705E-2</v>
      </c>
      <c r="F258">
        <f t="shared" si="14"/>
        <v>0.49327173649236067</v>
      </c>
      <c r="G258">
        <f t="shared" si="15"/>
        <v>0.44548395543485259</v>
      </c>
    </row>
    <row r="259" spans="3:7">
      <c r="C259" s="1">
        <v>28.5</v>
      </c>
      <c r="D259">
        <f t="shared" ref="D259:D322" si="16">C259*C259/$A$1+$A$2</f>
        <v>0.41603571428571429</v>
      </c>
      <c r="E259">
        <f t="shared" ref="E259:E322" si="17">$A$3*SIN(C259)</f>
        <v>-6.7126692056038925E-2</v>
      </c>
      <c r="F259">
        <f t="shared" ref="F259:F322" si="18">D259+E259</f>
        <v>0.34890902222967535</v>
      </c>
      <c r="G259">
        <f t="shared" ref="G259:G322" si="19">D259*(E259+1)</f>
        <v>0.38810861300854294</v>
      </c>
    </row>
    <row r="260" spans="3:7">
      <c r="C260" s="1">
        <v>29</v>
      </c>
      <c r="D260">
        <f t="shared" si="16"/>
        <v>0.42014285714285715</v>
      </c>
      <c r="E260">
        <f t="shared" si="17"/>
        <v>-0.19909016526389026</v>
      </c>
      <c r="F260">
        <f t="shared" si="18"/>
        <v>0.22105269187896689</v>
      </c>
      <c r="G260">
        <f t="shared" si="19"/>
        <v>0.33649654627984271</v>
      </c>
    </row>
    <row r="261" spans="3:7">
      <c r="C261" s="1">
        <v>29.5</v>
      </c>
      <c r="D261">
        <f t="shared" si="16"/>
        <v>0.42432142857142857</v>
      </c>
      <c r="E261">
        <f t="shared" si="17"/>
        <v>-0.28230942250288604</v>
      </c>
      <c r="F261">
        <f t="shared" si="18"/>
        <v>0.14201200606854253</v>
      </c>
      <c r="G261">
        <f t="shared" si="19"/>
        <v>0.30453149111582895</v>
      </c>
    </row>
    <row r="262" spans="3:7">
      <c r="C262" s="1">
        <v>30</v>
      </c>
      <c r="D262">
        <f t="shared" si="16"/>
        <v>0.42857142857142855</v>
      </c>
      <c r="E262">
        <f t="shared" si="17"/>
        <v>-0.29640948722785854</v>
      </c>
      <c r="F262">
        <f t="shared" si="18"/>
        <v>0.13216194134357001</v>
      </c>
      <c r="G262">
        <f t="shared" si="19"/>
        <v>0.3015387911880606</v>
      </c>
    </row>
    <row r="263" spans="3:7">
      <c r="C263" s="1">
        <v>30.5</v>
      </c>
      <c r="D263">
        <f t="shared" si="16"/>
        <v>0.43289285714285713</v>
      </c>
      <c r="E263">
        <f t="shared" si="17"/>
        <v>-0.23793817183718552</v>
      </c>
      <c r="F263">
        <f t="shared" si="18"/>
        <v>0.19495468530567162</v>
      </c>
      <c r="G263">
        <f t="shared" si="19"/>
        <v>0.32989112211290977</v>
      </c>
    </row>
    <row r="264" spans="3:7">
      <c r="C264" s="1">
        <v>31</v>
      </c>
      <c r="D264">
        <f t="shared" si="16"/>
        <v>0.43728571428571428</v>
      </c>
      <c r="E264">
        <f t="shared" si="17"/>
        <v>-0.1212112935969195</v>
      </c>
      <c r="F264">
        <f t="shared" si="18"/>
        <v>0.31607442068879477</v>
      </c>
      <c r="G264">
        <f t="shared" si="19"/>
        <v>0.38428174718568991</v>
      </c>
    </row>
    <row r="265" spans="3:7">
      <c r="C265" s="1">
        <v>31.5</v>
      </c>
      <c r="D265">
        <f t="shared" si="16"/>
        <v>0.44174999999999998</v>
      </c>
      <c r="E265">
        <f t="shared" si="17"/>
        <v>2.5192336707524049E-2</v>
      </c>
      <c r="F265">
        <f t="shared" si="18"/>
        <v>0.46694233670752405</v>
      </c>
      <c r="G265">
        <f t="shared" si="19"/>
        <v>0.45287871474054869</v>
      </c>
    </row>
    <row r="266" spans="3:7">
      <c r="C266" s="1">
        <v>32</v>
      </c>
      <c r="D266">
        <f t="shared" si="16"/>
        <v>0.44628571428571429</v>
      </c>
      <c r="E266">
        <f t="shared" si="17"/>
        <v>0.16542800437250718</v>
      </c>
      <c r="F266">
        <f t="shared" si="18"/>
        <v>0.61171371865822144</v>
      </c>
      <c r="G266">
        <f t="shared" si="19"/>
        <v>0.52011386937995896</v>
      </c>
    </row>
    <row r="267" spans="3:7">
      <c r="C267" s="1">
        <v>32.5</v>
      </c>
      <c r="D267">
        <f t="shared" si="16"/>
        <v>0.4508928571428571</v>
      </c>
      <c r="E267">
        <f t="shared" si="17"/>
        <v>0.26516112706374917</v>
      </c>
      <c r="F267">
        <f t="shared" si="18"/>
        <v>0.71605398420660626</v>
      </c>
      <c r="G267">
        <f t="shared" si="19"/>
        <v>0.57045211532785123</v>
      </c>
    </row>
    <row r="268" spans="3:7">
      <c r="C268" s="1">
        <v>33</v>
      </c>
      <c r="D268">
        <f t="shared" si="16"/>
        <v>0.45557142857142857</v>
      </c>
      <c r="E268">
        <f t="shared" si="17"/>
        <v>0.29997355803218012</v>
      </c>
      <c r="F268">
        <f t="shared" si="18"/>
        <v>0.75554498660360869</v>
      </c>
      <c r="G268">
        <f t="shared" si="19"/>
        <v>0.59223081093780316</v>
      </c>
    </row>
    <row r="269" spans="3:7">
      <c r="C269" s="1">
        <v>33.5</v>
      </c>
      <c r="D269">
        <f t="shared" si="16"/>
        <v>0.46032142857142855</v>
      </c>
      <c r="E269">
        <f t="shared" si="17"/>
        <v>0.26134200005075292</v>
      </c>
      <c r="F269">
        <f t="shared" si="18"/>
        <v>0.72166342862218147</v>
      </c>
      <c r="G269">
        <f t="shared" si="19"/>
        <v>0.58062275138050545</v>
      </c>
    </row>
    <row r="270" spans="3:7">
      <c r="C270" s="1">
        <v>34</v>
      </c>
      <c r="D270">
        <f t="shared" si="16"/>
        <v>0.46514285714285714</v>
      </c>
      <c r="E270">
        <f t="shared" si="17"/>
        <v>0.15872480583600715</v>
      </c>
      <c r="F270">
        <f t="shared" si="18"/>
        <v>0.62386766297886431</v>
      </c>
      <c r="G270">
        <f t="shared" si="19"/>
        <v>0.53897256682886274</v>
      </c>
    </row>
    <row r="271" spans="3:7">
      <c r="C271" s="1">
        <v>34.5</v>
      </c>
      <c r="D271">
        <f t="shared" si="16"/>
        <v>0.47003571428571428</v>
      </c>
      <c r="E271">
        <f t="shared" si="17"/>
        <v>1.7246243431477369E-2</v>
      </c>
      <c r="F271">
        <f t="shared" si="18"/>
        <v>0.48728195771719163</v>
      </c>
      <c r="G271">
        <f t="shared" si="19"/>
        <v>0.47814206463577402</v>
      </c>
    </row>
    <row r="272" spans="3:7">
      <c r="C272" s="1">
        <v>35</v>
      </c>
      <c r="D272">
        <f t="shared" si="16"/>
        <v>0.47499999999999998</v>
      </c>
      <c r="E272">
        <f t="shared" si="17"/>
        <v>-0.12845480084884531</v>
      </c>
      <c r="F272">
        <f t="shared" si="18"/>
        <v>0.34654519915115467</v>
      </c>
      <c r="G272">
        <f t="shared" si="19"/>
        <v>0.41398396959679845</v>
      </c>
    </row>
    <row r="273" spans="3:7">
      <c r="C273" s="1">
        <v>35.5</v>
      </c>
      <c r="D273">
        <f t="shared" si="16"/>
        <v>0.48003571428571429</v>
      </c>
      <c r="E273">
        <f t="shared" si="17"/>
        <v>-0.24270562986357194</v>
      </c>
      <c r="F273">
        <f t="shared" si="18"/>
        <v>0.23733008442214235</v>
      </c>
      <c r="G273">
        <f t="shared" si="19"/>
        <v>0.36352834389299038</v>
      </c>
    </row>
    <row r="274" spans="3:7">
      <c r="C274" s="1">
        <v>36</v>
      </c>
      <c r="D274">
        <f t="shared" si="16"/>
        <v>0.4851428571428571</v>
      </c>
      <c r="E274">
        <f t="shared" si="17"/>
        <v>-0.29753365603293475</v>
      </c>
      <c r="F274">
        <f t="shared" si="18"/>
        <v>0.18760920110992235</v>
      </c>
      <c r="G274">
        <f t="shared" si="19"/>
        <v>0.34079652915887909</v>
      </c>
    </row>
    <row r="275" spans="3:7">
      <c r="C275" s="1">
        <v>36.5</v>
      </c>
      <c r="D275">
        <f t="shared" si="16"/>
        <v>0.49032142857142857</v>
      </c>
      <c r="E275">
        <f t="shared" si="17"/>
        <v>-0.27951506635641166</v>
      </c>
      <c r="F275">
        <f t="shared" si="18"/>
        <v>0.21080636221501692</v>
      </c>
      <c r="G275">
        <f t="shared" si="19"/>
        <v>0.35326920192831518</v>
      </c>
    </row>
    <row r="276" spans="3:7">
      <c r="C276" s="1">
        <v>37</v>
      </c>
      <c r="D276">
        <f t="shared" si="16"/>
        <v>0.49557142857142855</v>
      </c>
      <c r="E276">
        <f t="shared" si="17"/>
        <v>-0.19306144000709985</v>
      </c>
      <c r="F276">
        <f t="shared" si="18"/>
        <v>0.3025099885643287</v>
      </c>
      <c r="G276">
        <f t="shared" si="19"/>
        <v>0.39989569494505295</v>
      </c>
    </row>
    <row r="277" spans="3:7">
      <c r="C277" s="1">
        <v>37.5</v>
      </c>
      <c r="D277">
        <f t="shared" si="16"/>
        <v>0.50089285714285714</v>
      </c>
      <c r="E277">
        <f t="shared" si="17"/>
        <v>-5.9339639890938677E-2</v>
      </c>
      <c r="F277">
        <f t="shared" si="18"/>
        <v>0.44155321725191848</v>
      </c>
      <c r="G277">
        <f t="shared" si="19"/>
        <v>0.47117005537605661</v>
      </c>
    </row>
    <row r="278" spans="3:7">
      <c r="C278" s="1">
        <v>38</v>
      </c>
      <c r="D278">
        <f t="shared" si="16"/>
        <v>0.50628571428571423</v>
      </c>
      <c r="E278">
        <f t="shared" si="17"/>
        <v>8.8910573612815597E-2</v>
      </c>
      <c r="F278">
        <f t="shared" si="18"/>
        <v>0.59519628789852985</v>
      </c>
      <c r="G278">
        <f t="shared" si="19"/>
        <v>0.55129986755483107</v>
      </c>
    </row>
    <row r="279" spans="3:7">
      <c r="C279" s="1">
        <v>38.5</v>
      </c>
      <c r="D279">
        <f t="shared" si="16"/>
        <v>0.51174999999999993</v>
      </c>
      <c r="E279">
        <f t="shared" si="17"/>
        <v>0.21539237783149323</v>
      </c>
      <c r="F279">
        <f t="shared" si="18"/>
        <v>0.72714237783149316</v>
      </c>
      <c r="G279">
        <f t="shared" si="19"/>
        <v>0.62197704935526654</v>
      </c>
    </row>
    <row r="280" spans="3:7">
      <c r="C280" s="1">
        <v>39</v>
      </c>
      <c r="D280">
        <f t="shared" si="16"/>
        <v>0.51728571428571424</v>
      </c>
      <c r="E280">
        <f t="shared" si="17"/>
        <v>0.28913861588522632</v>
      </c>
      <c r="F280">
        <f t="shared" si="18"/>
        <v>0.80642433017094062</v>
      </c>
      <c r="G280">
        <f t="shared" si="19"/>
        <v>0.66685298973148632</v>
      </c>
    </row>
    <row r="281" spans="3:7">
      <c r="C281" s="1">
        <v>39.5</v>
      </c>
      <c r="D281">
        <f t="shared" si="16"/>
        <v>0.52289285714285716</v>
      </c>
      <c r="E281">
        <f t="shared" si="17"/>
        <v>0.29209363670849342</v>
      </c>
      <c r="F281">
        <f t="shared" si="18"/>
        <v>0.81498649385135058</v>
      </c>
      <c r="G281">
        <f t="shared" si="19"/>
        <v>0.67562653339460899</v>
      </c>
    </row>
    <row r="282" spans="3:7">
      <c r="C282" s="1">
        <v>40</v>
      </c>
      <c r="D282">
        <f t="shared" si="16"/>
        <v>0.52857142857142858</v>
      </c>
      <c r="E282">
        <f t="shared" si="17"/>
        <v>0.22353394814380464</v>
      </c>
      <c r="F282">
        <f t="shared" si="18"/>
        <v>0.75210537671523325</v>
      </c>
      <c r="G282">
        <f t="shared" si="19"/>
        <v>0.64672508687601105</v>
      </c>
    </row>
    <row r="283" spans="3:7">
      <c r="C283" s="1">
        <v>40.5</v>
      </c>
      <c r="D283">
        <f t="shared" si="16"/>
        <v>0.53432142857142861</v>
      </c>
      <c r="E283">
        <f t="shared" si="17"/>
        <v>0.10024535305452616</v>
      </c>
      <c r="F283">
        <f t="shared" si="18"/>
        <v>0.63456678162595481</v>
      </c>
      <c r="G283">
        <f t="shared" si="19"/>
        <v>0.58788466882317025</v>
      </c>
    </row>
    <row r="284" spans="3:7">
      <c r="C284" s="1">
        <v>41</v>
      </c>
      <c r="D284">
        <f t="shared" si="16"/>
        <v>0.54014285714285715</v>
      </c>
      <c r="E284">
        <f t="shared" si="17"/>
        <v>-4.7586800641412692E-2</v>
      </c>
      <c r="F284">
        <f t="shared" si="18"/>
        <v>0.49255605650144446</v>
      </c>
      <c r="G284">
        <f t="shared" si="19"/>
        <v>0.51443918668211697</v>
      </c>
    </row>
    <row r="285" spans="3:7">
      <c r="C285" s="1">
        <v>41.5</v>
      </c>
      <c r="D285">
        <f t="shared" si="16"/>
        <v>0.54603571428571429</v>
      </c>
      <c r="E285">
        <f t="shared" si="17"/>
        <v>-0.18376804589264092</v>
      </c>
      <c r="F285">
        <f t="shared" si="18"/>
        <v>0.36226766839307334</v>
      </c>
      <c r="G285">
        <f t="shared" si="19"/>
        <v>0.44569179808383619</v>
      </c>
    </row>
    <row r="286" spans="3:7">
      <c r="C286" s="1">
        <v>42</v>
      </c>
      <c r="D286">
        <f t="shared" si="16"/>
        <v>0.55200000000000005</v>
      </c>
      <c r="E286">
        <f t="shared" si="17"/>
        <v>-0.27495646437469012</v>
      </c>
      <c r="F286">
        <f t="shared" si="18"/>
        <v>0.27704353562530992</v>
      </c>
      <c r="G286">
        <f t="shared" si="19"/>
        <v>0.40022403166517106</v>
      </c>
    </row>
    <row r="287" spans="3:7">
      <c r="C287" s="1">
        <v>42.5</v>
      </c>
      <c r="D287">
        <f t="shared" si="16"/>
        <v>0.5580357142857143</v>
      </c>
      <c r="E287">
        <f t="shared" si="17"/>
        <v>-0.29882595093587822</v>
      </c>
      <c r="F287">
        <f t="shared" si="18"/>
        <v>0.25920976334983609</v>
      </c>
      <c r="G287">
        <f t="shared" si="19"/>
        <v>0.39128016130810372</v>
      </c>
    </row>
    <row r="288" spans="3:7">
      <c r="C288" s="1">
        <v>43</v>
      </c>
      <c r="D288">
        <f t="shared" si="16"/>
        <v>0.56414285714285706</v>
      </c>
      <c r="E288">
        <f t="shared" si="17"/>
        <v>-0.24953242278857948</v>
      </c>
      <c r="F288">
        <f t="shared" si="18"/>
        <v>0.3146104343542776</v>
      </c>
      <c r="G288">
        <f t="shared" si="19"/>
        <v>0.42337092320112846</v>
      </c>
    </row>
    <row r="289" spans="3:7">
      <c r="C289" s="1">
        <v>43.5</v>
      </c>
      <c r="D289">
        <f t="shared" si="16"/>
        <v>0.57032142857142853</v>
      </c>
      <c r="E289">
        <f t="shared" si="17"/>
        <v>-0.1391446547951482</v>
      </c>
      <c r="F289">
        <f t="shared" si="18"/>
        <v>0.43117677377628033</v>
      </c>
      <c r="G289">
        <f t="shared" si="19"/>
        <v>0.49096425027058133</v>
      </c>
    </row>
    <row r="290" spans="3:7">
      <c r="C290" s="1">
        <v>44</v>
      </c>
      <c r="D290">
        <f t="shared" si="16"/>
        <v>0.57657142857142851</v>
      </c>
      <c r="E290">
        <f t="shared" si="17"/>
        <v>5.3105775316240732E-3</v>
      </c>
      <c r="F290">
        <f t="shared" si="18"/>
        <v>0.58188200610305263</v>
      </c>
      <c r="G290">
        <f t="shared" si="19"/>
        <v>0.57963335584537634</v>
      </c>
    </row>
    <row r="291" spans="3:7">
      <c r="C291" s="1">
        <v>44.5</v>
      </c>
      <c r="D291">
        <f t="shared" si="16"/>
        <v>0.5828928571428571</v>
      </c>
      <c r="E291">
        <f t="shared" si="17"/>
        <v>0.14846559526578842</v>
      </c>
      <c r="F291">
        <f t="shared" si="18"/>
        <v>0.7313584524086455</v>
      </c>
      <c r="G291">
        <f t="shared" si="19"/>
        <v>0.66943239215474759</v>
      </c>
    </row>
    <row r="292" spans="3:7">
      <c r="C292" s="1">
        <v>45</v>
      </c>
      <c r="D292">
        <f t="shared" si="16"/>
        <v>0.5892857142857143</v>
      </c>
      <c r="E292">
        <f t="shared" si="17"/>
        <v>0.25527105736023553</v>
      </c>
      <c r="F292">
        <f t="shared" si="18"/>
        <v>0.84455677164594989</v>
      </c>
      <c r="G292">
        <f t="shared" si="19"/>
        <v>0.73971330165871019</v>
      </c>
    </row>
    <row r="293" spans="3:7">
      <c r="C293" s="1">
        <v>45.5</v>
      </c>
      <c r="D293">
        <f t="shared" si="16"/>
        <v>0.59575</v>
      </c>
      <c r="E293">
        <f t="shared" si="17"/>
        <v>0.29957726172353111</v>
      </c>
      <c r="F293">
        <f t="shared" si="18"/>
        <v>0.89532726172353105</v>
      </c>
      <c r="G293">
        <f t="shared" si="19"/>
        <v>0.77422315367179362</v>
      </c>
    </row>
    <row r="294" spans="3:7">
      <c r="C294" s="1">
        <v>46</v>
      </c>
      <c r="D294">
        <f t="shared" si="16"/>
        <v>0.60228571428571431</v>
      </c>
      <c r="E294">
        <f t="shared" si="17"/>
        <v>0.27053650429464277</v>
      </c>
      <c r="F294">
        <f t="shared" si="18"/>
        <v>0.87282221858035713</v>
      </c>
      <c r="G294">
        <f t="shared" si="19"/>
        <v>0.76522598601517344</v>
      </c>
    </row>
    <row r="295" spans="3:7">
      <c r="C295" s="1">
        <v>46.5</v>
      </c>
      <c r="D295">
        <f t="shared" si="16"/>
        <v>0.60889285714285712</v>
      </c>
      <c r="E295">
        <f t="shared" si="17"/>
        <v>0.17525897532398568</v>
      </c>
      <c r="F295">
        <f t="shared" si="18"/>
        <v>0.78415183246684284</v>
      </c>
      <c r="G295">
        <f t="shared" si="19"/>
        <v>0.71560679536780825</v>
      </c>
    </row>
    <row r="296" spans="3:7">
      <c r="C296" s="1">
        <v>47</v>
      </c>
      <c r="D296">
        <f t="shared" si="16"/>
        <v>0.61557142857142855</v>
      </c>
      <c r="E296">
        <f t="shared" si="17"/>
        <v>3.70719368235672E-2</v>
      </c>
      <c r="F296">
        <f t="shared" si="18"/>
        <v>0.65264336539499579</v>
      </c>
      <c r="G296">
        <f t="shared" si="19"/>
        <v>0.63839185368182161</v>
      </c>
    </row>
    <row r="297" spans="3:7">
      <c r="C297" s="1">
        <v>47.5</v>
      </c>
      <c r="D297">
        <f t="shared" si="16"/>
        <v>0.62232142857142858</v>
      </c>
      <c r="E297">
        <f t="shared" si="17"/>
        <v>-0.1101916047402574</v>
      </c>
      <c r="F297">
        <f t="shared" si="18"/>
        <v>0.51212982383117123</v>
      </c>
      <c r="G297">
        <f t="shared" si="19"/>
        <v>0.5537468316928934</v>
      </c>
    </row>
    <row r="298" spans="3:7">
      <c r="C298" s="1">
        <v>48</v>
      </c>
      <c r="D298">
        <f t="shared" si="16"/>
        <v>0.62914285714285711</v>
      </c>
      <c r="E298">
        <f t="shared" si="17"/>
        <v>-0.23047639839710005</v>
      </c>
      <c r="F298">
        <f t="shared" si="18"/>
        <v>0.39866645874575707</v>
      </c>
      <c r="G298">
        <f t="shared" si="19"/>
        <v>0.48414027735131016</v>
      </c>
    </row>
    <row r="299" spans="3:7">
      <c r="C299" s="1">
        <v>48.5</v>
      </c>
      <c r="D299">
        <f t="shared" si="16"/>
        <v>0.63603571428571426</v>
      </c>
      <c r="E299">
        <f t="shared" si="17"/>
        <v>-0.29433253158092909</v>
      </c>
      <c r="F299">
        <f t="shared" si="18"/>
        <v>0.34170318270478517</v>
      </c>
      <c r="G299">
        <f t="shared" si="19"/>
        <v>0.44882971232411545</v>
      </c>
    </row>
    <row r="300" spans="3:7">
      <c r="C300" s="1">
        <v>49</v>
      </c>
      <c r="D300">
        <f t="shared" si="16"/>
        <v>0.64300000000000002</v>
      </c>
      <c r="E300">
        <f t="shared" si="17"/>
        <v>-0.28612579582784153</v>
      </c>
      <c r="F300">
        <f t="shared" si="18"/>
        <v>0.35687420417215848</v>
      </c>
      <c r="G300">
        <f t="shared" si="19"/>
        <v>0.45902111328269785</v>
      </c>
    </row>
    <row r="301" spans="3:7">
      <c r="C301" s="1">
        <v>49.5</v>
      </c>
      <c r="D301">
        <f t="shared" si="16"/>
        <v>0.65003571428571427</v>
      </c>
      <c r="E301">
        <f t="shared" si="17"/>
        <v>-0.2078654862701087</v>
      </c>
      <c r="F301">
        <f t="shared" si="18"/>
        <v>0.44217022801560557</v>
      </c>
      <c r="G301">
        <f t="shared" si="19"/>
        <v>0.51491572444277678</v>
      </c>
    </row>
    <row r="302" spans="3:7">
      <c r="C302" s="1">
        <v>50</v>
      </c>
      <c r="D302">
        <f t="shared" si="16"/>
        <v>0.65714285714285714</v>
      </c>
      <c r="E302">
        <f t="shared" si="17"/>
        <v>-7.8712456111178622E-2</v>
      </c>
      <c r="F302">
        <f t="shared" si="18"/>
        <v>0.57843040103167853</v>
      </c>
      <c r="G302">
        <f t="shared" si="19"/>
        <v>0.60541752884122546</v>
      </c>
    </row>
    <row r="303" spans="3:7">
      <c r="C303" s="1">
        <v>50.5</v>
      </c>
      <c r="D303">
        <f t="shared" si="16"/>
        <v>0.66432142857142851</v>
      </c>
      <c r="E303">
        <f t="shared" si="17"/>
        <v>6.9712128496645362E-2</v>
      </c>
      <c r="F303">
        <f t="shared" si="18"/>
        <v>0.73403355706807383</v>
      </c>
      <c r="G303">
        <f t="shared" si="19"/>
        <v>0.71063268936307489</v>
      </c>
    </row>
    <row r="304" spans="3:7">
      <c r="C304" s="1">
        <v>51</v>
      </c>
      <c r="D304">
        <f t="shared" si="16"/>
        <v>0.67157142857142849</v>
      </c>
      <c r="E304">
        <f t="shared" si="17"/>
        <v>0.20106875275301242</v>
      </c>
      <c r="F304">
        <f t="shared" si="18"/>
        <v>0.87264018132444088</v>
      </c>
      <c r="G304">
        <f t="shared" si="19"/>
        <v>0.80660345809884437</v>
      </c>
    </row>
    <row r="305" spans="3:7">
      <c r="C305" s="1">
        <v>51.5</v>
      </c>
      <c r="D305">
        <f t="shared" si="16"/>
        <v>0.67889285714285719</v>
      </c>
      <c r="E305">
        <f t="shared" si="17"/>
        <v>0.2831967338175358</v>
      </c>
      <c r="F305">
        <f t="shared" si="18"/>
        <v>0.96208959096039304</v>
      </c>
      <c r="G305">
        <f t="shared" si="19"/>
        <v>0.87115309689776932</v>
      </c>
    </row>
    <row r="306" spans="3:7">
      <c r="C306" s="1">
        <v>52</v>
      </c>
      <c r="D306">
        <f t="shared" si="16"/>
        <v>0.68628571428571428</v>
      </c>
      <c r="E306">
        <f t="shared" si="17"/>
        <v>0.29598827761214558</v>
      </c>
      <c r="F306">
        <f t="shared" si="18"/>
        <v>0.9822739918978598</v>
      </c>
      <c r="G306">
        <f t="shared" si="19"/>
        <v>0.88941824080696397</v>
      </c>
    </row>
    <row r="307" spans="3:7">
      <c r="C307" s="1">
        <v>52.5</v>
      </c>
      <c r="D307">
        <f t="shared" si="16"/>
        <v>0.69374999999999998</v>
      </c>
      <c r="E307">
        <f t="shared" si="17"/>
        <v>0.23631156809523537</v>
      </c>
      <c r="F307">
        <f t="shared" si="18"/>
        <v>0.93006156809523532</v>
      </c>
      <c r="G307">
        <f t="shared" si="19"/>
        <v>0.85769115036606958</v>
      </c>
    </row>
    <row r="308" spans="3:7">
      <c r="C308" s="1">
        <v>53</v>
      </c>
      <c r="D308">
        <f t="shared" si="16"/>
        <v>0.70128571428571429</v>
      </c>
      <c r="E308">
        <f t="shared" si="17"/>
        <v>0.11877754505455024</v>
      </c>
      <c r="F308">
        <f t="shared" si="18"/>
        <v>0.82006325934026458</v>
      </c>
      <c r="G308">
        <f t="shared" si="19"/>
        <v>0.78458270981039824</v>
      </c>
    </row>
    <row r="309" spans="3:7">
      <c r="C309" s="1">
        <v>53.5</v>
      </c>
      <c r="D309">
        <f t="shared" si="16"/>
        <v>0.70889285714285721</v>
      </c>
      <c r="E309">
        <f t="shared" si="17"/>
        <v>-2.7837363527192606E-2</v>
      </c>
      <c r="F309">
        <f t="shared" si="18"/>
        <v>0.68105549361566464</v>
      </c>
      <c r="G309">
        <f t="shared" si="19"/>
        <v>0.68915914897674135</v>
      </c>
    </row>
    <row r="310" spans="3:7">
      <c r="C310" s="1">
        <v>54</v>
      </c>
      <c r="D310">
        <f t="shared" si="16"/>
        <v>0.71657142857142864</v>
      </c>
      <c r="E310">
        <f t="shared" si="17"/>
        <v>-0.16763671465548488</v>
      </c>
      <c r="F310">
        <f t="shared" si="18"/>
        <v>0.54893471391594373</v>
      </c>
      <c r="G310">
        <f t="shared" si="19"/>
        <v>0.59644774846972692</v>
      </c>
    </row>
    <row r="311" spans="3:7">
      <c r="C311" s="1">
        <v>54.5</v>
      </c>
      <c r="D311">
        <f t="shared" si="16"/>
        <v>0.72432142857142856</v>
      </c>
      <c r="E311">
        <f t="shared" si="17"/>
        <v>-0.26639275150129899</v>
      </c>
      <c r="F311">
        <f t="shared" si="18"/>
        <v>0.45792867707012958</v>
      </c>
      <c r="G311">
        <f t="shared" si="19"/>
        <v>0.53136745024293419</v>
      </c>
    </row>
    <row r="312" spans="3:7">
      <c r="C312" s="1">
        <v>55</v>
      </c>
      <c r="D312">
        <f t="shared" si="16"/>
        <v>0.73214285714285721</v>
      </c>
      <c r="E312">
        <f t="shared" si="17"/>
        <v>-0.29992655200758594</v>
      </c>
      <c r="F312">
        <f t="shared" si="18"/>
        <v>0.43221630513527126</v>
      </c>
      <c r="G312">
        <f t="shared" si="19"/>
        <v>0.51255377442301742</v>
      </c>
    </row>
    <row r="313" spans="3:7">
      <c r="C313" s="1">
        <v>55.5</v>
      </c>
      <c r="D313">
        <f t="shared" si="16"/>
        <v>0.74003571428571435</v>
      </c>
      <c r="E313">
        <f t="shared" si="17"/>
        <v>-0.26002787227822777</v>
      </c>
      <c r="F313">
        <f t="shared" si="18"/>
        <v>0.48000784200748658</v>
      </c>
      <c r="G313">
        <f t="shared" si="19"/>
        <v>0.54760580209010157</v>
      </c>
    </row>
    <row r="314" spans="3:7">
      <c r="C314" s="1">
        <v>56</v>
      </c>
      <c r="D314">
        <f t="shared" si="16"/>
        <v>0.748</v>
      </c>
      <c r="E314">
        <f t="shared" si="17"/>
        <v>-0.15646530062607356</v>
      </c>
      <c r="F314">
        <f t="shared" si="18"/>
        <v>0.59153469937392644</v>
      </c>
      <c r="G314">
        <f t="shared" si="19"/>
        <v>0.63096395513169701</v>
      </c>
    </row>
    <row r="315" spans="3:7">
      <c r="C315" s="1">
        <v>56.5</v>
      </c>
      <c r="D315">
        <f t="shared" si="16"/>
        <v>0.75603571428571426</v>
      </c>
      <c r="E315">
        <f t="shared" si="17"/>
        <v>-1.4594566462526179E-2</v>
      </c>
      <c r="F315">
        <f t="shared" si="18"/>
        <v>0.74144114782318804</v>
      </c>
      <c r="G315">
        <f t="shared" si="19"/>
        <v>0.74500170080552797</v>
      </c>
    </row>
    <row r="316" spans="3:7">
      <c r="C316" s="1">
        <v>57</v>
      </c>
      <c r="D316">
        <f t="shared" si="16"/>
        <v>0.76414285714285712</v>
      </c>
      <c r="E316">
        <f t="shared" si="17"/>
        <v>0.13084942657434748</v>
      </c>
      <c r="F316">
        <f t="shared" si="18"/>
        <v>0.89499228371720463</v>
      </c>
      <c r="G316">
        <f t="shared" si="19"/>
        <v>0.86413051182088341</v>
      </c>
    </row>
    <row r="317" spans="3:7">
      <c r="C317" s="1">
        <v>57.5</v>
      </c>
      <c r="D317">
        <f t="shared" si="16"/>
        <v>0.7723214285714286</v>
      </c>
      <c r="E317">
        <f t="shared" si="17"/>
        <v>0.24425691645253034</v>
      </c>
      <c r="F317">
        <f t="shared" si="18"/>
        <v>1.0165783450239589</v>
      </c>
      <c r="G317">
        <f t="shared" si="19"/>
        <v>0.96096627922449895</v>
      </c>
    </row>
    <row r="318" spans="3:7">
      <c r="C318" s="1">
        <v>58</v>
      </c>
      <c r="D318">
        <f t="shared" si="16"/>
        <v>0.78057142857142858</v>
      </c>
      <c r="E318">
        <f t="shared" si="17"/>
        <v>0.29786179442536115</v>
      </c>
      <c r="F318">
        <f t="shared" si="18"/>
        <v>1.0784332229967897</v>
      </c>
      <c r="G318">
        <f t="shared" si="19"/>
        <v>1.0130738349628821</v>
      </c>
    </row>
    <row r="319" spans="3:7">
      <c r="C319" s="1">
        <v>58.5</v>
      </c>
      <c r="D319">
        <f t="shared" si="16"/>
        <v>0.78889285714285706</v>
      </c>
      <c r="E319">
        <f t="shared" si="17"/>
        <v>0.27853971682961359</v>
      </c>
      <c r="F319">
        <f t="shared" si="18"/>
        <v>1.0674325739724706</v>
      </c>
      <c r="G319">
        <f t="shared" si="19"/>
        <v>1.0086308501803332</v>
      </c>
    </row>
    <row r="320" spans="3:7">
      <c r="C320" s="1">
        <v>59</v>
      </c>
      <c r="D320">
        <f t="shared" si="16"/>
        <v>0.79728571428571426</v>
      </c>
      <c r="E320">
        <f t="shared" si="17"/>
        <v>0.19102140214174135</v>
      </c>
      <c r="F320">
        <f t="shared" si="18"/>
        <v>0.98830711642745561</v>
      </c>
      <c r="G320">
        <f t="shared" si="19"/>
        <v>0.94958434933615121</v>
      </c>
    </row>
    <row r="321" spans="3:7">
      <c r="C321" s="1">
        <v>59.5</v>
      </c>
      <c r="D321">
        <f t="shared" si="16"/>
        <v>0.80574999999999997</v>
      </c>
      <c r="E321">
        <f t="shared" si="17"/>
        <v>5.6734386105267452E-2</v>
      </c>
      <c r="F321">
        <f t="shared" si="18"/>
        <v>0.86248438610526745</v>
      </c>
      <c r="G321">
        <f t="shared" si="19"/>
        <v>0.85146373160431921</v>
      </c>
    </row>
    <row r="322" spans="3:7">
      <c r="C322" s="1">
        <v>60</v>
      </c>
      <c r="D322">
        <f t="shared" si="16"/>
        <v>0.81428571428571428</v>
      </c>
      <c r="E322">
        <f t="shared" si="17"/>
        <v>-9.1443186330665005E-2</v>
      </c>
      <c r="F322">
        <f t="shared" si="18"/>
        <v>0.72284252795504922</v>
      </c>
      <c r="G322">
        <f t="shared" si="19"/>
        <v>0.73982483398788701</v>
      </c>
    </row>
    <row r="323" spans="3:7">
      <c r="C323" s="1">
        <v>60.5</v>
      </c>
      <c r="D323">
        <f t="shared" ref="D323:D386" si="20">C323*C323/$A$1+$A$2</f>
        <v>0.82289285714285709</v>
      </c>
      <c r="E323">
        <f t="shared" ref="E323:E386" si="21">$A$3*SIN(C323)</f>
        <v>-0.21723227756023486</v>
      </c>
      <c r="F323">
        <f t="shared" ref="F323:F386" si="22">D323+E323</f>
        <v>0.6056605795826222</v>
      </c>
      <c r="G323">
        <f t="shared" ref="G323:G386" si="23">D323*(E323+1)</f>
        <v>0.64413396759766528</v>
      </c>
    </row>
    <row r="324" spans="3:7">
      <c r="C324" s="1">
        <v>61</v>
      </c>
      <c r="D324">
        <f t="shared" si="20"/>
        <v>0.83157142857142863</v>
      </c>
      <c r="E324">
        <f t="shared" si="21"/>
        <v>-0.28983533100251785</v>
      </c>
      <c r="F324">
        <f t="shared" si="22"/>
        <v>0.54173609756891072</v>
      </c>
      <c r="G324">
        <f t="shared" si="23"/>
        <v>0.59055264831919196</v>
      </c>
    </row>
    <row r="325" spans="3:7">
      <c r="C325" s="1">
        <v>61.5</v>
      </c>
      <c r="D325">
        <f t="shared" si="20"/>
        <v>0.84032142857142866</v>
      </c>
      <c r="E325">
        <f t="shared" si="21"/>
        <v>-0.29147658705483276</v>
      </c>
      <c r="F325">
        <f t="shared" si="22"/>
        <v>0.54884484151659585</v>
      </c>
      <c r="G325">
        <f t="shared" si="23"/>
        <v>0.5953874065423872</v>
      </c>
    </row>
    <row r="326" spans="3:7">
      <c r="C326" s="1">
        <v>62</v>
      </c>
      <c r="D326">
        <f t="shared" si="20"/>
        <v>0.8491428571428572</v>
      </c>
      <c r="E326">
        <f t="shared" si="21"/>
        <v>-0.22175420899476683</v>
      </c>
      <c r="F326">
        <f t="shared" si="22"/>
        <v>0.62738864814809037</v>
      </c>
      <c r="G326">
        <f t="shared" si="23"/>
        <v>0.66084185453358657</v>
      </c>
    </row>
    <row r="327" spans="3:7">
      <c r="C327" s="1">
        <v>62.5</v>
      </c>
      <c r="D327">
        <f t="shared" si="20"/>
        <v>0.85803571428571423</v>
      </c>
      <c r="E327">
        <f t="shared" si="21"/>
        <v>-9.7738666624368517E-2</v>
      </c>
      <c r="F327">
        <f t="shared" si="22"/>
        <v>0.76029704766134576</v>
      </c>
      <c r="G327">
        <f t="shared" si="23"/>
        <v>0.77417244765534088</v>
      </c>
    </row>
    <row r="328" spans="3:7">
      <c r="C328" s="1">
        <v>63</v>
      </c>
      <c r="D328">
        <f t="shared" si="20"/>
        <v>0.86699999999999999</v>
      </c>
      <c r="E328">
        <f t="shared" si="21"/>
        <v>5.0206710090842072E-2</v>
      </c>
      <c r="F328">
        <f t="shared" si="22"/>
        <v>0.91720671009084209</v>
      </c>
      <c r="G328">
        <f t="shared" si="23"/>
        <v>0.91052921764876005</v>
      </c>
    </row>
    <row r="329" spans="3:7">
      <c r="C329" s="1">
        <v>63.5</v>
      </c>
      <c r="D329">
        <f t="shared" si="20"/>
        <v>0.87603571428571425</v>
      </c>
      <c r="E329">
        <f t="shared" si="21"/>
        <v>0.18585973315558535</v>
      </c>
      <c r="F329">
        <f t="shared" si="22"/>
        <v>1.0618954474412996</v>
      </c>
      <c r="G329">
        <f t="shared" si="23"/>
        <v>1.0388554783776196</v>
      </c>
    </row>
    <row r="330" spans="3:7">
      <c r="C330" s="1">
        <v>64</v>
      </c>
      <c r="D330">
        <f t="shared" si="20"/>
        <v>0.88514285714285723</v>
      </c>
      <c r="E330">
        <f t="shared" si="21"/>
        <v>0.27600781145903719</v>
      </c>
      <c r="F330">
        <f t="shared" si="22"/>
        <v>1.1611506686018944</v>
      </c>
      <c r="G330">
        <f t="shared" si="23"/>
        <v>1.1294491999714564</v>
      </c>
    </row>
    <row r="331" spans="3:7">
      <c r="C331" s="1">
        <v>64.5</v>
      </c>
      <c r="D331">
        <f t="shared" si="20"/>
        <v>0.89432142857142849</v>
      </c>
      <c r="E331">
        <f t="shared" si="21"/>
        <v>0.29857955140836828</v>
      </c>
      <c r="F331">
        <f t="shared" si="22"/>
        <v>1.1929009799797967</v>
      </c>
      <c r="G331">
        <f t="shared" si="23"/>
        <v>1.1613475195291767</v>
      </c>
    </row>
    <row r="332" spans="3:7">
      <c r="C332" s="1">
        <v>65</v>
      </c>
      <c r="D332">
        <f t="shared" si="20"/>
        <v>0.90357142857142847</v>
      </c>
      <c r="E332">
        <f t="shared" si="21"/>
        <v>0.24804860384703101</v>
      </c>
      <c r="F332">
        <f t="shared" si="22"/>
        <v>1.1516200324184596</v>
      </c>
      <c r="G332">
        <f t="shared" si="23"/>
        <v>1.1277010599046386</v>
      </c>
    </row>
    <row r="333" spans="3:7">
      <c r="C333" s="1">
        <v>65.5</v>
      </c>
      <c r="D333">
        <f t="shared" si="20"/>
        <v>0.91289285714285717</v>
      </c>
      <c r="E333">
        <f t="shared" si="21"/>
        <v>0.13678670706644699</v>
      </c>
      <c r="F333">
        <f t="shared" si="22"/>
        <v>1.0496795642093042</v>
      </c>
      <c r="G333">
        <f t="shared" si="23"/>
        <v>1.037764464975909</v>
      </c>
    </row>
    <row r="334" spans="3:7">
      <c r="C334" s="1">
        <v>66</v>
      </c>
      <c r="D334">
        <f t="shared" si="20"/>
        <v>0.92228571428571438</v>
      </c>
      <c r="E334">
        <f t="shared" si="21"/>
        <v>-7.9653462071900376E-3</v>
      </c>
      <c r="F334">
        <f t="shared" si="22"/>
        <v>0.91432036807852435</v>
      </c>
      <c r="G334">
        <f t="shared" si="23"/>
        <v>0.91493938926948315</v>
      </c>
    </row>
    <row r="335" spans="3:7">
      <c r="C335" s="1">
        <v>66.5</v>
      </c>
      <c r="D335">
        <f t="shared" si="20"/>
        <v>0.93175000000000008</v>
      </c>
      <c r="E335">
        <f t="shared" si="21"/>
        <v>-0.15076720492814619</v>
      </c>
      <c r="F335">
        <f t="shared" si="22"/>
        <v>0.78098279507185386</v>
      </c>
      <c r="G335">
        <f t="shared" si="23"/>
        <v>0.7912726568081998</v>
      </c>
    </row>
    <row r="336" spans="3:7">
      <c r="C336" s="1">
        <v>67</v>
      </c>
      <c r="D336">
        <f t="shared" si="20"/>
        <v>0.94128571428571428</v>
      </c>
      <c r="E336">
        <f t="shared" si="21"/>
        <v>-0.25665599369259667</v>
      </c>
      <c r="F336">
        <f t="shared" si="22"/>
        <v>0.68462972059311755</v>
      </c>
      <c r="G336">
        <f t="shared" si="23"/>
        <v>0.69969909393706864</v>
      </c>
    </row>
    <row r="337" spans="3:7">
      <c r="C337" s="1">
        <v>67.5</v>
      </c>
      <c r="D337">
        <f t="shared" si="20"/>
        <v>0.95089285714285721</v>
      </c>
      <c r="E337">
        <f t="shared" si="21"/>
        <v>-0.29970644401039048</v>
      </c>
      <c r="F337">
        <f t="shared" si="22"/>
        <v>0.65118641313246672</v>
      </c>
      <c r="G337">
        <f t="shared" si="23"/>
        <v>0.66590414029369127</v>
      </c>
    </row>
    <row r="338" spans="3:7">
      <c r="C338" s="1">
        <v>68</v>
      </c>
      <c r="D338">
        <f t="shared" si="20"/>
        <v>0.96057142857142863</v>
      </c>
      <c r="E338">
        <f t="shared" si="21"/>
        <v>-0.26937830420678738</v>
      </c>
      <c r="F338">
        <f t="shared" si="22"/>
        <v>0.6911931243646412</v>
      </c>
      <c r="G338">
        <f t="shared" si="23"/>
        <v>0.70181432607336591</v>
      </c>
    </row>
    <row r="339" spans="3:7">
      <c r="C339" s="1">
        <v>68.5</v>
      </c>
      <c r="D339">
        <f t="shared" si="20"/>
        <v>0.97032142857142856</v>
      </c>
      <c r="E339">
        <f t="shared" si="21"/>
        <v>-0.1730969606365628</v>
      </c>
      <c r="F339">
        <f t="shared" si="22"/>
        <v>0.79722446793486579</v>
      </c>
      <c r="G339">
        <f t="shared" si="23"/>
        <v>0.80236173844518666</v>
      </c>
    </row>
    <row r="340" spans="3:7">
      <c r="C340" s="1">
        <v>69</v>
      </c>
      <c r="D340">
        <f t="shared" si="20"/>
        <v>0.9801428571428572</v>
      </c>
      <c r="E340">
        <f t="shared" si="21"/>
        <v>-3.4435444134956167E-2</v>
      </c>
      <c r="F340">
        <f t="shared" si="22"/>
        <v>0.94570741300790107</v>
      </c>
      <c r="G340">
        <f t="shared" si="23"/>
        <v>0.94639120254143805</v>
      </c>
    </row>
    <row r="341" spans="3:7">
      <c r="C341" s="1">
        <v>69.5</v>
      </c>
      <c r="D341">
        <f t="shared" si="20"/>
        <v>0.99003571428571435</v>
      </c>
      <c r="E341">
        <f t="shared" si="21"/>
        <v>0.11265707006898751</v>
      </c>
      <c r="F341">
        <f t="shared" si="22"/>
        <v>1.1026927843547019</v>
      </c>
      <c r="G341">
        <f t="shared" si="23"/>
        <v>1.1015702371208003</v>
      </c>
    </row>
    <row r="342" spans="3:7">
      <c r="C342" s="1">
        <v>70</v>
      </c>
      <c r="D342">
        <f t="shared" si="20"/>
        <v>1</v>
      </c>
      <c r="E342">
        <f t="shared" si="21"/>
        <v>0.23216720446736672</v>
      </c>
      <c r="F342">
        <f t="shared" si="22"/>
        <v>1.2321672044673666</v>
      </c>
      <c r="G342">
        <f t="shared" si="23"/>
        <v>1.2321672044673666</v>
      </c>
    </row>
    <row r="343" spans="3:7">
      <c r="C343" s="1">
        <v>70.5</v>
      </c>
      <c r="D343">
        <f t="shared" si="20"/>
        <v>1.0100357142857144</v>
      </c>
      <c r="E343">
        <f t="shared" si="21"/>
        <v>0.29483471009780782</v>
      </c>
      <c r="F343">
        <f t="shared" si="22"/>
        <v>1.3048704243835223</v>
      </c>
      <c r="G343">
        <f t="shared" si="23"/>
        <v>1.3078293012955753</v>
      </c>
    </row>
    <row r="344" spans="3:7">
      <c r="C344" s="1">
        <v>71</v>
      </c>
      <c r="D344">
        <f t="shared" si="20"/>
        <v>1.0201428571428572</v>
      </c>
      <c r="E344">
        <f t="shared" si="21"/>
        <v>0.28531639597631236</v>
      </c>
      <c r="F344">
        <f t="shared" si="22"/>
        <v>1.3054592531191695</v>
      </c>
      <c r="G344">
        <f t="shared" si="23"/>
        <v>1.3112063405238352</v>
      </c>
    </row>
    <row r="345" spans="3:7">
      <c r="C345" s="1">
        <v>71.5</v>
      </c>
      <c r="D345">
        <f t="shared" si="20"/>
        <v>1.0303214285714286</v>
      </c>
      <c r="E345">
        <f t="shared" si="21"/>
        <v>0.20594267736263266</v>
      </c>
      <c r="F345">
        <f t="shared" si="22"/>
        <v>1.2362641059340613</v>
      </c>
      <c r="G345">
        <f t="shared" si="23"/>
        <v>1.2425085821155211</v>
      </c>
    </row>
    <row r="346" spans="3:7">
      <c r="C346" s="1">
        <v>72</v>
      </c>
      <c r="D346">
        <f t="shared" si="20"/>
        <v>1.0405714285714285</v>
      </c>
      <c r="E346">
        <f t="shared" si="21"/>
        <v>7.6147008828610876E-2</v>
      </c>
      <c r="F346">
        <f t="shared" si="22"/>
        <v>1.1167184374000394</v>
      </c>
      <c r="G346">
        <f t="shared" si="23"/>
        <v>1.1198078303296572</v>
      </c>
    </row>
    <row r="347" spans="3:7">
      <c r="C347" s="1">
        <v>72.5</v>
      </c>
      <c r="D347">
        <f t="shared" si="20"/>
        <v>1.0508928571428571</v>
      </c>
      <c r="E347">
        <f t="shared" si="21"/>
        <v>-7.2292103186430326E-2</v>
      </c>
      <c r="F347">
        <f t="shared" si="22"/>
        <v>0.97860075395642676</v>
      </c>
      <c r="G347">
        <f t="shared" si="23"/>
        <v>0.97492160227640312</v>
      </c>
    </row>
    <row r="348" spans="3:7">
      <c r="C348" s="1">
        <v>73</v>
      </c>
      <c r="D348">
        <f t="shared" si="20"/>
        <v>1.0612857142857142</v>
      </c>
      <c r="E348">
        <f t="shared" si="21"/>
        <v>-0.20303158706619229</v>
      </c>
      <c r="F348">
        <f t="shared" si="22"/>
        <v>0.85825412721952188</v>
      </c>
      <c r="G348">
        <f t="shared" si="23"/>
        <v>0.84581119138360816</v>
      </c>
    </row>
    <row r="349" spans="3:7">
      <c r="C349" s="1">
        <v>73.5</v>
      </c>
      <c r="D349">
        <f t="shared" si="20"/>
        <v>1.07175</v>
      </c>
      <c r="E349">
        <f t="shared" si="21"/>
        <v>-0.28406185745800427</v>
      </c>
      <c r="F349">
        <f t="shared" si="22"/>
        <v>0.78768814254199571</v>
      </c>
      <c r="G349">
        <f t="shared" si="23"/>
        <v>0.76730670426938385</v>
      </c>
    </row>
    <row r="350" spans="3:7">
      <c r="C350" s="1">
        <v>74</v>
      </c>
      <c r="D350">
        <f t="shared" si="20"/>
        <v>1.0822857142857143</v>
      </c>
      <c r="E350">
        <f t="shared" si="21"/>
        <v>-0.29554387814047423</v>
      </c>
      <c r="F350">
        <f t="shared" si="22"/>
        <v>0.78674183614524007</v>
      </c>
      <c r="G350">
        <f t="shared" si="23"/>
        <v>0.76242279702968108</v>
      </c>
    </row>
    <row r="351" spans="3:7">
      <c r="C351" s="1">
        <v>74.5</v>
      </c>
      <c r="D351">
        <f t="shared" si="20"/>
        <v>1.0928928571428571</v>
      </c>
      <c r="E351">
        <f t="shared" si="21"/>
        <v>-0.2346664500010627</v>
      </c>
      <c r="F351">
        <f t="shared" si="22"/>
        <v>0.85822640714179443</v>
      </c>
      <c r="G351">
        <f t="shared" si="23"/>
        <v>0.8364275701256243</v>
      </c>
    </row>
    <row r="352" spans="3:7">
      <c r="C352" s="1">
        <v>75</v>
      </c>
      <c r="D352">
        <f t="shared" si="20"/>
        <v>1.1035714285714286</v>
      </c>
      <c r="E352">
        <f t="shared" si="21"/>
        <v>-0.11633449062282913</v>
      </c>
      <c r="F352">
        <f t="shared" si="22"/>
        <v>0.98723693794859946</v>
      </c>
      <c r="G352">
        <f t="shared" si="23"/>
        <v>0.97518800856266352</v>
      </c>
    </row>
    <row r="353" spans="3:7">
      <c r="C353" s="1">
        <v>75.5</v>
      </c>
      <c r="D353">
        <f t="shared" si="20"/>
        <v>1.1143214285714285</v>
      </c>
      <c r="E353">
        <f t="shared" si="21"/>
        <v>3.0480209367074851E-2</v>
      </c>
      <c r="F353">
        <f t="shared" si="22"/>
        <v>1.1448016379385033</v>
      </c>
      <c r="G353">
        <f t="shared" si="23"/>
        <v>1.1482861790165035</v>
      </c>
    </row>
    <row r="354" spans="3:7">
      <c r="C354" s="1">
        <v>76</v>
      </c>
      <c r="D354">
        <f t="shared" si="20"/>
        <v>1.1251428571428572</v>
      </c>
      <c r="E354">
        <f t="shared" si="21"/>
        <v>0.16983229106945411</v>
      </c>
      <c r="F354">
        <f t="shared" si="22"/>
        <v>1.2949751482123113</v>
      </c>
      <c r="G354">
        <f t="shared" si="23"/>
        <v>1.3162284463518601</v>
      </c>
    </row>
    <row r="355" spans="3:7">
      <c r="C355" s="1">
        <v>76.5</v>
      </c>
      <c r="D355">
        <f t="shared" si="20"/>
        <v>1.1360357142857143</v>
      </c>
      <c r="E355">
        <f t="shared" si="21"/>
        <v>0.26760350480981115</v>
      </c>
      <c r="F355">
        <f t="shared" si="22"/>
        <v>1.4036392190955254</v>
      </c>
      <c r="G355">
        <f t="shared" si="23"/>
        <v>1.4400428530176885</v>
      </c>
    </row>
    <row r="356" spans="3:7">
      <c r="C356" s="1">
        <v>77</v>
      </c>
      <c r="D356">
        <f t="shared" si="20"/>
        <v>1.147</v>
      </c>
      <c r="E356">
        <f t="shared" si="21"/>
        <v>0.29985604757421935</v>
      </c>
      <c r="F356">
        <f t="shared" si="22"/>
        <v>1.4468560475742194</v>
      </c>
      <c r="G356">
        <f t="shared" si="23"/>
        <v>1.4909348865676295</v>
      </c>
    </row>
    <row r="357" spans="3:7">
      <c r="C357" s="1">
        <v>77.5</v>
      </c>
      <c r="D357">
        <f t="shared" si="20"/>
        <v>1.1580357142857143</v>
      </c>
      <c r="E357">
        <f t="shared" si="21"/>
        <v>0.25869337204719867</v>
      </c>
      <c r="F357">
        <f t="shared" si="22"/>
        <v>1.4167290863329129</v>
      </c>
      <c r="G357">
        <f t="shared" si="23"/>
        <v>1.457611878165372</v>
      </c>
    </row>
    <row r="358" spans="3:7">
      <c r="C358" s="1">
        <v>78</v>
      </c>
      <c r="D358">
        <f t="shared" si="20"/>
        <v>1.169142857142857</v>
      </c>
      <c r="E358">
        <f t="shared" si="21"/>
        <v>0.15419353679626055</v>
      </c>
      <c r="F358">
        <f t="shared" si="22"/>
        <v>1.3233363939391176</v>
      </c>
      <c r="G358">
        <f t="shared" si="23"/>
        <v>1.3494171293057995</v>
      </c>
    </row>
    <row r="359" spans="3:7">
      <c r="C359" s="1">
        <v>78.5</v>
      </c>
      <c r="D359">
        <f t="shared" si="20"/>
        <v>1.1803214285714285</v>
      </c>
      <c r="E359">
        <f t="shared" si="21"/>
        <v>1.1941746050000897E-2</v>
      </c>
      <c r="F359">
        <f t="shared" si="22"/>
        <v>1.1922631746214294</v>
      </c>
      <c r="G359">
        <f t="shared" si="23"/>
        <v>1.1944165273288028</v>
      </c>
    </row>
    <row r="360" spans="3:7">
      <c r="C360" s="1">
        <v>79</v>
      </c>
      <c r="D360">
        <f t="shared" si="20"/>
        <v>1.1915714285714285</v>
      </c>
      <c r="E360">
        <f t="shared" si="21"/>
        <v>-0.13323380061225251</v>
      </c>
      <c r="F360">
        <f t="shared" si="22"/>
        <v>1.0583376279591761</v>
      </c>
      <c r="G360">
        <f t="shared" si="23"/>
        <v>1.0328138384418859</v>
      </c>
    </row>
    <row r="361" spans="3:7">
      <c r="C361" s="1">
        <v>79.5</v>
      </c>
      <c r="D361">
        <f t="shared" si="20"/>
        <v>1.2028928571428572</v>
      </c>
      <c r="E361">
        <f t="shared" si="21"/>
        <v>-0.24578906619338423</v>
      </c>
      <c r="F361">
        <f t="shared" si="22"/>
        <v>0.95710379094947295</v>
      </c>
      <c r="G361">
        <f t="shared" si="23"/>
        <v>0.90723494505502233</v>
      </c>
    </row>
    <row r="362" spans="3:7">
      <c r="C362" s="1">
        <v>80</v>
      </c>
      <c r="D362">
        <f t="shared" si="20"/>
        <v>1.2142857142857142</v>
      </c>
      <c r="E362">
        <f t="shared" si="21"/>
        <v>-0.29816659617701258</v>
      </c>
      <c r="F362">
        <f t="shared" si="22"/>
        <v>0.91611911810870161</v>
      </c>
      <c r="G362">
        <f t="shared" si="23"/>
        <v>0.85222627607077039</v>
      </c>
    </row>
    <row r="363" spans="3:7">
      <c r="C363" s="1">
        <v>80.5</v>
      </c>
      <c r="D363">
        <f t="shared" si="20"/>
        <v>1.2257499999999999</v>
      </c>
      <c r="E363">
        <f t="shared" si="21"/>
        <v>-0.27754254449292554</v>
      </c>
      <c r="F363">
        <f t="shared" si="22"/>
        <v>0.9482074555070743</v>
      </c>
      <c r="G363">
        <f t="shared" si="23"/>
        <v>0.88555222608779638</v>
      </c>
    </row>
    <row r="364" spans="3:7">
      <c r="C364" s="1">
        <v>81</v>
      </c>
      <c r="D364">
        <f t="shared" si="20"/>
        <v>1.2372857142857143</v>
      </c>
      <c r="E364">
        <f t="shared" si="21"/>
        <v>-0.18896639828233616</v>
      </c>
      <c r="F364">
        <f t="shared" si="22"/>
        <v>1.0483193160033781</v>
      </c>
      <c r="G364">
        <f t="shared" si="23"/>
        <v>1.0034802892109551</v>
      </c>
    </row>
    <row r="365" spans="3:7">
      <c r="C365" s="1">
        <v>81.5</v>
      </c>
      <c r="D365">
        <f t="shared" si="20"/>
        <v>1.248892857142857</v>
      </c>
      <c r="E365">
        <f t="shared" si="21"/>
        <v>-5.4124687338692641E-2</v>
      </c>
      <c r="F365">
        <f t="shared" si="22"/>
        <v>1.1947681698041643</v>
      </c>
      <c r="G365">
        <f t="shared" si="23"/>
        <v>1.1812969217304734</v>
      </c>
    </row>
    <row r="366" spans="3:7">
      <c r="C366" s="1">
        <v>82</v>
      </c>
      <c r="D366">
        <f t="shared" si="20"/>
        <v>1.2605714285714285</v>
      </c>
      <c r="E366">
        <f t="shared" si="21"/>
        <v>9.3968634729925546E-2</v>
      </c>
      <c r="F366">
        <f t="shared" si="22"/>
        <v>1.354540063301354</v>
      </c>
      <c r="G366">
        <f t="shared" si="23"/>
        <v>1.3790256046938374</v>
      </c>
    </row>
    <row r="367" spans="3:7">
      <c r="C367" s="1">
        <v>82.5</v>
      </c>
      <c r="D367">
        <f t="shared" si="20"/>
        <v>1.2723214285714286</v>
      </c>
      <c r="E367">
        <f t="shared" si="21"/>
        <v>0.21905515774595005</v>
      </c>
      <c r="F367">
        <f t="shared" si="22"/>
        <v>1.4913765863173787</v>
      </c>
      <c r="G367">
        <f t="shared" si="23"/>
        <v>1.5510299998106956</v>
      </c>
    </row>
    <row r="368" spans="3:7">
      <c r="C368" s="1">
        <v>83</v>
      </c>
      <c r="D368">
        <f t="shared" si="20"/>
        <v>1.284142857142857</v>
      </c>
      <c r="E368">
        <f t="shared" si="21"/>
        <v>0.2905093383300556</v>
      </c>
      <c r="F368">
        <f t="shared" si="22"/>
        <v>1.5746521954729127</v>
      </c>
      <c r="G368">
        <f t="shared" si="23"/>
        <v>1.6571983488926956</v>
      </c>
    </row>
    <row r="369" spans="3:7">
      <c r="C369" s="1">
        <v>83.5</v>
      </c>
      <c r="D369">
        <f t="shared" si="20"/>
        <v>1.2960357142857142</v>
      </c>
      <c r="E369">
        <f t="shared" si="21"/>
        <v>0.29083670102358444</v>
      </c>
      <c r="F369">
        <f t="shared" si="22"/>
        <v>1.5868724153092986</v>
      </c>
      <c r="G369">
        <f t="shared" si="23"/>
        <v>1.6729704658373161</v>
      </c>
    </row>
    <row r="370" spans="3:7">
      <c r="C370" s="1">
        <v>84</v>
      </c>
      <c r="D370">
        <f t="shared" si="20"/>
        <v>1.3080000000000001</v>
      </c>
      <c r="E370">
        <f t="shared" si="21"/>
        <v>0.21995709602198765</v>
      </c>
      <c r="F370">
        <f t="shared" si="22"/>
        <v>1.5279570960219877</v>
      </c>
      <c r="G370">
        <f t="shared" si="23"/>
        <v>1.5957038815967599</v>
      </c>
    </row>
    <row r="371" spans="3:7">
      <c r="C371" s="1">
        <v>84.5</v>
      </c>
      <c r="D371">
        <f t="shared" si="20"/>
        <v>1.3200357142857144</v>
      </c>
      <c r="E371">
        <f t="shared" si="21"/>
        <v>9.522432264230081E-2</v>
      </c>
      <c r="F371">
        <f t="shared" si="22"/>
        <v>1.4152600369280153</v>
      </c>
      <c r="G371">
        <f t="shared" si="23"/>
        <v>1.4457352210422174</v>
      </c>
    </row>
    <row r="372" spans="3:7">
      <c r="C372" s="1">
        <v>85</v>
      </c>
      <c r="D372">
        <f t="shared" si="20"/>
        <v>1.3321428571428573</v>
      </c>
      <c r="E372">
        <f t="shared" si="21"/>
        <v>-5.2822685984576123E-2</v>
      </c>
      <c r="F372">
        <f t="shared" si="22"/>
        <v>1.2793201711582811</v>
      </c>
      <c r="G372">
        <f t="shared" si="23"/>
        <v>1.261775493313404</v>
      </c>
    </row>
    <row r="373" spans="3:7">
      <c r="C373" s="1">
        <v>85.5</v>
      </c>
      <c r="D373">
        <f t="shared" si="20"/>
        <v>1.3443214285714287</v>
      </c>
      <c r="E373">
        <f t="shared" si="21"/>
        <v>-0.18793685882685079</v>
      </c>
      <c r="F373">
        <f t="shared" si="22"/>
        <v>1.1563845697445778</v>
      </c>
      <c r="G373">
        <f t="shared" si="23"/>
        <v>1.0916738820320897</v>
      </c>
    </row>
    <row r="374" spans="3:7">
      <c r="C374" s="1">
        <v>86</v>
      </c>
      <c r="D374">
        <f t="shared" si="20"/>
        <v>1.3565714285714285</v>
      </c>
      <c r="E374">
        <f t="shared" si="21"/>
        <v>-0.2770375341012179</v>
      </c>
      <c r="F374">
        <f t="shared" si="22"/>
        <v>1.0795338944702106</v>
      </c>
      <c r="G374">
        <f t="shared" si="23"/>
        <v>0.9807502251678335</v>
      </c>
    </row>
    <row r="375" spans="3:7">
      <c r="C375" s="1">
        <v>86.5</v>
      </c>
      <c r="D375">
        <f t="shared" si="20"/>
        <v>1.3688928571428571</v>
      </c>
      <c r="E375">
        <f t="shared" si="21"/>
        <v>-0.29830975900582585</v>
      </c>
      <c r="F375">
        <f t="shared" si="22"/>
        <v>1.0705830981370312</v>
      </c>
      <c r="G375">
        <f t="shared" si="23"/>
        <v>0.96053875882377493</v>
      </c>
    </row>
    <row r="376" spans="3:7">
      <c r="C376" s="1">
        <v>87</v>
      </c>
      <c r="D376">
        <f t="shared" si="20"/>
        <v>1.3812857142857142</v>
      </c>
      <c r="E376">
        <f t="shared" si="21"/>
        <v>-0.24654535098924674</v>
      </c>
      <c r="F376">
        <f t="shared" si="22"/>
        <v>1.1347403632964674</v>
      </c>
      <c r="G376">
        <f t="shared" si="23"/>
        <v>1.0407361430407103</v>
      </c>
    </row>
    <row r="377" spans="3:7">
      <c r="C377" s="1">
        <v>87.5</v>
      </c>
      <c r="D377">
        <f t="shared" si="20"/>
        <v>1.39375</v>
      </c>
      <c r="E377">
        <f t="shared" si="21"/>
        <v>-0.13441804248078273</v>
      </c>
      <c r="F377">
        <f t="shared" si="22"/>
        <v>1.2593319575192172</v>
      </c>
      <c r="G377">
        <f t="shared" si="23"/>
        <v>1.2064048532924092</v>
      </c>
    </row>
    <row r="378" spans="3:7">
      <c r="C378" s="1">
        <v>88</v>
      </c>
      <c r="D378">
        <f t="shared" si="20"/>
        <v>1.4062857142857144</v>
      </c>
      <c r="E378">
        <f t="shared" si="21"/>
        <v>1.0619490820098203E-2</v>
      </c>
      <c r="F378">
        <f t="shared" si="22"/>
        <v>1.4169052051058126</v>
      </c>
      <c r="G378">
        <f t="shared" si="23"/>
        <v>1.4212197525190069</v>
      </c>
    </row>
    <row r="379" spans="3:7">
      <c r="C379" s="1">
        <v>88.5</v>
      </c>
      <c r="D379">
        <f t="shared" si="20"/>
        <v>1.4188928571428572</v>
      </c>
      <c r="E379">
        <f t="shared" si="21"/>
        <v>0.15305700240052891</v>
      </c>
      <c r="F379">
        <f t="shared" si="22"/>
        <v>1.5719498595433861</v>
      </c>
      <c r="G379">
        <f t="shared" si="23"/>
        <v>1.6360643445846648</v>
      </c>
    </row>
    <row r="380" spans="3:7">
      <c r="C380" s="1">
        <v>89</v>
      </c>
      <c r="D380">
        <f t="shared" si="20"/>
        <v>1.4315714285714287</v>
      </c>
      <c r="E380">
        <f t="shared" si="21"/>
        <v>0.25802082174373597</v>
      </c>
      <c r="F380">
        <f t="shared" si="22"/>
        <v>1.6895922503151648</v>
      </c>
      <c r="G380">
        <f t="shared" si="23"/>
        <v>1.8009466649562826</v>
      </c>
    </row>
    <row r="381" spans="3:7">
      <c r="C381" s="1">
        <v>89.5</v>
      </c>
      <c r="D381">
        <f t="shared" si="20"/>
        <v>1.4443214285714285</v>
      </c>
      <c r="E381">
        <f t="shared" si="21"/>
        <v>0.2998121451333251</v>
      </c>
      <c r="F381">
        <f t="shared" si="22"/>
        <v>1.7441335737047536</v>
      </c>
      <c r="G381">
        <f t="shared" si="23"/>
        <v>1.8773465343334572</v>
      </c>
    </row>
    <row r="382" spans="3:7">
      <c r="C382" s="1">
        <v>90</v>
      </c>
      <c r="D382">
        <f t="shared" si="20"/>
        <v>1.4571428571428573</v>
      </c>
      <c r="E382">
        <f t="shared" si="21"/>
        <v>0.26819899908016737</v>
      </c>
      <c r="F382">
        <f t="shared" si="22"/>
        <v>1.7253418562230247</v>
      </c>
      <c r="G382">
        <f t="shared" si="23"/>
        <v>1.847947112945387</v>
      </c>
    </row>
    <row r="383" spans="3:7">
      <c r="C383" s="1">
        <v>90.5</v>
      </c>
      <c r="D383">
        <f t="shared" si="20"/>
        <v>1.4700357142857143</v>
      </c>
      <c r="E383">
        <f t="shared" si="21"/>
        <v>0.17092138428508891</v>
      </c>
      <c r="F383">
        <f t="shared" si="22"/>
        <v>1.6409570985708033</v>
      </c>
      <c r="G383">
        <f t="shared" si="23"/>
        <v>1.7212962535199481</v>
      </c>
    </row>
    <row r="384" spans="3:7">
      <c r="C384" s="1">
        <v>91</v>
      </c>
      <c r="D384">
        <f t="shared" si="20"/>
        <v>1.4830000000000001</v>
      </c>
      <c r="E384">
        <f t="shared" si="21"/>
        <v>3.1796253525347054E-2</v>
      </c>
      <c r="F384">
        <f t="shared" si="22"/>
        <v>1.5147962535253472</v>
      </c>
      <c r="G384">
        <f t="shared" si="23"/>
        <v>1.5301538439780897</v>
      </c>
    </row>
    <row r="385" spans="3:7">
      <c r="C385" s="1">
        <v>91.5</v>
      </c>
      <c r="D385">
        <f t="shared" si="20"/>
        <v>1.4960357142857144</v>
      </c>
      <c r="E385">
        <f t="shared" si="21"/>
        <v>-0.11511370903050916</v>
      </c>
      <c r="F385">
        <f t="shared" si="22"/>
        <v>1.3809220052552051</v>
      </c>
      <c r="G385">
        <f t="shared" si="23"/>
        <v>1.3238214943721787</v>
      </c>
    </row>
    <row r="386" spans="3:7">
      <c r="C386" s="1">
        <v>92</v>
      </c>
      <c r="D386">
        <f t="shared" si="20"/>
        <v>1.5091428571428571</v>
      </c>
      <c r="E386">
        <f t="shared" si="21"/>
        <v>-0.2338398208847414</v>
      </c>
      <c r="F386">
        <f t="shared" si="22"/>
        <v>1.2753030362581157</v>
      </c>
      <c r="G386">
        <f t="shared" si="23"/>
        <v>1.1562451617390845</v>
      </c>
    </row>
    <row r="387" spans="3:7">
      <c r="C387" s="1">
        <v>92.5</v>
      </c>
      <c r="D387">
        <f t="shared" ref="D387:D402" si="24">C387*C387/$A$1+$A$2</f>
        <v>1.5223214285714286</v>
      </c>
      <c r="E387">
        <f t="shared" ref="E387:E402" si="25">$A$3*SIN(C387)</f>
        <v>-0.29531378913752532</v>
      </c>
      <c r="F387">
        <f t="shared" ref="F387:F402" si="26">D387+E387</f>
        <v>1.2270076394339033</v>
      </c>
      <c r="G387">
        <f t="shared" ref="G387:G402" si="27">D387*(E387+1)</f>
        <v>1.0727589192147495</v>
      </c>
    </row>
    <row r="388" spans="3:7">
      <c r="C388" s="1">
        <v>93</v>
      </c>
      <c r="D388">
        <f t="shared" si="24"/>
        <v>1.5355714285714286</v>
      </c>
      <c r="E388">
        <f t="shared" si="25"/>
        <v>-0.28448464238098414</v>
      </c>
      <c r="F388">
        <f t="shared" si="26"/>
        <v>1.2510867861904444</v>
      </c>
      <c r="G388">
        <f t="shared" si="27"/>
        <v>1.0987249398638288</v>
      </c>
    </row>
    <row r="389" spans="3:7">
      <c r="C389" s="1">
        <v>93.5</v>
      </c>
      <c r="D389">
        <f t="shared" si="24"/>
        <v>1.5488928571428573</v>
      </c>
      <c r="E389">
        <f t="shared" si="25"/>
        <v>-0.20400373342081585</v>
      </c>
      <c r="F389">
        <f t="shared" si="26"/>
        <v>1.3448891237220415</v>
      </c>
      <c r="G389">
        <f t="shared" si="27"/>
        <v>1.2329129316168801</v>
      </c>
    </row>
    <row r="390" spans="3:7">
      <c r="C390" s="1">
        <v>94</v>
      </c>
      <c r="D390">
        <f t="shared" si="24"/>
        <v>1.5622857142857143</v>
      </c>
      <c r="E390">
        <f t="shared" si="25"/>
        <v>-7.3575595640296296E-2</v>
      </c>
      <c r="F390">
        <f t="shared" si="26"/>
        <v>1.4887101186454179</v>
      </c>
      <c r="G390">
        <f t="shared" si="27"/>
        <v>1.4473396122968172</v>
      </c>
    </row>
    <row r="391" spans="3:7">
      <c r="C391" s="1">
        <v>94.5</v>
      </c>
      <c r="D391">
        <f t="shared" si="24"/>
        <v>1.57575</v>
      </c>
      <c r="E391">
        <f t="shared" si="25"/>
        <v>7.4866413991573136E-2</v>
      </c>
      <c r="F391">
        <f t="shared" si="26"/>
        <v>1.6506164139915731</v>
      </c>
      <c r="G391">
        <f t="shared" si="27"/>
        <v>1.6937207518472213</v>
      </c>
    </row>
    <row r="392" spans="3:7">
      <c r="C392" s="1">
        <v>95</v>
      </c>
      <c r="D392">
        <f t="shared" si="24"/>
        <v>1.5892857142857144</v>
      </c>
      <c r="E392">
        <f t="shared" si="25"/>
        <v>0.20497851442083628</v>
      </c>
      <c r="F392">
        <f t="shared" si="26"/>
        <v>1.7942642287065507</v>
      </c>
      <c r="G392">
        <f t="shared" si="27"/>
        <v>1.9150551389902577</v>
      </c>
    </row>
    <row r="393" spans="3:7">
      <c r="C393" s="1">
        <v>95.5</v>
      </c>
      <c r="D393">
        <f t="shared" si="24"/>
        <v>1.6028928571428571</v>
      </c>
      <c r="E393">
        <f t="shared" si="25"/>
        <v>0.28490472564426728</v>
      </c>
      <c r="F393">
        <f t="shared" si="26"/>
        <v>1.8877975827871243</v>
      </c>
      <c r="G393">
        <f t="shared" si="27"/>
        <v>2.0595646068442988</v>
      </c>
    </row>
    <row r="394" spans="3:7">
      <c r="C394" s="1">
        <v>96</v>
      </c>
      <c r="D394">
        <f t="shared" si="24"/>
        <v>1.6165714285714285</v>
      </c>
      <c r="E394">
        <f t="shared" si="25"/>
        <v>0.29507632363030345</v>
      </c>
      <c r="F394">
        <f t="shared" si="26"/>
        <v>1.9116477522017319</v>
      </c>
      <c r="G394">
        <f t="shared" si="27"/>
        <v>2.0935833826000732</v>
      </c>
    </row>
    <row r="395" spans="3:7">
      <c r="C395" s="1">
        <v>96.5</v>
      </c>
      <c r="D395">
        <f t="shared" si="24"/>
        <v>1.6303214285714287</v>
      </c>
      <c r="E395">
        <f t="shared" si="25"/>
        <v>0.23300294644508157</v>
      </c>
      <c r="F395">
        <f t="shared" si="26"/>
        <v>1.8633243750165103</v>
      </c>
      <c r="G395">
        <f t="shared" si="27"/>
        <v>2.0101911250811262</v>
      </c>
    </row>
    <row r="396" spans="3:7">
      <c r="C396" s="1">
        <v>97</v>
      </c>
      <c r="D396">
        <f t="shared" si="24"/>
        <v>1.6441428571428571</v>
      </c>
      <c r="E396">
        <f t="shared" si="25"/>
        <v>0.1138823217082565</v>
      </c>
      <c r="F396">
        <f t="shared" si="26"/>
        <v>1.7580251788511136</v>
      </c>
      <c r="G396">
        <f t="shared" si="27"/>
        <v>1.831381662934332</v>
      </c>
    </row>
    <row r="397" spans="3:7">
      <c r="C397" s="1">
        <v>97.5</v>
      </c>
      <c r="D397">
        <f t="shared" si="24"/>
        <v>1.6580357142857143</v>
      </c>
      <c r="E397">
        <f t="shared" si="25"/>
        <v>-3.3120667167570846E-2</v>
      </c>
      <c r="F397">
        <f t="shared" si="26"/>
        <v>1.6249150471181435</v>
      </c>
      <c r="G397">
        <f t="shared" si="27"/>
        <v>1.6031204652409115</v>
      </c>
    </row>
    <row r="398" spans="3:7">
      <c r="C398" s="1">
        <v>98</v>
      </c>
      <c r="D398">
        <f t="shared" si="24"/>
        <v>1.6720000000000002</v>
      </c>
      <c r="E398">
        <f t="shared" si="25"/>
        <v>-0.17201456159712686</v>
      </c>
      <c r="F398">
        <f t="shared" si="26"/>
        <v>1.4999854384028732</v>
      </c>
      <c r="G398">
        <f t="shared" si="27"/>
        <v>1.3843916530096039</v>
      </c>
    </row>
    <row r="399" spans="3:7">
      <c r="C399" s="1">
        <v>98.5</v>
      </c>
      <c r="D399">
        <f t="shared" si="24"/>
        <v>1.6860357142857143</v>
      </c>
      <c r="E399">
        <f t="shared" si="25"/>
        <v>-0.26879329213014097</v>
      </c>
      <c r="F399">
        <f t="shared" si="26"/>
        <v>1.4172424221555733</v>
      </c>
      <c r="G399">
        <f t="shared" si="27"/>
        <v>1.2328406239938634</v>
      </c>
    </row>
    <row r="400" spans="3:7">
      <c r="C400" s="1">
        <v>99</v>
      </c>
      <c r="D400">
        <f t="shared" si="24"/>
        <v>1.7001428571428572</v>
      </c>
      <c r="E400">
        <f t="shared" si="25"/>
        <v>-0.29976205025590608</v>
      </c>
      <c r="F400">
        <f t="shared" si="26"/>
        <v>1.4003808068869512</v>
      </c>
      <c r="G400">
        <f t="shared" si="27"/>
        <v>1.1905045485577803</v>
      </c>
    </row>
    <row r="401" spans="3:7">
      <c r="C401" s="1">
        <v>99.5</v>
      </c>
      <c r="D401">
        <f t="shared" si="24"/>
        <v>1.7143214285714286</v>
      </c>
      <c r="E401">
        <f t="shared" si="25"/>
        <v>-0.2573386039120365</v>
      </c>
      <c r="F401">
        <f t="shared" si="26"/>
        <v>1.4569828246593921</v>
      </c>
      <c r="G401">
        <f t="shared" si="27"/>
        <v>1.2731603454863691</v>
      </c>
    </row>
    <row r="402" spans="3:7">
      <c r="C402" s="1">
        <v>100</v>
      </c>
      <c r="D402">
        <f t="shared" si="24"/>
        <v>1.7285714285714286</v>
      </c>
      <c r="E402">
        <f t="shared" si="25"/>
        <v>-0.15190969233292764</v>
      </c>
      <c r="F402">
        <f t="shared" si="26"/>
        <v>1.5766617362385009</v>
      </c>
      <c r="G402">
        <f t="shared" si="27"/>
        <v>1.4659846746816538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B610A-D700-4E5A-9D42-1B390281D428}">
  <dimension ref="B1:V218"/>
  <sheetViews>
    <sheetView topLeftCell="J1" workbookViewId="0">
      <selection activeCell="P1" sqref="P1:P1048576"/>
    </sheetView>
  </sheetViews>
  <sheetFormatPr defaultColWidth="9" defaultRowHeight="18.75" customHeight="1"/>
  <cols>
    <col min="1" max="1" width="9" style="2"/>
    <col min="2" max="2" width="9.25" style="2" bestFit="1" customWidth="1"/>
    <col min="3" max="3" width="9" style="2"/>
    <col min="4" max="4" width="9" style="2" customWidth="1"/>
    <col min="5" max="5" width="9" style="11"/>
    <col min="6" max="6" width="10.625" style="11" bestFit="1" customWidth="1"/>
    <col min="7" max="8" width="9" style="2"/>
    <col min="9" max="9" width="14.25" style="2" bestFit="1" customWidth="1"/>
    <col min="10" max="10" width="9.25" style="2" bestFit="1" customWidth="1"/>
    <col min="11" max="11" width="14.375" style="2" bestFit="1" customWidth="1"/>
    <col min="12" max="12" width="11.75" style="2" bestFit="1" customWidth="1"/>
    <col min="13" max="14" width="9" style="2"/>
    <col min="15" max="15" width="10.25" style="2" bestFit="1" customWidth="1"/>
    <col min="16" max="16" width="8.25" style="2" hidden="1" customWidth="1"/>
    <col min="17" max="17" width="8.25" style="2" bestFit="1" customWidth="1"/>
    <col min="18" max="19" width="8" style="11" bestFit="1" customWidth="1"/>
    <col min="20" max="21" width="9" style="2"/>
    <col min="22" max="22" width="9.625" style="2" bestFit="1" customWidth="1"/>
    <col min="23" max="30" width="9" style="2"/>
    <col min="31" max="35" width="9" style="2" customWidth="1"/>
    <col min="36" max="16384" width="9" style="2"/>
  </cols>
  <sheetData>
    <row r="1" spans="2:22" ht="37.5">
      <c r="B1" s="8"/>
      <c r="C1" s="7" t="s">
        <v>15</v>
      </c>
      <c r="D1" s="7"/>
      <c r="E1" s="12"/>
      <c r="F1" s="15"/>
      <c r="O1" s="17" t="s">
        <v>0</v>
      </c>
      <c r="P1" s="17" t="s">
        <v>16</v>
      </c>
      <c r="Q1" s="17" t="s">
        <v>5</v>
      </c>
      <c r="R1" s="18" t="s">
        <v>17</v>
      </c>
      <c r="S1" s="18" t="s">
        <v>6</v>
      </c>
      <c r="T1" s="17" t="s">
        <v>18</v>
      </c>
      <c r="U1" s="17" t="s">
        <v>19</v>
      </c>
      <c r="V1" s="2" t="s">
        <v>20</v>
      </c>
    </row>
    <row r="2" spans="2:22" ht="18.75" customHeight="1">
      <c r="B2" s="9">
        <v>29221</v>
      </c>
      <c r="C2" s="6">
        <v>248608</v>
      </c>
      <c r="D2" s="10">
        <f>B2^3*$I$2+B2^2*$J$2+B2*$K$2+$L$2</f>
        <v>248042.18021169305</v>
      </c>
      <c r="E2" s="14">
        <f>EXP($I$3*B2+$J$3)</f>
        <v>271229.04452223581</v>
      </c>
      <c r="F2" s="14">
        <f>D2-E2</f>
        <v>-23186.864310542762</v>
      </c>
      <c r="I2" s="2">
        <f t="array" ref="I2:L2">LINEST($C$2:$C$22,$B$2:$B$22^{1,2,3})</f>
        <v>-1.4489252485426397E-6</v>
      </c>
      <c r="J2" s="2">
        <v>0.13838266500897925</v>
      </c>
      <c r="K2" s="2">
        <v>-4346.468596874066</v>
      </c>
      <c r="L2" s="2">
        <v>45247738.367504314</v>
      </c>
      <c r="O2" s="16">
        <v>29221</v>
      </c>
      <c r="P2" s="11">
        <f>O2^3*$I$2+O2^2*$J$2+O2*$K$2+$L$2</f>
        <v>248042.18021169305</v>
      </c>
      <c r="Q2" s="11">
        <f>EXP($I$3*O2+$J$3)</f>
        <v>271229.04452223581</v>
      </c>
      <c r="R2" s="11">
        <v>-32014.778015375137</v>
      </c>
      <c r="S2" s="11">
        <v>588.98337502532581</v>
      </c>
      <c r="T2" s="11">
        <f>SUM(Q2:S2)</f>
        <v>239803.249881886</v>
      </c>
      <c r="U2" s="11">
        <v>-1938.4970964852316</v>
      </c>
      <c r="V2" s="11">
        <f>T2+U2</f>
        <v>237864.75278540078</v>
      </c>
    </row>
    <row r="3" spans="2:22" ht="18.75" customHeight="1">
      <c r="B3" s="9">
        <v>29587</v>
      </c>
      <c r="C3" s="6">
        <v>263969</v>
      </c>
      <c r="D3" s="10">
        <f t="shared" ref="D3:D22" si="0">B3^3*$I$2+B3^2*$J$2+B3*$K$2+$L$2</f>
        <v>260226.00150679052</v>
      </c>
      <c r="E3" s="10">
        <f t="shared" ref="E3:E22" si="1">EXP($I$3*B3+$J$3)</f>
        <v>282146.15513177251</v>
      </c>
      <c r="F3" s="10">
        <f t="shared" ref="F3:F22" si="2">D3-E3</f>
        <v>-21920.153624981991</v>
      </c>
      <c r="I3" s="2">
        <f t="array" ref="I3:J3">LINEST(LN($D$2:$D$22), $B$2:$B$22)</f>
        <v>1.078184989985249E-4</v>
      </c>
      <c r="J3" s="2">
        <v>9.3601545663990091</v>
      </c>
      <c r="O3" s="16">
        <v>29252</v>
      </c>
      <c r="P3" s="11">
        <f t="shared" ref="P3:P66" si="3">O3^3*$I$2+O3^2*$J$2+O3*$K$2+$L$2</f>
        <v>248962.08587288857</v>
      </c>
      <c r="Q3" s="11">
        <f t="shared" ref="Q3:Q66" si="4">EXP($I$3*O3+$J$3)</f>
        <v>272137.10998624656</v>
      </c>
      <c r="R3" s="11">
        <v>-29047.955391407013</v>
      </c>
      <c r="S3" s="11">
        <v>7225.4655458402231</v>
      </c>
      <c r="T3" s="11">
        <f t="shared" ref="T3:T66" si="5">SUM(Q3:S3)</f>
        <v>250314.62014067976</v>
      </c>
      <c r="U3" s="11">
        <v>-7081.7855697536152</v>
      </c>
      <c r="V3" s="11">
        <f t="shared" ref="V3:V66" si="6">T3+U3</f>
        <v>243232.83457092615</v>
      </c>
    </row>
    <row r="4" spans="2:22" ht="18.75" customHeight="1">
      <c r="B4" s="9">
        <v>29952</v>
      </c>
      <c r="C4" s="6">
        <v>276969</v>
      </c>
      <c r="D4" s="10">
        <f t="shared" si="0"/>
        <v>274984.93310779333</v>
      </c>
      <c r="E4" s="10">
        <f t="shared" si="1"/>
        <v>293471.04182844301</v>
      </c>
      <c r="F4" s="10">
        <f t="shared" si="2"/>
        <v>-18486.108720649674</v>
      </c>
      <c r="O4" s="16">
        <v>29281</v>
      </c>
      <c r="P4" s="11">
        <f t="shared" si="3"/>
        <v>249842.18938279152</v>
      </c>
      <c r="Q4" s="11">
        <f t="shared" si="4"/>
        <v>272989.34267233248</v>
      </c>
      <c r="R4" s="11">
        <v>-26368.544521093369</v>
      </c>
      <c r="S4" s="11">
        <v>14702.969673403668</v>
      </c>
      <c r="T4" s="11">
        <f t="shared" si="5"/>
        <v>261323.76782464277</v>
      </c>
      <c r="U4" s="11">
        <v>9092.4584536362818</v>
      </c>
      <c r="V4" s="11">
        <f t="shared" si="6"/>
        <v>270416.22627827903</v>
      </c>
    </row>
    <row r="5" spans="2:22" ht="18.75" customHeight="1">
      <c r="B5" s="9">
        <v>30317</v>
      </c>
      <c r="C5" s="6">
        <v>289542</v>
      </c>
      <c r="D5" s="10">
        <f t="shared" si="0"/>
        <v>291925.56740084291</v>
      </c>
      <c r="E5" s="10">
        <f t="shared" si="1"/>
        <v>305250.49101465911</v>
      </c>
      <c r="F5" s="10">
        <f t="shared" si="2"/>
        <v>-13324.923613816209</v>
      </c>
      <c r="O5" s="16">
        <v>29312</v>
      </c>
      <c r="P5" s="11">
        <f t="shared" si="3"/>
        <v>250803.63908387721</v>
      </c>
      <c r="Q5" s="11">
        <f t="shared" si="4"/>
        <v>273903.30155369191</v>
      </c>
      <c r="R5" s="11">
        <v>-23605.310224056244</v>
      </c>
      <c r="S5" s="11">
        <v>26366.176148156963</v>
      </c>
      <c r="T5" s="11">
        <f t="shared" si="5"/>
        <v>276664.16747779265</v>
      </c>
      <c r="U5" s="11">
        <v>-4626.1159582222499</v>
      </c>
      <c r="V5" s="11">
        <f t="shared" si="6"/>
        <v>272038.05151957041</v>
      </c>
    </row>
    <row r="6" spans="2:22" ht="18.75" customHeight="1">
      <c r="B6" s="9">
        <v>30682</v>
      </c>
      <c r="C6" s="6">
        <v>309640</v>
      </c>
      <c r="D6" s="10">
        <f t="shared" si="0"/>
        <v>310625.16197086871</v>
      </c>
      <c r="E6" s="10">
        <f t="shared" si="1"/>
        <v>317502.74808769824</v>
      </c>
      <c r="F6" s="10">
        <f t="shared" si="2"/>
        <v>-6877.5861168295378</v>
      </c>
      <c r="O6" s="16">
        <v>29342</v>
      </c>
      <c r="P6" s="11">
        <f t="shared" si="3"/>
        <v>251754.15198305249</v>
      </c>
      <c r="Q6" s="11">
        <f t="shared" si="4"/>
        <v>274790.69122066704</v>
      </c>
      <c r="R6" s="11">
        <v>-21028.941474437714</v>
      </c>
      <c r="S6" s="11">
        <v>30760.891800879039</v>
      </c>
      <c r="T6" s="11">
        <f t="shared" si="5"/>
        <v>284522.64154710836</v>
      </c>
      <c r="U6" s="11">
        <v>-6047.5440942945534</v>
      </c>
      <c r="V6" s="11">
        <f t="shared" si="6"/>
        <v>278475.09745281382</v>
      </c>
    </row>
    <row r="7" spans="2:22" ht="18.75" customHeight="1">
      <c r="B7" s="9">
        <v>31048</v>
      </c>
      <c r="C7" s="6">
        <v>329979</v>
      </c>
      <c r="D7" s="10">
        <f t="shared" si="0"/>
        <v>330717.31483580172</v>
      </c>
      <c r="E7" s="10">
        <f t="shared" si="1"/>
        <v>330282.39941822138</v>
      </c>
      <c r="F7" s="10">
        <f t="shared" si="2"/>
        <v>434.91541758034145</v>
      </c>
      <c r="O7" s="16">
        <v>29373</v>
      </c>
      <c r="P7" s="11">
        <f t="shared" si="3"/>
        <v>252756.84353452921</v>
      </c>
      <c r="Q7" s="11">
        <f t="shared" si="4"/>
        <v>275710.68095468887</v>
      </c>
      <c r="R7" s="11">
        <v>-18465.994772195816</v>
      </c>
      <c r="S7" s="11">
        <v>24135.461905402834</v>
      </c>
      <c r="T7" s="11">
        <f t="shared" si="5"/>
        <v>281380.14808789588</v>
      </c>
      <c r="U7" s="11">
        <v>8884.2481723570854</v>
      </c>
      <c r="V7" s="11">
        <f t="shared" si="6"/>
        <v>290264.39626025298</v>
      </c>
    </row>
    <row r="8" spans="2:22" ht="18.75" customHeight="1">
      <c r="B8" s="9">
        <v>31413</v>
      </c>
      <c r="C8" s="6">
        <v>344885</v>
      </c>
      <c r="D8" s="10">
        <f t="shared" si="0"/>
        <v>351668.52470128238</v>
      </c>
      <c r="E8" s="10">
        <f t="shared" si="1"/>
        <v>343539.39648617333</v>
      </c>
      <c r="F8" s="10">
        <f t="shared" si="2"/>
        <v>8129.1282151090563</v>
      </c>
      <c r="O8" s="16">
        <v>29403</v>
      </c>
      <c r="P8" s="11">
        <f t="shared" si="3"/>
        <v>253746.78267127275</v>
      </c>
      <c r="Q8" s="11">
        <f t="shared" si="4"/>
        <v>276603.92615460441</v>
      </c>
      <c r="R8" s="11">
        <v>-16080.218624353409</v>
      </c>
      <c r="S8" s="11">
        <v>9035.5089355065847</v>
      </c>
      <c r="T8" s="11">
        <f t="shared" si="5"/>
        <v>269559.21646575758</v>
      </c>
      <c r="U8" s="11">
        <v>6490.4225958250918</v>
      </c>
      <c r="V8" s="11">
        <f t="shared" si="6"/>
        <v>276049.63906158268</v>
      </c>
    </row>
    <row r="9" spans="2:22" ht="18.75" customHeight="1">
      <c r="B9" s="9">
        <v>31778</v>
      </c>
      <c r="C9" s="6">
        <v>361967</v>
      </c>
      <c r="D9" s="10">
        <f t="shared" si="0"/>
        <v>373109.30940018594</v>
      </c>
      <c r="E9" s="10">
        <f t="shared" si="1"/>
        <v>357328.50780414056</v>
      </c>
      <c r="F9" s="10">
        <f t="shared" si="2"/>
        <v>15780.801596045378</v>
      </c>
      <c r="O9" s="16">
        <v>29434</v>
      </c>
      <c r="P9" s="11">
        <f t="shared" si="3"/>
        <v>254789.71326333284</v>
      </c>
      <c r="Q9" s="11">
        <f t="shared" si="4"/>
        <v>277529.9865364976</v>
      </c>
      <c r="R9" s="11">
        <v>-13710.897819042206</v>
      </c>
      <c r="S9" s="11">
        <v>-11512.115043864824</v>
      </c>
      <c r="T9" s="11">
        <f t="shared" si="5"/>
        <v>252306.97367359058</v>
      </c>
      <c r="U9" s="11">
        <v>-2644.5808555027584</v>
      </c>
      <c r="V9" s="11">
        <f t="shared" si="6"/>
        <v>249662.39281808783</v>
      </c>
    </row>
    <row r="10" spans="2:22" ht="18.75" customHeight="1">
      <c r="B10" s="9">
        <v>32143</v>
      </c>
      <c r="C10" s="6">
        <v>387834</v>
      </c>
      <c r="D10" s="10">
        <f t="shared" si="0"/>
        <v>394616.92651741207</v>
      </c>
      <c r="E10" s="10">
        <f t="shared" si="1"/>
        <v>371671.09157063661</v>
      </c>
      <c r="F10" s="10">
        <f t="shared" si="2"/>
        <v>22945.83494677546</v>
      </c>
      <c r="O10" s="16">
        <v>29465</v>
      </c>
      <c r="P10" s="11">
        <f t="shared" si="3"/>
        <v>255852.70889671147</v>
      </c>
      <c r="Q10" s="11">
        <f t="shared" si="4"/>
        <v>278459.14733653265</v>
      </c>
      <c r="R10" s="11">
        <v>-11437.452280759811</v>
      </c>
      <c r="S10" s="11">
        <v>-29942.575873501661</v>
      </c>
      <c r="T10" s="11">
        <f t="shared" si="5"/>
        <v>237079.11918227118</v>
      </c>
      <c r="U10" s="11">
        <v>770.52187688091715</v>
      </c>
      <c r="V10" s="11">
        <f t="shared" si="6"/>
        <v>237849.64105915211</v>
      </c>
    </row>
    <row r="11" spans="2:22" ht="18.75" customHeight="1">
      <c r="B11" s="9">
        <v>32509</v>
      </c>
      <c r="C11" s="6">
        <v>416905</v>
      </c>
      <c r="D11" s="10">
        <f t="shared" si="0"/>
        <v>415825.70698265731</v>
      </c>
      <c r="E11" s="10">
        <f t="shared" si="1"/>
        <v>386631.04699941829</v>
      </c>
      <c r="F11" s="10">
        <f t="shared" si="2"/>
        <v>29194.65998323902</v>
      </c>
      <c r="O11" s="16">
        <v>29495</v>
      </c>
      <c r="P11" s="11">
        <f t="shared" si="3"/>
        <v>256900.2749992162</v>
      </c>
      <c r="Q11" s="11">
        <f t="shared" si="4"/>
        <v>279361.29699526064</v>
      </c>
      <c r="R11" s="11">
        <v>-9327.0414006710052</v>
      </c>
      <c r="S11" s="11">
        <v>-31807.738034068618</v>
      </c>
      <c r="T11" s="11">
        <f t="shared" si="5"/>
        <v>238226.51756052102</v>
      </c>
      <c r="U11" s="11">
        <v>1419.6824709797243</v>
      </c>
      <c r="V11" s="11">
        <f t="shared" si="6"/>
        <v>239646.20003150075</v>
      </c>
    </row>
    <row r="12" spans="2:22" ht="18.75" customHeight="1">
      <c r="B12" s="9">
        <v>32874</v>
      </c>
      <c r="C12" s="6">
        <v>450532</v>
      </c>
      <c r="D12" s="10">
        <f t="shared" si="0"/>
        <v>436196.04771140218</v>
      </c>
      <c r="E12" s="10">
        <f t="shared" si="1"/>
        <v>402149.78691858734</v>
      </c>
      <c r="F12" s="10">
        <f t="shared" si="2"/>
        <v>34046.260792814835</v>
      </c>
      <c r="O12" s="16">
        <v>29526</v>
      </c>
      <c r="P12" s="11">
        <f t="shared" si="3"/>
        <v>258001.99723862112</v>
      </c>
      <c r="Q12" s="11">
        <f t="shared" si="4"/>
        <v>280296.58895939926</v>
      </c>
      <c r="R12" s="11">
        <v>-7237.3410029411316</v>
      </c>
      <c r="S12" s="11">
        <v>-19849.338384994844</v>
      </c>
      <c r="T12" s="11">
        <f t="shared" si="5"/>
        <v>253209.9095714633</v>
      </c>
      <c r="U12" s="11">
        <v>-2562.3459558469208</v>
      </c>
      <c r="V12" s="11">
        <f t="shared" si="6"/>
        <v>250647.56361561638</v>
      </c>
    </row>
    <row r="13" spans="2:22" ht="18.75" customHeight="1">
      <c r="B13" s="9">
        <v>33239</v>
      </c>
      <c r="C13" s="6">
        <v>474627</v>
      </c>
      <c r="D13" s="10">
        <f t="shared" si="0"/>
        <v>455363.83541488647</v>
      </c>
      <c r="E13" s="10">
        <f t="shared" si="1"/>
        <v>418291.42375860084</v>
      </c>
      <c r="F13" s="10">
        <f t="shared" si="2"/>
        <v>37072.411656285636</v>
      </c>
      <c r="O13" s="16">
        <v>29556</v>
      </c>
      <c r="P13" s="11">
        <f t="shared" si="3"/>
        <v>259086.55547122657</v>
      </c>
      <c r="Q13" s="11">
        <f t="shared" si="4"/>
        <v>281204.6915464073</v>
      </c>
      <c r="R13" s="11">
        <v>-5301.6206665039063</v>
      </c>
      <c r="S13" s="11">
        <v>-8556.4728300846164</v>
      </c>
      <c r="T13" s="11">
        <f t="shared" si="5"/>
        <v>267346.59804981877</v>
      </c>
      <c r="U13" s="11">
        <v>-3056.5776194510731</v>
      </c>
      <c r="V13" s="11">
        <f t="shared" si="6"/>
        <v>264290.02043036767</v>
      </c>
    </row>
    <row r="14" spans="2:22" ht="18.75" customHeight="1">
      <c r="B14" s="9">
        <v>33604</v>
      </c>
      <c r="C14" s="6">
        <v>483189</v>
      </c>
      <c r="D14" s="10">
        <f t="shared" si="0"/>
        <v>472906.32767809927</v>
      </c>
      <c r="E14" s="10">
        <f t="shared" si="1"/>
        <v>435080.95958638034</v>
      </c>
      <c r="F14" s="10">
        <f t="shared" si="2"/>
        <v>37825.368091718934</v>
      </c>
      <c r="O14" s="16">
        <v>29587</v>
      </c>
      <c r="P14" s="11">
        <f t="shared" si="3"/>
        <v>260226.00150679052</v>
      </c>
      <c r="Q14" s="11">
        <f t="shared" si="4"/>
        <v>282146.15513177251</v>
      </c>
      <c r="R14" s="11">
        <v>-3389.2243654727936</v>
      </c>
      <c r="S14" s="11">
        <v>588.98337502532581</v>
      </c>
      <c r="T14" s="11">
        <f t="shared" si="5"/>
        <v>279345.91414132505</v>
      </c>
      <c r="U14" s="11">
        <v>3756.6864935049148</v>
      </c>
      <c r="V14" s="11">
        <f t="shared" si="6"/>
        <v>283102.60063482996</v>
      </c>
    </row>
    <row r="15" spans="2:22" ht="18.75" customHeight="1">
      <c r="B15" s="9">
        <v>33970</v>
      </c>
      <c r="C15" s="6">
        <v>487528</v>
      </c>
      <c r="D15" s="10">
        <f t="shared" si="0"/>
        <v>488440.03177414834</v>
      </c>
      <c r="E15" s="10">
        <f t="shared" si="1"/>
        <v>452593.19529946335</v>
      </c>
      <c r="F15" s="10">
        <f t="shared" si="2"/>
        <v>35846.836474684998</v>
      </c>
      <c r="O15" s="16">
        <v>29618</v>
      </c>
      <c r="P15" s="11">
        <f t="shared" si="3"/>
        <v>261384.23434472084</v>
      </c>
      <c r="Q15" s="11">
        <f t="shared" si="4"/>
        <v>283090.77070467232</v>
      </c>
      <c r="R15" s="11">
        <v>-1564.4932107925415</v>
      </c>
      <c r="S15" s="11">
        <v>7225.4655458402231</v>
      </c>
      <c r="T15" s="11">
        <f t="shared" si="5"/>
        <v>288751.74303971999</v>
      </c>
      <c r="U15" s="11">
        <v>12882.200604451198</v>
      </c>
      <c r="V15" s="11">
        <f t="shared" si="6"/>
        <v>301633.94364417117</v>
      </c>
    </row>
    <row r="16" spans="2:22" ht="18.75" customHeight="1">
      <c r="B16" s="9">
        <v>34335</v>
      </c>
      <c r="C16" s="6">
        <v>492266</v>
      </c>
      <c r="D16" s="10">
        <f t="shared" si="0"/>
        <v>501456.35596480966</v>
      </c>
      <c r="E16" s="10">
        <f t="shared" si="1"/>
        <v>470759.54831624165</v>
      </c>
      <c r="F16" s="10">
        <f t="shared" si="2"/>
        <v>30696.807648568007</v>
      </c>
      <c r="O16" s="16">
        <v>29646</v>
      </c>
      <c r="P16" s="11">
        <f t="shared" si="3"/>
        <v>262446.31236504018</v>
      </c>
      <c r="Q16" s="11">
        <f t="shared" si="4"/>
        <v>283946.68984482484</v>
      </c>
      <c r="R16" s="11">
        <v>9.6564061641693115</v>
      </c>
      <c r="S16" s="11">
        <v>14702.969673403668</v>
      </c>
      <c r="T16" s="11">
        <f t="shared" si="5"/>
        <v>298659.31592439266</v>
      </c>
      <c r="U16" s="11">
        <v>5707.2860959430582</v>
      </c>
      <c r="V16" s="11">
        <f t="shared" si="6"/>
        <v>304366.60202033573</v>
      </c>
    </row>
    <row r="17" spans="2:22" ht="18.75" customHeight="1">
      <c r="B17" s="9">
        <v>34700</v>
      </c>
      <c r="C17" s="6">
        <v>501960</v>
      </c>
      <c r="D17" s="10">
        <f t="shared" si="0"/>
        <v>511577.99927163124</v>
      </c>
      <c r="E17" s="10">
        <f t="shared" si="1"/>
        <v>489655.0691273167</v>
      </c>
      <c r="F17" s="10">
        <f t="shared" si="2"/>
        <v>21922.930144314538</v>
      </c>
      <c r="O17" s="16">
        <v>29677</v>
      </c>
      <c r="P17" s="11">
        <f t="shared" si="3"/>
        <v>263639.5852073729</v>
      </c>
      <c r="Q17" s="11">
        <f t="shared" si="4"/>
        <v>284897.33354569506</v>
      </c>
      <c r="R17" s="11">
        <v>1672.0325176715851</v>
      </c>
      <c r="S17" s="11">
        <v>26366.176148156963</v>
      </c>
      <c r="T17" s="11">
        <f t="shared" si="5"/>
        <v>312935.54221152363</v>
      </c>
      <c r="U17" s="11">
        <v>7620.6673267570832</v>
      </c>
      <c r="V17" s="11">
        <f t="shared" si="6"/>
        <v>320556.20953828073</v>
      </c>
    </row>
    <row r="18" spans="2:22" ht="18.75" customHeight="1">
      <c r="B18" s="9">
        <v>35065</v>
      </c>
      <c r="C18" s="6">
        <v>515249</v>
      </c>
      <c r="D18" s="10">
        <f t="shared" si="0"/>
        <v>518382.21927948296</v>
      </c>
      <c r="E18" s="10">
        <f t="shared" si="1"/>
        <v>509309.0253392217</v>
      </c>
      <c r="F18" s="10">
        <f t="shared" si="2"/>
        <v>9073.1939402612625</v>
      </c>
      <c r="O18" s="16">
        <v>29707</v>
      </c>
      <c r="P18" s="11">
        <f t="shared" si="3"/>
        <v>264811.53965309262</v>
      </c>
      <c r="Q18" s="11">
        <f t="shared" si="4"/>
        <v>285820.3415872312</v>
      </c>
      <c r="R18" s="11">
        <v>3201.7715466022491</v>
      </c>
      <c r="S18" s="11">
        <v>30760.891800879039</v>
      </c>
      <c r="T18" s="11">
        <f t="shared" si="5"/>
        <v>319783.00493471249</v>
      </c>
      <c r="U18" s="11">
        <v>-1210.4625603406616</v>
      </c>
      <c r="V18" s="11">
        <f t="shared" si="6"/>
        <v>318572.54237437184</v>
      </c>
    </row>
    <row r="19" spans="2:22" ht="18.75" customHeight="1">
      <c r="B19" s="9">
        <v>35431</v>
      </c>
      <c r="C19" s="6">
        <v>520177</v>
      </c>
      <c r="D19" s="10">
        <f t="shared" si="0"/>
        <v>521449.14303685725</v>
      </c>
      <c r="E19" s="10">
        <f t="shared" si="1"/>
        <v>529808.97944206407</v>
      </c>
      <c r="F19" s="10">
        <f t="shared" si="2"/>
        <v>-8359.8364052068209</v>
      </c>
      <c r="O19" s="16">
        <v>29738</v>
      </c>
      <c r="P19" s="11">
        <f t="shared" si="3"/>
        <v>266040.05392616987</v>
      </c>
      <c r="Q19" s="11">
        <f t="shared" si="4"/>
        <v>286777.25820935832</v>
      </c>
      <c r="R19" s="11">
        <v>4702.4093577861786</v>
      </c>
      <c r="S19" s="11">
        <v>24135.461905402834</v>
      </c>
      <c r="T19" s="11">
        <f t="shared" si="5"/>
        <v>315615.12947254733</v>
      </c>
      <c r="U19" s="11">
        <v>3399.6482636519781</v>
      </c>
      <c r="V19" s="11">
        <f t="shared" si="6"/>
        <v>319014.77773619932</v>
      </c>
    </row>
    <row r="20" spans="2:22" ht="18.75" customHeight="1">
      <c r="B20" s="9">
        <v>35796</v>
      </c>
      <c r="C20" s="6">
        <v>513245</v>
      </c>
      <c r="D20" s="10">
        <f t="shared" si="0"/>
        <v>520338.30328822136</v>
      </c>
      <c r="E20" s="10">
        <f t="shared" si="1"/>
        <v>551074.64815286919</v>
      </c>
      <c r="F20" s="10">
        <f t="shared" si="2"/>
        <v>-30736.344864647835</v>
      </c>
      <c r="O20" s="16">
        <v>29768</v>
      </c>
      <c r="P20" s="11">
        <f t="shared" si="3"/>
        <v>267245.62775175273</v>
      </c>
      <c r="Q20" s="11">
        <f t="shared" si="4"/>
        <v>287706.35681538115</v>
      </c>
      <c r="R20" s="11">
        <v>6078.6068434715271</v>
      </c>
      <c r="S20" s="11">
        <v>9035.5089355065847</v>
      </c>
      <c r="T20" s="11">
        <f t="shared" si="5"/>
        <v>302820.47259435925</v>
      </c>
      <c r="U20" s="11">
        <v>10578.241223148383</v>
      </c>
      <c r="V20" s="11">
        <f t="shared" si="6"/>
        <v>313398.71381750761</v>
      </c>
    </row>
    <row r="21" spans="2:22" ht="18.75" customHeight="1">
      <c r="B21" s="9">
        <v>36161</v>
      </c>
      <c r="C21" s="6">
        <v>514349</v>
      </c>
      <c r="D21" s="10">
        <f t="shared" si="0"/>
        <v>514640.65479707718</v>
      </c>
      <c r="E21" s="10">
        <f t="shared" si="1"/>
        <v>573193.886137255</v>
      </c>
      <c r="F21" s="10">
        <f t="shared" si="2"/>
        <v>-58553.231340177823</v>
      </c>
      <c r="O21" s="16">
        <v>29799</v>
      </c>
      <c r="P21" s="11">
        <f t="shared" si="3"/>
        <v>268508.38064575195</v>
      </c>
      <c r="Q21" s="11">
        <f t="shared" si="4"/>
        <v>288669.58775128791</v>
      </c>
      <c r="R21" s="11">
        <v>7423.6416509151459</v>
      </c>
      <c r="S21" s="11">
        <v>-11512.115043864824</v>
      </c>
      <c r="T21" s="11">
        <f t="shared" si="5"/>
        <v>284581.11435833824</v>
      </c>
      <c r="U21" s="11">
        <v>12239.915234680417</v>
      </c>
      <c r="V21" s="11">
        <f t="shared" si="6"/>
        <v>296821.02959301864</v>
      </c>
    </row>
    <row r="22" spans="2:22" ht="18.75" customHeight="1">
      <c r="B22" s="9">
        <v>36526</v>
      </c>
      <c r="C22" s="6">
        <v>513006</v>
      </c>
      <c r="D22" s="10">
        <f t="shared" si="0"/>
        <v>503933.45514836907</v>
      </c>
      <c r="E22" s="10">
        <f t="shared" si="1"/>
        <v>596200.9542743226</v>
      </c>
      <c r="F22" s="10">
        <f t="shared" si="2"/>
        <v>-92267.499125953531</v>
      </c>
      <c r="O22" s="16">
        <v>29830</v>
      </c>
      <c r="P22" s="11">
        <f t="shared" si="3"/>
        <v>269788.14918752015</v>
      </c>
      <c r="Q22" s="11">
        <f t="shared" si="4"/>
        <v>289636.04355106689</v>
      </c>
      <c r="R22" s="11">
        <v>8691.9225673675537</v>
      </c>
      <c r="S22" s="11">
        <v>-29942.575873501661</v>
      </c>
      <c r="T22" s="11">
        <f t="shared" si="5"/>
        <v>268385.39024493279</v>
      </c>
      <c r="U22" s="11">
        <v>-7538.7312815534024</v>
      </c>
      <c r="V22" s="11">
        <f t="shared" si="6"/>
        <v>260846.65896337939</v>
      </c>
    </row>
    <row r="23" spans="2:22" ht="18.75" customHeight="1">
      <c r="B23" s="5"/>
      <c r="C23" s="5"/>
      <c r="D23" s="5"/>
      <c r="E23" s="13"/>
      <c r="F23" s="13"/>
      <c r="O23" s="16">
        <v>29860</v>
      </c>
      <c r="P23" s="11">
        <f t="shared" si="3"/>
        <v>271042.59209507704</v>
      </c>
      <c r="Q23" s="11">
        <f t="shared" si="4"/>
        <v>290574.40402636235</v>
      </c>
      <c r="R23" s="11">
        <v>9847.6715362071991</v>
      </c>
      <c r="S23" s="11">
        <v>-31807.738034068618</v>
      </c>
      <c r="T23" s="11">
        <f t="shared" si="5"/>
        <v>268614.33752850094</v>
      </c>
      <c r="U23" s="11">
        <v>6006.3243015364687</v>
      </c>
      <c r="V23" s="11">
        <f t="shared" si="6"/>
        <v>274620.66183003742</v>
      </c>
    </row>
    <row r="24" spans="2:22" ht="18.75" customHeight="1">
      <c r="C24" s="4" t="s">
        <v>14</v>
      </c>
      <c r="D24" s="3" t="s">
        <v>13</v>
      </c>
      <c r="O24" s="16">
        <v>29891</v>
      </c>
      <c r="P24" s="11">
        <f t="shared" si="3"/>
        <v>272355.08682322502</v>
      </c>
      <c r="Q24" s="11">
        <f t="shared" si="4"/>
        <v>291547.23708517611</v>
      </c>
      <c r="R24" s="11">
        <v>10969.436286687851</v>
      </c>
      <c r="S24" s="11">
        <v>-19849.338384994844</v>
      </c>
      <c r="T24" s="11">
        <f t="shared" si="5"/>
        <v>282667.33498686913</v>
      </c>
      <c r="U24" s="11">
        <v>-6990.4422606475437</v>
      </c>
      <c r="V24" s="11">
        <f t="shared" si="6"/>
        <v>275676.89272622159</v>
      </c>
    </row>
    <row r="25" spans="2:22" ht="18.75" customHeight="1">
      <c r="C25" s="4" t="s">
        <v>12</v>
      </c>
      <c r="D25" s="3" t="s">
        <v>11</v>
      </c>
      <c r="O25" s="16">
        <v>29921</v>
      </c>
      <c r="P25" s="11">
        <f t="shared" si="3"/>
        <v>273640.71500314772</v>
      </c>
      <c r="Q25" s="11">
        <f t="shared" si="4"/>
        <v>292491.78942958743</v>
      </c>
      <c r="R25" s="11">
        <v>11986.268041133881</v>
      </c>
      <c r="S25" s="11">
        <v>-8556.4728300846164</v>
      </c>
      <c r="T25" s="11">
        <f t="shared" si="5"/>
        <v>295921.58464063669</v>
      </c>
      <c r="U25" s="11">
        <v>-2517.4347650775353</v>
      </c>
      <c r="V25" s="11">
        <f t="shared" si="6"/>
        <v>293404.14987555915</v>
      </c>
    </row>
    <row r="26" spans="2:22" ht="18.75" customHeight="1">
      <c r="C26" s="4" t="s">
        <v>10</v>
      </c>
      <c r="D26" s="3" t="s">
        <v>9</v>
      </c>
      <c r="O26" s="16">
        <v>29952</v>
      </c>
      <c r="P26" s="11">
        <f t="shared" si="3"/>
        <v>274984.93310779333</v>
      </c>
      <c r="Q26" s="11">
        <f t="shared" si="4"/>
        <v>293471.04182844301</v>
      </c>
      <c r="R26" s="11">
        <v>12967.431267023087</v>
      </c>
      <c r="S26" s="11">
        <v>588.98337502532581</v>
      </c>
      <c r="T26" s="11">
        <f t="shared" si="5"/>
        <v>307027.45647049142</v>
      </c>
      <c r="U26" s="11">
        <v>-1255.4985381205277</v>
      </c>
      <c r="V26" s="11">
        <f t="shared" si="6"/>
        <v>305771.95793237089</v>
      </c>
    </row>
    <row r="27" spans="2:22" ht="18.75" customHeight="1">
      <c r="O27" s="16">
        <v>29983</v>
      </c>
      <c r="P27" s="11">
        <f t="shared" si="3"/>
        <v>276344.88862124085</v>
      </c>
      <c r="Q27" s="11">
        <f t="shared" si="4"/>
        <v>294453.57273047429</v>
      </c>
      <c r="R27" s="11">
        <v>13879.379740715027</v>
      </c>
      <c r="S27" s="11">
        <v>7225.4655458402231</v>
      </c>
      <c r="T27" s="11">
        <f t="shared" si="5"/>
        <v>315558.41801702953</v>
      </c>
      <c r="U27" s="11">
        <v>11807.22097758503</v>
      </c>
      <c r="V27" s="11">
        <f t="shared" si="6"/>
        <v>327365.63899461454</v>
      </c>
    </row>
    <row r="28" spans="2:22" ht="18.75" customHeight="1">
      <c r="O28" s="16">
        <v>30011</v>
      </c>
      <c r="P28" s="11">
        <f t="shared" si="3"/>
        <v>277586.54674898088</v>
      </c>
      <c r="Q28" s="11">
        <f t="shared" si="4"/>
        <v>295343.84706954565</v>
      </c>
      <c r="R28" s="11">
        <v>14644.825908184052</v>
      </c>
      <c r="S28" s="11">
        <v>14702.969673403668</v>
      </c>
      <c r="T28" s="11">
        <f t="shared" si="5"/>
        <v>324691.64265113336</v>
      </c>
      <c r="U28" s="11">
        <v>2432.4125741756575</v>
      </c>
      <c r="V28" s="11">
        <f t="shared" si="6"/>
        <v>327124.05522530898</v>
      </c>
    </row>
    <row r="29" spans="2:22" ht="18.75" customHeight="1">
      <c r="O29" s="16">
        <v>30042</v>
      </c>
      <c r="P29" s="11">
        <f t="shared" si="3"/>
        <v>278975.73858220875</v>
      </c>
      <c r="Q29" s="11">
        <f t="shared" si="4"/>
        <v>296332.64805877721</v>
      </c>
      <c r="R29" s="11">
        <v>15429.159006357193</v>
      </c>
      <c r="S29" s="11">
        <v>26366.176148156963</v>
      </c>
      <c r="T29" s="11">
        <f t="shared" si="5"/>
        <v>338127.98321329139</v>
      </c>
      <c r="U29" s="11">
        <v>8561.0564210031007</v>
      </c>
      <c r="V29" s="11">
        <f t="shared" si="6"/>
        <v>346689.03963429446</v>
      </c>
    </row>
    <row r="30" spans="2:22" ht="18.75" customHeight="1">
      <c r="O30" s="16">
        <v>30072</v>
      </c>
      <c r="P30" s="11">
        <f t="shared" si="3"/>
        <v>280334.38862255216</v>
      </c>
      <c r="Q30" s="11">
        <f t="shared" si="4"/>
        <v>297292.70413836115</v>
      </c>
      <c r="R30" s="11">
        <v>16126.37181186676</v>
      </c>
      <c r="S30" s="11">
        <v>30760.891800879039</v>
      </c>
      <c r="T30" s="11">
        <f t="shared" si="5"/>
        <v>344179.96775110695</v>
      </c>
      <c r="U30" s="11">
        <v>1011.6504514366856</v>
      </c>
      <c r="V30" s="11">
        <f t="shared" si="6"/>
        <v>345191.61820254364</v>
      </c>
    </row>
    <row r="31" spans="2:22" ht="18.75" customHeight="1">
      <c r="O31" s="16">
        <v>30103</v>
      </c>
      <c r="P31" s="11">
        <f t="shared" si="3"/>
        <v>281752.82146693766</v>
      </c>
      <c r="Q31" s="11">
        <f t="shared" si="4"/>
        <v>298288.02983368188</v>
      </c>
      <c r="R31" s="11">
        <v>16784.366121292114</v>
      </c>
      <c r="S31" s="11">
        <v>24135.461905402834</v>
      </c>
      <c r="T31" s="11">
        <f t="shared" si="5"/>
        <v>339207.85786037683</v>
      </c>
      <c r="U31" s="11">
        <v>5648.4735274459817</v>
      </c>
      <c r="V31" s="11">
        <f t="shared" si="6"/>
        <v>344856.33138782281</v>
      </c>
    </row>
    <row r="32" spans="2:22" ht="18.75" customHeight="1">
      <c r="O32" s="16">
        <v>30133</v>
      </c>
      <c r="P32" s="11">
        <f t="shared" si="3"/>
        <v>283139.28402939439</v>
      </c>
      <c r="Q32" s="11">
        <f t="shared" si="4"/>
        <v>299254.42094308179</v>
      </c>
      <c r="R32" s="11">
        <v>17362.040263652802</v>
      </c>
      <c r="S32" s="11">
        <v>9035.5089355065847</v>
      </c>
      <c r="T32" s="11">
        <f t="shared" si="5"/>
        <v>325651.97014224116</v>
      </c>
      <c r="U32" s="11">
        <v>7877.918178780229</v>
      </c>
      <c r="V32" s="11">
        <f t="shared" si="6"/>
        <v>333529.8883210214</v>
      </c>
    </row>
    <row r="33" spans="15:22" ht="18.75" customHeight="1">
      <c r="O33" s="16">
        <v>30164</v>
      </c>
      <c r="P33" s="11">
        <f t="shared" si="3"/>
        <v>284585.95507504046</v>
      </c>
      <c r="Q33" s="11">
        <f t="shared" si="4"/>
        <v>300256.31439844391</v>
      </c>
      <c r="R33" s="11">
        <v>17899.304678678513</v>
      </c>
      <c r="S33" s="11">
        <v>-11512.115043864824</v>
      </c>
      <c r="T33" s="11">
        <f t="shared" si="5"/>
        <v>306643.5040332576</v>
      </c>
      <c r="U33" s="11">
        <v>-11550.549632803728</v>
      </c>
      <c r="V33" s="11">
        <f t="shared" si="6"/>
        <v>295092.95440045389</v>
      </c>
    </row>
    <row r="34" spans="15:22" ht="18.75" customHeight="1">
      <c r="O34" s="16">
        <v>30195</v>
      </c>
      <c r="P34" s="11">
        <f t="shared" si="3"/>
        <v>286046.59237483144</v>
      </c>
      <c r="Q34" s="11">
        <f t="shared" si="4"/>
        <v>301261.56215845613</v>
      </c>
      <c r="R34" s="11">
        <v>18377.335867881775</v>
      </c>
      <c r="S34" s="11">
        <v>-29942.575873501661</v>
      </c>
      <c r="T34" s="11">
        <f t="shared" si="5"/>
        <v>289696.32215283625</v>
      </c>
      <c r="U34" s="11">
        <v>-4326.2900854886466</v>
      </c>
      <c r="V34" s="11">
        <f t="shared" si="6"/>
        <v>285370.03206734761</v>
      </c>
    </row>
    <row r="35" spans="15:22" ht="18.75" customHeight="1">
      <c r="O35" s="16">
        <v>30225</v>
      </c>
      <c r="P35" s="11">
        <f t="shared" si="3"/>
        <v>287473.16613554955</v>
      </c>
      <c r="Q35" s="11">
        <f t="shared" si="4"/>
        <v>302237.58689346211</v>
      </c>
      <c r="R35" s="11">
        <v>18784.880994319916</v>
      </c>
      <c r="S35" s="11">
        <v>-31807.738034068618</v>
      </c>
      <c r="T35" s="11">
        <f t="shared" si="5"/>
        <v>289214.72985371342</v>
      </c>
      <c r="U35" s="11">
        <v>-5404.9882155895757</v>
      </c>
      <c r="V35" s="11">
        <f t="shared" si="6"/>
        <v>283809.74163812387</v>
      </c>
    </row>
    <row r="36" spans="15:22" ht="18.75" customHeight="1">
      <c r="O36" s="16">
        <v>30256</v>
      </c>
      <c r="P36" s="11">
        <f t="shared" si="3"/>
        <v>288960.52920207381</v>
      </c>
      <c r="Q36" s="11">
        <f t="shared" si="4"/>
        <v>303249.46788529074</v>
      </c>
      <c r="R36" s="11">
        <v>19150.475209474564</v>
      </c>
      <c r="S36" s="11">
        <v>-19849.338384994844</v>
      </c>
      <c r="T36" s="11">
        <f t="shared" si="5"/>
        <v>302550.60470977047</v>
      </c>
      <c r="U36" s="11">
        <v>-4078.3723898667713</v>
      </c>
      <c r="V36" s="11">
        <f t="shared" si="6"/>
        <v>298472.23231990368</v>
      </c>
    </row>
    <row r="37" spans="15:22" ht="18.75" customHeight="1">
      <c r="O37" s="16">
        <v>30286</v>
      </c>
      <c r="P37" s="11">
        <f t="shared" si="3"/>
        <v>290412.48137742281</v>
      </c>
      <c r="Q37" s="11">
        <f t="shared" si="4"/>
        <v>304231.93302094506</v>
      </c>
      <c r="R37" s="11">
        <v>19451.8282725811</v>
      </c>
      <c r="S37" s="11">
        <v>-8556.4728300846164</v>
      </c>
      <c r="T37" s="11">
        <f t="shared" si="5"/>
        <v>315127.28846344154</v>
      </c>
      <c r="U37" s="11">
        <v>2630.6178511768958</v>
      </c>
      <c r="V37" s="11">
        <f t="shared" si="6"/>
        <v>317757.90631461842</v>
      </c>
    </row>
    <row r="38" spans="15:22" ht="18.75" customHeight="1">
      <c r="O38" s="16">
        <v>30317</v>
      </c>
      <c r="P38" s="11">
        <f t="shared" si="3"/>
        <v>291925.56740084291</v>
      </c>
      <c r="Q38" s="11">
        <f t="shared" si="4"/>
        <v>305250.49101465911</v>
      </c>
      <c r="R38" s="11">
        <v>19710.37375164032</v>
      </c>
      <c r="S38" s="11">
        <v>588.98337502532581</v>
      </c>
      <c r="T38" s="11">
        <f t="shared" si="5"/>
        <v>325549.84814132476</v>
      </c>
      <c r="U38" s="11">
        <v>4261.7288494595496</v>
      </c>
      <c r="V38" s="11">
        <f t="shared" si="6"/>
        <v>329811.57699078432</v>
      </c>
    </row>
    <row r="39" spans="15:22" ht="18.75" customHeight="1">
      <c r="O39" s="16">
        <v>30348</v>
      </c>
      <c r="P39" s="11">
        <f t="shared" si="3"/>
        <v>293451.34143947065</v>
      </c>
      <c r="Q39" s="11">
        <f t="shared" si="4"/>
        <v>306272.45910532156</v>
      </c>
      <c r="R39" s="11">
        <v>19916.55416226387</v>
      </c>
      <c r="S39" s="11">
        <v>7225.4655458402231</v>
      </c>
      <c r="T39" s="11">
        <f t="shared" si="5"/>
        <v>333414.47881342564</v>
      </c>
      <c r="U39" s="11">
        <v>-22251.540045094214</v>
      </c>
      <c r="V39" s="11">
        <f t="shared" si="6"/>
        <v>311162.93876833143</v>
      </c>
    </row>
    <row r="40" spans="15:22" ht="18.75" customHeight="1">
      <c r="O40" s="16">
        <v>30376</v>
      </c>
      <c r="P40" s="11">
        <f t="shared" si="3"/>
        <v>294840.15011948347</v>
      </c>
      <c r="Q40" s="11">
        <f t="shared" si="4"/>
        <v>307198.4676049886</v>
      </c>
      <c r="R40" s="11">
        <v>20058.901982784271</v>
      </c>
      <c r="S40" s="11">
        <v>14702.969673403668</v>
      </c>
      <c r="T40" s="11">
        <f t="shared" si="5"/>
        <v>341960.33926117653</v>
      </c>
      <c r="U40" s="11">
        <v>-4809.7420946872999</v>
      </c>
      <c r="V40" s="11">
        <f t="shared" si="6"/>
        <v>337150.59716648923</v>
      </c>
    </row>
    <row r="41" spans="15:22" ht="18.75" customHeight="1">
      <c r="O41" s="16">
        <v>30407</v>
      </c>
      <c r="P41" s="11">
        <f t="shared" si="3"/>
        <v>296389.35679332912</v>
      </c>
      <c r="Q41" s="11">
        <f t="shared" si="4"/>
        <v>308226.95745392912</v>
      </c>
      <c r="R41" s="11">
        <v>20169.160173892975</v>
      </c>
      <c r="S41" s="11">
        <v>26366.176148156963</v>
      </c>
      <c r="T41" s="11">
        <f t="shared" si="5"/>
        <v>354762.29377597908</v>
      </c>
      <c r="U41" s="11">
        <v>3507.407082750362</v>
      </c>
      <c r="V41" s="11">
        <f t="shared" si="6"/>
        <v>358269.70085872943</v>
      </c>
    </row>
    <row r="42" spans="15:22" ht="18.75" customHeight="1">
      <c r="O42" s="16">
        <v>30437</v>
      </c>
      <c r="P42" s="11">
        <f t="shared" si="3"/>
        <v>297899.95647636056</v>
      </c>
      <c r="Q42" s="11">
        <f t="shared" si="4"/>
        <v>309225.54861941142</v>
      </c>
      <c r="R42" s="11">
        <v>20229.711157798767</v>
      </c>
      <c r="S42" s="11">
        <v>30760.891800879039</v>
      </c>
      <c r="T42" s="11">
        <f t="shared" si="5"/>
        <v>360216.15157808922</v>
      </c>
      <c r="U42" s="11">
        <v>-8722.9610503530639</v>
      </c>
      <c r="V42" s="11">
        <f t="shared" si="6"/>
        <v>351493.19052773615</v>
      </c>
    </row>
    <row r="43" spans="15:22" ht="18.75" customHeight="1">
      <c r="O43" s="16">
        <v>30468</v>
      </c>
      <c r="P43" s="11">
        <f t="shared" si="3"/>
        <v>299472.40374170244</v>
      </c>
      <c r="Q43" s="11">
        <f t="shared" si="4"/>
        <v>310260.82506550715</v>
      </c>
      <c r="R43" s="11">
        <v>20245.880287885666</v>
      </c>
      <c r="S43" s="11">
        <v>24135.461905402834</v>
      </c>
      <c r="T43" s="11">
        <f t="shared" si="5"/>
        <v>354642.16725879564</v>
      </c>
      <c r="U43" s="11">
        <v>-3537.189177761562</v>
      </c>
      <c r="V43" s="11">
        <f t="shared" si="6"/>
        <v>351104.97808103409</v>
      </c>
    </row>
    <row r="44" spans="15:22" ht="18.75" customHeight="1">
      <c r="O44" s="16">
        <v>30498</v>
      </c>
      <c r="P44" s="11">
        <f t="shared" si="3"/>
        <v>301005.00908915699</v>
      </c>
      <c r="Q44" s="11">
        <f t="shared" si="4"/>
        <v>311266.00553857448</v>
      </c>
      <c r="R44" s="11">
        <v>20217.847311973572</v>
      </c>
      <c r="S44" s="11">
        <v>9035.5089355065847</v>
      </c>
      <c r="T44" s="11">
        <f t="shared" si="5"/>
        <v>340519.36178605462</v>
      </c>
      <c r="U44" s="11">
        <v>-4402.561059803229</v>
      </c>
      <c r="V44" s="11">
        <f t="shared" si="6"/>
        <v>336116.80072625139</v>
      </c>
    </row>
    <row r="45" spans="15:22" ht="18.75" customHeight="1">
      <c r="O45" s="16">
        <v>30529</v>
      </c>
      <c r="P45" s="11">
        <f t="shared" si="3"/>
        <v>302599.69413609803</v>
      </c>
      <c r="Q45" s="11">
        <f t="shared" si="4"/>
        <v>312308.11336389201</v>
      </c>
      <c r="R45" s="11">
        <v>20145.009873390198</v>
      </c>
      <c r="S45" s="11">
        <v>-11512.115043864824</v>
      </c>
      <c r="T45" s="11">
        <f t="shared" si="5"/>
        <v>320941.00819341739</v>
      </c>
      <c r="U45" s="11">
        <v>10249.644729205511</v>
      </c>
      <c r="V45" s="11">
        <f t="shared" si="6"/>
        <v>331190.65292262292</v>
      </c>
    </row>
    <row r="46" spans="15:22" ht="18.75" customHeight="1">
      <c r="O46" s="16">
        <v>30560</v>
      </c>
      <c r="P46" s="11">
        <f t="shared" si="3"/>
        <v>304205.29604363441</v>
      </c>
      <c r="Q46" s="11">
        <f t="shared" si="4"/>
        <v>313353.71013018041</v>
      </c>
      <c r="R46" s="11">
        <v>20028.859166622162</v>
      </c>
      <c r="S46" s="11">
        <v>-29942.575873501661</v>
      </c>
      <c r="T46" s="11">
        <f t="shared" si="5"/>
        <v>303439.99342330091</v>
      </c>
      <c r="U46" s="11">
        <v>689.53256806172772</v>
      </c>
      <c r="V46" s="11">
        <f t="shared" si="6"/>
        <v>304129.52599136264</v>
      </c>
    </row>
    <row r="47" spans="15:22" ht="18.75" customHeight="1">
      <c r="O47" s="16">
        <v>30590</v>
      </c>
      <c r="P47" s="11">
        <f t="shared" si="3"/>
        <v>305769.25470553339</v>
      </c>
      <c r="Q47" s="11">
        <f t="shared" si="4"/>
        <v>314368.9109068804</v>
      </c>
      <c r="R47" s="11">
        <v>19876.41942191124</v>
      </c>
      <c r="S47" s="11">
        <v>-31807.738034068618</v>
      </c>
      <c r="T47" s="11">
        <f t="shared" si="5"/>
        <v>302437.59229472303</v>
      </c>
      <c r="U47" s="11">
        <v>-5243.5012432307612</v>
      </c>
      <c r="V47" s="11">
        <f t="shared" si="6"/>
        <v>297194.09105149226</v>
      </c>
    </row>
    <row r="48" spans="15:22" ht="18.75" customHeight="1">
      <c r="O48" s="16">
        <v>30621</v>
      </c>
      <c r="P48" s="11">
        <f t="shared" si="3"/>
        <v>307395.58196017146</v>
      </c>
      <c r="Q48" s="11">
        <f t="shared" si="4"/>
        <v>315421.40715209593</v>
      </c>
      <c r="R48" s="11">
        <v>19678.761147975922</v>
      </c>
      <c r="S48" s="11">
        <v>-19849.338384994844</v>
      </c>
      <c r="T48" s="11">
        <f t="shared" si="5"/>
        <v>315250.82991507702</v>
      </c>
      <c r="U48" s="11">
        <v>-439.26582669046098</v>
      </c>
      <c r="V48" s="11">
        <f t="shared" si="6"/>
        <v>314811.56408838654</v>
      </c>
    </row>
    <row r="49" spans="15:22" ht="18.75" customHeight="1">
      <c r="O49" s="16">
        <v>30651</v>
      </c>
      <c r="P49" s="11">
        <f t="shared" si="3"/>
        <v>308979.11217899621</v>
      </c>
      <c r="Q49" s="11">
        <f t="shared" si="4"/>
        <v>316443.30683662626</v>
      </c>
      <c r="R49" s="11">
        <v>19449.806314229965</v>
      </c>
      <c r="S49" s="11">
        <v>-8556.4728300846164</v>
      </c>
      <c r="T49" s="11">
        <f t="shared" si="5"/>
        <v>327336.64032077161</v>
      </c>
      <c r="U49" s="11">
        <v>-5734.4438873019362</v>
      </c>
      <c r="V49" s="11">
        <f t="shared" si="6"/>
        <v>321602.19643346965</v>
      </c>
    </row>
    <row r="50" spans="15:22" ht="18.75" customHeight="1">
      <c r="O50" s="16">
        <v>30682</v>
      </c>
      <c r="P50" s="11">
        <f t="shared" si="3"/>
        <v>310625.16197086871</v>
      </c>
      <c r="Q50" s="11">
        <f t="shared" si="4"/>
        <v>317502.74808769824</v>
      </c>
      <c r="R50" s="11">
        <v>19175.502309799194</v>
      </c>
      <c r="S50" s="11">
        <v>588.98337502532581</v>
      </c>
      <c r="T50" s="11">
        <f t="shared" si="5"/>
        <v>337267.23377252277</v>
      </c>
      <c r="U50" s="11">
        <v>1415.2887326165624</v>
      </c>
      <c r="V50" s="11">
        <f t="shared" si="6"/>
        <v>338682.52250513935</v>
      </c>
    </row>
    <row r="51" spans="15:22" ht="18.75" customHeight="1">
      <c r="O51" s="16">
        <v>30713</v>
      </c>
      <c r="P51" s="11">
        <f t="shared" si="3"/>
        <v>312280.85038432479</v>
      </c>
      <c r="Q51" s="11">
        <f t="shared" si="4"/>
        <v>318565.73631145078</v>
      </c>
      <c r="R51" s="11">
        <v>18864.082211017609</v>
      </c>
      <c r="S51" s="11">
        <v>7225.4655458402231</v>
      </c>
      <c r="T51" s="11">
        <f t="shared" si="5"/>
        <v>344655.2840683086</v>
      </c>
      <c r="U51" s="11">
        <v>2944.1695094541237</v>
      </c>
      <c r="V51" s="11">
        <f t="shared" si="6"/>
        <v>347599.4535777627</v>
      </c>
    </row>
    <row r="52" spans="15:22" ht="18.75" customHeight="1">
      <c r="O52" s="16">
        <v>30742</v>
      </c>
      <c r="P52" s="11">
        <f t="shared" si="3"/>
        <v>313838.21667902172</v>
      </c>
      <c r="Q52" s="11">
        <f t="shared" si="4"/>
        <v>319563.36626778182</v>
      </c>
      <c r="R52" s="11">
        <v>18540.234374761581</v>
      </c>
      <c r="S52" s="11">
        <v>14702.969673403668</v>
      </c>
      <c r="T52" s="11">
        <f t="shared" si="5"/>
        <v>352806.57031594706</v>
      </c>
      <c r="U52" s="11">
        <v>-6985.8342776251484</v>
      </c>
      <c r="V52" s="11">
        <f t="shared" si="6"/>
        <v>345820.73603832192</v>
      </c>
    </row>
    <row r="53" spans="15:22" ht="18.75" customHeight="1">
      <c r="O53" s="16">
        <v>30773</v>
      </c>
      <c r="P53" s="11">
        <f t="shared" si="3"/>
        <v>315511.8247539252</v>
      </c>
      <c r="Q53" s="11">
        <f t="shared" si="4"/>
        <v>320633.25336996122</v>
      </c>
      <c r="R53" s="11">
        <v>18160.436104297638</v>
      </c>
      <c r="S53" s="11">
        <v>26366.176148156963</v>
      </c>
      <c r="T53" s="11">
        <f t="shared" si="5"/>
        <v>365159.86562241585</v>
      </c>
      <c r="U53" s="11">
        <v>-6258.6390068619376</v>
      </c>
      <c r="V53" s="11">
        <f t="shared" si="6"/>
        <v>358901.2266155539</v>
      </c>
    </row>
    <row r="54" spans="15:22" ht="18.75" customHeight="1">
      <c r="O54" s="16">
        <v>30803</v>
      </c>
      <c r="P54" s="11">
        <f t="shared" si="3"/>
        <v>317139.90150615573</v>
      </c>
      <c r="Q54" s="11">
        <f t="shared" si="4"/>
        <v>321672.03835106653</v>
      </c>
      <c r="R54" s="11">
        <v>17760.920200586319</v>
      </c>
      <c r="S54" s="11">
        <v>30760.891800879039</v>
      </c>
      <c r="T54" s="11">
        <f t="shared" si="5"/>
        <v>370193.85035253188</v>
      </c>
      <c r="U54" s="11">
        <v>7888.2118020655798</v>
      </c>
      <c r="V54" s="11">
        <f t="shared" si="6"/>
        <v>378082.06215459749</v>
      </c>
    </row>
    <row r="55" spans="15:22" ht="18.75" customHeight="1">
      <c r="O55" s="16">
        <v>30834</v>
      </c>
      <c r="P55" s="11">
        <f t="shared" si="3"/>
        <v>318830.73331338167</v>
      </c>
      <c r="Q55" s="11">
        <f t="shared" si="4"/>
        <v>322748.98521447828</v>
      </c>
      <c r="R55" s="11">
        <v>17316.208212137222</v>
      </c>
      <c r="S55" s="11">
        <v>24135.461905402834</v>
      </c>
      <c r="T55" s="11">
        <f t="shared" si="5"/>
        <v>364200.65533201833</v>
      </c>
      <c r="U55" s="11">
        <v>5324.1047690280202</v>
      </c>
      <c r="V55" s="11">
        <f t="shared" si="6"/>
        <v>369524.76010104635</v>
      </c>
    </row>
    <row r="56" spans="15:22" ht="18.75" customHeight="1">
      <c r="O56" s="16">
        <v>30864</v>
      </c>
      <c r="P56" s="11">
        <f t="shared" si="3"/>
        <v>320474.99296307564</v>
      </c>
      <c r="Q56" s="11">
        <f t="shared" si="4"/>
        <v>323794.62472623878</v>
      </c>
      <c r="R56" s="11">
        <v>16856.087144136429</v>
      </c>
      <c r="S56" s="11">
        <v>9035.5089355065847</v>
      </c>
      <c r="T56" s="11">
        <f t="shared" si="5"/>
        <v>349686.22080588178</v>
      </c>
      <c r="U56" s="11">
        <v>11802.852616634509</v>
      </c>
      <c r="V56" s="11">
        <f t="shared" si="6"/>
        <v>361489.07342251629</v>
      </c>
    </row>
    <row r="57" spans="15:22" ht="18.75" customHeight="1">
      <c r="O57" s="16">
        <v>30895</v>
      </c>
      <c r="P57" s="11">
        <f t="shared" si="3"/>
        <v>322182.04569278657</v>
      </c>
      <c r="Q57" s="11">
        <f t="shared" si="4"/>
        <v>324878.67793545162</v>
      </c>
      <c r="R57" s="11">
        <v>16351.016085624695</v>
      </c>
      <c r="S57" s="11">
        <v>-11512.115043864824</v>
      </c>
      <c r="T57" s="11">
        <f t="shared" si="5"/>
        <v>329717.57897721149</v>
      </c>
      <c r="U57" s="11">
        <v>-13514.067831516795</v>
      </c>
      <c r="V57" s="11">
        <f t="shared" si="6"/>
        <v>316203.51114569471</v>
      </c>
    </row>
    <row r="58" spans="15:22" ht="18.75" customHeight="1">
      <c r="O58" s="16">
        <v>30926</v>
      </c>
      <c r="P58" s="11">
        <f t="shared" si="3"/>
        <v>323896.95753501356</v>
      </c>
      <c r="Q58" s="11">
        <f t="shared" si="4"/>
        <v>325966.36051733053</v>
      </c>
      <c r="R58" s="11">
        <v>15816.988037824631</v>
      </c>
      <c r="S58" s="11">
        <v>-29942.575873501661</v>
      </c>
      <c r="T58" s="11">
        <f t="shared" si="5"/>
        <v>311840.7726816535</v>
      </c>
      <c r="U58" s="11">
        <v>-493.91206304369666</v>
      </c>
      <c r="V58" s="11">
        <f t="shared" si="6"/>
        <v>311346.86061860982</v>
      </c>
    </row>
    <row r="59" spans="15:22" ht="18.75" customHeight="1">
      <c r="O59" s="16">
        <v>30956</v>
      </c>
      <c r="P59" s="11">
        <f t="shared" si="3"/>
        <v>325563.78862120211</v>
      </c>
      <c r="Q59" s="11">
        <f t="shared" si="4"/>
        <v>327022.42365517491</v>
      </c>
      <c r="R59" s="11">
        <v>15273.691554307938</v>
      </c>
      <c r="S59" s="11">
        <v>-31807.738034068618</v>
      </c>
      <c r="T59" s="11">
        <f t="shared" si="5"/>
        <v>310488.37717541424</v>
      </c>
      <c r="U59" s="11">
        <v>-2810.0852430918062</v>
      </c>
      <c r="V59" s="11">
        <f t="shared" si="6"/>
        <v>307678.29193232243</v>
      </c>
    </row>
    <row r="60" spans="15:22" ht="18.75" customHeight="1">
      <c r="O60" s="16">
        <v>30987</v>
      </c>
      <c r="P60" s="11">
        <f t="shared" si="3"/>
        <v>327293.40895135701</v>
      </c>
      <c r="Q60" s="11">
        <f t="shared" si="4"/>
        <v>328117.28342360893</v>
      </c>
      <c r="R60" s="11">
        <v>14686.007345438004</v>
      </c>
      <c r="S60" s="11">
        <v>-19849.338384994844</v>
      </c>
      <c r="T60" s="11">
        <f t="shared" si="5"/>
        <v>322953.9523840521</v>
      </c>
      <c r="U60" s="11">
        <v>-4424.7238993178953</v>
      </c>
      <c r="V60" s="11">
        <f t="shared" si="6"/>
        <v>318529.22848473419</v>
      </c>
    </row>
    <row r="61" spans="15:22" ht="18.75" customHeight="1">
      <c r="O61" s="16">
        <v>31017</v>
      </c>
      <c r="P61" s="11">
        <f t="shared" si="3"/>
        <v>328973.98882754147</v>
      </c>
      <c r="Q61" s="11">
        <f t="shared" si="4"/>
        <v>329180.31510382087</v>
      </c>
      <c r="R61" s="11">
        <v>14092.89333820343</v>
      </c>
      <c r="S61" s="11">
        <v>-8556.4728300846164</v>
      </c>
      <c r="T61" s="11">
        <f t="shared" si="5"/>
        <v>334716.73561193969</v>
      </c>
      <c r="U61" s="11">
        <v>9051.5800713508779</v>
      </c>
      <c r="V61" s="11">
        <f t="shared" si="6"/>
        <v>343768.31568329054</v>
      </c>
    </row>
    <row r="62" spans="15:22" ht="18.75" customHeight="1">
      <c r="O62" s="16">
        <v>31048</v>
      </c>
      <c r="P62" s="11">
        <f t="shared" si="3"/>
        <v>330717.31483580172</v>
      </c>
      <c r="Q62" s="11">
        <f t="shared" si="4"/>
        <v>330282.39941822138</v>
      </c>
      <c r="R62" s="11">
        <v>13455.886960029602</v>
      </c>
      <c r="S62" s="11">
        <v>588.98337502532581</v>
      </c>
      <c r="T62" s="11">
        <f t="shared" si="5"/>
        <v>344327.26975327631</v>
      </c>
      <c r="U62" s="11">
        <v>-6524.439469387049</v>
      </c>
      <c r="V62" s="11">
        <f t="shared" si="6"/>
        <v>337802.83028388926</v>
      </c>
    </row>
    <row r="63" spans="15:22" ht="18.75" customHeight="1">
      <c r="O63" s="16">
        <v>31079</v>
      </c>
      <c r="P63" s="11">
        <f t="shared" si="3"/>
        <v>332467.22171752155</v>
      </c>
      <c r="Q63" s="11">
        <f t="shared" si="4"/>
        <v>331388.17347280477</v>
      </c>
      <c r="R63" s="11">
        <v>12795.447946310043</v>
      </c>
      <c r="S63" s="11">
        <v>7225.4655458402231</v>
      </c>
      <c r="T63" s="11">
        <f t="shared" si="5"/>
        <v>351409.08696495503</v>
      </c>
      <c r="U63" s="11">
        <v>-6374.5740007967088</v>
      </c>
      <c r="V63" s="11">
        <f t="shared" si="6"/>
        <v>345034.51296415832</v>
      </c>
    </row>
    <row r="64" spans="15:22" ht="18.75" customHeight="1">
      <c r="O64" s="16">
        <v>31107</v>
      </c>
      <c r="P64" s="11">
        <f t="shared" si="3"/>
        <v>334053.223747015</v>
      </c>
      <c r="Q64" s="11">
        <f t="shared" si="4"/>
        <v>332390.11881983781</v>
      </c>
      <c r="R64" s="11">
        <v>12179.684304952621</v>
      </c>
      <c r="S64" s="11">
        <v>14702.969673403668</v>
      </c>
      <c r="T64" s="11">
        <f t="shared" si="5"/>
        <v>359272.77279819408</v>
      </c>
      <c r="U64" s="11">
        <v>21.986703433131556</v>
      </c>
      <c r="V64" s="11">
        <f t="shared" si="6"/>
        <v>359294.75950162724</v>
      </c>
    </row>
    <row r="65" spans="15:22" ht="18.75" customHeight="1">
      <c r="O65" s="16">
        <v>31138</v>
      </c>
      <c r="P65" s="11">
        <f t="shared" si="3"/>
        <v>335814.93999432027</v>
      </c>
      <c r="Q65" s="11">
        <f t="shared" si="4"/>
        <v>333502.94944610936</v>
      </c>
      <c r="R65" s="11">
        <v>11477.635801315308</v>
      </c>
      <c r="S65" s="11">
        <v>26366.176148156963</v>
      </c>
      <c r="T65" s="11">
        <f t="shared" si="5"/>
        <v>371346.76139558165</v>
      </c>
      <c r="U65" s="11">
        <v>-15304.5138599694</v>
      </c>
      <c r="V65" s="11">
        <f t="shared" si="6"/>
        <v>356042.24753561226</v>
      </c>
    </row>
    <row r="66" spans="15:22" ht="18.75" customHeight="1">
      <c r="O66" s="16">
        <v>31168</v>
      </c>
      <c r="P66" s="11">
        <f t="shared" si="3"/>
        <v>337525.37929101288</v>
      </c>
      <c r="Q66" s="11">
        <f t="shared" si="4"/>
        <v>334583.42956287129</v>
      </c>
      <c r="R66" s="11">
        <v>10778.881212949753</v>
      </c>
      <c r="S66" s="11">
        <v>30760.891800879039</v>
      </c>
      <c r="T66" s="11">
        <f t="shared" si="5"/>
        <v>376123.20257670007</v>
      </c>
      <c r="U66" s="11">
        <v>1048.6066578546829</v>
      </c>
      <c r="V66" s="11">
        <f t="shared" si="6"/>
        <v>377171.80923455476</v>
      </c>
    </row>
    <row r="67" spans="15:22" ht="18.75" customHeight="1">
      <c r="O67" s="16">
        <v>31199</v>
      </c>
      <c r="P67" s="11">
        <f t="shared" ref="P67:P130" si="7">O67^3*$I$2+O67^2*$J$2+O67*$K$2+$L$2</f>
        <v>339298.31885103881</v>
      </c>
      <c r="Q67" s="11">
        <f t="shared" ref="Q67:Q130" si="8">EXP($I$3*O67+$J$3)</f>
        <v>335703.60331768182</v>
      </c>
      <c r="R67" s="11">
        <v>10037.86052274704</v>
      </c>
      <c r="S67" s="11">
        <v>24135.461905402834</v>
      </c>
      <c r="T67" s="11">
        <f t="shared" ref="T67:T130" si="9">SUM(Q67:S67)</f>
        <v>369876.92574583169</v>
      </c>
      <c r="U67" s="11">
        <v>-936.53153654856237</v>
      </c>
      <c r="V67" s="11">
        <f t="shared" ref="V67:V130" si="10">T67+U67</f>
        <v>368940.39420928311</v>
      </c>
    </row>
    <row r="68" spans="15:22" ht="18.75" customHeight="1">
      <c r="O68" s="16">
        <v>31229</v>
      </c>
      <c r="P68" s="11">
        <f t="shared" si="7"/>
        <v>341019.13418747485</v>
      </c>
      <c r="Q68" s="11">
        <f t="shared" si="8"/>
        <v>336791.21309478424</v>
      </c>
      <c r="R68" s="11">
        <v>9303.3507661819458</v>
      </c>
      <c r="S68" s="11">
        <v>9035.5089355065847</v>
      </c>
      <c r="T68" s="11">
        <f t="shared" si="9"/>
        <v>355130.07279647276</v>
      </c>
      <c r="U68" s="11">
        <v>2636.100725745011</v>
      </c>
      <c r="V68" s="11">
        <f t="shared" si="10"/>
        <v>357766.17352221778</v>
      </c>
    </row>
    <row r="69" spans="15:22" ht="18.75" customHeight="1">
      <c r="O69" s="16">
        <v>31260</v>
      </c>
      <c r="P69" s="11">
        <f t="shared" si="7"/>
        <v>342802.29425032437</v>
      </c>
      <c r="Q69" s="11">
        <f t="shared" si="8"/>
        <v>337918.77843253181</v>
      </c>
      <c r="R69" s="11">
        <v>8527.3861343860626</v>
      </c>
      <c r="S69" s="11">
        <v>-11512.115043864824</v>
      </c>
      <c r="T69" s="11">
        <f t="shared" si="9"/>
        <v>334934.04952305305</v>
      </c>
      <c r="U69" s="11">
        <v>-2926.379520423438</v>
      </c>
      <c r="V69" s="11">
        <f t="shared" si="10"/>
        <v>332007.67000262963</v>
      </c>
    </row>
    <row r="70" spans="15:22" ht="18.75" customHeight="1">
      <c r="O70" s="16">
        <v>31291</v>
      </c>
      <c r="P70" s="11">
        <f t="shared" si="7"/>
        <v>344590.26403212547</v>
      </c>
      <c r="Q70" s="11">
        <f t="shared" si="8"/>
        <v>339050.11882004741</v>
      </c>
      <c r="R70" s="11">
        <v>7735.1786653995514</v>
      </c>
      <c r="S70" s="11">
        <v>-29942.575873501661</v>
      </c>
      <c r="T70" s="11">
        <f t="shared" si="9"/>
        <v>316842.72161194531</v>
      </c>
      <c r="U70" s="11">
        <v>-4356.1070650153642</v>
      </c>
      <c r="V70" s="11">
        <f t="shared" si="10"/>
        <v>312486.61454692995</v>
      </c>
    </row>
    <row r="71" spans="15:22" ht="18.75" customHeight="1">
      <c r="O71" s="16">
        <v>31321</v>
      </c>
      <c r="P71" s="11">
        <f t="shared" si="7"/>
        <v>346324.89292123914</v>
      </c>
      <c r="Q71" s="11">
        <f t="shared" si="8"/>
        <v>340148.57061059156</v>
      </c>
      <c r="R71" s="11">
        <v>6954.0086436271667</v>
      </c>
      <c r="S71" s="11">
        <v>-31807.738034068618</v>
      </c>
      <c r="T71" s="11">
        <f t="shared" si="9"/>
        <v>315294.84122015012</v>
      </c>
      <c r="U71" s="11">
        <v>5793.3250659148944</v>
      </c>
      <c r="V71" s="11">
        <f t="shared" si="10"/>
        <v>321088.16628606501</v>
      </c>
    </row>
    <row r="72" spans="15:22" ht="18.75" customHeight="1">
      <c r="O72" s="16">
        <v>31352</v>
      </c>
      <c r="P72" s="11">
        <f t="shared" si="7"/>
        <v>348121.57077132165</v>
      </c>
      <c r="Q72" s="11">
        <f t="shared" si="8"/>
        <v>341287.37626522937</v>
      </c>
      <c r="R72" s="11">
        <v>6132.7662243843079</v>
      </c>
      <c r="S72" s="11">
        <v>-19849.338384994844</v>
      </c>
      <c r="T72" s="11">
        <f t="shared" si="9"/>
        <v>327570.80410461884</v>
      </c>
      <c r="U72" s="11">
        <v>11415.545730031885</v>
      </c>
      <c r="V72" s="11">
        <f t="shared" si="10"/>
        <v>338986.34983465075</v>
      </c>
    </row>
    <row r="73" spans="15:22" ht="18.75" customHeight="1">
      <c r="O73" s="16">
        <v>31382</v>
      </c>
      <c r="P73" s="11">
        <f t="shared" si="7"/>
        <v>349864.14159278572</v>
      </c>
      <c r="Q73" s="11">
        <f t="shared" si="8"/>
        <v>342393.07630407118</v>
      </c>
      <c r="R73" s="11">
        <v>5325.3509464263916</v>
      </c>
      <c r="S73" s="11">
        <v>-8556.4728300846164</v>
      </c>
      <c r="T73" s="11">
        <f t="shared" si="9"/>
        <v>339161.95442041295</v>
      </c>
      <c r="U73" s="11">
        <v>338.622702892277</v>
      </c>
      <c r="V73" s="11">
        <f t="shared" si="10"/>
        <v>339500.57712330524</v>
      </c>
    </row>
    <row r="74" spans="15:22" ht="18.75" customHeight="1">
      <c r="O74" s="16">
        <v>31413</v>
      </c>
      <c r="P74" s="11">
        <f t="shared" si="7"/>
        <v>351668.52470128238</v>
      </c>
      <c r="Q74" s="11">
        <f t="shared" si="8"/>
        <v>343539.39648617333</v>
      </c>
      <c r="R74" s="11">
        <v>4478.8811662197113</v>
      </c>
      <c r="S74" s="11">
        <v>588.98337502532581</v>
      </c>
      <c r="T74" s="11">
        <f t="shared" si="9"/>
        <v>348607.26102741837</v>
      </c>
      <c r="U74" s="11">
        <v>3339.5423922133205</v>
      </c>
      <c r="V74" s="11">
        <f t="shared" si="10"/>
        <v>351946.80341963167</v>
      </c>
    </row>
    <row r="75" spans="15:22" ht="18.75" customHeight="1">
      <c r="O75" s="16">
        <v>31444</v>
      </c>
      <c r="P75" s="11">
        <f t="shared" si="7"/>
        <v>353476.43928970397</v>
      </c>
      <c r="Q75" s="11">
        <f t="shared" si="8"/>
        <v>344689.55450861342</v>
      </c>
      <c r="R75" s="11">
        <v>3621.0219204425812</v>
      </c>
      <c r="S75" s="11">
        <v>7225.4655458402231</v>
      </c>
      <c r="T75" s="11">
        <f t="shared" si="9"/>
        <v>355536.04197489622</v>
      </c>
      <c r="U75" s="11">
        <v>-2277.2745494162637</v>
      </c>
      <c r="V75" s="11">
        <f t="shared" si="10"/>
        <v>353258.76742547995</v>
      </c>
    </row>
    <row r="76" spans="15:22" ht="18.75" customHeight="1">
      <c r="O76" s="16">
        <v>31472</v>
      </c>
      <c r="P76" s="11">
        <f t="shared" si="7"/>
        <v>355112.21435798705</v>
      </c>
      <c r="Q76" s="11">
        <f t="shared" si="8"/>
        <v>345731.71630844951</v>
      </c>
      <c r="R76" s="11">
        <v>2837.1815083026886</v>
      </c>
      <c r="S76" s="11">
        <v>14702.969673403668</v>
      </c>
      <c r="T76" s="11">
        <f t="shared" si="9"/>
        <v>363271.86749015586</v>
      </c>
      <c r="U76" s="11">
        <v>-1998.442545609877</v>
      </c>
      <c r="V76" s="11">
        <f t="shared" si="10"/>
        <v>361273.42494454596</v>
      </c>
    </row>
    <row r="77" spans="15:22" ht="18.75" customHeight="1">
      <c r="O77" s="16">
        <v>31503</v>
      </c>
      <c r="P77" s="11">
        <f t="shared" si="7"/>
        <v>356926.13462741673</v>
      </c>
      <c r="Q77" s="11">
        <f t="shared" si="8"/>
        <v>346889.21414186136</v>
      </c>
      <c r="R77" s="11">
        <v>1960.2580456733704</v>
      </c>
      <c r="S77" s="11">
        <v>26366.176148156963</v>
      </c>
      <c r="T77" s="11">
        <f t="shared" si="9"/>
        <v>375215.64833569172</v>
      </c>
      <c r="U77" s="11">
        <v>211.95381588720574</v>
      </c>
      <c r="V77" s="11">
        <f t="shared" si="10"/>
        <v>375427.60215157893</v>
      </c>
    </row>
    <row r="78" spans="15:22" ht="18.75" customHeight="1">
      <c r="O78" s="16">
        <v>31533</v>
      </c>
      <c r="P78" s="11">
        <f t="shared" si="7"/>
        <v>358684.19051665068</v>
      </c>
      <c r="Q78" s="11">
        <f t="shared" si="8"/>
        <v>348013.06296905148</v>
      </c>
      <c r="R78" s="11">
        <v>1103.3619170188904</v>
      </c>
      <c r="S78" s="11">
        <v>30760.891800879039</v>
      </c>
      <c r="T78" s="11">
        <f t="shared" si="9"/>
        <v>379877.3166869494</v>
      </c>
      <c r="U78" s="11">
        <v>865.61223655570416</v>
      </c>
      <c r="V78" s="11">
        <f t="shared" si="10"/>
        <v>380742.92892350513</v>
      </c>
    </row>
    <row r="79" spans="15:22" ht="18.75" customHeight="1">
      <c r="O79" s="16">
        <v>31564</v>
      </c>
      <c r="P79" s="11">
        <f t="shared" si="7"/>
        <v>360503.33367912471</v>
      </c>
      <c r="Q79" s="11">
        <f t="shared" si="8"/>
        <v>349178.19867221068</v>
      </c>
      <c r="R79" s="11">
        <v>210.25801491737366</v>
      </c>
      <c r="S79" s="11">
        <v>24135.461905402834</v>
      </c>
      <c r="T79" s="11">
        <f t="shared" si="9"/>
        <v>373523.91859253088</v>
      </c>
      <c r="U79" s="11">
        <v>-12114.440966999189</v>
      </c>
      <c r="V79" s="11">
        <f t="shared" si="10"/>
        <v>361409.47762553167</v>
      </c>
    </row>
    <row r="80" spans="15:22" ht="18.75" customHeight="1">
      <c r="O80" s="16">
        <v>31594</v>
      </c>
      <c r="P80" s="11">
        <f t="shared" si="7"/>
        <v>362265.95875041187</v>
      </c>
      <c r="Q80" s="11">
        <f t="shared" si="8"/>
        <v>350309.46333268483</v>
      </c>
      <c r="R80" s="11">
        <v>-660.5914626121521</v>
      </c>
      <c r="S80" s="11">
        <v>9035.5089355065847</v>
      </c>
      <c r="T80" s="11">
        <f t="shared" si="9"/>
        <v>358684.38080557925</v>
      </c>
      <c r="U80" s="11">
        <v>-1769.3839528373173</v>
      </c>
      <c r="V80" s="11">
        <f t="shared" si="10"/>
        <v>356914.99685274193</v>
      </c>
    </row>
    <row r="81" spans="15:22" ht="18.75" customHeight="1">
      <c r="O81" s="16">
        <v>31625</v>
      </c>
      <c r="P81" s="11">
        <f t="shared" si="7"/>
        <v>364089.3219961077</v>
      </c>
      <c r="Q81" s="11">
        <f t="shared" si="8"/>
        <v>351482.28730486933</v>
      </c>
      <c r="R81" s="11">
        <v>-1566.373960018158</v>
      </c>
      <c r="S81" s="11">
        <v>-11512.115043864824</v>
      </c>
      <c r="T81" s="11">
        <f t="shared" si="9"/>
        <v>338403.79830098635</v>
      </c>
      <c r="U81" s="11">
        <v>-753.60559371678517</v>
      </c>
      <c r="V81" s="11">
        <f t="shared" si="10"/>
        <v>337650.19270726957</v>
      </c>
    </row>
    <row r="82" spans="15:22" ht="18.75" customHeight="1">
      <c r="O82" s="16">
        <v>31656</v>
      </c>
      <c r="P82" s="11">
        <f t="shared" si="7"/>
        <v>365914.44556708634</v>
      </c>
      <c r="Q82" s="11">
        <f t="shared" si="8"/>
        <v>352659.03785116534</v>
      </c>
      <c r="R82" s="11">
        <v>-2477.2858533859253</v>
      </c>
      <c r="S82" s="11">
        <v>-29942.575873501661</v>
      </c>
      <c r="T82" s="11">
        <f t="shared" si="9"/>
        <v>320239.17612427776</v>
      </c>
      <c r="U82" s="11">
        <v>15590.157452387934</v>
      </c>
      <c r="V82" s="11">
        <f t="shared" si="10"/>
        <v>335829.33357666567</v>
      </c>
    </row>
    <row r="83" spans="15:22" ht="18.75" customHeight="1">
      <c r="O83" s="16">
        <v>31686</v>
      </c>
      <c r="P83" s="11">
        <f t="shared" si="7"/>
        <v>367682.12630729377</v>
      </c>
      <c r="Q83" s="11">
        <f t="shared" si="8"/>
        <v>353801.57970582548</v>
      </c>
      <c r="R83" s="11">
        <v>-3362.8776967525482</v>
      </c>
      <c r="S83" s="11">
        <v>-31807.738034068618</v>
      </c>
      <c r="T83" s="11">
        <f t="shared" si="9"/>
        <v>318630.96397500433</v>
      </c>
      <c r="U83" s="11">
        <v>-11314.008866310842</v>
      </c>
      <c r="V83" s="11">
        <f t="shared" si="10"/>
        <v>307316.95510869351</v>
      </c>
    </row>
    <row r="84" spans="15:22" ht="18.75" customHeight="1">
      <c r="O84" s="16">
        <v>31717</v>
      </c>
      <c r="P84" s="11">
        <f t="shared" si="7"/>
        <v>369509.95752696693</v>
      </c>
      <c r="Q84" s="11">
        <f t="shared" si="8"/>
        <v>354986.09516289626</v>
      </c>
      <c r="R84" s="11">
        <v>-4281.3531134128571</v>
      </c>
      <c r="S84" s="11">
        <v>-19849.338384994844</v>
      </c>
      <c r="T84" s="11">
        <f t="shared" si="9"/>
        <v>330855.40366448858</v>
      </c>
      <c r="U84" s="11">
        <v>-13142.241775991937</v>
      </c>
      <c r="V84" s="11">
        <f t="shared" si="10"/>
        <v>317713.16188849666</v>
      </c>
    </row>
    <row r="85" spans="15:22" ht="18.75" customHeight="1">
      <c r="O85" s="16">
        <v>31747</v>
      </c>
      <c r="P85" s="11">
        <f t="shared" si="7"/>
        <v>371279.77334173024</v>
      </c>
      <c r="Q85" s="11">
        <f t="shared" si="8"/>
        <v>356136.17619872425</v>
      </c>
      <c r="R85" s="11">
        <v>-5172.6661243438721</v>
      </c>
      <c r="S85" s="11">
        <v>-8556.4728300846164</v>
      </c>
      <c r="T85" s="11">
        <f t="shared" si="9"/>
        <v>342407.03724429576</v>
      </c>
      <c r="U85" s="11">
        <v>2643.7910884398311</v>
      </c>
      <c r="V85" s="11">
        <f t="shared" si="10"/>
        <v>345050.82833273557</v>
      </c>
    </row>
    <row r="86" spans="15:22" ht="18.75" customHeight="1">
      <c r="O86" s="16">
        <v>31778</v>
      </c>
      <c r="P86" s="11">
        <f t="shared" si="7"/>
        <v>373109.30940018594</v>
      </c>
      <c r="Q86" s="11">
        <f t="shared" si="8"/>
        <v>357328.50780414056</v>
      </c>
      <c r="R86" s="11">
        <v>-6095.4238755702972</v>
      </c>
      <c r="S86" s="11">
        <v>588.98337502532581</v>
      </c>
      <c r="T86" s="11">
        <f t="shared" si="9"/>
        <v>351822.0673035956</v>
      </c>
      <c r="U86" s="11">
        <v>-3721.0881113700725</v>
      </c>
      <c r="V86" s="11">
        <f t="shared" si="10"/>
        <v>348100.97919222555</v>
      </c>
    </row>
    <row r="87" spans="15:22" ht="18.75" customHeight="1">
      <c r="O87" s="16">
        <v>31809</v>
      </c>
      <c r="P87" s="11">
        <f t="shared" si="7"/>
        <v>374939.3275449723</v>
      </c>
      <c r="Q87" s="11">
        <f t="shared" si="8"/>
        <v>358524.83129455004</v>
      </c>
      <c r="R87" s="11">
        <v>-7019.1286327838898</v>
      </c>
      <c r="S87" s="11">
        <v>7225.4655458402231</v>
      </c>
      <c r="T87" s="11">
        <f t="shared" si="9"/>
        <v>358731.16820760636</v>
      </c>
      <c r="U87" s="11">
        <v>1416.7307119821226</v>
      </c>
      <c r="V87" s="11">
        <f t="shared" si="10"/>
        <v>360147.89891958848</v>
      </c>
    </row>
    <row r="88" spans="15:22" ht="18.75" customHeight="1">
      <c r="O88" s="16">
        <v>31837</v>
      </c>
      <c r="P88" s="11">
        <f t="shared" si="7"/>
        <v>376592.44609694183</v>
      </c>
      <c r="Q88" s="11">
        <f t="shared" si="8"/>
        <v>359608.82377004152</v>
      </c>
      <c r="R88" s="11">
        <v>-7853.5799765586853</v>
      </c>
      <c r="S88" s="11">
        <v>14702.969673403668</v>
      </c>
      <c r="T88" s="11">
        <f t="shared" si="9"/>
        <v>366458.21346688649</v>
      </c>
      <c r="U88" s="11">
        <v>-827.6796491733063</v>
      </c>
      <c r="V88" s="11">
        <f t="shared" si="10"/>
        <v>365630.53381771321</v>
      </c>
    </row>
    <row r="89" spans="15:22" ht="18.75" customHeight="1">
      <c r="O89" s="16">
        <v>31868</v>
      </c>
      <c r="P89" s="11">
        <f t="shared" si="7"/>
        <v>378422.66623820364</v>
      </c>
      <c r="Q89" s="11">
        <f t="shared" si="8"/>
        <v>360812.78167946934</v>
      </c>
      <c r="R89" s="11">
        <v>-8776.8501892089844</v>
      </c>
      <c r="S89" s="11">
        <v>26366.176148156963</v>
      </c>
      <c r="T89" s="11">
        <f t="shared" si="9"/>
        <v>378402.10763841734</v>
      </c>
      <c r="U89" s="11">
        <v>10453.403192210697</v>
      </c>
      <c r="V89" s="11">
        <f t="shared" si="10"/>
        <v>388855.51083062805</v>
      </c>
    </row>
    <row r="90" spans="15:22" ht="18.75" customHeight="1">
      <c r="O90" s="16">
        <v>31898</v>
      </c>
      <c r="P90" s="11">
        <f t="shared" si="7"/>
        <v>380193.59276798368</v>
      </c>
      <c r="Q90" s="11">
        <f t="shared" si="8"/>
        <v>361981.73996642209</v>
      </c>
      <c r="R90" s="11">
        <v>-9669.0298092365265</v>
      </c>
      <c r="S90" s="11">
        <v>30760.891800879039</v>
      </c>
      <c r="T90" s="11">
        <f t="shared" si="9"/>
        <v>383073.6019580646</v>
      </c>
      <c r="U90" s="11">
        <v>4667.9155574108545</v>
      </c>
      <c r="V90" s="11">
        <f t="shared" si="10"/>
        <v>387741.51751547545</v>
      </c>
    </row>
    <row r="91" spans="15:22" ht="18.75" customHeight="1">
      <c r="O91" s="16">
        <v>31929</v>
      </c>
      <c r="P91" s="11">
        <f t="shared" si="7"/>
        <v>382023.03538265824</v>
      </c>
      <c r="Q91" s="11">
        <f t="shared" si="8"/>
        <v>363193.64231723727</v>
      </c>
      <c r="R91" s="11">
        <v>-10588.838497400284</v>
      </c>
      <c r="S91" s="11">
        <v>24135.461905402834</v>
      </c>
      <c r="T91" s="11">
        <f t="shared" si="9"/>
        <v>376740.26572523982</v>
      </c>
      <c r="U91" s="11">
        <v>562.14562298670501</v>
      </c>
      <c r="V91" s="11">
        <f t="shared" si="10"/>
        <v>377302.41134822654</v>
      </c>
    </row>
    <row r="92" spans="15:22" ht="18.75" customHeight="1">
      <c r="O92" s="16">
        <v>31959</v>
      </c>
      <c r="P92" s="11">
        <f t="shared" si="7"/>
        <v>383792.72423683107</v>
      </c>
      <c r="Q92" s="11">
        <f t="shared" si="8"/>
        <v>364370.31409693242</v>
      </c>
      <c r="R92" s="11">
        <v>-11476.217825651169</v>
      </c>
      <c r="S92" s="11">
        <v>9035.5089355065847</v>
      </c>
      <c r="T92" s="11">
        <f t="shared" si="9"/>
        <v>361929.60520678782</v>
      </c>
      <c r="U92" s="11">
        <v>-4121.4464034273051</v>
      </c>
      <c r="V92" s="11">
        <f t="shared" si="10"/>
        <v>357808.15880336054</v>
      </c>
    </row>
    <row r="93" spans="15:22" ht="18.75" customHeight="1">
      <c r="O93" s="16">
        <v>31990</v>
      </c>
      <c r="P93" s="11">
        <f t="shared" si="7"/>
        <v>385620.38651499152</v>
      </c>
      <c r="Q93" s="11">
        <f t="shared" si="8"/>
        <v>365590.21331135766</v>
      </c>
      <c r="R93" s="11">
        <v>-12389.589547395706</v>
      </c>
      <c r="S93" s="11">
        <v>-11512.115043864824</v>
      </c>
      <c r="T93" s="11">
        <f t="shared" si="9"/>
        <v>341688.50872009713</v>
      </c>
      <c r="U93" s="11">
        <v>4095.3861959536557</v>
      </c>
      <c r="V93" s="11">
        <f t="shared" si="10"/>
        <v>345783.89491605078</v>
      </c>
    </row>
    <row r="94" spans="15:22" ht="18.75" customHeight="1">
      <c r="O94" s="16">
        <v>32021</v>
      </c>
      <c r="P94" s="11">
        <f t="shared" si="7"/>
        <v>387446.75972492993</v>
      </c>
      <c r="Q94" s="11">
        <f t="shared" si="8"/>
        <v>366814.1967061786</v>
      </c>
      <c r="R94" s="11">
        <v>-13298.577931642532</v>
      </c>
      <c r="S94" s="11">
        <v>-29942.575873501661</v>
      </c>
      <c r="T94" s="11">
        <f t="shared" si="9"/>
        <v>323573.04290103441</v>
      </c>
      <c r="U94" s="11">
        <v>-5302.3255987597213</v>
      </c>
      <c r="V94" s="11">
        <f t="shared" si="10"/>
        <v>318270.71730227472</v>
      </c>
    </row>
    <row r="95" spans="15:22" ht="18.75" customHeight="1">
      <c r="O95" s="16">
        <v>32051</v>
      </c>
      <c r="P95" s="11">
        <f t="shared" si="7"/>
        <v>389212.74636423588</v>
      </c>
      <c r="Q95" s="11">
        <f t="shared" si="8"/>
        <v>368002.59832824901</v>
      </c>
      <c r="R95" s="11">
        <v>-14173.378978967667</v>
      </c>
      <c r="S95" s="11">
        <v>-31807.738034068618</v>
      </c>
      <c r="T95" s="11">
        <f t="shared" si="9"/>
        <v>322021.48131521273</v>
      </c>
      <c r="U95" s="11">
        <v>3018.0678348158094</v>
      </c>
      <c r="V95" s="11">
        <f t="shared" si="10"/>
        <v>325039.54915002856</v>
      </c>
    </row>
    <row r="96" spans="15:22" ht="18.75" customHeight="1">
      <c r="O96" s="16">
        <v>32082</v>
      </c>
      <c r="P96" s="11">
        <f t="shared" si="7"/>
        <v>391035.82680316269</v>
      </c>
      <c r="Q96" s="11">
        <f t="shared" si="8"/>
        <v>369234.65830470383</v>
      </c>
      <c r="R96" s="11">
        <v>-15071.609243154526</v>
      </c>
      <c r="S96" s="11">
        <v>-19849.338384994844</v>
      </c>
      <c r="T96" s="11">
        <f t="shared" si="9"/>
        <v>334313.71067655447</v>
      </c>
      <c r="U96" s="11">
        <v>-7856.4442220059291</v>
      </c>
      <c r="V96" s="11">
        <f t="shared" si="10"/>
        <v>326457.26645454852</v>
      </c>
    </row>
    <row r="97" spans="15:22" ht="18.75" customHeight="1">
      <c r="O97" s="16">
        <v>32112</v>
      </c>
      <c r="P97" s="11">
        <f t="shared" si="7"/>
        <v>392798.1416593641</v>
      </c>
      <c r="Q97" s="11">
        <f t="shared" si="8"/>
        <v>370430.90171838336</v>
      </c>
      <c r="R97" s="11">
        <v>-15934.655544996262</v>
      </c>
      <c r="S97" s="11">
        <v>-8556.4728300846164</v>
      </c>
      <c r="T97" s="11">
        <f t="shared" si="9"/>
        <v>345939.77334330248</v>
      </c>
      <c r="U97" s="11">
        <v>-10779.288501310042</v>
      </c>
      <c r="V97" s="11">
        <f t="shared" si="10"/>
        <v>335160.48484199244</v>
      </c>
    </row>
    <row r="98" spans="15:22" ht="18.75" customHeight="1">
      <c r="O98" s="16">
        <v>32143</v>
      </c>
      <c r="P98" s="11">
        <f t="shared" si="7"/>
        <v>394616.92651741207</v>
      </c>
      <c r="Q98" s="11">
        <f t="shared" si="8"/>
        <v>371671.09157063661</v>
      </c>
      <c r="R98" s="11">
        <v>-16819.372903108597</v>
      </c>
      <c r="S98" s="11">
        <v>588.98337502532581</v>
      </c>
      <c r="T98" s="11">
        <f t="shared" si="9"/>
        <v>355440.70204255334</v>
      </c>
      <c r="U98" s="11">
        <v>130.54560268930231</v>
      </c>
      <c r="V98" s="11">
        <f t="shared" si="10"/>
        <v>355571.24764524266</v>
      </c>
    </row>
    <row r="99" spans="15:22" ht="18.75" customHeight="1">
      <c r="O99" s="16">
        <v>32174</v>
      </c>
      <c r="P99" s="11">
        <f t="shared" si="7"/>
        <v>396433.14406828582</v>
      </c>
      <c r="Q99" s="11">
        <f t="shared" si="8"/>
        <v>372915.43353563815</v>
      </c>
      <c r="R99" s="11">
        <v>-17696.195516347885</v>
      </c>
      <c r="S99" s="11">
        <v>7225.4655458402231</v>
      </c>
      <c r="T99" s="11">
        <f t="shared" si="9"/>
        <v>362444.70356513048</v>
      </c>
      <c r="U99" s="11">
        <v>3750.1138173096297</v>
      </c>
      <c r="V99" s="11">
        <f t="shared" si="10"/>
        <v>366194.81738244009</v>
      </c>
    </row>
    <row r="100" spans="15:22" ht="18.75" customHeight="1">
      <c r="O100" s="16">
        <v>32203</v>
      </c>
      <c r="P100" s="11">
        <f t="shared" si="7"/>
        <v>398129.63266931474</v>
      </c>
      <c r="Q100" s="11">
        <f t="shared" si="8"/>
        <v>374083.26662397076</v>
      </c>
      <c r="R100" s="11">
        <v>-18508.701711893082</v>
      </c>
      <c r="S100" s="11">
        <v>14702.969673403668</v>
      </c>
      <c r="T100" s="11">
        <f t="shared" si="9"/>
        <v>370277.53458548133</v>
      </c>
      <c r="U100" s="11">
        <v>-6016.7491729159756</v>
      </c>
      <c r="V100" s="11">
        <f t="shared" si="10"/>
        <v>364260.78541256534</v>
      </c>
    </row>
    <row r="101" spans="15:22" ht="18.75" customHeight="1">
      <c r="O101" s="16">
        <v>32234</v>
      </c>
      <c r="P101" s="11">
        <f t="shared" si="7"/>
        <v>399940.14550311863</v>
      </c>
      <c r="Q101" s="11">
        <f t="shared" si="8"/>
        <v>375335.68446765607</v>
      </c>
      <c r="R101" s="11">
        <v>-19368.330635786057</v>
      </c>
      <c r="S101" s="11">
        <v>26366.176148156963</v>
      </c>
      <c r="T101" s="11">
        <f t="shared" si="9"/>
        <v>382333.529980027</v>
      </c>
      <c r="U101" s="11">
        <v>13411.331151148441</v>
      </c>
      <c r="V101" s="11">
        <f t="shared" si="10"/>
        <v>395744.86113117542</v>
      </c>
    </row>
    <row r="102" spans="15:22" ht="18.75" customHeight="1">
      <c r="O102" s="16">
        <v>32264</v>
      </c>
      <c r="P102" s="11">
        <f t="shared" si="7"/>
        <v>401689.08906170726</v>
      </c>
      <c r="Q102" s="11">
        <f t="shared" si="8"/>
        <v>376551.69393579441</v>
      </c>
      <c r="R102" s="11">
        <v>-20190.857853651047</v>
      </c>
      <c r="S102" s="11">
        <v>30760.891800879039</v>
      </c>
      <c r="T102" s="11">
        <f t="shared" si="9"/>
        <v>387121.72788302239</v>
      </c>
      <c r="U102" s="11">
        <v>9293.6129224824435</v>
      </c>
      <c r="V102" s="11">
        <f t="shared" si="10"/>
        <v>396415.34080550482</v>
      </c>
    </row>
    <row r="103" spans="15:22" ht="18.75" customHeight="1">
      <c r="O103" s="16">
        <v>32295</v>
      </c>
      <c r="P103" s="11">
        <f t="shared" si="7"/>
        <v>403492.80750980973</v>
      </c>
      <c r="Q103" s="11">
        <f t="shared" si="8"/>
        <v>377812.37598878081</v>
      </c>
      <c r="R103" s="11">
        <v>-21030.492214202881</v>
      </c>
      <c r="S103" s="11">
        <v>24135.461905402834</v>
      </c>
      <c r="T103" s="11">
        <f t="shared" si="9"/>
        <v>380917.34567998076</v>
      </c>
      <c r="U103" s="11">
        <v>-4621.9608141512399</v>
      </c>
      <c r="V103" s="11">
        <f t="shared" si="10"/>
        <v>376295.38486582955</v>
      </c>
    </row>
    <row r="104" spans="15:22" ht="18.75" customHeight="1">
      <c r="O104" s="16">
        <v>32325</v>
      </c>
      <c r="P104" s="11">
        <f t="shared" si="7"/>
        <v>405234.69062575698</v>
      </c>
      <c r="Q104" s="11">
        <f t="shared" si="8"/>
        <v>379036.40942176973</v>
      </c>
      <c r="R104" s="11">
        <v>-21832.474833965302</v>
      </c>
      <c r="S104" s="11">
        <v>9035.5089355065847</v>
      </c>
      <c r="T104" s="11">
        <f t="shared" si="9"/>
        <v>366239.443523311</v>
      </c>
      <c r="U104" s="11">
        <v>4971.2907198364956</v>
      </c>
      <c r="V104" s="11">
        <f t="shared" si="10"/>
        <v>371210.73424314748</v>
      </c>
    </row>
    <row r="105" spans="15:22" ht="18.75" customHeight="1">
      <c r="O105" s="16">
        <v>32356</v>
      </c>
      <c r="P105" s="11">
        <f t="shared" si="7"/>
        <v>407030.61187829077</v>
      </c>
      <c r="Q105" s="11">
        <f t="shared" si="8"/>
        <v>380305.41021629988</v>
      </c>
      <c r="R105" s="11">
        <v>-22649.667035341263</v>
      </c>
      <c r="S105" s="11">
        <v>-11512.115043864824</v>
      </c>
      <c r="T105" s="11">
        <f t="shared" si="9"/>
        <v>346143.62813709379</v>
      </c>
      <c r="U105" s="11">
        <v>-13449.750155062418</v>
      </c>
      <c r="V105" s="11">
        <f t="shared" si="10"/>
        <v>332693.87798203138</v>
      </c>
    </row>
    <row r="106" spans="15:22" ht="18.75" customHeight="1">
      <c r="O106" s="16">
        <v>32387</v>
      </c>
      <c r="P106" s="11">
        <f t="shared" si="7"/>
        <v>408822.18631441891</v>
      </c>
      <c r="Q106" s="11">
        <f t="shared" si="8"/>
        <v>381578.65958161827</v>
      </c>
      <c r="R106" s="11">
        <v>-23454.544398546219</v>
      </c>
      <c r="S106" s="11">
        <v>-29942.575873501661</v>
      </c>
      <c r="T106" s="11">
        <f t="shared" si="9"/>
        <v>328181.53930957039</v>
      </c>
      <c r="U106" s="11">
        <v>-3166.0552233017524</v>
      </c>
      <c r="V106" s="11">
        <f t="shared" si="10"/>
        <v>325015.48408626864</v>
      </c>
    </row>
    <row r="107" spans="15:22" ht="18.75" customHeight="1">
      <c r="O107" s="16">
        <v>32417</v>
      </c>
      <c r="P107" s="11">
        <f t="shared" si="7"/>
        <v>410551.58533756435</v>
      </c>
      <c r="Q107" s="11">
        <f t="shared" si="8"/>
        <v>382814.89498926111</v>
      </c>
      <c r="R107" s="11">
        <v>-24221.169401407242</v>
      </c>
      <c r="S107" s="11">
        <v>-31807.738034068618</v>
      </c>
      <c r="T107" s="11">
        <f t="shared" si="9"/>
        <v>326785.98755378526</v>
      </c>
      <c r="U107" s="11">
        <v>1117.3869975229741</v>
      </c>
      <c r="V107" s="11">
        <f t="shared" si="10"/>
        <v>327903.37455130822</v>
      </c>
    </row>
    <row r="108" spans="15:22" ht="18.75" customHeight="1">
      <c r="O108" s="16">
        <v>32448</v>
      </c>
      <c r="P108" s="11">
        <f t="shared" si="7"/>
        <v>412333.85014355183</v>
      </c>
      <c r="Q108" s="11">
        <f t="shared" si="8"/>
        <v>384096.54602284043</v>
      </c>
      <c r="R108" s="11">
        <v>-25000.07954287529</v>
      </c>
      <c r="S108" s="11">
        <v>-19849.338384994844</v>
      </c>
      <c r="T108" s="11">
        <f t="shared" si="9"/>
        <v>339247.12809497031</v>
      </c>
      <c r="U108" s="11">
        <v>-4780.1605280656586</v>
      </c>
      <c r="V108" s="11">
        <f t="shared" si="10"/>
        <v>334466.96756690467</v>
      </c>
    </row>
    <row r="109" spans="15:22" ht="18.75" customHeight="1">
      <c r="O109" s="16">
        <v>32478</v>
      </c>
      <c r="P109" s="11">
        <f t="shared" si="7"/>
        <v>414053.75461664796</v>
      </c>
      <c r="Q109" s="11">
        <f t="shared" si="8"/>
        <v>385340.93885829765</v>
      </c>
      <c r="R109" s="11">
        <v>-25740.486725091934</v>
      </c>
      <c r="S109" s="11">
        <v>-8556.4728300846164</v>
      </c>
      <c r="T109" s="11">
        <f t="shared" si="9"/>
        <v>351043.9793031211</v>
      </c>
      <c r="U109" s="11">
        <v>-17076.535611003794</v>
      </c>
      <c r="V109" s="11">
        <f t="shared" si="10"/>
        <v>333967.44369211729</v>
      </c>
    </row>
    <row r="110" spans="15:22" ht="18.75" customHeight="1">
      <c r="O110" s="16">
        <v>32509</v>
      </c>
      <c r="P110" s="11">
        <f t="shared" si="7"/>
        <v>415825.70698265731</v>
      </c>
      <c r="Q110" s="11">
        <f t="shared" si="8"/>
        <v>386631.04699941829</v>
      </c>
      <c r="R110" s="11">
        <v>-26491.202705144882</v>
      </c>
      <c r="S110" s="11">
        <v>588.98337502532581</v>
      </c>
      <c r="T110" s="11">
        <f t="shared" si="9"/>
        <v>360728.82766929874</v>
      </c>
      <c r="U110" s="11">
        <v>-10624.373035634295</v>
      </c>
      <c r="V110" s="11">
        <f t="shared" si="10"/>
        <v>350104.45463366446</v>
      </c>
    </row>
    <row r="111" spans="15:22" ht="18.75" customHeight="1">
      <c r="O111" s="16">
        <v>32540</v>
      </c>
      <c r="P111" s="11">
        <f t="shared" si="7"/>
        <v>417592.03429333866</v>
      </c>
      <c r="Q111" s="11">
        <f t="shared" si="8"/>
        <v>387925.47437799396</v>
      </c>
      <c r="R111" s="11">
        <v>-27226.765260457993</v>
      </c>
      <c r="S111" s="11">
        <v>7225.4655458402231</v>
      </c>
      <c r="T111" s="11">
        <f t="shared" si="9"/>
        <v>367924.17466337618</v>
      </c>
      <c r="U111" s="11">
        <v>-4409.9613485929276</v>
      </c>
      <c r="V111" s="11">
        <f t="shared" si="10"/>
        <v>363514.21331478324</v>
      </c>
    </row>
    <row r="112" spans="15:22" ht="18.75" customHeight="1">
      <c r="O112" s="16">
        <v>32568</v>
      </c>
      <c r="P112" s="11">
        <f t="shared" si="7"/>
        <v>419182.37642168999</v>
      </c>
      <c r="Q112" s="11">
        <f t="shared" si="8"/>
        <v>389098.35909495648</v>
      </c>
      <c r="R112" s="11">
        <v>-27877.669524908066</v>
      </c>
      <c r="S112" s="11">
        <v>14702.969673403668</v>
      </c>
      <c r="T112" s="11">
        <f t="shared" si="9"/>
        <v>375923.65924345207</v>
      </c>
      <c r="U112" s="11">
        <v>-5415.5316499260744</v>
      </c>
      <c r="V112" s="11">
        <f t="shared" si="10"/>
        <v>370508.12759352598</v>
      </c>
    </row>
    <row r="113" spans="15:22" ht="18.75" customHeight="1">
      <c r="O113" s="16">
        <v>32599</v>
      </c>
      <c r="P113" s="11">
        <f t="shared" si="7"/>
        <v>420937.28245915473</v>
      </c>
      <c r="Q113" s="11">
        <f t="shared" si="8"/>
        <v>390401.04694912699</v>
      </c>
      <c r="R113" s="11">
        <v>-28582.907005310059</v>
      </c>
      <c r="S113" s="11">
        <v>26366.176148156963</v>
      </c>
      <c r="T113" s="11">
        <f t="shared" si="9"/>
        <v>388184.31609197392</v>
      </c>
      <c r="U113" s="11">
        <v>8406.6752791992058</v>
      </c>
      <c r="V113" s="11">
        <f t="shared" si="10"/>
        <v>396590.99137117312</v>
      </c>
    </row>
    <row r="114" spans="15:22" ht="18.75" customHeight="1">
      <c r="O114" s="16">
        <v>32629</v>
      </c>
      <c r="P114" s="11">
        <f t="shared" si="7"/>
        <v>422629.50956009328</v>
      </c>
      <c r="Q114" s="11">
        <f t="shared" si="8"/>
        <v>391665.86505491025</v>
      </c>
      <c r="R114" s="11">
        <v>-29249.507301092148</v>
      </c>
      <c r="S114" s="11">
        <v>30760.891800879039</v>
      </c>
      <c r="T114" s="11">
        <f t="shared" si="9"/>
        <v>393177.24955469713</v>
      </c>
      <c r="U114" s="11">
        <v>-3125.1565881864904</v>
      </c>
      <c r="V114" s="11">
        <f t="shared" si="10"/>
        <v>390052.09296651062</v>
      </c>
    </row>
    <row r="115" spans="15:22" ht="18.75" customHeight="1">
      <c r="O115" s="16">
        <v>32660</v>
      </c>
      <c r="P115" s="11">
        <f t="shared" si="7"/>
        <v>424371.6207921654</v>
      </c>
      <c r="Q115" s="11">
        <f t="shared" si="8"/>
        <v>392977.148830269</v>
      </c>
      <c r="R115" s="11">
        <v>-29921.416451215744</v>
      </c>
      <c r="S115" s="11">
        <v>24135.461905402834</v>
      </c>
      <c r="T115" s="11">
        <f t="shared" si="9"/>
        <v>387191.19428445608</v>
      </c>
      <c r="U115" s="11">
        <v>-12618.242754621439</v>
      </c>
      <c r="V115" s="11">
        <f t="shared" si="10"/>
        <v>374572.95152983465</v>
      </c>
    </row>
    <row r="116" spans="15:22" ht="18.75" customHeight="1">
      <c r="O116" s="16">
        <v>32690</v>
      </c>
      <c r="P116" s="11">
        <f t="shared" si="7"/>
        <v>426050.98059280217</v>
      </c>
      <c r="Q116" s="11">
        <f t="shared" si="8"/>
        <v>394250.31296977156</v>
      </c>
      <c r="R116" s="11">
        <v>-30554.823214054108</v>
      </c>
      <c r="S116" s="11">
        <v>9035.5089355065847</v>
      </c>
      <c r="T116" s="11">
        <f t="shared" si="9"/>
        <v>372730.99869122403</v>
      </c>
      <c r="U116" s="11">
        <v>-922.87434673432756</v>
      </c>
      <c r="V116" s="11">
        <f t="shared" si="10"/>
        <v>371808.12434448971</v>
      </c>
    </row>
    <row r="117" spans="15:22" ht="18.75" customHeight="1">
      <c r="O117" s="16">
        <v>32721</v>
      </c>
      <c r="P117" s="11">
        <f t="shared" si="7"/>
        <v>427779.2942096293</v>
      </c>
      <c r="Q117" s="11">
        <f t="shared" si="8"/>
        <v>395570.24938739859</v>
      </c>
      <c r="R117" s="11">
        <v>-31191.482839584351</v>
      </c>
      <c r="S117" s="11">
        <v>-11512.115043864824</v>
      </c>
      <c r="T117" s="11">
        <f t="shared" si="9"/>
        <v>352866.65150394943</v>
      </c>
      <c r="U117" s="11">
        <v>-590.98196158347957</v>
      </c>
      <c r="V117" s="11">
        <f t="shared" si="10"/>
        <v>352275.66954236594</v>
      </c>
    </row>
    <row r="118" spans="15:22" ht="18.75" customHeight="1">
      <c r="O118" s="16">
        <v>32752</v>
      </c>
      <c r="P118" s="11">
        <f t="shared" si="7"/>
        <v>429500.21161650121</v>
      </c>
      <c r="Q118" s="11">
        <f t="shared" si="8"/>
        <v>396894.60490651918</v>
      </c>
      <c r="R118" s="11">
        <v>-31809.520699501038</v>
      </c>
      <c r="S118" s="11">
        <v>-29942.575873501661</v>
      </c>
      <c r="T118" s="11">
        <f t="shared" si="9"/>
        <v>335142.50833351648</v>
      </c>
      <c r="U118" s="11">
        <v>886.18125868158927</v>
      </c>
      <c r="V118" s="11">
        <f t="shared" si="10"/>
        <v>336028.68959219806</v>
      </c>
    </row>
    <row r="119" spans="15:22" ht="18.75" customHeight="1">
      <c r="O119" s="16">
        <v>32782</v>
      </c>
      <c r="P119" s="11">
        <f t="shared" si="7"/>
        <v>431158.32944057882</v>
      </c>
      <c r="Q119" s="11">
        <f t="shared" si="8"/>
        <v>398180.46078804519</v>
      </c>
      <c r="R119" s="11">
        <v>-32389.456296443939</v>
      </c>
      <c r="S119" s="11">
        <v>-31807.738034068618</v>
      </c>
      <c r="T119" s="11">
        <f t="shared" si="9"/>
        <v>333983.26645753265</v>
      </c>
      <c r="U119" s="11">
        <v>5452.475970107208</v>
      </c>
      <c r="V119" s="11">
        <f t="shared" si="10"/>
        <v>339435.74242763984</v>
      </c>
    </row>
    <row r="120" spans="15:22" ht="18.75" customHeight="1">
      <c r="O120" s="16">
        <v>32813</v>
      </c>
      <c r="P120" s="11">
        <f t="shared" si="7"/>
        <v>432863.93679763377</v>
      </c>
      <c r="Q120" s="11">
        <f t="shared" si="8"/>
        <v>399513.55520469305</v>
      </c>
      <c r="R120" s="11">
        <v>-32969.513488531113</v>
      </c>
      <c r="S120" s="11">
        <v>-19849.338384994844</v>
      </c>
      <c r="T120" s="11">
        <f t="shared" si="9"/>
        <v>346694.70333116711</v>
      </c>
      <c r="U120" s="11">
        <v>4341.6708641173</v>
      </c>
      <c r="V120" s="11">
        <f t="shared" si="10"/>
        <v>351036.37419528438</v>
      </c>
    </row>
    <row r="121" spans="15:22" ht="18.75" customHeight="1">
      <c r="O121" s="16">
        <v>32843</v>
      </c>
      <c r="P121" s="11">
        <f t="shared" si="7"/>
        <v>434506.75321394205</v>
      </c>
      <c r="Q121" s="11">
        <f t="shared" si="8"/>
        <v>400807.89593988803</v>
      </c>
      <c r="R121" s="11">
        <v>-33511.860057592392</v>
      </c>
      <c r="S121" s="11">
        <v>-8556.4728300846164</v>
      </c>
      <c r="T121" s="11">
        <f t="shared" si="9"/>
        <v>358739.56305221102</v>
      </c>
      <c r="U121" s="11">
        <v>-538.08337562217753</v>
      </c>
      <c r="V121" s="11">
        <f t="shared" si="10"/>
        <v>358201.47967658885</v>
      </c>
    </row>
    <row r="122" spans="15:22" ht="18.75" customHeight="1">
      <c r="O122" s="16">
        <v>32874</v>
      </c>
      <c r="P122" s="11">
        <f t="shared" si="7"/>
        <v>436196.04771140218</v>
      </c>
      <c r="Q122" s="11">
        <f t="shared" si="8"/>
        <v>402149.78691858734</v>
      </c>
      <c r="R122" s="11">
        <v>-34052.236042499542</v>
      </c>
      <c r="S122" s="11">
        <v>588.98337502532581</v>
      </c>
      <c r="T122" s="11">
        <f t="shared" si="9"/>
        <v>368686.53425111313</v>
      </c>
      <c r="U122" s="11">
        <v>3622.39338244275</v>
      </c>
      <c r="V122" s="11">
        <f t="shared" si="10"/>
        <v>372308.9276335559</v>
      </c>
    </row>
    <row r="123" spans="15:22" ht="18.75" customHeight="1">
      <c r="O123" s="16">
        <v>32905</v>
      </c>
      <c r="P123" s="11">
        <f t="shared" si="7"/>
        <v>437876.66775989532</v>
      </c>
      <c r="Q123" s="11">
        <f t="shared" si="8"/>
        <v>403496.17050189094</v>
      </c>
      <c r="R123" s="11">
        <v>-34571.822657346725</v>
      </c>
      <c r="S123" s="11">
        <v>7225.4655458402231</v>
      </c>
      <c r="T123" s="11">
        <f t="shared" si="9"/>
        <v>376149.81339038443</v>
      </c>
      <c r="U123" s="11">
        <v>3586.6235348762511</v>
      </c>
      <c r="V123" s="11">
        <f t="shared" si="10"/>
        <v>379736.4369252607</v>
      </c>
    </row>
    <row r="124" spans="15:22" ht="18.75" customHeight="1">
      <c r="O124" s="16">
        <v>32933</v>
      </c>
      <c r="P124" s="11">
        <f t="shared" si="7"/>
        <v>439386.97585852444</v>
      </c>
      <c r="Q124" s="11">
        <f t="shared" si="8"/>
        <v>404716.13289929205</v>
      </c>
      <c r="R124" s="11">
        <v>-35022.920747041702</v>
      </c>
      <c r="S124" s="11">
        <v>14702.969673403668</v>
      </c>
      <c r="T124" s="11">
        <f t="shared" si="9"/>
        <v>384396.181825654</v>
      </c>
      <c r="U124" s="11">
        <v>726.60059313201782</v>
      </c>
      <c r="V124" s="11">
        <f t="shared" si="10"/>
        <v>385122.78241878602</v>
      </c>
    </row>
    <row r="125" spans="15:22" ht="18.75" customHeight="1">
      <c r="O125" s="16">
        <v>32964</v>
      </c>
      <c r="P125" s="11">
        <f t="shared" si="7"/>
        <v>441050.37094925344</v>
      </c>
      <c r="Q125" s="11">
        <f t="shared" si="8"/>
        <v>406071.10852021415</v>
      </c>
      <c r="R125" s="11">
        <v>-35501.831408262253</v>
      </c>
      <c r="S125" s="11">
        <v>26366.176148156963</v>
      </c>
      <c r="T125" s="11">
        <f t="shared" si="9"/>
        <v>396935.45326010889</v>
      </c>
      <c r="U125" s="11">
        <v>-2895.6069074057982</v>
      </c>
      <c r="V125" s="11">
        <f t="shared" si="10"/>
        <v>394039.84635270311</v>
      </c>
    </row>
    <row r="126" spans="15:22" ht="18.75" customHeight="1">
      <c r="O126" s="16">
        <v>32994</v>
      </c>
      <c r="P126" s="11">
        <f t="shared" si="7"/>
        <v>442651.13564063609</v>
      </c>
      <c r="Q126" s="11">
        <f t="shared" si="8"/>
        <v>407386.69436278695</v>
      </c>
      <c r="R126" s="11">
        <v>-35944.413989305496</v>
      </c>
      <c r="S126" s="11">
        <v>30760.891800879039</v>
      </c>
      <c r="T126" s="11">
        <f t="shared" si="9"/>
        <v>402203.17217436049</v>
      </c>
      <c r="U126" s="11">
        <v>9038.4437053617821</v>
      </c>
      <c r="V126" s="11">
        <f t="shared" si="10"/>
        <v>411241.61587972229</v>
      </c>
    </row>
    <row r="127" spans="15:22" ht="18.75" customHeight="1">
      <c r="O127" s="16">
        <v>33025</v>
      </c>
      <c r="P127" s="11">
        <f t="shared" si="7"/>
        <v>444295.73550637066</v>
      </c>
      <c r="Q127" s="11">
        <f t="shared" si="8"/>
        <v>408750.61093116173</v>
      </c>
      <c r="R127" s="11">
        <v>-36379.81233716011</v>
      </c>
      <c r="S127" s="11">
        <v>24135.461905402834</v>
      </c>
      <c r="T127" s="11">
        <f t="shared" si="9"/>
        <v>396506.26049940445</v>
      </c>
      <c r="U127" s="11">
        <v>2701.3048062690309</v>
      </c>
      <c r="V127" s="11">
        <f t="shared" si="10"/>
        <v>399207.56530567346</v>
      </c>
    </row>
    <row r="128" spans="15:22" ht="18.75" customHeight="1">
      <c r="O128" s="16">
        <v>33055</v>
      </c>
      <c r="P128" s="11">
        <f t="shared" si="7"/>
        <v>445877.8260397315</v>
      </c>
      <c r="Q128" s="11">
        <f t="shared" si="8"/>
        <v>410074.87780364038</v>
      </c>
      <c r="R128" s="11">
        <v>-36779.600628137589</v>
      </c>
      <c r="S128" s="11">
        <v>9035.5089355065847</v>
      </c>
      <c r="T128" s="11">
        <f t="shared" si="9"/>
        <v>382330.78611100937</v>
      </c>
      <c r="U128" s="11">
        <v>67.923976144924197</v>
      </c>
      <c r="V128" s="11">
        <f t="shared" si="10"/>
        <v>382398.71008715429</v>
      </c>
    </row>
    <row r="129" spans="15:22" ht="18.75" customHeight="1">
      <c r="O129" s="16">
        <v>33086</v>
      </c>
      <c r="P129" s="11">
        <f t="shared" si="7"/>
        <v>447502.62787057459</v>
      </c>
      <c r="Q129" s="11">
        <f t="shared" si="8"/>
        <v>411447.79431723739</v>
      </c>
      <c r="R129" s="11">
        <v>-37170.091868638992</v>
      </c>
      <c r="S129" s="11">
        <v>-11512.115043864824</v>
      </c>
      <c r="T129" s="11">
        <f t="shared" si="9"/>
        <v>362765.58740473358</v>
      </c>
      <c r="U129" s="11">
        <v>-278.05266346445705</v>
      </c>
      <c r="V129" s="11">
        <f t="shared" si="10"/>
        <v>362487.53474126913</v>
      </c>
    </row>
    <row r="130" spans="15:22" ht="18.75" customHeight="1">
      <c r="O130" s="16">
        <v>33117</v>
      </c>
      <c r="P130" s="11">
        <f t="shared" si="7"/>
        <v>449116.9840978533</v>
      </c>
      <c r="Q130" s="11">
        <f t="shared" si="8"/>
        <v>412825.30730785755</v>
      </c>
      <c r="R130" s="11">
        <v>-37537.255125761032</v>
      </c>
      <c r="S130" s="11">
        <v>-29942.575873501661</v>
      </c>
      <c r="T130" s="11">
        <f t="shared" si="9"/>
        <v>345345.47630859487</v>
      </c>
      <c r="U130" s="11">
        <v>-10945.419011441225</v>
      </c>
      <c r="V130" s="11">
        <f t="shared" si="10"/>
        <v>334400.05729715363</v>
      </c>
    </row>
    <row r="131" spans="15:22" ht="18.75" customHeight="1">
      <c r="O131" s="16">
        <v>33147</v>
      </c>
      <c r="P131" s="11">
        <f t="shared" ref="P131:P194" si="11">O131^3*$I$2+O131^2*$J$2+O131*$K$2+$L$2</f>
        <v>450669.07477086782</v>
      </c>
      <c r="Q131" s="11">
        <f t="shared" ref="Q131:Q194" si="12">EXP($I$3*O131+$J$3)</f>
        <v>414162.77534819447</v>
      </c>
      <c r="R131" s="11">
        <v>-37870.055954217911</v>
      </c>
      <c r="S131" s="11">
        <v>-31807.738034068618</v>
      </c>
      <c r="T131" s="11">
        <f t="shared" ref="T131:T194" si="13">SUM(Q131:S131)</f>
        <v>344484.98135990795</v>
      </c>
      <c r="U131" s="11">
        <v>646.63596411609421</v>
      </c>
      <c r="V131" s="11">
        <f t="shared" ref="V131:V194" si="14">T131+U131</f>
        <v>345131.61732402403</v>
      </c>
    </row>
    <row r="132" spans="15:22" ht="18.75" customHeight="1">
      <c r="O132" s="16">
        <v>33178</v>
      </c>
      <c r="P132" s="11">
        <f t="shared" si="11"/>
        <v>452262.12052875757</v>
      </c>
      <c r="Q132" s="11">
        <f t="shared" si="12"/>
        <v>415549.37800144276</v>
      </c>
      <c r="R132" s="11">
        <v>-38190.37487912178</v>
      </c>
      <c r="S132" s="11">
        <v>-19849.338384994844</v>
      </c>
      <c r="T132" s="11">
        <f t="shared" si="13"/>
        <v>357509.66473732615</v>
      </c>
      <c r="U132" s="11">
        <v>6726.8453364502957</v>
      </c>
      <c r="V132" s="11">
        <f t="shared" si="14"/>
        <v>364236.51007377647</v>
      </c>
    </row>
    <row r="133" spans="15:22" ht="18.75" customHeight="1">
      <c r="O133" s="16">
        <v>33208</v>
      </c>
      <c r="P133" s="11">
        <f t="shared" si="11"/>
        <v>453793.10293628275</v>
      </c>
      <c r="Q133" s="11">
        <f t="shared" si="12"/>
        <v>416895.67146364163</v>
      </c>
      <c r="R133" s="11">
        <v>-38477.263652086258</v>
      </c>
      <c r="S133" s="11">
        <v>-8556.4728300846164</v>
      </c>
      <c r="T133" s="11">
        <f t="shared" si="13"/>
        <v>369861.93498147075</v>
      </c>
      <c r="U133" s="11">
        <v>9689.6895773113465</v>
      </c>
      <c r="V133" s="11">
        <f t="shared" si="14"/>
        <v>379551.62455878209</v>
      </c>
    </row>
    <row r="134" spans="15:22" ht="18.75" customHeight="1">
      <c r="O134" s="16">
        <v>33239</v>
      </c>
      <c r="P134" s="11">
        <f t="shared" si="11"/>
        <v>455363.83541488647</v>
      </c>
      <c r="Q134" s="11">
        <f t="shared" si="12"/>
        <v>418291.42375860084</v>
      </c>
      <c r="R134" s="11">
        <v>-38749.564109563828</v>
      </c>
      <c r="S134" s="11">
        <v>588.98337502532581</v>
      </c>
      <c r="T134" s="11">
        <f t="shared" si="13"/>
        <v>380130.84302406234</v>
      </c>
      <c r="U134" s="11">
        <v>-436.22179585768555</v>
      </c>
      <c r="V134" s="11">
        <f t="shared" si="14"/>
        <v>379694.62122820463</v>
      </c>
    </row>
    <row r="135" spans="15:22" ht="18.75" customHeight="1">
      <c r="O135" s="16">
        <v>33270</v>
      </c>
      <c r="P135" s="11">
        <f t="shared" si="11"/>
        <v>456922.84405095875</v>
      </c>
      <c r="Q135" s="11">
        <f t="shared" si="12"/>
        <v>419691.84898398974</v>
      </c>
      <c r="R135" s="11">
        <v>-38997.039960622787</v>
      </c>
      <c r="S135" s="11">
        <v>7225.4655458402231</v>
      </c>
      <c r="T135" s="11">
        <f t="shared" si="13"/>
        <v>387920.27456920716</v>
      </c>
      <c r="U135" s="11">
        <v>5236.8215013494364</v>
      </c>
      <c r="V135" s="11">
        <f t="shared" si="14"/>
        <v>393157.09607055661</v>
      </c>
    </row>
    <row r="136" spans="15:22" ht="18.75" customHeight="1">
      <c r="O136" s="16">
        <v>33298</v>
      </c>
      <c r="P136" s="11">
        <f t="shared" si="11"/>
        <v>458320.68856461346</v>
      </c>
      <c r="Q136" s="11">
        <f t="shared" si="12"/>
        <v>420960.77868317062</v>
      </c>
      <c r="R136" s="11">
        <v>-39199.005299091339</v>
      </c>
      <c r="S136" s="11">
        <v>14702.969673403668</v>
      </c>
      <c r="T136" s="11">
        <f t="shared" si="13"/>
        <v>396464.74305748293</v>
      </c>
      <c r="U136" s="11">
        <v>2352.5542184496235</v>
      </c>
      <c r="V136" s="11">
        <f t="shared" si="14"/>
        <v>398817.29727593256</v>
      </c>
    </row>
    <row r="137" spans="15:22" ht="18.75" customHeight="1">
      <c r="O137" s="16">
        <v>33329</v>
      </c>
      <c r="P137" s="11">
        <f t="shared" si="11"/>
        <v>459856.66855834424</v>
      </c>
      <c r="Q137" s="11">
        <f t="shared" si="12"/>
        <v>422370.14081656089</v>
      </c>
      <c r="R137" s="11">
        <v>-39398.500829458237</v>
      </c>
      <c r="S137" s="11">
        <v>26366.176148156963</v>
      </c>
      <c r="T137" s="11">
        <f t="shared" si="13"/>
        <v>409337.81613525964</v>
      </c>
      <c r="U137" s="11">
        <v>3875.8228379368238</v>
      </c>
      <c r="V137" s="11">
        <f t="shared" si="14"/>
        <v>413213.63897319644</v>
      </c>
    </row>
    <row r="138" spans="15:22" ht="18.75" customHeight="1">
      <c r="O138" s="16">
        <v>33359</v>
      </c>
      <c r="P138" s="11">
        <f t="shared" si="11"/>
        <v>461331.22488826513</v>
      </c>
      <c r="Q138" s="11">
        <f t="shared" si="12"/>
        <v>423738.53213011345</v>
      </c>
      <c r="R138" s="11">
        <v>-39567.214000940323</v>
      </c>
      <c r="S138" s="11">
        <v>30760.891800879039</v>
      </c>
      <c r="T138" s="11">
        <f t="shared" si="13"/>
        <v>414932.20993005217</v>
      </c>
      <c r="U138" s="11">
        <v>-8794.5675324026561</v>
      </c>
      <c r="V138" s="11">
        <f t="shared" si="14"/>
        <v>406137.64239764953</v>
      </c>
    </row>
    <row r="139" spans="15:22" ht="18.75" customHeight="1">
      <c r="O139" s="16">
        <v>33390</v>
      </c>
      <c r="P139" s="11">
        <f t="shared" si="11"/>
        <v>462842.40923729539</v>
      </c>
      <c r="Q139" s="11">
        <f t="shared" si="12"/>
        <v>425157.19408600964</v>
      </c>
      <c r="R139" s="11">
        <v>-39716.163017511368</v>
      </c>
      <c r="S139" s="11">
        <v>24135.461905402834</v>
      </c>
      <c r="T139" s="11">
        <f t="shared" si="13"/>
        <v>409576.4929739011</v>
      </c>
      <c r="U139" s="11">
        <v>-1010.541954961174</v>
      </c>
      <c r="V139" s="11">
        <f t="shared" si="14"/>
        <v>408565.9510189399</v>
      </c>
    </row>
    <row r="140" spans="15:22" ht="18.75" customHeight="1">
      <c r="O140" s="16">
        <v>33420</v>
      </c>
      <c r="P140" s="11">
        <f t="shared" si="11"/>
        <v>464292.48455153406</v>
      </c>
      <c r="Q140" s="11">
        <f t="shared" si="12"/>
        <v>426534.61487185699</v>
      </c>
      <c r="R140" s="11">
        <v>-39835.529319047928</v>
      </c>
      <c r="S140" s="11">
        <v>9035.5089355065847</v>
      </c>
      <c r="T140" s="11">
        <f t="shared" si="13"/>
        <v>395734.59448831563</v>
      </c>
      <c r="U140" s="11">
        <v>3162.9790904002061</v>
      </c>
      <c r="V140" s="11">
        <f t="shared" si="14"/>
        <v>398897.57357871585</v>
      </c>
    </row>
    <row r="141" spans="15:22" ht="18.75" customHeight="1">
      <c r="O141" s="16">
        <v>33451</v>
      </c>
      <c r="P141" s="11">
        <f t="shared" si="11"/>
        <v>465777.87044605613</v>
      </c>
      <c r="Q141" s="11">
        <f t="shared" si="12"/>
        <v>427962.63801610505</v>
      </c>
      <c r="R141" s="11">
        <v>-39933.063431024551</v>
      </c>
      <c r="S141" s="11">
        <v>-11512.115043864824</v>
      </c>
      <c r="T141" s="11">
        <f t="shared" si="13"/>
        <v>376517.45954121568</v>
      </c>
      <c r="U141" s="11">
        <v>-6123.3999085762398</v>
      </c>
      <c r="V141" s="11">
        <f t="shared" si="14"/>
        <v>370394.05963263946</v>
      </c>
    </row>
    <row r="142" spans="15:22" ht="18.75" customHeight="1">
      <c r="O142" s="16">
        <v>33482</v>
      </c>
      <c r="P142" s="11">
        <f t="shared" si="11"/>
        <v>467249.76134341955</v>
      </c>
      <c r="Q142" s="11">
        <f t="shared" si="12"/>
        <v>429395.44213247061</v>
      </c>
      <c r="R142" s="11">
        <v>-40004.164051294327</v>
      </c>
      <c r="S142" s="11">
        <v>-29942.575873501661</v>
      </c>
      <c r="T142" s="11">
        <f t="shared" si="13"/>
        <v>359448.70220767462</v>
      </c>
      <c r="U142" s="11">
        <v>-5681.7653772489757</v>
      </c>
      <c r="V142" s="11">
        <f t="shared" si="14"/>
        <v>353766.93683042563</v>
      </c>
    </row>
    <row r="143" spans="15:22" ht="18.75" customHeight="1">
      <c r="O143" s="16">
        <v>33512</v>
      </c>
      <c r="P143" s="11">
        <f t="shared" si="11"/>
        <v>468661.07891352475</v>
      </c>
      <c r="Q143" s="11">
        <f t="shared" si="12"/>
        <v>430786.59395953204</v>
      </c>
      <c r="R143" s="11">
        <v>-40047.623843431473</v>
      </c>
      <c r="S143" s="11">
        <v>-31807.738034068618</v>
      </c>
      <c r="T143" s="11">
        <f t="shared" si="13"/>
        <v>358931.23208203196</v>
      </c>
      <c r="U143" s="11">
        <v>11219.083483824114</v>
      </c>
      <c r="V143" s="11">
        <f t="shared" si="14"/>
        <v>370150.31556585606</v>
      </c>
    </row>
    <row r="144" spans="15:22" ht="18.75" customHeight="1">
      <c r="O144" s="16">
        <v>33543</v>
      </c>
      <c r="P144" s="11">
        <f t="shared" si="11"/>
        <v>470105.65892183781</v>
      </c>
      <c r="Q144" s="11">
        <f t="shared" si="12"/>
        <v>432228.85258276435</v>
      </c>
      <c r="R144" s="11">
        <v>-40066.166251897812</v>
      </c>
      <c r="S144" s="11">
        <v>-19849.338384994844</v>
      </c>
      <c r="T144" s="11">
        <f t="shared" si="13"/>
        <v>372313.3479458717</v>
      </c>
      <c r="U144" s="11">
        <v>6660.0839515149964</v>
      </c>
      <c r="V144" s="11">
        <f t="shared" si="14"/>
        <v>378973.43189738668</v>
      </c>
    </row>
    <row r="145" spans="15:22" ht="18.75" customHeight="1">
      <c r="O145" s="16">
        <v>33573</v>
      </c>
      <c r="P145" s="11">
        <f t="shared" si="11"/>
        <v>471490.06136868894</v>
      </c>
      <c r="Q145" s="11">
        <f t="shared" si="12"/>
        <v>433629.18406973436</v>
      </c>
      <c r="R145" s="11">
        <v>-40058.439138650894</v>
      </c>
      <c r="S145" s="11">
        <v>-8556.4728300846164</v>
      </c>
      <c r="T145" s="11">
        <f t="shared" si="13"/>
        <v>385014.27210099885</v>
      </c>
      <c r="U145" s="11">
        <v>1626.1448471749377</v>
      </c>
      <c r="V145" s="11">
        <f t="shared" si="14"/>
        <v>386640.41694817378</v>
      </c>
    </row>
    <row r="146" spans="15:22" ht="18.75" customHeight="1">
      <c r="O146" s="16">
        <v>33604</v>
      </c>
      <c r="P146" s="11">
        <f t="shared" si="11"/>
        <v>472906.32767809927</v>
      </c>
      <c r="Q146" s="11">
        <f t="shared" si="12"/>
        <v>435080.95958638034</v>
      </c>
      <c r="R146" s="11">
        <v>-40023.775601148605</v>
      </c>
      <c r="S146" s="11">
        <v>588.98337502532581</v>
      </c>
      <c r="T146" s="11">
        <f t="shared" si="13"/>
        <v>395646.16736025707</v>
      </c>
      <c r="U146" s="11">
        <v>-2152.2779199863239</v>
      </c>
      <c r="V146" s="11">
        <f t="shared" si="14"/>
        <v>393493.88944027072</v>
      </c>
    </row>
    <row r="147" spans="15:22" ht="18.75" customHeight="1">
      <c r="O147" s="16">
        <v>33635</v>
      </c>
      <c r="P147" s="11">
        <f t="shared" si="11"/>
        <v>474307.8207514286</v>
      </c>
      <c r="Q147" s="11">
        <f t="shared" si="12"/>
        <v>436537.59559726471</v>
      </c>
      <c r="R147" s="11">
        <v>-39961.852932214737</v>
      </c>
      <c r="S147" s="11">
        <v>7225.4655458402231</v>
      </c>
      <c r="T147" s="11">
        <f t="shared" si="13"/>
        <v>403801.20821089018</v>
      </c>
      <c r="U147" s="11">
        <v>-8996.6506187994692</v>
      </c>
      <c r="V147" s="11">
        <f t="shared" si="14"/>
        <v>394804.55759209068</v>
      </c>
    </row>
    <row r="148" spans="15:22" ht="18.75" customHeight="1">
      <c r="O148" s="16">
        <v>33664</v>
      </c>
      <c r="P148" s="11">
        <f t="shared" si="11"/>
        <v>475605.29118029773</v>
      </c>
      <c r="Q148" s="11">
        <f t="shared" si="12"/>
        <v>437904.66974489694</v>
      </c>
      <c r="R148" s="11">
        <v>-39879.129394292831</v>
      </c>
      <c r="S148" s="11">
        <v>14702.969673403668</v>
      </c>
      <c r="T148" s="11">
        <f t="shared" si="13"/>
        <v>412728.51002400776</v>
      </c>
      <c r="U148" s="11">
        <v>-270.29768635234223</v>
      </c>
      <c r="V148" s="11">
        <f t="shared" si="14"/>
        <v>412458.21233765542</v>
      </c>
    </row>
    <row r="149" spans="15:22" ht="18.75" customHeight="1">
      <c r="O149" s="16">
        <v>33695</v>
      </c>
      <c r="P149" s="11">
        <f t="shared" si="11"/>
        <v>476977.45515815914</v>
      </c>
      <c r="Q149" s="11">
        <f t="shared" si="12"/>
        <v>439370.75943976943</v>
      </c>
      <c r="R149" s="11">
        <v>-39764.079464673996</v>
      </c>
      <c r="S149" s="11">
        <v>26366.176148156963</v>
      </c>
      <c r="T149" s="11">
        <f t="shared" si="13"/>
        <v>425972.85612325242</v>
      </c>
      <c r="U149" s="11">
        <v>-2488.622122939521</v>
      </c>
      <c r="V149" s="11">
        <f t="shared" si="14"/>
        <v>423484.23400031292</v>
      </c>
    </row>
    <row r="150" spans="15:22" ht="18.75" customHeight="1">
      <c r="O150" s="16">
        <v>33725</v>
      </c>
      <c r="P150" s="11">
        <f t="shared" si="11"/>
        <v>478290.56847637892</v>
      </c>
      <c r="Q150" s="11">
        <f t="shared" si="12"/>
        <v>440794.22921792191</v>
      </c>
      <c r="R150" s="11">
        <v>-39626.44699048996</v>
      </c>
      <c r="S150" s="11">
        <v>30760.891800879039</v>
      </c>
      <c r="T150" s="11">
        <f t="shared" si="13"/>
        <v>431928.67402831098</v>
      </c>
      <c r="U150" s="11">
        <v>-3206.6565667108744</v>
      </c>
      <c r="V150" s="11">
        <f t="shared" si="14"/>
        <v>428722.01746160013</v>
      </c>
    </row>
    <row r="151" spans="15:22" ht="18.75" customHeight="1">
      <c r="O151" s="16">
        <v>33756</v>
      </c>
      <c r="P151" s="11">
        <f t="shared" si="11"/>
        <v>479631.91995041072</v>
      </c>
      <c r="Q151" s="11">
        <f t="shared" si="12"/>
        <v>442269.99305801175</v>
      </c>
      <c r="R151" s="11">
        <v>-39456.959815263748</v>
      </c>
      <c r="S151" s="11">
        <v>24135.461905402834</v>
      </c>
      <c r="T151" s="11">
        <f t="shared" si="13"/>
        <v>426948.49514815083</v>
      </c>
      <c r="U151" s="11">
        <v>-3449.4442661119706</v>
      </c>
      <c r="V151" s="11">
        <f t="shared" si="14"/>
        <v>423499.05088203883</v>
      </c>
    </row>
    <row r="152" spans="15:22" ht="18.75" customHeight="1">
      <c r="O152" s="16">
        <v>33786</v>
      </c>
      <c r="P152" s="11">
        <f t="shared" si="11"/>
        <v>480914.72948600352</v>
      </c>
      <c r="Q152" s="11">
        <f t="shared" si="12"/>
        <v>443702.85574943095</v>
      </c>
      <c r="R152" s="11">
        <v>-39266.470654249191</v>
      </c>
      <c r="S152" s="11">
        <v>9035.5089355065847</v>
      </c>
      <c r="T152" s="11">
        <f t="shared" si="13"/>
        <v>413471.89403068833</v>
      </c>
      <c r="U152" s="11">
        <v>10101.93485040308</v>
      </c>
      <c r="V152" s="11">
        <f t="shared" si="14"/>
        <v>423573.82888109144</v>
      </c>
    </row>
    <row r="153" spans="15:22" ht="18.75" customHeight="1">
      <c r="O153" s="16">
        <v>33817</v>
      </c>
      <c r="P153" s="11">
        <f t="shared" si="11"/>
        <v>482224.26564638317</v>
      </c>
      <c r="Q153" s="11">
        <f t="shared" si="12"/>
        <v>445188.35757058917</v>
      </c>
      <c r="R153" s="11">
        <v>-39042.205685853958</v>
      </c>
      <c r="S153" s="11">
        <v>-11512.115043864824</v>
      </c>
      <c r="T153" s="11">
        <f t="shared" si="13"/>
        <v>394634.03684087039</v>
      </c>
      <c r="U153" s="11">
        <v>3452.6231142819861</v>
      </c>
      <c r="V153" s="11">
        <f t="shared" si="14"/>
        <v>398086.65995515237</v>
      </c>
    </row>
    <row r="154" spans="15:22" ht="18.75" customHeight="1">
      <c r="O154" s="16">
        <v>33848</v>
      </c>
      <c r="P154" s="11">
        <f t="shared" si="11"/>
        <v>483517.24906153977</v>
      </c>
      <c r="Q154" s="11">
        <f t="shared" si="12"/>
        <v>446678.83280048805</v>
      </c>
      <c r="R154" s="11">
        <v>-38790.000503540039</v>
      </c>
      <c r="S154" s="11">
        <v>-29942.575873501661</v>
      </c>
      <c r="T154" s="11">
        <f t="shared" si="13"/>
        <v>377946.25642344635</v>
      </c>
      <c r="U154" s="11">
        <v>-3121.4481698832974</v>
      </c>
      <c r="V154" s="11">
        <f t="shared" si="14"/>
        <v>374824.80825356307</v>
      </c>
    </row>
    <row r="155" spans="15:22" ht="18.75" customHeight="1">
      <c r="O155" s="16">
        <v>33878</v>
      </c>
      <c r="P155" s="11">
        <f t="shared" si="11"/>
        <v>484752.51897500455</v>
      </c>
      <c r="Q155" s="11">
        <f t="shared" si="12"/>
        <v>448125.97921469784</v>
      </c>
      <c r="R155" s="11">
        <v>-38519.277514219284</v>
      </c>
      <c r="S155" s="11">
        <v>-31807.738034068618</v>
      </c>
      <c r="T155" s="11">
        <f t="shared" si="13"/>
        <v>377798.96366640995</v>
      </c>
      <c r="U155" s="11">
        <v>-1578.0932309334387</v>
      </c>
      <c r="V155" s="11">
        <f t="shared" si="14"/>
        <v>376220.87043547654</v>
      </c>
    </row>
    <row r="156" spans="15:22" ht="18.75" customHeight="1">
      <c r="O156" s="16">
        <v>33909</v>
      </c>
      <c r="P156" s="11">
        <f t="shared" si="11"/>
        <v>486012.17464192212</v>
      </c>
      <c r="Q156" s="11">
        <f t="shared" si="12"/>
        <v>449626.28950029961</v>
      </c>
      <c r="R156" s="11">
        <v>-38211.94732427597</v>
      </c>
      <c r="S156" s="11">
        <v>-19849.338384994844</v>
      </c>
      <c r="T156" s="11">
        <f t="shared" si="13"/>
        <v>391565.00379102881</v>
      </c>
      <c r="U156" s="11">
        <v>5703.3799988035526</v>
      </c>
      <c r="V156" s="11">
        <f t="shared" si="14"/>
        <v>397268.38378983235</v>
      </c>
    </row>
    <row r="157" spans="15:22" ht="18.75" customHeight="1">
      <c r="O157" s="16">
        <v>33939</v>
      </c>
      <c r="P157" s="11">
        <f t="shared" si="11"/>
        <v>487214.70666526258</v>
      </c>
      <c r="Q157" s="11">
        <f t="shared" si="12"/>
        <v>451082.98506052064</v>
      </c>
      <c r="R157" s="11">
        <v>-37887.808842897415</v>
      </c>
      <c r="S157" s="11">
        <v>-8556.4728300846164</v>
      </c>
      <c r="T157" s="11">
        <f t="shared" si="13"/>
        <v>404638.70338753861</v>
      </c>
      <c r="U157" s="11">
        <v>1083.0177807137363</v>
      </c>
      <c r="V157" s="11">
        <f t="shared" si="14"/>
        <v>405721.72116825235</v>
      </c>
    </row>
    <row r="158" spans="15:22" ht="18.75" customHeight="1">
      <c r="O158" s="16">
        <v>33970</v>
      </c>
      <c r="P158" s="11">
        <f t="shared" si="11"/>
        <v>488440.03177414834</v>
      </c>
      <c r="Q158" s="11">
        <f t="shared" si="12"/>
        <v>452593.19529946335</v>
      </c>
      <c r="R158" s="11">
        <v>-37525.233757734299</v>
      </c>
      <c r="S158" s="11">
        <v>588.98337502532581</v>
      </c>
      <c r="T158" s="11">
        <f t="shared" si="13"/>
        <v>415656.94491675438</v>
      </c>
      <c r="U158" s="11">
        <v>2038.7440936754317</v>
      </c>
      <c r="V158" s="11">
        <f t="shared" si="14"/>
        <v>417695.68901042984</v>
      </c>
    </row>
    <row r="159" spans="15:22" ht="18.75" customHeight="1">
      <c r="O159" s="16">
        <v>34001</v>
      </c>
      <c r="P159" s="11">
        <f t="shared" si="11"/>
        <v>489647.5258987844</v>
      </c>
      <c r="Q159" s="11">
        <f t="shared" si="12"/>
        <v>454108.46167007514</v>
      </c>
      <c r="R159" s="11">
        <v>-37134.565639257431</v>
      </c>
      <c r="S159" s="11">
        <v>7225.4655458402231</v>
      </c>
      <c r="T159" s="11">
        <f t="shared" si="13"/>
        <v>424199.36157665792</v>
      </c>
      <c r="U159" s="11">
        <v>772.38237033705502</v>
      </c>
      <c r="V159" s="11">
        <f t="shared" si="14"/>
        <v>424971.74394699495</v>
      </c>
    </row>
    <row r="160" spans="15:22" ht="18.75" customHeight="1">
      <c r="O160" s="16">
        <v>34029</v>
      </c>
      <c r="P160" s="11">
        <f t="shared" si="11"/>
        <v>490722.624215886</v>
      </c>
      <c r="Q160" s="11">
        <f t="shared" si="12"/>
        <v>455481.44929196441</v>
      </c>
      <c r="R160" s="11">
        <v>-36757.560067415237</v>
      </c>
      <c r="S160" s="11">
        <v>14702.969673403668</v>
      </c>
      <c r="T160" s="11">
        <f t="shared" si="13"/>
        <v>433426.85889795283</v>
      </c>
      <c r="U160" s="11">
        <v>9877.102099814334</v>
      </c>
      <c r="V160" s="11">
        <f t="shared" si="14"/>
        <v>443303.96099776716</v>
      </c>
    </row>
    <row r="161" spans="15:22" ht="18.75" customHeight="1">
      <c r="O161" s="16">
        <v>34060</v>
      </c>
      <c r="P161" s="11">
        <f t="shared" si="11"/>
        <v>491895.46642850339</v>
      </c>
      <c r="Q161" s="11">
        <f t="shared" si="12"/>
        <v>457006.38543708832</v>
      </c>
      <c r="R161" s="11">
        <v>-36313.443294763565</v>
      </c>
      <c r="S161" s="11">
        <v>26366.176148156963</v>
      </c>
      <c r="T161" s="11">
        <f t="shared" si="13"/>
        <v>447059.11829048174</v>
      </c>
      <c r="U161" s="11">
        <v>6705.6548873095799</v>
      </c>
      <c r="V161" s="11">
        <f t="shared" si="14"/>
        <v>453764.77317779133</v>
      </c>
    </row>
    <row r="162" spans="15:22" ht="18.75" customHeight="1">
      <c r="O162" s="16">
        <v>34090</v>
      </c>
      <c r="P162" s="11">
        <f t="shared" si="11"/>
        <v>493012.78428705037</v>
      </c>
      <c r="Q162" s="11">
        <f t="shared" si="12"/>
        <v>458486.99097151641</v>
      </c>
      <c r="R162" s="11">
        <v>-35856.943719625473</v>
      </c>
      <c r="S162" s="11">
        <v>30760.891800879039</v>
      </c>
      <c r="T162" s="11">
        <f t="shared" si="13"/>
        <v>453390.93905276997</v>
      </c>
      <c r="U162" s="11">
        <v>-4237.0596231511645</v>
      </c>
      <c r="V162" s="11">
        <f t="shared" si="14"/>
        <v>449153.87942961883</v>
      </c>
    </row>
    <row r="163" spans="15:22" ht="18.75" customHeight="1">
      <c r="O163" s="16">
        <v>34121</v>
      </c>
      <c r="P163" s="11">
        <f t="shared" si="11"/>
        <v>494148.81357626617</v>
      </c>
      <c r="Q163" s="11">
        <f t="shared" si="12"/>
        <v>460021.98956627533</v>
      </c>
      <c r="R163" s="11">
        <v>-35357.663697481155</v>
      </c>
      <c r="S163" s="11">
        <v>24135.461905402834</v>
      </c>
      <c r="T163" s="11">
        <f t="shared" si="13"/>
        <v>448799.787774197</v>
      </c>
      <c r="U163" s="11">
        <v>12379.282197684772</v>
      </c>
      <c r="V163" s="11">
        <f t="shared" si="14"/>
        <v>461179.06997188175</v>
      </c>
    </row>
    <row r="164" spans="15:22" ht="18.75" customHeight="1">
      <c r="O164" s="16">
        <v>34151</v>
      </c>
      <c r="P164" s="11">
        <f t="shared" si="11"/>
        <v>495230.02079440653</v>
      </c>
      <c r="Q164" s="11">
        <f t="shared" si="12"/>
        <v>461512.36503019586</v>
      </c>
      <c r="R164" s="11">
        <v>-34847.859562158585</v>
      </c>
      <c r="S164" s="11">
        <v>9035.5089355065847</v>
      </c>
      <c r="T164" s="11">
        <f t="shared" si="13"/>
        <v>435700.01440354384</v>
      </c>
      <c r="U164" s="11">
        <v>-18073.160972793663</v>
      </c>
      <c r="V164" s="11">
        <f t="shared" si="14"/>
        <v>417626.8534307502</v>
      </c>
    </row>
    <row r="165" spans="15:22" ht="18.75" customHeight="1">
      <c r="O165" s="16">
        <v>34182</v>
      </c>
      <c r="P165" s="11">
        <f t="shared" si="11"/>
        <v>496328.23435030878</v>
      </c>
      <c r="Q165" s="11">
        <f t="shared" si="12"/>
        <v>463057.49247270869</v>
      </c>
      <c r="R165" s="11">
        <v>-34293.6021463871</v>
      </c>
      <c r="S165" s="11">
        <v>-11512.115043864824</v>
      </c>
      <c r="T165" s="11">
        <f t="shared" si="13"/>
        <v>417251.77528245677</v>
      </c>
      <c r="U165" s="11">
        <v>5343.1650108942158</v>
      </c>
      <c r="V165" s="11">
        <f t="shared" si="14"/>
        <v>422594.94029335101</v>
      </c>
    </row>
    <row r="166" spans="15:22" ht="18.75" customHeight="1">
      <c r="O166" s="16">
        <v>34213</v>
      </c>
      <c r="P166" s="11">
        <f t="shared" si="11"/>
        <v>497406.84576739371</v>
      </c>
      <c r="Q166" s="11">
        <f t="shared" si="12"/>
        <v>464607.79294847941</v>
      </c>
      <c r="R166" s="11">
        <v>-33711.504812002182</v>
      </c>
      <c r="S166" s="11">
        <v>-29942.575873501661</v>
      </c>
      <c r="T166" s="11">
        <f t="shared" si="13"/>
        <v>400953.71226297558</v>
      </c>
      <c r="U166" s="11">
        <v>-6492.6249930592048</v>
      </c>
      <c r="V166" s="11">
        <f t="shared" si="14"/>
        <v>394461.08726991637</v>
      </c>
    </row>
    <row r="167" spans="15:22" ht="18.75" customHeight="1">
      <c r="O167" s="16">
        <v>34243</v>
      </c>
      <c r="P167" s="11">
        <f t="shared" si="11"/>
        <v>498431.75547964871</v>
      </c>
      <c r="Q167" s="11">
        <f t="shared" si="12"/>
        <v>466113.02546053723</v>
      </c>
      <c r="R167" s="11">
        <v>-33121.754900693893</v>
      </c>
      <c r="S167" s="11">
        <v>-31807.738034068618</v>
      </c>
      <c r="T167" s="11">
        <f t="shared" si="13"/>
        <v>401183.53252577473</v>
      </c>
      <c r="U167" s="11">
        <v>6283.3964859791549</v>
      </c>
      <c r="V167" s="11">
        <f t="shared" si="14"/>
        <v>407466.92901175388</v>
      </c>
    </row>
    <row r="168" spans="15:22" ht="18.75" customHeight="1">
      <c r="O168" s="16">
        <v>34274</v>
      </c>
      <c r="P168" s="11">
        <f t="shared" si="11"/>
        <v>499471.038728863</v>
      </c>
      <c r="Q168" s="11">
        <f t="shared" si="12"/>
        <v>467673.55575511482</v>
      </c>
      <c r="R168" s="11">
        <v>-32485.12687587738</v>
      </c>
      <c r="S168" s="11">
        <v>-19849.338384994844</v>
      </c>
      <c r="T168" s="11">
        <f t="shared" si="13"/>
        <v>415339.09049424261</v>
      </c>
      <c r="U168" s="11">
        <v>-2079.3218294066724</v>
      </c>
      <c r="V168" s="11">
        <f t="shared" si="14"/>
        <v>413259.76866483595</v>
      </c>
    </row>
    <row r="169" spans="15:22" ht="18.75" customHeight="1">
      <c r="O169" s="16">
        <v>34304</v>
      </c>
      <c r="P169" s="11">
        <f t="shared" si="11"/>
        <v>500457.40369331837</v>
      </c>
      <c r="Q169" s="11">
        <f t="shared" si="12"/>
        <v>469188.72070033639</v>
      </c>
      <c r="R169" s="11">
        <v>-31842.791328668594</v>
      </c>
      <c r="S169" s="11">
        <v>-8556.4728300846164</v>
      </c>
      <c r="T169" s="11">
        <f t="shared" si="13"/>
        <v>428789.45654158317</v>
      </c>
      <c r="U169" s="11">
        <v>2082.223307688319</v>
      </c>
      <c r="V169" s="11">
        <f t="shared" si="14"/>
        <v>430871.67984927149</v>
      </c>
    </row>
    <row r="170" spans="15:22" ht="18.75" customHeight="1">
      <c r="O170" s="16">
        <v>34335</v>
      </c>
      <c r="P170" s="11">
        <f t="shared" si="11"/>
        <v>501456.35596480966</v>
      </c>
      <c r="Q170" s="11">
        <f t="shared" si="12"/>
        <v>470759.54831624165</v>
      </c>
      <c r="R170" s="11">
        <v>-31152.039127588272</v>
      </c>
      <c r="S170" s="11">
        <v>588.98337502532581</v>
      </c>
      <c r="T170" s="11">
        <f t="shared" si="13"/>
        <v>440196.49256367871</v>
      </c>
      <c r="U170" s="11">
        <v>7700.4381827011248</v>
      </c>
      <c r="V170" s="11">
        <f t="shared" si="14"/>
        <v>447896.93074637983</v>
      </c>
    </row>
    <row r="171" spans="15:22" ht="18.75" customHeight="1">
      <c r="O171" s="16">
        <v>34366</v>
      </c>
      <c r="P171" s="11">
        <f t="shared" si="11"/>
        <v>502434.42785853148</v>
      </c>
      <c r="Q171" s="11">
        <f t="shared" si="12"/>
        <v>472335.6350086985</v>
      </c>
      <c r="R171" s="11">
        <v>-30433.965172052383</v>
      </c>
      <c r="S171" s="11">
        <v>7225.4655458402231</v>
      </c>
      <c r="T171" s="11">
        <f t="shared" si="13"/>
        <v>449127.13538248633</v>
      </c>
      <c r="U171" s="11">
        <v>-9799.4549588749178</v>
      </c>
      <c r="V171" s="11">
        <f t="shared" si="14"/>
        <v>439327.68042361143</v>
      </c>
    </row>
    <row r="172" spans="15:22" ht="18.75" customHeight="1">
      <c r="O172" s="16">
        <v>34394</v>
      </c>
      <c r="P172" s="11">
        <f t="shared" si="11"/>
        <v>503299.6850771755</v>
      </c>
      <c r="Q172" s="11">
        <f t="shared" si="12"/>
        <v>473763.7321154098</v>
      </c>
      <c r="R172" s="11">
        <v>-29762.014212846756</v>
      </c>
      <c r="S172" s="11">
        <v>14702.969673403668</v>
      </c>
      <c r="T172" s="11">
        <f t="shared" si="13"/>
        <v>458704.6875759667</v>
      </c>
      <c r="U172" s="11">
        <v>5234.3275199301206</v>
      </c>
      <c r="V172" s="11">
        <f t="shared" si="14"/>
        <v>463939.01509589684</v>
      </c>
    </row>
    <row r="173" spans="15:22" ht="18.75" customHeight="1">
      <c r="O173" s="16">
        <v>34425</v>
      </c>
      <c r="P173" s="11">
        <f t="shared" si="11"/>
        <v>504237.30137430131</v>
      </c>
      <c r="Q173" s="11">
        <f t="shared" si="12"/>
        <v>475349.87671136344</v>
      </c>
      <c r="R173" s="11">
        <v>-28992.335119009018</v>
      </c>
      <c r="S173" s="11">
        <v>26366.176148156963</v>
      </c>
      <c r="T173" s="11">
        <f t="shared" si="13"/>
        <v>472723.71774051141</v>
      </c>
      <c r="U173" s="11">
        <v>904.48242667447983</v>
      </c>
      <c r="V173" s="11">
        <f t="shared" si="14"/>
        <v>473628.20016718586</v>
      </c>
    </row>
    <row r="174" spans="15:22" ht="18.75" customHeight="1">
      <c r="O174" s="16">
        <v>34455</v>
      </c>
      <c r="P174" s="11">
        <f t="shared" si="11"/>
        <v>505124.07782123983</v>
      </c>
      <c r="Q174" s="11">
        <f t="shared" si="12"/>
        <v>476889.91133817815</v>
      </c>
      <c r="R174" s="11">
        <v>-28221.88400387764</v>
      </c>
      <c r="S174" s="11">
        <v>30760.891800879039</v>
      </c>
      <c r="T174" s="11">
        <f t="shared" si="13"/>
        <v>479428.91913517955</v>
      </c>
      <c r="U174" s="11">
        <v>9982.3789884235957</v>
      </c>
      <c r="V174" s="11">
        <f t="shared" si="14"/>
        <v>489411.29812360316</v>
      </c>
    </row>
    <row r="175" spans="15:22" ht="18.75" customHeight="1">
      <c r="O175" s="16">
        <v>34486</v>
      </c>
      <c r="P175" s="11">
        <f t="shared" si="11"/>
        <v>506018.88077525795</v>
      </c>
      <c r="Q175" s="11">
        <f t="shared" si="12"/>
        <v>478486.52227409085</v>
      </c>
      <c r="R175" s="11">
        <v>-27399.465440034866</v>
      </c>
      <c r="S175" s="11">
        <v>24135.461905402834</v>
      </c>
      <c r="T175" s="11">
        <f t="shared" si="13"/>
        <v>475222.51873945881</v>
      </c>
      <c r="U175" s="11">
        <v>156.38042683891467</v>
      </c>
      <c r="V175" s="11">
        <f t="shared" si="14"/>
        <v>475378.89916629775</v>
      </c>
    </row>
    <row r="176" spans="15:22" ht="18.75" customHeight="1">
      <c r="O176" s="16">
        <v>34516</v>
      </c>
      <c r="P176" s="11">
        <f t="shared" si="11"/>
        <v>506863.73972408473</v>
      </c>
      <c r="Q176" s="11">
        <f t="shared" si="12"/>
        <v>480036.71897944034</v>
      </c>
      <c r="R176" s="11">
        <v>-26578.310068368912</v>
      </c>
      <c r="S176" s="11">
        <v>9035.5089355065847</v>
      </c>
      <c r="T176" s="11">
        <f t="shared" si="13"/>
        <v>462493.917846578</v>
      </c>
      <c r="U176" s="11">
        <v>4030.7604138624743</v>
      </c>
      <c r="V176" s="11">
        <f t="shared" si="14"/>
        <v>466524.67826044047</v>
      </c>
    </row>
    <row r="177" spans="15:22" ht="18.75" customHeight="1">
      <c r="O177" s="16">
        <v>34547</v>
      </c>
      <c r="P177" s="11">
        <f t="shared" si="11"/>
        <v>507714.72652520239</v>
      </c>
      <c r="Q177" s="11">
        <f t="shared" si="12"/>
        <v>481643.86531854229</v>
      </c>
      <c r="R177" s="11">
        <v>-25703.864293336868</v>
      </c>
      <c r="S177" s="11">
        <v>-11512.115043864824</v>
      </c>
      <c r="T177" s="11">
        <f t="shared" si="13"/>
        <v>444427.8859813406</v>
      </c>
      <c r="U177" s="11">
        <v>6781.2627737795665</v>
      </c>
      <c r="V177" s="11">
        <f t="shared" si="14"/>
        <v>451209.14875512017</v>
      </c>
    </row>
    <row r="178" spans="15:22" ht="18.75" customHeight="1">
      <c r="O178" s="16">
        <v>34578</v>
      </c>
      <c r="P178" s="11">
        <f t="shared" si="11"/>
        <v>508543.06179384887</v>
      </c>
      <c r="Q178" s="11">
        <f t="shared" si="12"/>
        <v>483256.39232802542</v>
      </c>
      <c r="R178" s="11">
        <v>-24803.27960562706</v>
      </c>
      <c r="S178" s="11">
        <v>-29942.575873501661</v>
      </c>
      <c r="T178" s="11">
        <f t="shared" si="13"/>
        <v>428510.53684889671</v>
      </c>
      <c r="U178" s="11">
        <v>-225.0179373049464</v>
      </c>
      <c r="V178" s="11">
        <f t="shared" si="14"/>
        <v>428285.51891159179</v>
      </c>
    </row>
    <row r="179" spans="15:22" ht="18.75" customHeight="1">
      <c r="O179" s="16">
        <v>34608</v>
      </c>
      <c r="P179" s="11">
        <f t="shared" si="11"/>
        <v>509322.86535303295</v>
      </c>
      <c r="Q179" s="11">
        <f t="shared" si="12"/>
        <v>484822.04241920373</v>
      </c>
      <c r="R179" s="11">
        <v>-23907.063762903214</v>
      </c>
      <c r="S179" s="11">
        <v>-31807.738034068618</v>
      </c>
      <c r="T179" s="11">
        <f t="shared" si="13"/>
        <v>429107.24062223191</v>
      </c>
      <c r="U179" s="11">
        <v>-8191.3017502240673</v>
      </c>
      <c r="V179" s="11">
        <f t="shared" si="14"/>
        <v>420915.93887200783</v>
      </c>
    </row>
    <row r="180" spans="15:22" ht="18.75" customHeight="1">
      <c r="O180" s="16">
        <v>34639</v>
      </c>
      <c r="P180" s="11">
        <f t="shared" si="11"/>
        <v>510105.87203420699</v>
      </c>
      <c r="Q180" s="11">
        <f t="shared" si="12"/>
        <v>486445.20985574165</v>
      </c>
      <c r="R180" s="11">
        <v>-22955.692485570908</v>
      </c>
      <c r="S180" s="11">
        <v>-19849.338384994844</v>
      </c>
      <c r="T180" s="11">
        <f t="shared" si="13"/>
        <v>443640.17898517591</v>
      </c>
      <c r="U180" s="11">
        <v>-4379.2088440431908</v>
      </c>
      <c r="V180" s="11">
        <f t="shared" si="14"/>
        <v>439260.97014113271</v>
      </c>
    </row>
    <row r="181" spans="15:22" ht="18.75" customHeight="1">
      <c r="O181" s="16">
        <v>34669</v>
      </c>
      <c r="P181" s="11">
        <f t="shared" si="11"/>
        <v>510841.3239877969</v>
      </c>
      <c r="Q181" s="11">
        <f t="shared" si="12"/>
        <v>488021.19105175929</v>
      </c>
      <c r="R181" s="11">
        <v>-22010.769039392471</v>
      </c>
      <c r="S181" s="11">
        <v>-8556.4728300846164</v>
      </c>
      <c r="T181" s="11">
        <f t="shared" si="13"/>
        <v>457453.9491822822</v>
      </c>
      <c r="U181" s="11">
        <v>-5167.6369202514852</v>
      </c>
      <c r="V181" s="11">
        <f t="shared" si="14"/>
        <v>452286.31226203073</v>
      </c>
    </row>
    <row r="182" spans="15:22" ht="18.75" customHeight="1">
      <c r="O182" s="16">
        <v>34700</v>
      </c>
      <c r="P182" s="11">
        <f t="shared" si="11"/>
        <v>511577.99927163124</v>
      </c>
      <c r="Q182" s="11">
        <f t="shared" si="12"/>
        <v>489655.0691273167</v>
      </c>
      <c r="R182" s="11">
        <v>-21009.544088125229</v>
      </c>
      <c r="S182" s="11">
        <v>588.98337502532581</v>
      </c>
      <c r="T182" s="11">
        <f t="shared" si="13"/>
        <v>469234.50841421681</v>
      </c>
      <c r="U182" s="11">
        <v>3972.3141981701183</v>
      </c>
      <c r="V182" s="11">
        <f t="shared" si="14"/>
        <v>473206.8226123869</v>
      </c>
    </row>
    <row r="183" spans="15:22" ht="18.75" customHeight="1">
      <c r="O183" s="16">
        <v>34731</v>
      </c>
      <c r="P183" s="11">
        <f t="shared" si="11"/>
        <v>512290.74478404224</v>
      </c>
      <c r="Q183" s="11">
        <f t="shared" si="12"/>
        <v>491294.41737018473</v>
      </c>
      <c r="R183" s="11">
        <v>-19983.369370698929</v>
      </c>
      <c r="S183" s="11">
        <v>7225.4655458402231</v>
      </c>
      <c r="T183" s="11">
        <f t="shared" si="13"/>
        <v>478536.51354532602</v>
      </c>
      <c r="U183" s="11">
        <v>12176.775778964879</v>
      </c>
      <c r="V183" s="11">
        <f t="shared" si="14"/>
        <v>490713.28932429088</v>
      </c>
    </row>
    <row r="184" spans="15:22" ht="18.75" customHeight="1">
      <c r="O184" s="16">
        <v>34759</v>
      </c>
      <c r="P184" s="11">
        <f t="shared" si="11"/>
        <v>512913.73134921491</v>
      </c>
      <c r="Q184" s="11">
        <f t="shared" si="12"/>
        <v>492779.83596659632</v>
      </c>
      <c r="R184" s="11">
        <v>-19035.285710573196</v>
      </c>
      <c r="S184" s="11">
        <v>14702.969673403668</v>
      </c>
      <c r="T184" s="11">
        <f t="shared" si="13"/>
        <v>488447.51992942678</v>
      </c>
      <c r="U184" s="11">
        <v>-4625.1162291421442</v>
      </c>
      <c r="V184" s="11">
        <f t="shared" si="14"/>
        <v>483822.40370028466</v>
      </c>
    </row>
    <row r="185" spans="15:22" ht="18.75" customHeight="1">
      <c r="O185" s="16">
        <v>34790</v>
      </c>
      <c r="P185" s="11">
        <f t="shared" si="11"/>
        <v>513580.21758051217</v>
      </c>
      <c r="Q185" s="11">
        <f t="shared" si="12"/>
        <v>494429.64582081058</v>
      </c>
      <c r="R185" s="11">
        <v>-17962.395881891251</v>
      </c>
      <c r="S185" s="11">
        <v>26366.176148156963</v>
      </c>
      <c r="T185" s="11">
        <f t="shared" si="13"/>
        <v>502833.42608707631</v>
      </c>
      <c r="U185" s="11">
        <v>6951.6870375600174</v>
      </c>
      <c r="V185" s="11">
        <f t="shared" si="14"/>
        <v>509785.11312463635</v>
      </c>
    </row>
    <row r="186" spans="15:22" ht="18.75" customHeight="1">
      <c r="O186" s="16">
        <v>34820</v>
      </c>
      <c r="P186" s="11">
        <f t="shared" si="11"/>
        <v>514201.70666383207</v>
      </c>
      <c r="Q186" s="11">
        <f t="shared" si="12"/>
        <v>496031.49492689577</v>
      </c>
      <c r="R186" s="11">
        <v>-16901.147883176804</v>
      </c>
      <c r="S186" s="11">
        <v>30760.891800879039</v>
      </c>
      <c r="T186" s="11">
        <f t="shared" si="13"/>
        <v>509891.238844598</v>
      </c>
      <c r="U186" s="11">
        <v>-4893.9442647146525</v>
      </c>
      <c r="V186" s="11">
        <f t="shared" si="14"/>
        <v>504997.29457988334</v>
      </c>
    </row>
    <row r="187" spans="15:22" ht="18.75" customHeight="1">
      <c r="O187" s="16">
        <v>34851</v>
      </c>
      <c r="P187" s="11">
        <f t="shared" si="11"/>
        <v>514819.37913240492</v>
      </c>
      <c r="Q187" s="11">
        <f t="shared" si="12"/>
        <v>497692.1912228922</v>
      </c>
      <c r="R187" s="11">
        <v>-15781.092148065567</v>
      </c>
      <c r="S187" s="11">
        <v>24135.461905402834</v>
      </c>
      <c r="T187" s="11">
        <f t="shared" si="13"/>
        <v>506046.56098022946</v>
      </c>
      <c r="U187" s="11">
        <v>-5657.1122500827441</v>
      </c>
      <c r="V187" s="11">
        <f t="shared" si="14"/>
        <v>500389.44873014675</v>
      </c>
    </row>
    <row r="188" spans="15:22" ht="18.75" customHeight="1">
      <c r="O188" s="16">
        <v>34881</v>
      </c>
      <c r="P188" s="11">
        <f t="shared" si="11"/>
        <v>515393.14385996759</v>
      </c>
      <c r="Q188" s="11">
        <f t="shared" si="12"/>
        <v>499304.6102967778</v>
      </c>
      <c r="R188" s="11">
        <v>-14674.788375139236</v>
      </c>
      <c r="S188" s="11">
        <v>9035.5089355065847</v>
      </c>
      <c r="T188" s="11">
        <f t="shared" si="13"/>
        <v>493665.33085714513</v>
      </c>
      <c r="U188" s="11">
        <v>5979.7908246839506</v>
      </c>
      <c r="V188" s="11">
        <f t="shared" si="14"/>
        <v>499645.1216818291</v>
      </c>
    </row>
    <row r="189" spans="15:22" ht="18.75" customHeight="1">
      <c r="O189" s="16">
        <v>34912</v>
      </c>
      <c r="P189" s="11">
        <f t="shared" si="11"/>
        <v>515960.99975593388</v>
      </c>
      <c r="Q189" s="11">
        <f t="shared" si="12"/>
        <v>500976.264869873</v>
      </c>
      <c r="R189" s="11">
        <v>-13508.805395364761</v>
      </c>
      <c r="S189" s="11">
        <v>-11512.115043864824</v>
      </c>
      <c r="T189" s="11">
        <f t="shared" si="13"/>
        <v>475955.34443064342</v>
      </c>
      <c r="U189" s="11">
        <v>-7082.1886288527403</v>
      </c>
      <c r="V189" s="11">
        <f t="shared" si="14"/>
        <v>468873.15580179071</v>
      </c>
    </row>
    <row r="190" spans="15:22" ht="18.75" customHeight="1">
      <c r="O190" s="16">
        <v>34943</v>
      </c>
      <c r="P190" s="11">
        <f t="shared" si="11"/>
        <v>516503.15472589433</v>
      </c>
      <c r="Q190" s="11">
        <f t="shared" si="12"/>
        <v>502653.51608468493</v>
      </c>
      <c r="R190" s="11">
        <v>-12319.985218286514</v>
      </c>
      <c r="S190" s="11">
        <v>-29942.575873501661</v>
      </c>
      <c r="T190" s="11">
        <f t="shared" si="13"/>
        <v>460390.95499289676</v>
      </c>
      <c r="U190" s="11">
        <v>19147.262294199318</v>
      </c>
      <c r="V190" s="11">
        <f t="shared" si="14"/>
        <v>479538.21728709608</v>
      </c>
    </row>
    <row r="191" spans="15:22" ht="18.75" customHeight="1">
      <c r="O191" s="16">
        <v>34973</v>
      </c>
      <c r="P191" s="11">
        <f t="shared" si="11"/>
        <v>517003.10618002713</v>
      </c>
      <c r="Q191" s="11">
        <f t="shared" si="12"/>
        <v>504282.00881811342</v>
      </c>
      <c r="R191" s="11">
        <v>-11148.103528738022</v>
      </c>
      <c r="S191" s="11">
        <v>-31807.738034068618</v>
      </c>
      <c r="T191" s="11">
        <f t="shared" si="13"/>
        <v>461326.16725530679</v>
      </c>
      <c r="U191" s="11">
        <v>-1500.5830228747561</v>
      </c>
      <c r="V191" s="11">
        <f t="shared" si="14"/>
        <v>459825.58423243201</v>
      </c>
    </row>
    <row r="192" spans="15:22" ht="18.75" customHeight="1">
      <c r="O192" s="16">
        <v>35004</v>
      </c>
      <c r="P192" s="11">
        <f t="shared" si="11"/>
        <v>517493.93214283884</v>
      </c>
      <c r="Q192" s="11">
        <f t="shared" si="12"/>
        <v>505970.32754937728</v>
      </c>
      <c r="R192" s="11">
        <v>-9915.3906466960907</v>
      </c>
      <c r="S192" s="11">
        <v>-19849.338384994844</v>
      </c>
      <c r="T192" s="11">
        <f t="shared" si="13"/>
        <v>476205.59851768636</v>
      </c>
      <c r="U192" s="11">
        <v>2291.1844221514702</v>
      </c>
      <c r="V192" s="11">
        <f t="shared" si="14"/>
        <v>478496.78293983784</v>
      </c>
    </row>
    <row r="193" spans="15:22" ht="18.75" customHeight="1">
      <c r="O193" s="16">
        <v>35034</v>
      </c>
      <c r="P193" s="11">
        <f t="shared" si="11"/>
        <v>517943.72513367236</v>
      </c>
      <c r="Q193" s="11">
        <f t="shared" si="12"/>
        <v>507609.56606135017</v>
      </c>
      <c r="R193" s="11">
        <v>-8701.7275655269623</v>
      </c>
      <c r="S193" s="11">
        <v>-8556.4728300846164</v>
      </c>
      <c r="T193" s="11">
        <f t="shared" si="13"/>
        <v>490351.36566573859</v>
      </c>
      <c r="U193" s="11">
        <v>-5609.897886079716</v>
      </c>
      <c r="V193" s="11">
        <f t="shared" si="14"/>
        <v>484741.46777965885</v>
      </c>
    </row>
    <row r="194" spans="15:22" ht="18.75" customHeight="1">
      <c r="O194" s="16">
        <v>35065</v>
      </c>
      <c r="P194" s="11">
        <f t="shared" si="11"/>
        <v>518382.21927948296</v>
      </c>
      <c r="Q194" s="11">
        <f t="shared" si="12"/>
        <v>509309.0253392217</v>
      </c>
      <c r="R194" s="11">
        <v>-7426.5812938213348</v>
      </c>
      <c r="S194" s="11">
        <v>588.98337502532581</v>
      </c>
      <c r="T194" s="11">
        <f t="shared" si="13"/>
        <v>502471.42742042569</v>
      </c>
      <c r="U194" s="11">
        <v>-8575.9157974342361</v>
      </c>
      <c r="V194" s="11">
        <f t="shared" si="14"/>
        <v>493895.51162299147</v>
      </c>
    </row>
    <row r="195" spans="15:22" ht="18.75" customHeight="1">
      <c r="O195" s="16">
        <v>35096</v>
      </c>
      <c r="P195" s="11">
        <f t="shared" ref="P195:P218" si="15">O195^3*$I$2+O195^2*$J$2+O195*$K$2+$L$2</f>
        <v>518793.73426038027</v>
      </c>
      <c r="Q195" s="11">
        <f t="shared" ref="Q195:Q217" si="16">EXP($I$3*O195+$J$3)</f>
        <v>511014.17434800201</v>
      </c>
      <c r="R195" s="11">
        <v>-6130.457955121994</v>
      </c>
      <c r="S195" s="11">
        <v>7225.4655458402231</v>
      </c>
      <c r="T195" s="11">
        <f t="shared" ref="T195:T217" si="17">SUM(Q195:S195)</f>
        <v>512109.18193872023</v>
      </c>
      <c r="U195" s="11">
        <v>-4506.3174556775457</v>
      </c>
      <c r="V195" s="11">
        <f t="shared" ref="V195:V217" si="18">T195+U195</f>
        <v>507602.86448304268</v>
      </c>
    </row>
    <row r="196" spans="15:22" ht="18.75" customHeight="1">
      <c r="O196" s="16">
        <v>35125</v>
      </c>
      <c r="P196" s="11">
        <f t="shared" si="15"/>
        <v>519154.04603868723</v>
      </c>
      <c r="Q196" s="11">
        <f t="shared" si="16"/>
        <v>512614.48156980862</v>
      </c>
      <c r="R196" s="11">
        <v>-4899.3288447856903</v>
      </c>
      <c r="S196" s="11">
        <v>14702.969673403668</v>
      </c>
      <c r="T196" s="11">
        <f t="shared" si="17"/>
        <v>522418.12239842658</v>
      </c>
      <c r="U196" s="11">
        <v>-4340.6848522230912</v>
      </c>
      <c r="V196" s="11">
        <f t="shared" si="18"/>
        <v>518077.4375462035</v>
      </c>
    </row>
    <row r="197" spans="15:22" ht="18.75" customHeight="1">
      <c r="O197" s="16">
        <v>35156</v>
      </c>
      <c r="P197" s="11">
        <f t="shared" si="15"/>
        <v>519512.60754568875</v>
      </c>
      <c r="Q197" s="11">
        <f t="shared" si="16"/>
        <v>514330.69713177031</v>
      </c>
      <c r="R197" s="11">
        <v>-3563.7829654216766</v>
      </c>
      <c r="S197" s="11">
        <v>26366.176148156963</v>
      </c>
      <c r="T197" s="11">
        <f t="shared" si="17"/>
        <v>537133.09031450562</v>
      </c>
      <c r="U197" s="11">
        <v>8124.8013868554744</v>
      </c>
      <c r="V197" s="11">
        <f t="shared" si="18"/>
        <v>545257.89170136105</v>
      </c>
    </row>
    <row r="198" spans="15:22" ht="18.75" customHeight="1">
      <c r="O198" s="16">
        <v>35186</v>
      </c>
      <c r="P198" s="11">
        <f t="shared" si="15"/>
        <v>519833.19357688725</v>
      </c>
      <c r="Q198" s="11">
        <f t="shared" si="16"/>
        <v>515997.02150045865</v>
      </c>
      <c r="R198" s="11">
        <v>-2252.5221245288849</v>
      </c>
      <c r="S198" s="11">
        <v>30760.891800879039</v>
      </c>
      <c r="T198" s="11">
        <f t="shared" si="17"/>
        <v>544505.39117680886</v>
      </c>
      <c r="U198" s="11">
        <v>9678.9812740250836</v>
      </c>
      <c r="V198" s="11">
        <f t="shared" si="18"/>
        <v>554184.37245083391</v>
      </c>
    </row>
    <row r="199" spans="15:22" ht="18.75" customHeight="1">
      <c r="O199" s="16">
        <v>35217</v>
      </c>
      <c r="P199" s="11">
        <f t="shared" si="15"/>
        <v>520136.9244620055</v>
      </c>
      <c r="Q199" s="11">
        <f t="shared" si="16"/>
        <v>517724.56168916548</v>
      </c>
      <c r="R199" s="11">
        <v>-878.56191277503967</v>
      </c>
      <c r="S199" s="11">
        <v>24135.461905402834</v>
      </c>
      <c r="T199" s="11">
        <f t="shared" si="17"/>
        <v>540981.46168179333</v>
      </c>
      <c r="U199" s="11">
        <v>8959.0550760653714</v>
      </c>
      <c r="V199" s="11">
        <f t="shared" si="18"/>
        <v>549940.51675785868</v>
      </c>
    </row>
    <row r="200" spans="15:22" ht="18.75" customHeight="1">
      <c r="O200" s="16">
        <v>35247</v>
      </c>
      <c r="P200" s="11">
        <f t="shared" si="15"/>
        <v>520403.96337047219</v>
      </c>
      <c r="Q200" s="11">
        <f t="shared" si="16"/>
        <v>519401.8814723742</v>
      </c>
      <c r="R200" s="11">
        <v>469.03002858161926</v>
      </c>
      <c r="S200" s="11">
        <v>9035.5089355065847</v>
      </c>
      <c r="T200" s="11">
        <f t="shared" si="17"/>
        <v>528906.42043646239</v>
      </c>
      <c r="U200" s="11">
        <v>-6830.7076898921468</v>
      </c>
      <c r="V200" s="11">
        <f t="shared" si="18"/>
        <v>522075.71274657024</v>
      </c>
    </row>
    <row r="201" spans="15:22" ht="18.75" customHeight="1">
      <c r="O201" s="16">
        <v>35278</v>
      </c>
      <c r="P201" s="11">
        <f t="shared" si="15"/>
        <v>520651.860823825</v>
      </c>
      <c r="Q201" s="11">
        <f t="shared" si="16"/>
        <v>521140.82101455366</v>
      </c>
      <c r="R201" s="11">
        <v>1879.6380684375763</v>
      </c>
      <c r="S201" s="11">
        <v>-11512.115043864824</v>
      </c>
      <c r="T201" s="11">
        <f t="shared" si="17"/>
        <v>511508.34403912642</v>
      </c>
      <c r="U201" s="11">
        <v>15116.443073672759</v>
      </c>
      <c r="V201" s="11">
        <f t="shared" si="18"/>
        <v>526624.78711279912</v>
      </c>
    </row>
    <row r="202" spans="15:22" ht="18.75" customHeight="1">
      <c r="O202" s="16">
        <v>35309</v>
      </c>
      <c r="P202" s="11">
        <f t="shared" si="15"/>
        <v>520870.99960310757</v>
      </c>
      <c r="Q202" s="11">
        <f t="shared" si="16"/>
        <v>522885.58246619999</v>
      </c>
      <c r="R202" s="11">
        <v>3308.1652481555939</v>
      </c>
      <c r="S202" s="11">
        <v>-29942.575873501661</v>
      </c>
      <c r="T202" s="11">
        <f t="shared" si="17"/>
        <v>496251.17184085393</v>
      </c>
      <c r="U202" s="11">
        <v>-3646.8688355548079</v>
      </c>
      <c r="V202" s="11">
        <f t="shared" si="18"/>
        <v>492604.30300529912</v>
      </c>
    </row>
    <row r="203" spans="15:22" ht="18.75" customHeight="1">
      <c r="O203" s="16">
        <v>35339</v>
      </c>
      <c r="P203" s="11">
        <f t="shared" si="15"/>
        <v>521055.44336017966</v>
      </c>
      <c r="Q203" s="11">
        <f t="shared" si="16"/>
        <v>524579.62288213789</v>
      </c>
      <c r="R203" s="11">
        <v>4707.2104108333588</v>
      </c>
      <c r="S203" s="11">
        <v>-31807.738034068618</v>
      </c>
      <c r="T203" s="11">
        <f t="shared" si="17"/>
        <v>497479.09525890264</v>
      </c>
      <c r="U203" s="11">
        <v>-2938.6792554127396</v>
      </c>
      <c r="V203" s="11">
        <f t="shared" si="18"/>
        <v>494540.41600348993</v>
      </c>
    </row>
    <row r="204" spans="15:22" ht="18.75" customHeight="1">
      <c r="O204" s="16">
        <v>35370</v>
      </c>
      <c r="P204" s="11">
        <f t="shared" si="15"/>
        <v>521217.23627315462</v>
      </c>
      <c r="Q204" s="11">
        <f t="shared" si="16"/>
        <v>526335.89732355007</v>
      </c>
      <c r="R204" s="11">
        <v>6169.5547845363617</v>
      </c>
      <c r="S204" s="11">
        <v>-19849.338384994844</v>
      </c>
      <c r="T204" s="11">
        <f t="shared" si="17"/>
        <v>512656.11372309161</v>
      </c>
      <c r="U204" s="11">
        <v>88.530987036061646</v>
      </c>
      <c r="V204" s="11">
        <f t="shared" si="18"/>
        <v>512744.64471012767</v>
      </c>
    </row>
    <row r="205" spans="15:22" ht="18.75" customHeight="1">
      <c r="O205" s="16">
        <v>35400</v>
      </c>
      <c r="P205" s="11">
        <f t="shared" si="15"/>
        <v>521345.69880001247</v>
      </c>
      <c r="Q205" s="11">
        <f t="shared" si="16"/>
        <v>528041.11604122748</v>
      </c>
      <c r="R205" s="11">
        <v>7600.375435590744</v>
      </c>
      <c r="S205" s="11">
        <v>-8556.4728300846164</v>
      </c>
      <c r="T205" s="11">
        <f t="shared" si="17"/>
        <v>527085.0186467336</v>
      </c>
      <c r="U205" s="11">
        <v>-2699.8641781602801</v>
      </c>
      <c r="V205" s="11">
        <f t="shared" si="18"/>
        <v>524385.15446857328</v>
      </c>
    </row>
    <row r="206" spans="15:22" ht="18.75" customHeight="1">
      <c r="O206" s="16">
        <v>35431</v>
      </c>
      <c r="P206" s="11">
        <f t="shared" si="15"/>
        <v>521449.14303685725</v>
      </c>
      <c r="Q206" s="11">
        <f t="shared" si="16"/>
        <v>529808.97944206407</v>
      </c>
      <c r="R206" s="11">
        <v>9094.5498440265656</v>
      </c>
      <c r="S206" s="11">
        <v>588.98337502532581</v>
      </c>
      <c r="T206" s="11">
        <f t="shared" si="17"/>
        <v>539492.51266111596</v>
      </c>
      <c r="U206" s="11">
        <v>1382.2060184319712</v>
      </c>
      <c r="V206" s="11">
        <f t="shared" si="18"/>
        <v>540874.71867954789</v>
      </c>
    </row>
    <row r="207" spans="15:22" ht="18.75" customHeight="1">
      <c r="O207" s="16">
        <v>35462</v>
      </c>
      <c r="P207" s="11">
        <f t="shared" si="15"/>
        <v>521522.55036066473</v>
      </c>
      <c r="Q207" s="11">
        <f t="shared" si="16"/>
        <v>531582.76158844633</v>
      </c>
      <c r="R207" s="11">
        <v>10604.110442399979</v>
      </c>
      <c r="S207" s="11">
        <v>7225.4655458402231</v>
      </c>
      <c r="T207" s="11">
        <f t="shared" si="17"/>
        <v>549412.33757668652</v>
      </c>
      <c r="U207" s="11">
        <v>4764.2657525083214</v>
      </c>
      <c r="V207" s="11">
        <f t="shared" si="18"/>
        <v>554176.60332919483</v>
      </c>
    </row>
    <row r="208" spans="15:22" ht="18.75" customHeight="1">
      <c r="O208" s="16">
        <v>35490</v>
      </c>
      <c r="P208" s="11">
        <f t="shared" si="15"/>
        <v>521562.82095615566</v>
      </c>
      <c r="Q208" s="11">
        <f t="shared" si="16"/>
        <v>533189.99116744706</v>
      </c>
      <c r="R208" s="11">
        <v>11980.354133844376</v>
      </c>
      <c r="S208" s="11">
        <v>14702.969673403668</v>
      </c>
      <c r="T208" s="11">
        <f t="shared" si="17"/>
        <v>559873.31497469509</v>
      </c>
      <c r="U208" s="11">
        <v>-2266.9984719007134</v>
      </c>
      <c r="V208" s="11">
        <f t="shared" si="18"/>
        <v>557606.31650279439</v>
      </c>
    </row>
    <row r="209" spans="15:22" ht="18.75" customHeight="1">
      <c r="O209" s="16">
        <v>35521</v>
      </c>
      <c r="P209" s="11">
        <f t="shared" si="15"/>
        <v>521578.34572912753</v>
      </c>
      <c r="Q209" s="11">
        <f t="shared" si="16"/>
        <v>534975.09282419609</v>
      </c>
      <c r="R209" s="11">
        <v>13517.675979375839</v>
      </c>
      <c r="S209" s="11">
        <v>26366.176148156963</v>
      </c>
      <c r="T209" s="11">
        <f t="shared" si="17"/>
        <v>574858.94495172892</v>
      </c>
      <c r="U209" s="11">
        <v>6750.3771190436464</v>
      </c>
      <c r="V209" s="11">
        <f t="shared" si="18"/>
        <v>581609.32207077253</v>
      </c>
    </row>
    <row r="210" spans="15:22" ht="18.75" customHeight="1">
      <c r="O210" s="16">
        <v>35551</v>
      </c>
      <c r="P210" s="11">
        <f t="shared" si="15"/>
        <v>521564.05729858577</v>
      </c>
      <c r="Q210" s="11">
        <f t="shared" si="16"/>
        <v>536708.3007365081</v>
      </c>
      <c r="R210" s="11">
        <v>15018.518673181534</v>
      </c>
      <c r="S210" s="11">
        <v>30760.891800879039</v>
      </c>
      <c r="T210" s="11">
        <f t="shared" si="17"/>
        <v>582487.71121056867</v>
      </c>
      <c r="U210" s="11">
        <v>11514.867778299613</v>
      </c>
      <c r="V210" s="11">
        <f t="shared" si="18"/>
        <v>594002.57898886828</v>
      </c>
    </row>
    <row r="211" spans="15:22" ht="18.75" customHeight="1">
      <c r="O211" s="16">
        <v>35582</v>
      </c>
      <c r="P211" s="11">
        <f t="shared" si="15"/>
        <v>521518.75102998316</v>
      </c>
      <c r="Q211" s="11">
        <f t="shared" si="16"/>
        <v>538505.1815720587</v>
      </c>
      <c r="R211" s="11">
        <v>16582.373090982437</v>
      </c>
      <c r="S211" s="11">
        <v>24135.461905402834</v>
      </c>
      <c r="T211" s="11">
        <f t="shared" si="17"/>
        <v>579223.01656844397</v>
      </c>
      <c r="U211" s="11">
        <v>-951.19449156884298</v>
      </c>
      <c r="V211" s="11">
        <f t="shared" si="18"/>
        <v>578271.82207687513</v>
      </c>
    </row>
    <row r="212" spans="15:22" ht="18.75" customHeight="1">
      <c r="O212" s="16">
        <v>35612</v>
      </c>
      <c r="P212" s="11">
        <f t="shared" si="15"/>
        <v>521445.10861900449</v>
      </c>
      <c r="Q212" s="11">
        <f t="shared" si="16"/>
        <v>540249.82623690565</v>
      </c>
      <c r="R212" s="11">
        <v>18107.793695688248</v>
      </c>
      <c r="S212" s="11">
        <v>9035.5089355065847</v>
      </c>
      <c r="T212" s="11">
        <f t="shared" si="17"/>
        <v>567393.12886810047</v>
      </c>
      <c r="U212" s="11">
        <v>4009.1813917978657</v>
      </c>
      <c r="V212" s="11">
        <f t="shared" si="18"/>
        <v>571402.31025989831</v>
      </c>
    </row>
    <row r="213" spans="15:22" ht="18.75" customHeight="1">
      <c r="O213" s="16">
        <v>35643</v>
      </c>
      <c r="P213" s="11">
        <f t="shared" si="15"/>
        <v>521337.96849904954</v>
      </c>
      <c r="Q213" s="11">
        <f t="shared" si="16"/>
        <v>542058.56397739239</v>
      </c>
      <c r="R213" s="11">
        <v>19695.887778997421</v>
      </c>
      <c r="S213" s="11">
        <v>-11512.115043864824</v>
      </c>
      <c r="T213" s="11">
        <f t="shared" si="17"/>
        <v>550242.33671252499</v>
      </c>
      <c r="U213" s="11">
        <v>-3991.2965844298305</v>
      </c>
      <c r="V213" s="11">
        <f t="shared" si="18"/>
        <v>546251.04012809519</v>
      </c>
    </row>
    <row r="214" spans="15:22" ht="18.75" customHeight="1">
      <c r="O214" s="16">
        <v>35674</v>
      </c>
      <c r="P214" s="11">
        <f t="shared" si="15"/>
        <v>521199.0203114152</v>
      </c>
      <c r="Q214" s="11">
        <f t="shared" si="16"/>
        <v>543873.35730930092</v>
      </c>
      <c r="R214" s="11">
        <v>21295.393481969833</v>
      </c>
      <c r="S214" s="11">
        <v>-29942.575873501661</v>
      </c>
      <c r="T214" s="11">
        <f t="shared" si="17"/>
        <v>535226.17491776904</v>
      </c>
      <c r="U214" s="11">
        <v>-4534.2008338848918</v>
      </c>
      <c r="V214" s="11">
        <f t="shared" si="18"/>
        <v>530691.97408388415</v>
      </c>
    </row>
    <row r="215" spans="15:22" ht="18.75" customHeight="1">
      <c r="O215" s="16">
        <v>35704</v>
      </c>
      <c r="P215" s="11">
        <f t="shared" si="15"/>
        <v>521034.02486523986</v>
      </c>
      <c r="Q215" s="11">
        <f t="shared" si="16"/>
        <v>545635.39374581585</v>
      </c>
      <c r="R215" s="11">
        <v>22853.577653646469</v>
      </c>
      <c r="S215" s="11">
        <v>-31807.738034068618</v>
      </c>
      <c r="T215" s="11">
        <f t="shared" si="17"/>
        <v>536681.23336539371</v>
      </c>
      <c r="U215" s="11">
        <v>-825.39880328253969</v>
      </c>
      <c r="V215" s="11">
        <f t="shared" si="18"/>
        <v>535855.83456211118</v>
      </c>
    </row>
    <row r="216" spans="15:22" ht="18.75" customHeight="1">
      <c r="O216" s="16">
        <v>35735</v>
      </c>
      <c r="P216" s="11">
        <f t="shared" si="15"/>
        <v>520831.73039165139</v>
      </c>
      <c r="Q216" s="11">
        <f t="shared" si="16"/>
        <v>547462.16218013025</v>
      </c>
      <c r="R216" s="11">
        <v>24473.698470830917</v>
      </c>
      <c r="S216" s="11">
        <v>-19849.338384994844</v>
      </c>
      <c r="T216" s="11">
        <f t="shared" si="17"/>
        <v>552086.52226596628</v>
      </c>
      <c r="U216" s="11">
        <v>1477.7956683138359</v>
      </c>
      <c r="V216" s="11">
        <f t="shared" si="18"/>
        <v>553564.31793428014</v>
      </c>
    </row>
    <row r="217" spans="15:22" ht="18.75" customHeight="1">
      <c r="O217" s="16">
        <v>35765</v>
      </c>
      <c r="P217" s="11">
        <f t="shared" si="15"/>
        <v>520604.9468575567</v>
      </c>
      <c r="Q217" s="11">
        <f t="shared" si="16"/>
        <v>549235.82559719309</v>
      </c>
      <c r="R217" s="11">
        <v>26050.62721323967</v>
      </c>
      <c r="S217" s="11">
        <v>-8556.4728300846164</v>
      </c>
      <c r="T217" s="11">
        <f t="shared" si="17"/>
        <v>566729.97998034814</v>
      </c>
      <c r="U217" s="11">
        <v>3088.883144912777</v>
      </c>
      <c r="V217" s="11">
        <f t="shared" si="18"/>
        <v>569818.86312526092</v>
      </c>
    </row>
    <row r="218" spans="15:22" ht="18.75" customHeight="1">
      <c r="O218" s="16">
        <v>35796</v>
      </c>
      <c r="P218" s="11">
        <f t="shared" si="15"/>
        <v>520338.30328822136</v>
      </c>
      <c r="Q218" s="11">
        <f t="shared" ref="Q218" si="19">EXP($I$3*O218+$J$3)</f>
        <v>551074.64815286919</v>
      </c>
      <c r="R218" s="11">
        <v>27688.849582433701</v>
      </c>
      <c r="S218" s="11">
        <v>588.98337502532581</v>
      </c>
      <c r="T218" s="11">
        <f t="shared" ref="T218" si="20">SUM(Q218:S218)</f>
        <v>579352.48111032823</v>
      </c>
      <c r="U218" s="11">
        <v>3089.8831449127802</v>
      </c>
      <c r="V218" s="11">
        <f t="shared" ref="V218" si="21">T218+U218</f>
        <v>582442.364255241</v>
      </c>
    </row>
  </sheetData>
  <dataConsolidate/>
  <phoneticPr fontId="1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B3D48-A8B1-4318-8BCE-B10A38406CFF}">
  <dimension ref="A1:R218"/>
  <sheetViews>
    <sheetView topLeftCell="E86" zoomScaleNormal="100" workbookViewId="0">
      <selection activeCell="K77" sqref="K77:Y113"/>
    </sheetView>
  </sheetViews>
  <sheetFormatPr defaultColWidth="9" defaultRowHeight="18.75" customHeight="1"/>
  <cols>
    <col min="1" max="1" width="10.25" style="2" bestFit="1" customWidth="1"/>
    <col min="2" max="2" width="8.25" style="2" bestFit="1" customWidth="1"/>
    <col min="3" max="3" width="8" style="11" bestFit="1" customWidth="1"/>
    <col min="4" max="4" width="8" style="11" customWidth="1"/>
    <col min="5" max="5" width="8" style="11" bestFit="1" customWidth="1"/>
    <col min="6" max="6" width="8.25" style="2" bestFit="1" customWidth="1"/>
    <col min="7" max="7" width="8" style="2" bestFit="1" customWidth="1"/>
    <col min="8" max="8" width="8.25" style="2" bestFit="1" customWidth="1"/>
    <col min="9" max="10" width="8.25" style="2" customWidth="1"/>
    <col min="11" max="17" width="9" style="2"/>
    <col min="18" max="21" width="9" style="2" customWidth="1"/>
    <col min="22" max="16384" width="9" style="2"/>
  </cols>
  <sheetData>
    <row r="1" spans="1:10">
      <c r="A1" s="17" t="s">
        <v>21</v>
      </c>
      <c r="B1" s="17" t="s">
        <v>5</v>
      </c>
      <c r="C1" s="18" t="s">
        <v>17</v>
      </c>
      <c r="D1" s="18" t="s">
        <v>16</v>
      </c>
      <c r="E1" s="18" t="s">
        <v>6</v>
      </c>
      <c r="F1" s="17" t="s">
        <v>18</v>
      </c>
      <c r="G1" s="17" t="s">
        <v>19</v>
      </c>
      <c r="H1" s="17" t="s">
        <v>22</v>
      </c>
      <c r="I1" s="17" t="s">
        <v>23</v>
      </c>
      <c r="J1" s="17" t="s">
        <v>27</v>
      </c>
    </row>
    <row r="2" spans="1:10" ht="18.75" customHeight="1">
      <c r="A2" s="16">
        <v>29221</v>
      </c>
      <c r="B2" s="11">
        <v>271229.04452223581</v>
      </c>
      <c r="C2" s="11">
        <v>-32014.778015375137</v>
      </c>
      <c r="D2" s="11">
        <f>B2+C2</f>
        <v>239214.26650686067</v>
      </c>
      <c r="E2" s="11">
        <v>588.98337502532581</v>
      </c>
      <c r="F2" s="11">
        <f>D2+E2</f>
        <v>239803.249881886</v>
      </c>
      <c r="G2" s="11">
        <v>-1938.4970964852316</v>
      </c>
      <c r="H2" s="11">
        <f>F2+G2</f>
        <v>237864.75278540078</v>
      </c>
      <c r="I2" s="11">
        <f>D2+G2</f>
        <v>237275.76941037545</v>
      </c>
      <c r="J2" s="11">
        <f>E2+G2</f>
        <v>-1349.5137214599058</v>
      </c>
    </row>
    <row r="3" spans="1:10" ht="18.75" customHeight="1">
      <c r="A3" s="16">
        <v>29252</v>
      </c>
      <c r="B3" s="11">
        <v>272137.10998624656</v>
      </c>
      <c r="C3" s="11">
        <v>-29047.955391407013</v>
      </c>
      <c r="D3" s="11">
        <f t="shared" ref="D3:D66" si="0">B3+C3</f>
        <v>243089.15459483955</v>
      </c>
      <c r="E3" s="11">
        <v>7225.4655458402231</v>
      </c>
      <c r="F3" s="11">
        <f t="shared" ref="F3:F66" si="1">D3+E3</f>
        <v>250314.62014067976</v>
      </c>
      <c r="G3" s="11">
        <v>-7081.7855697536152</v>
      </c>
      <c r="H3" s="11">
        <f t="shared" ref="H3:H66" si="2">F3+G3</f>
        <v>243232.83457092615</v>
      </c>
      <c r="I3" s="11">
        <f t="shared" ref="I3:I66" si="3">D3+G3</f>
        <v>236007.36902508594</v>
      </c>
      <c r="J3" s="11">
        <f t="shared" ref="J3:J66" si="4">E3+G3</f>
        <v>143.67997608660789</v>
      </c>
    </row>
    <row r="4" spans="1:10" ht="18.75" customHeight="1">
      <c r="A4" s="16">
        <v>29281</v>
      </c>
      <c r="B4" s="11">
        <v>272989.34267233248</v>
      </c>
      <c r="C4" s="11">
        <v>-26368.544521093369</v>
      </c>
      <c r="D4" s="11">
        <f t="shared" si="0"/>
        <v>246620.79815123911</v>
      </c>
      <c r="E4" s="11">
        <v>14702.969673403668</v>
      </c>
      <c r="F4" s="11">
        <f t="shared" si="1"/>
        <v>261323.76782464277</v>
      </c>
      <c r="G4" s="11">
        <v>9092.4584536362818</v>
      </c>
      <c r="H4" s="11">
        <f t="shared" si="2"/>
        <v>270416.22627827903</v>
      </c>
      <c r="I4" s="11">
        <f t="shared" si="3"/>
        <v>255713.25660487538</v>
      </c>
      <c r="J4" s="11">
        <f t="shared" si="4"/>
        <v>23795.428127039952</v>
      </c>
    </row>
    <row r="5" spans="1:10" ht="18.75" customHeight="1">
      <c r="A5" s="16">
        <v>29312</v>
      </c>
      <c r="B5" s="11">
        <v>273903.30155369191</v>
      </c>
      <c r="C5" s="11">
        <v>-23605.310224056244</v>
      </c>
      <c r="D5" s="11">
        <f t="shared" si="0"/>
        <v>250297.99132963567</v>
      </c>
      <c r="E5" s="11">
        <v>26366.176148156963</v>
      </c>
      <c r="F5" s="11">
        <f t="shared" si="1"/>
        <v>276664.16747779265</v>
      </c>
      <c r="G5" s="11">
        <v>-4626.1159582222499</v>
      </c>
      <c r="H5" s="11">
        <f t="shared" si="2"/>
        <v>272038.05151957041</v>
      </c>
      <c r="I5" s="11">
        <f t="shared" si="3"/>
        <v>245671.87537141342</v>
      </c>
      <c r="J5" s="11">
        <f t="shared" si="4"/>
        <v>21740.060189934713</v>
      </c>
    </row>
    <row r="6" spans="1:10" ht="18.75" customHeight="1">
      <c r="A6" s="16">
        <v>29342</v>
      </c>
      <c r="B6" s="11">
        <v>274790.69122066704</v>
      </c>
      <c r="C6" s="11">
        <v>-21028.941474437714</v>
      </c>
      <c r="D6" s="11">
        <f t="shared" si="0"/>
        <v>253761.74974622932</v>
      </c>
      <c r="E6" s="11">
        <v>30760.891800879039</v>
      </c>
      <c r="F6" s="11">
        <f t="shared" si="1"/>
        <v>284522.64154710836</v>
      </c>
      <c r="G6" s="11">
        <v>-6047.5440942945534</v>
      </c>
      <c r="H6" s="11">
        <f t="shared" si="2"/>
        <v>278475.09745281382</v>
      </c>
      <c r="I6" s="11">
        <f t="shared" si="3"/>
        <v>247714.20565193478</v>
      </c>
      <c r="J6" s="11">
        <f t="shared" si="4"/>
        <v>24713.347706584485</v>
      </c>
    </row>
    <row r="7" spans="1:10" ht="18.75" customHeight="1">
      <c r="A7" s="16">
        <v>29373</v>
      </c>
      <c r="B7" s="11">
        <v>275710.68095468887</v>
      </c>
      <c r="C7" s="11">
        <v>-18465.994772195816</v>
      </c>
      <c r="D7" s="11">
        <f t="shared" si="0"/>
        <v>257244.68618249305</v>
      </c>
      <c r="E7" s="11">
        <v>24135.461905402834</v>
      </c>
      <c r="F7" s="11">
        <f t="shared" si="1"/>
        <v>281380.14808789588</v>
      </c>
      <c r="G7" s="11">
        <v>8884.2481723570854</v>
      </c>
      <c r="H7" s="11">
        <f t="shared" si="2"/>
        <v>290264.39626025298</v>
      </c>
      <c r="I7" s="11">
        <f t="shared" si="3"/>
        <v>266128.93435485015</v>
      </c>
      <c r="J7" s="11">
        <f t="shared" si="4"/>
        <v>33019.710077759919</v>
      </c>
    </row>
    <row r="8" spans="1:10" ht="18.75" customHeight="1">
      <c r="A8" s="16">
        <v>29403</v>
      </c>
      <c r="B8" s="11">
        <v>276603.92615460441</v>
      </c>
      <c r="C8" s="11">
        <v>-16080.218624353409</v>
      </c>
      <c r="D8" s="11">
        <f t="shared" si="0"/>
        <v>260523.70753025101</v>
      </c>
      <c r="E8" s="11">
        <v>9035.5089355065847</v>
      </c>
      <c r="F8" s="11">
        <f t="shared" si="1"/>
        <v>269559.21646575758</v>
      </c>
      <c r="G8" s="11">
        <v>6490.4225958250918</v>
      </c>
      <c r="H8" s="11">
        <f t="shared" si="2"/>
        <v>276049.63906158268</v>
      </c>
      <c r="I8" s="11">
        <f t="shared" si="3"/>
        <v>267014.13012607611</v>
      </c>
      <c r="J8" s="11">
        <f t="shared" si="4"/>
        <v>15525.931531331677</v>
      </c>
    </row>
    <row r="9" spans="1:10" ht="18.75" customHeight="1">
      <c r="A9" s="16">
        <v>29434</v>
      </c>
      <c r="B9" s="11">
        <v>277529.9865364976</v>
      </c>
      <c r="C9" s="11">
        <v>-13710.897819042206</v>
      </c>
      <c r="D9" s="11">
        <f t="shared" si="0"/>
        <v>263819.08871745539</v>
      </c>
      <c r="E9" s="11">
        <v>-11512.115043864824</v>
      </c>
      <c r="F9" s="11">
        <f t="shared" si="1"/>
        <v>252306.97367359058</v>
      </c>
      <c r="G9" s="11">
        <v>-2644.5808555027584</v>
      </c>
      <c r="H9" s="11">
        <f t="shared" si="2"/>
        <v>249662.39281808783</v>
      </c>
      <c r="I9" s="11">
        <f t="shared" si="3"/>
        <v>261174.50786195265</v>
      </c>
      <c r="J9" s="11">
        <f t="shared" si="4"/>
        <v>-14156.695899367582</v>
      </c>
    </row>
    <row r="10" spans="1:10" ht="18.75" customHeight="1">
      <c r="A10" s="16">
        <v>29465</v>
      </c>
      <c r="B10" s="11">
        <v>278459.14733653265</v>
      </c>
      <c r="C10" s="11">
        <v>-11437.452280759811</v>
      </c>
      <c r="D10" s="11">
        <f t="shared" si="0"/>
        <v>267021.69505577284</v>
      </c>
      <c r="E10" s="11">
        <v>-29942.575873501661</v>
      </c>
      <c r="F10" s="11">
        <f t="shared" si="1"/>
        <v>237079.11918227118</v>
      </c>
      <c r="G10" s="11">
        <v>770.52187688091715</v>
      </c>
      <c r="H10" s="11">
        <f t="shared" si="2"/>
        <v>237849.64105915211</v>
      </c>
      <c r="I10" s="11">
        <f t="shared" si="3"/>
        <v>267792.21693265374</v>
      </c>
      <c r="J10" s="11">
        <f t="shared" si="4"/>
        <v>-29172.053996620743</v>
      </c>
    </row>
    <row r="11" spans="1:10" ht="18.75" customHeight="1">
      <c r="A11" s="16">
        <v>29495</v>
      </c>
      <c r="B11" s="11">
        <v>279361.29699526064</v>
      </c>
      <c r="C11" s="11">
        <v>-9327.0414006710052</v>
      </c>
      <c r="D11" s="11">
        <f t="shared" si="0"/>
        <v>270034.25559458963</v>
      </c>
      <c r="E11" s="11">
        <v>-31807.738034068618</v>
      </c>
      <c r="F11" s="11">
        <f t="shared" si="1"/>
        <v>238226.51756052102</v>
      </c>
      <c r="G11" s="11">
        <v>1419.6824709797243</v>
      </c>
      <c r="H11" s="11">
        <f t="shared" si="2"/>
        <v>239646.20003150075</v>
      </c>
      <c r="I11" s="11">
        <f t="shared" si="3"/>
        <v>271453.93806556938</v>
      </c>
      <c r="J11" s="11">
        <f t="shared" si="4"/>
        <v>-30388.055563088892</v>
      </c>
    </row>
    <row r="12" spans="1:10" ht="18.75" customHeight="1">
      <c r="A12" s="16">
        <v>29526</v>
      </c>
      <c r="B12" s="11">
        <v>280296.58895939926</v>
      </c>
      <c r="C12" s="11">
        <v>-7237.3410029411316</v>
      </c>
      <c r="D12" s="11">
        <f t="shared" si="0"/>
        <v>273059.24795645813</v>
      </c>
      <c r="E12" s="11">
        <v>-19849.338384994844</v>
      </c>
      <c r="F12" s="11">
        <f t="shared" si="1"/>
        <v>253209.9095714633</v>
      </c>
      <c r="G12" s="11">
        <v>-2562.3459558469208</v>
      </c>
      <c r="H12" s="11">
        <f t="shared" si="2"/>
        <v>250647.56361561638</v>
      </c>
      <c r="I12" s="11">
        <f t="shared" si="3"/>
        <v>270496.90200061118</v>
      </c>
      <c r="J12" s="11">
        <f t="shared" si="4"/>
        <v>-22411.684340841766</v>
      </c>
    </row>
    <row r="13" spans="1:10" ht="18.75" customHeight="1">
      <c r="A13" s="16">
        <v>29556</v>
      </c>
      <c r="B13" s="11">
        <v>281204.6915464073</v>
      </c>
      <c r="C13" s="11">
        <v>-5301.6206665039063</v>
      </c>
      <c r="D13" s="11">
        <f t="shared" si="0"/>
        <v>275903.07087990339</v>
      </c>
      <c r="E13" s="11">
        <v>-8556.4728300846164</v>
      </c>
      <c r="F13" s="11">
        <f t="shared" si="1"/>
        <v>267346.59804981877</v>
      </c>
      <c r="G13" s="11">
        <v>-3056.5776194510731</v>
      </c>
      <c r="H13" s="11">
        <f t="shared" si="2"/>
        <v>264290.02043036767</v>
      </c>
      <c r="I13" s="11">
        <f t="shared" si="3"/>
        <v>272846.49326045229</v>
      </c>
      <c r="J13" s="11">
        <f t="shared" si="4"/>
        <v>-11613.050449535689</v>
      </c>
    </row>
    <row r="14" spans="1:10" ht="18.75" customHeight="1">
      <c r="A14" s="16">
        <v>29587</v>
      </c>
      <c r="B14" s="11">
        <v>282146.15513177251</v>
      </c>
      <c r="C14" s="11">
        <v>-3389.2243654727936</v>
      </c>
      <c r="D14" s="11">
        <f t="shared" si="0"/>
        <v>278756.93076629972</v>
      </c>
      <c r="E14" s="11">
        <v>588.98337502532581</v>
      </c>
      <c r="F14" s="11">
        <f t="shared" si="1"/>
        <v>279345.91414132505</v>
      </c>
      <c r="G14" s="11">
        <v>3756.6864935049148</v>
      </c>
      <c r="H14" s="11">
        <f t="shared" si="2"/>
        <v>283102.60063482996</v>
      </c>
      <c r="I14" s="11">
        <f t="shared" si="3"/>
        <v>282513.61725980463</v>
      </c>
      <c r="J14" s="11">
        <f t="shared" si="4"/>
        <v>4345.6698685302408</v>
      </c>
    </row>
    <row r="15" spans="1:10" ht="18.75" customHeight="1">
      <c r="A15" s="16">
        <v>29618</v>
      </c>
      <c r="B15" s="11">
        <v>283090.77070467232</v>
      </c>
      <c r="C15" s="11">
        <v>-1564.4932107925415</v>
      </c>
      <c r="D15" s="11">
        <f t="shared" si="0"/>
        <v>281526.27749387978</v>
      </c>
      <c r="E15" s="11">
        <v>7225.4655458402231</v>
      </c>
      <c r="F15" s="11">
        <f t="shared" si="1"/>
        <v>288751.74303971999</v>
      </c>
      <c r="G15" s="11">
        <v>12882.200604451198</v>
      </c>
      <c r="H15" s="11">
        <f t="shared" si="2"/>
        <v>301633.94364417117</v>
      </c>
      <c r="I15" s="11">
        <f t="shared" si="3"/>
        <v>294408.47809833096</v>
      </c>
      <c r="J15" s="11">
        <f t="shared" si="4"/>
        <v>20107.666150291421</v>
      </c>
    </row>
    <row r="16" spans="1:10" ht="18.75" customHeight="1">
      <c r="A16" s="16">
        <v>29646</v>
      </c>
      <c r="B16" s="11">
        <v>283946.68984482484</v>
      </c>
      <c r="C16" s="11">
        <v>9.6564061641693115</v>
      </c>
      <c r="D16" s="11">
        <f t="shared" si="0"/>
        <v>283956.34625098901</v>
      </c>
      <c r="E16" s="11">
        <v>14702.969673403668</v>
      </c>
      <c r="F16" s="11">
        <f t="shared" si="1"/>
        <v>298659.31592439266</v>
      </c>
      <c r="G16" s="11">
        <v>5707.2860959430582</v>
      </c>
      <c r="H16" s="11">
        <f t="shared" si="2"/>
        <v>304366.60202033573</v>
      </c>
      <c r="I16" s="11">
        <f t="shared" si="3"/>
        <v>289663.63234693208</v>
      </c>
      <c r="J16" s="11">
        <f t="shared" si="4"/>
        <v>20410.255769346724</v>
      </c>
    </row>
    <row r="17" spans="1:10" ht="18.75" customHeight="1">
      <c r="A17" s="16">
        <v>29677</v>
      </c>
      <c r="B17" s="11">
        <v>284897.33354569506</v>
      </c>
      <c r="C17" s="11">
        <v>1672.0325176715851</v>
      </c>
      <c r="D17" s="11">
        <f t="shared" si="0"/>
        <v>286569.36606336664</v>
      </c>
      <c r="E17" s="11">
        <v>26366.176148156963</v>
      </c>
      <c r="F17" s="11">
        <f t="shared" si="1"/>
        <v>312935.54221152363</v>
      </c>
      <c r="G17" s="11">
        <v>7620.6673267570832</v>
      </c>
      <c r="H17" s="11">
        <f t="shared" si="2"/>
        <v>320556.20953828073</v>
      </c>
      <c r="I17" s="11">
        <f t="shared" si="3"/>
        <v>294190.03339012375</v>
      </c>
      <c r="J17" s="11">
        <f t="shared" si="4"/>
        <v>33986.843474914043</v>
      </c>
    </row>
    <row r="18" spans="1:10" ht="18.75" customHeight="1">
      <c r="A18" s="16">
        <v>29707</v>
      </c>
      <c r="B18" s="11">
        <v>285820.3415872312</v>
      </c>
      <c r="C18" s="11">
        <v>3201.7715466022491</v>
      </c>
      <c r="D18" s="11">
        <f t="shared" si="0"/>
        <v>289022.11313383345</v>
      </c>
      <c r="E18" s="11">
        <v>30760.891800879039</v>
      </c>
      <c r="F18" s="11">
        <f t="shared" si="1"/>
        <v>319783.00493471249</v>
      </c>
      <c r="G18" s="11">
        <v>-1210.4625603406616</v>
      </c>
      <c r="H18" s="11">
        <f t="shared" si="2"/>
        <v>318572.54237437184</v>
      </c>
      <c r="I18" s="11">
        <f t="shared" si="3"/>
        <v>287811.65057349281</v>
      </c>
      <c r="J18" s="11">
        <f t="shared" si="4"/>
        <v>29550.429240538379</v>
      </c>
    </row>
    <row r="19" spans="1:10" ht="18.75" customHeight="1">
      <c r="A19" s="16">
        <v>29738</v>
      </c>
      <c r="B19" s="11">
        <v>286777.25820935832</v>
      </c>
      <c r="C19" s="11">
        <v>4702.4093577861786</v>
      </c>
      <c r="D19" s="11">
        <f t="shared" si="0"/>
        <v>291479.6675671445</v>
      </c>
      <c r="E19" s="11">
        <v>24135.461905402834</v>
      </c>
      <c r="F19" s="11">
        <f t="shared" si="1"/>
        <v>315615.12947254733</v>
      </c>
      <c r="G19" s="11">
        <v>3399.6482636519781</v>
      </c>
      <c r="H19" s="11">
        <f t="shared" si="2"/>
        <v>319014.77773619932</v>
      </c>
      <c r="I19" s="11">
        <f t="shared" si="3"/>
        <v>294879.31583079649</v>
      </c>
      <c r="J19" s="11">
        <f t="shared" si="4"/>
        <v>27535.110169054813</v>
      </c>
    </row>
    <row r="20" spans="1:10" ht="18.75" customHeight="1">
      <c r="A20" s="16">
        <v>29768</v>
      </c>
      <c r="B20" s="11">
        <v>287706.35681538115</v>
      </c>
      <c r="C20" s="11">
        <v>6078.6068434715271</v>
      </c>
      <c r="D20" s="11">
        <f t="shared" si="0"/>
        <v>293784.96365885268</v>
      </c>
      <c r="E20" s="11">
        <v>9035.5089355065847</v>
      </c>
      <c r="F20" s="11">
        <f t="shared" si="1"/>
        <v>302820.47259435925</v>
      </c>
      <c r="G20" s="11">
        <v>10578.241223148383</v>
      </c>
      <c r="H20" s="11">
        <f t="shared" si="2"/>
        <v>313398.71381750761</v>
      </c>
      <c r="I20" s="11">
        <f t="shared" si="3"/>
        <v>304363.20488200104</v>
      </c>
      <c r="J20" s="11">
        <f t="shared" si="4"/>
        <v>19613.75015865497</v>
      </c>
    </row>
    <row r="21" spans="1:10" ht="18.75" customHeight="1">
      <c r="A21" s="16">
        <v>29799</v>
      </c>
      <c r="B21" s="11">
        <v>288669.58775128791</v>
      </c>
      <c r="C21" s="11">
        <v>7423.6416509151459</v>
      </c>
      <c r="D21" s="11">
        <f t="shared" si="0"/>
        <v>296093.22940220305</v>
      </c>
      <c r="E21" s="11">
        <v>-11512.115043864824</v>
      </c>
      <c r="F21" s="11">
        <f t="shared" si="1"/>
        <v>284581.11435833824</v>
      </c>
      <c r="G21" s="11">
        <v>12239.915234680417</v>
      </c>
      <c r="H21" s="11">
        <f t="shared" si="2"/>
        <v>296821.02959301864</v>
      </c>
      <c r="I21" s="11">
        <f t="shared" si="3"/>
        <v>308333.14463688346</v>
      </c>
      <c r="J21" s="11">
        <f t="shared" si="4"/>
        <v>727.80019081559294</v>
      </c>
    </row>
    <row r="22" spans="1:10" ht="18.75" customHeight="1">
      <c r="A22" s="16">
        <v>29830</v>
      </c>
      <c r="B22" s="11">
        <v>289636.04355106689</v>
      </c>
      <c r="C22" s="11">
        <v>8691.9225673675537</v>
      </c>
      <c r="D22" s="11">
        <f t="shared" si="0"/>
        <v>298327.96611843444</v>
      </c>
      <c r="E22" s="11">
        <v>-29942.575873501661</v>
      </c>
      <c r="F22" s="11">
        <f t="shared" si="1"/>
        <v>268385.39024493279</v>
      </c>
      <c r="G22" s="11">
        <v>-7538.7312815534024</v>
      </c>
      <c r="H22" s="11">
        <f t="shared" si="2"/>
        <v>260846.65896337939</v>
      </c>
      <c r="I22" s="11">
        <f t="shared" si="3"/>
        <v>290789.23483688105</v>
      </c>
      <c r="J22" s="11">
        <f t="shared" si="4"/>
        <v>-37481.307155055067</v>
      </c>
    </row>
    <row r="23" spans="1:10" ht="18.75" customHeight="1">
      <c r="A23" s="16">
        <v>29860</v>
      </c>
      <c r="B23" s="11">
        <v>290574.40402636235</v>
      </c>
      <c r="C23" s="11">
        <v>9847.6715362071991</v>
      </c>
      <c r="D23" s="11">
        <f t="shared" si="0"/>
        <v>300422.07556256955</v>
      </c>
      <c r="E23" s="11">
        <v>-31807.738034068618</v>
      </c>
      <c r="F23" s="11">
        <f t="shared" si="1"/>
        <v>268614.33752850094</v>
      </c>
      <c r="G23" s="11">
        <v>6006.3243015364687</v>
      </c>
      <c r="H23" s="11">
        <f t="shared" si="2"/>
        <v>274620.66183003742</v>
      </c>
      <c r="I23" s="11">
        <f t="shared" si="3"/>
        <v>306428.39986410603</v>
      </c>
      <c r="J23" s="11">
        <f t="shared" si="4"/>
        <v>-25801.41373253215</v>
      </c>
    </row>
    <row r="24" spans="1:10" ht="18.75" customHeight="1">
      <c r="A24" s="16">
        <v>29891</v>
      </c>
      <c r="B24" s="11">
        <v>291547.23708517611</v>
      </c>
      <c r="C24" s="11">
        <v>10969.436286687851</v>
      </c>
      <c r="D24" s="11">
        <f t="shared" si="0"/>
        <v>302516.67337186396</v>
      </c>
      <c r="E24" s="11">
        <v>-19849.338384994844</v>
      </c>
      <c r="F24" s="11">
        <f t="shared" si="1"/>
        <v>282667.33498686913</v>
      </c>
      <c r="G24" s="11">
        <v>-6990.4422606475437</v>
      </c>
      <c r="H24" s="11">
        <f t="shared" si="2"/>
        <v>275676.89272622159</v>
      </c>
      <c r="I24" s="11">
        <f t="shared" si="3"/>
        <v>295526.23111121642</v>
      </c>
      <c r="J24" s="11">
        <f t="shared" si="4"/>
        <v>-26839.780645642386</v>
      </c>
    </row>
    <row r="25" spans="1:10" ht="18.75" customHeight="1">
      <c r="A25" s="16">
        <v>29921</v>
      </c>
      <c r="B25" s="11">
        <v>292491.78942958743</v>
      </c>
      <c r="C25" s="11">
        <v>11986.268041133881</v>
      </c>
      <c r="D25" s="11">
        <f t="shared" si="0"/>
        <v>304478.05747072131</v>
      </c>
      <c r="E25" s="11">
        <v>-8556.4728300846164</v>
      </c>
      <c r="F25" s="11">
        <f t="shared" si="1"/>
        <v>295921.58464063669</v>
      </c>
      <c r="G25" s="11">
        <v>-2517.4347650775353</v>
      </c>
      <c r="H25" s="11">
        <f t="shared" si="2"/>
        <v>293404.14987555915</v>
      </c>
      <c r="I25" s="11">
        <f t="shared" si="3"/>
        <v>301960.62270564376</v>
      </c>
      <c r="J25" s="11">
        <f t="shared" si="4"/>
        <v>-11073.907595162153</v>
      </c>
    </row>
    <row r="26" spans="1:10" ht="18.75" customHeight="1">
      <c r="A26" s="16">
        <v>29952</v>
      </c>
      <c r="B26" s="11">
        <v>293471.04182844301</v>
      </c>
      <c r="C26" s="11">
        <v>12967.431267023087</v>
      </c>
      <c r="D26" s="11">
        <f t="shared" si="0"/>
        <v>306438.47309546609</v>
      </c>
      <c r="E26" s="11">
        <v>588.98337502532581</v>
      </c>
      <c r="F26" s="11">
        <f t="shared" si="1"/>
        <v>307027.45647049142</v>
      </c>
      <c r="G26" s="11">
        <v>-1255.4985381205277</v>
      </c>
      <c r="H26" s="11">
        <f t="shared" si="2"/>
        <v>305771.95793237089</v>
      </c>
      <c r="I26" s="11">
        <f t="shared" si="3"/>
        <v>305182.97455734556</v>
      </c>
      <c r="J26" s="11">
        <f t="shared" si="4"/>
        <v>-666.51516309520184</v>
      </c>
    </row>
    <row r="27" spans="1:10" ht="18.75" customHeight="1">
      <c r="A27" s="16">
        <v>29983</v>
      </c>
      <c r="B27" s="11">
        <v>294453.57273047429</v>
      </c>
      <c r="C27" s="11">
        <v>13879.379740715027</v>
      </c>
      <c r="D27" s="11">
        <f t="shared" si="0"/>
        <v>308332.95247118932</v>
      </c>
      <c r="E27" s="11">
        <v>7225.4655458402231</v>
      </c>
      <c r="F27" s="11">
        <f t="shared" si="1"/>
        <v>315558.41801702953</v>
      </c>
      <c r="G27" s="11">
        <v>11807.22097758503</v>
      </c>
      <c r="H27" s="11">
        <f t="shared" si="2"/>
        <v>327365.63899461454</v>
      </c>
      <c r="I27" s="11">
        <f t="shared" si="3"/>
        <v>320140.17344877432</v>
      </c>
      <c r="J27" s="11">
        <f t="shared" si="4"/>
        <v>19032.686523425255</v>
      </c>
    </row>
    <row r="28" spans="1:10" ht="18.75" customHeight="1">
      <c r="A28" s="16">
        <v>30011</v>
      </c>
      <c r="B28" s="11">
        <v>295343.84706954565</v>
      </c>
      <c r="C28" s="11">
        <v>14644.825908184052</v>
      </c>
      <c r="D28" s="11">
        <f t="shared" si="0"/>
        <v>309988.6729777297</v>
      </c>
      <c r="E28" s="11">
        <v>14702.969673403668</v>
      </c>
      <c r="F28" s="11">
        <f t="shared" si="1"/>
        <v>324691.64265113336</v>
      </c>
      <c r="G28" s="11">
        <v>2432.4125741756575</v>
      </c>
      <c r="H28" s="11">
        <f t="shared" si="2"/>
        <v>327124.05522530898</v>
      </c>
      <c r="I28" s="11">
        <f t="shared" si="3"/>
        <v>312421.08555190533</v>
      </c>
      <c r="J28" s="11">
        <f t="shared" si="4"/>
        <v>17135.382247579324</v>
      </c>
    </row>
    <row r="29" spans="1:10" ht="18.75" customHeight="1">
      <c r="A29" s="16">
        <v>30042</v>
      </c>
      <c r="B29" s="11">
        <v>296332.64805877721</v>
      </c>
      <c r="C29" s="11">
        <v>15429.159006357193</v>
      </c>
      <c r="D29" s="11">
        <f t="shared" si="0"/>
        <v>311761.8070651344</v>
      </c>
      <c r="E29" s="11">
        <v>26366.176148156963</v>
      </c>
      <c r="F29" s="11">
        <f t="shared" si="1"/>
        <v>338127.98321329139</v>
      </c>
      <c r="G29" s="11">
        <v>8561.0564210031007</v>
      </c>
      <c r="H29" s="11">
        <f t="shared" si="2"/>
        <v>346689.03963429446</v>
      </c>
      <c r="I29" s="11">
        <f t="shared" si="3"/>
        <v>320322.86348613747</v>
      </c>
      <c r="J29" s="11">
        <f t="shared" si="4"/>
        <v>34927.232569160064</v>
      </c>
    </row>
    <row r="30" spans="1:10" ht="18.75" customHeight="1">
      <c r="A30" s="16">
        <v>30072</v>
      </c>
      <c r="B30" s="11">
        <v>297292.70413836115</v>
      </c>
      <c r="C30" s="11">
        <v>16126.37181186676</v>
      </c>
      <c r="D30" s="11">
        <f t="shared" si="0"/>
        <v>313419.07595022791</v>
      </c>
      <c r="E30" s="11">
        <v>30760.891800879039</v>
      </c>
      <c r="F30" s="11">
        <f t="shared" si="1"/>
        <v>344179.96775110695</v>
      </c>
      <c r="G30" s="11">
        <v>1011.6504514366856</v>
      </c>
      <c r="H30" s="11">
        <f t="shared" si="2"/>
        <v>345191.61820254364</v>
      </c>
      <c r="I30" s="11">
        <f t="shared" si="3"/>
        <v>314430.72640166461</v>
      </c>
      <c r="J30" s="11">
        <f t="shared" si="4"/>
        <v>31772.542252315725</v>
      </c>
    </row>
    <row r="31" spans="1:10" ht="18.75" customHeight="1">
      <c r="A31" s="16">
        <v>30103</v>
      </c>
      <c r="B31" s="11">
        <v>298288.02983368188</v>
      </c>
      <c r="C31" s="11">
        <v>16784.366121292114</v>
      </c>
      <c r="D31" s="11">
        <f t="shared" si="0"/>
        <v>315072.395954974</v>
      </c>
      <c r="E31" s="11">
        <v>24135.461905402834</v>
      </c>
      <c r="F31" s="11">
        <f t="shared" si="1"/>
        <v>339207.85786037683</v>
      </c>
      <c r="G31" s="11">
        <v>5648.4735274459817</v>
      </c>
      <c r="H31" s="11">
        <f t="shared" si="2"/>
        <v>344856.33138782281</v>
      </c>
      <c r="I31" s="11">
        <f t="shared" si="3"/>
        <v>320720.86948241998</v>
      </c>
      <c r="J31" s="11">
        <f t="shared" si="4"/>
        <v>29783.935432848815</v>
      </c>
    </row>
    <row r="32" spans="1:10" ht="18.75" customHeight="1">
      <c r="A32" s="16">
        <v>30133</v>
      </c>
      <c r="B32" s="11">
        <v>299254.42094308179</v>
      </c>
      <c r="C32" s="11">
        <v>17362.040263652802</v>
      </c>
      <c r="D32" s="11">
        <f t="shared" si="0"/>
        <v>316616.46120673459</v>
      </c>
      <c r="E32" s="11">
        <v>9035.5089355065847</v>
      </c>
      <c r="F32" s="11">
        <f t="shared" si="1"/>
        <v>325651.97014224116</v>
      </c>
      <c r="G32" s="11">
        <v>7877.918178780229</v>
      </c>
      <c r="H32" s="11">
        <f t="shared" si="2"/>
        <v>333529.8883210214</v>
      </c>
      <c r="I32" s="11">
        <f t="shared" si="3"/>
        <v>324494.37938551483</v>
      </c>
      <c r="J32" s="11">
        <f t="shared" si="4"/>
        <v>16913.427114286813</v>
      </c>
    </row>
    <row r="33" spans="1:18" ht="18.75" customHeight="1">
      <c r="A33" s="16">
        <v>30164</v>
      </c>
      <c r="B33" s="11">
        <v>300256.31439844391</v>
      </c>
      <c r="C33" s="11">
        <v>17899.304678678513</v>
      </c>
      <c r="D33" s="11">
        <f t="shared" si="0"/>
        <v>318155.61907712242</v>
      </c>
      <c r="E33" s="11">
        <v>-11512.115043864824</v>
      </c>
      <c r="F33" s="11">
        <f t="shared" si="1"/>
        <v>306643.5040332576</v>
      </c>
      <c r="G33" s="11">
        <v>-11550.549632803728</v>
      </c>
      <c r="H33" s="11">
        <f t="shared" si="2"/>
        <v>295092.95440045389</v>
      </c>
      <c r="I33" s="11">
        <f t="shared" si="3"/>
        <v>306605.06944431871</v>
      </c>
      <c r="J33" s="11">
        <f t="shared" si="4"/>
        <v>-23062.664676668552</v>
      </c>
    </row>
    <row r="34" spans="1:18" ht="18.75" customHeight="1">
      <c r="A34" s="16">
        <v>30195</v>
      </c>
      <c r="B34" s="11">
        <v>301261.56215845613</v>
      </c>
      <c r="C34" s="11">
        <v>18377.335867881775</v>
      </c>
      <c r="D34" s="11">
        <f t="shared" si="0"/>
        <v>319638.89802633791</v>
      </c>
      <c r="E34" s="11">
        <v>-29942.575873501661</v>
      </c>
      <c r="F34" s="11">
        <f t="shared" si="1"/>
        <v>289696.32215283625</v>
      </c>
      <c r="G34" s="11">
        <v>-4326.2900854886466</v>
      </c>
      <c r="H34" s="11">
        <f t="shared" si="2"/>
        <v>285370.03206734761</v>
      </c>
      <c r="I34" s="11">
        <f t="shared" si="3"/>
        <v>315312.60794084927</v>
      </c>
      <c r="J34" s="11">
        <f t="shared" si="4"/>
        <v>-34268.865958990311</v>
      </c>
    </row>
    <row r="35" spans="1:18" ht="18.75" customHeight="1">
      <c r="A35" s="16">
        <v>30225</v>
      </c>
      <c r="B35" s="11">
        <v>302237.58689346211</v>
      </c>
      <c r="C35" s="11">
        <v>18784.880994319916</v>
      </c>
      <c r="D35" s="11">
        <f t="shared" si="0"/>
        <v>321022.46788778203</v>
      </c>
      <c r="E35" s="11">
        <v>-31807.738034068618</v>
      </c>
      <c r="F35" s="11">
        <f t="shared" si="1"/>
        <v>289214.72985371342</v>
      </c>
      <c r="G35" s="11">
        <v>-5404.9882155895757</v>
      </c>
      <c r="H35" s="11">
        <f t="shared" si="2"/>
        <v>283809.74163812387</v>
      </c>
      <c r="I35" s="11">
        <f t="shared" si="3"/>
        <v>315617.47967219248</v>
      </c>
      <c r="J35" s="11">
        <f t="shared" si="4"/>
        <v>-37212.726249658197</v>
      </c>
    </row>
    <row r="36" spans="1:18" ht="18.75" customHeight="1">
      <c r="A36" s="16">
        <v>30256</v>
      </c>
      <c r="B36" s="11">
        <v>303249.46788529074</v>
      </c>
      <c r="C36" s="11">
        <v>19150.475209474564</v>
      </c>
      <c r="D36" s="11">
        <f t="shared" si="0"/>
        <v>322399.9430947653</v>
      </c>
      <c r="E36" s="11">
        <v>-19849.338384994844</v>
      </c>
      <c r="F36" s="11">
        <f t="shared" si="1"/>
        <v>302550.60470977047</v>
      </c>
      <c r="G36" s="11">
        <v>-4078.3723898667713</v>
      </c>
      <c r="H36" s="11">
        <f t="shared" si="2"/>
        <v>298472.23231990368</v>
      </c>
      <c r="I36" s="11">
        <f t="shared" si="3"/>
        <v>318321.57070489851</v>
      </c>
      <c r="J36" s="11">
        <f t="shared" si="4"/>
        <v>-23927.710774861614</v>
      </c>
    </row>
    <row r="37" spans="1:18" ht="18.75" customHeight="1">
      <c r="A37" s="16">
        <v>30286</v>
      </c>
      <c r="B37" s="11">
        <v>304231.93302094506</v>
      </c>
      <c r="C37" s="11">
        <v>19451.8282725811</v>
      </c>
      <c r="D37" s="11">
        <f t="shared" si="0"/>
        <v>323683.76129352616</v>
      </c>
      <c r="E37" s="11">
        <v>-8556.4728300846164</v>
      </c>
      <c r="F37" s="11">
        <f t="shared" si="1"/>
        <v>315127.28846344154</v>
      </c>
      <c r="G37" s="11">
        <v>2630.6178511768958</v>
      </c>
      <c r="H37" s="11">
        <f t="shared" si="2"/>
        <v>317757.90631461842</v>
      </c>
      <c r="I37" s="11">
        <f t="shared" si="3"/>
        <v>326314.37914470304</v>
      </c>
      <c r="J37" s="11">
        <f t="shared" si="4"/>
        <v>-5925.8549789077206</v>
      </c>
    </row>
    <row r="38" spans="1:18" ht="18.75" customHeight="1">
      <c r="A38" s="16">
        <v>30317</v>
      </c>
      <c r="B38" s="11">
        <v>305250.49101465911</v>
      </c>
      <c r="C38" s="11">
        <v>19710.37375164032</v>
      </c>
      <c r="D38" s="11">
        <f t="shared" si="0"/>
        <v>324960.86476629943</v>
      </c>
      <c r="E38" s="11">
        <v>588.98337502532581</v>
      </c>
      <c r="F38" s="11">
        <f t="shared" si="1"/>
        <v>325549.84814132476</v>
      </c>
      <c r="G38" s="11">
        <v>4261.7288494595496</v>
      </c>
      <c r="H38" s="11">
        <f t="shared" si="2"/>
        <v>329811.57699078432</v>
      </c>
      <c r="I38" s="11">
        <f t="shared" si="3"/>
        <v>329222.59361575899</v>
      </c>
      <c r="J38" s="11">
        <f t="shared" si="4"/>
        <v>4850.7122244848752</v>
      </c>
    </row>
    <row r="39" spans="1:18" ht="18.75" customHeight="1">
      <c r="A39" s="16">
        <v>30348</v>
      </c>
      <c r="B39" s="11">
        <v>306272.45910532156</v>
      </c>
      <c r="C39" s="11">
        <v>19916.55416226387</v>
      </c>
      <c r="D39" s="11">
        <f t="shared" si="0"/>
        <v>326189.01326758543</v>
      </c>
      <c r="E39" s="11">
        <v>7225.4655458402231</v>
      </c>
      <c r="F39" s="11">
        <f t="shared" si="1"/>
        <v>333414.47881342564</v>
      </c>
      <c r="G39" s="11">
        <v>-22251.540045094214</v>
      </c>
      <c r="H39" s="11">
        <f t="shared" si="2"/>
        <v>311162.93876833143</v>
      </c>
      <c r="I39" s="11">
        <f t="shared" si="3"/>
        <v>303937.47322249121</v>
      </c>
      <c r="J39" s="11">
        <f t="shared" si="4"/>
        <v>-15026.074499253991</v>
      </c>
    </row>
    <row r="40" spans="1:18" ht="18.75" customHeight="1">
      <c r="A40" s="16">
        <v>30376</v>
      </c>
      <c r="B40" s="11">
        <v>307198.4676049886</v>
      </c>
      <c r="C40" s="11">
        <v>20058.901982784271</v>
      </c>
      <c r="D40" s="11">
        <f t="shared" si="0"/>
        <v>327257.36958777288</v>
      </c>
      <c r="E40" s="11">
        <v>14702.969673403668</v>
      </c>
      <c r="F40" s="11">
        <f t="shared" si="1"/>
        <v>341960.33926117653</v>
      </c>
      <c r="G40" s="11">
        <v>-4809.7420946872999</v>
      </c>
      <c r="H40" s="11">
        <f t="shared" si="2"/>
        <v>337150.59716648923</v>
      </c>
      <c r="I40" s="11">
        <f t="shared" si="3"/>
        <v>322447.62749308557</v>
      </c>
      <c r="J40" s="11">
        <f t="shared" si="4"/>
        <v>9893.2275787163671</v>
      </c>
    </row>
    <row r="41" spans="1:18" ht="18.75" customHeight="1">
      <c r="A41" s="16">
        <v>30407</v>
      </c>
      <c r="B41" s="11">
        <v>308226.95745392912</v>
      </c>
      <c r="C41" s="11">
        <v>20169.160173892975</v>
      </c>
      <c r="D41" s="11">
        <f t="shared" si="0"/>
        <v>328396.1176278221</v>
      </c>
      <c r="E41" s="11">
        <v>26366.176148156963</v>
      </c>
      <c r="F41" s="11">
        <f t="shared" si="1"/>
        <v>354762.29377597908</v>
      </c>
      <c r="G41" s="11">
        <v>3507.407082750362</v>
      </c>
      <c r="H41" s="11">
        <f t="shared" si="2"/>
        <v>358269.70085872943</v>
      </c>
      <c r="I41" s="11">
        <f t="shared" si="3"/>
        <v>331903.52471057244</v>
      </c>
      <c r="J41" s="11">
        <f t="shared" si="4"/>
        <v>29873.583230907323</v>
      </c>
    </row>
    <row r="42" spans="1:18" ht="18.75" customHeight="1">
      <c r="A42" s="16">
        <v>30437</v>
      </c>
      <c r="B42" s="11">
        <v>309225.54861941142</v>
      </c>
      <c r="C42" s="11">
        <v>20229.711157798767</v>
      </c>
      <c r="D42" s="11">
        <f t="shared" si="0"/>
        <v>329455.25977721019</v>
      </c>
      <c r="E42" s="11">
        <v>30760.891800879039</v>
      </c>
      <c r="F42" s="11">
        <f t="shared" si="1"/>
        <v>360216.15157808922</v>
      </c>
      <c r="G42" s="11">
        <v>-8722.9610503530639</v>
      </c>
      <c r="H42" s="11">
        <f t="shared" si="2"/>
        <v>351493.19052773615</v>
      </c>
      <c r="I42" s="11">
        <f t="shared" si="3"/>
        <v>320732.29872685712</v>
      </c>
      <c r="J42" s="11">
        <f t="shared" si="4"/>
        <v>22037.930750525975</v>
      </c>
    </row>
    <row r="43" spans="1:18" ht="18.75" customHeight="1">
      <c r="A43" s="16">
        <v>30468</v>
      </c>
      <c r="B43" s="11">
        <v>310260.82506550715</v>
      </c>
      <c r="C43" s="11">
        <v>20245.880287885666</v>
      </c>
      <c r="D43" s="11">
        <f t="shared" si="0"/>
        <v>330506.70535339281</v>
      </c>
      <c r="E43" s="11">
        <v>24135.461905402834</v>
      </c>
      <c r="F43" s="11">
        <f t="shared" si="1"/>
        <v>354642.16725879564</v>
      </c>
      <c r="G43" s="11">
        <v>-3537.189177761562</v>
      </c>
      <c r="H43" s="11">
        <f t="shared" si="2"/>
        <v>351104.97808103409</v>
      </c>
      <c r="I43" s="11">
        <f t="shared" si="3"/>
        <v>326969.51617563126</v>
      </c>
      <c r="J43" s="11">
        <f t="shared" si="4"/>
        <v>20598.27272764127</v>
      </c>
    </row>
    <row r="44" spans="1:18" ht="18.75" customHeight="1">
      <c r="A44" s="16">
        <v>30498</v>
      </c>
      <c r="B44" s="11">
        <v>311266.00553857448</v>
      </c>
      <c r="C44" s="11">
        <v>20217.847311973572</v>
      </c>
      <c r="D44" s="11">
        <f t="shared" si="0"/>
        <v>331483.85285054805</v>
      </c>
      <c r="E44" s="11">
        <v>9035.5089355065847</v>
      </c>
      <c r="F44" s="11">
        <f t="shared" si="1"/>
        <v>340519.36178605462</v>
      </c>
      <c r="G44" s="11">
        <v>-4402.561059803229</v>
      </c>
      <c r="H44" s="11">
        <f t="shared" si="2"/>
        <v>336116.80072625139</v>
      </c>
      <c r="I44" s="11">
        <f t="shared" si="3"/>
        <v>327081.29179074481</v>
      </c>
      <c r="J44" s="11">
        <f t="shared" si="4"/>
        <v>4632.9478757033557</v>
      </c>
    </row>
    <row r="45" spans="1:18" ht="18.75" customHeight="1">
      <c r="A45" s="16">
        <v>30529</v>
      </c>
      <c r="B45" s="11">
        <v>312308.11336389201</v>
      </c>
      <c r="C45" s="11">
        <v>20145.009873390198</v>
      </c>
      <c r="D45" s="11">
        <f t="shared" si="0"/>
        <v>332453.12323728221</v>
      </c>
      <c r="E45" s="11">
        <v>-11512.115043864824</v>
      </c>
      <c r="F45" s="11">
        <f t="shared" si="1"/>
        <v>320941.00819341739</v>
      </c>
      <c r="G45" s="11">
        <v>10249.644729205511</v>
      </c>
      <c r="H45" s="11">
        <f t="shared" si="2"/>
        <v>331190.65292262292</v>
      </c>
      <c r="I45" s="11">
        <f t="shared" si="3"/>
        <v>342702.76796648774</v>
      </c>
      <c r="J45" s="11">
        <f t="shared" si="4"/>
        <v>-1262.4703146593129</v>
      </c>
      <c r="R45" s="19" t="s">
        <v>24</v>
      </c>
    </row>
    <row r="46" spans="1:18" ht="18.75" customHeight="1">
      <c r="A46" s="16">
        <v>30560</v>
      </c>
      <c r="B46" s="11">
        <v>313353.71013018041</v>
      </c>
      <c r="C46" s="11">
        <v>20028.859166622162</v>
      </c>
      <c r="D46" s="11">
        <f t="shared" si="0"/>
        <v>333382.56929680257</v>
      </c>
      <c r="E46" s="11">
        <v>-29942.575873501661</v>
      </c>
      <c r="F46" s="11">
        <f t="shared" si="1"/>
        <v>303439.99342330091</v>
      </c>
      <c r="G46" s="11">
        <v>689.53256806172772</v>
      </c>
      <c r="H46" s="11">
        <f t="shared" si="2"/>
        <v>304129.52599136264</v>
      </c>
      <c r="I46" s="11">
        <f t="shared" si="3"/>
        <v>334072.10186486429</v>
      </c>
      <c r="J46" s="11">
        <f t="shared" si="4"/>
        <v>-29253.043305439933</v>
      </c>
      <c r="R46" s="17" t="s">
        <v>25</v>
      </c>
    </row>
    <row r="47" spans="1:18" ht="18.75" customHeight="1">
      <c r="A47" s="16">
        <v>30590</v>
      </c>
      <c r="B47" s="11">
        <v>314368.9109068804</v>
      </c>
      <c r="C47" s="11">
        <v>19876.41942191124</v>
      </c>
      <c r="D47" s="11">
        <f t="shared" si="0"/>
        <v>334245.33032879164</v>
      </c>
      <c r="E47" s="11">
        <v>-31807.738034068618</v>
      </c>
      <c r="F47" s="11">
        <f t="shared" si="1"/>
        <v>302437.59229472303</v>
      </c>
      <c r="G47" s="11">
        <v>-5243.5012432307612</v>
      </c>
      <c r="H47" s="11">
        <f t="shared" si="2"/>
        <v>297194.09105149226</v>
      </c>
      <c r="I47" s="11">
        <f t="shared" si="3"/>
        <v>329001.82908556086</v>
      </c>
      <c r="J47" s="11">
        <f t="shared" si="4"/>
        <v>-37051.239277299377</v>
      </c>
    </row>
    <row r="48" spans="1:18" ht="18.75" customHeight="1">
      <c r="A48" s="16">
        <v>30621</v>
      </c>
      <c r="B48" s="11">
        <v>315421.40715209593</v>
      </c>
      <c r="C48" s="11">
        <v>19678.761147975922</v>
      </c>
      <c r="D48" s="11">
        <f t="shared" si="0"/>
        <v>335100.16830007185</v>
      </c>
      <c r="E48" s="11">
        <v>-19849.338384994844</v>
      </c>
      <c r="F48" s="11">
        <f t="shared" si="1"/>
        <v>315250.82991507702</v>
      </c>
      <c r="G48" s="11">
        <v>-439.26582669046098</v>
      </c>
      <c r="H48" s="11">
        <f t="shared" si="2"/>
        <v>314811.56408838654</v>
      </c>
      <c r="I48" s="11">
        <f t="shared" si="3"/>
        <v>334660.90247338137</v>
      </c>
      <c r="J48" s="11">
        <f t="shared" si="4"/>
        <v>-20288.604211685306</v>
      </c>
    </row>
    <row r="49" spans="1:18" ht="18.75" customHeight="1">
      <c r="A49" s="16">
        <v>30651</v>
      </c>
      <c r="B49" s="11">
        <v>316443.30683662626</v>
      </c>
      <c r="C49" s="11">
        <v>19449.806314229965</v>
      </c>
      <c r="D49" s="11">
        <f t="shared" si="0"/>
        <v>335893.11315085622</v>
      </c>
      <c r="E49" s="11">
        <v>-8556.4728300846164</v>
      </c>
      <c r="F49" s="11">
        <f t="shared" si="1"/>
        <v>327336.64032077161</v>
      </c>
      <c r="G49" s="11">
        <v>-5734.4438873019362</v>
      </c>
      <c r="H49" s="11">
        <f t="shared" si="2"/>
        <v>321602.19643346965</v>
      </c>
      <c r="I49" s="11">
        <f t="shared" si="3"/>
        <v>330158.66926355427</v>
      </c>
      <c r="J49" s="11">
        <f t="shared" si="4"/>
        <v>-14290.916717386554</v>
      </c>
    </row>
    <row r="50" spans="1:18" ht="18.75" customHeight="1">
      <c r="A50" s="16">
        <v>30682</v>
      </c>
      <c r="B50" s="11">
        <v>317502.74808769824</v>
      </c>
      <c r="C50" s="11">
        <v>19175.502309799194</v>
      </c>
      <c r="D50" s="11">
        <f t="shared" si="0"/>
        <v>336678.25039749744</v>
      </c>
      <c r="E50" s="11">
        <v>588.98337502532581</v>
      </c>
      <c r="F50" s="11">
        <f t="shared" si="1"/>
        <v>337267.23377252277</v>
      </c>
      <c r="G50" s="11">
        <v>1415.2887326165624</v>
      </c>
      <c r="H50" s="11">
        <f t="shared" si="2"/>
        <v>338682.52250513935</v>
      </c>
      <c r="I50" s="11">
        <f t="shared" si="3"/>
        <v>338093.53913011402</v>
      </c>
      <c r="J50" s="11">
        <f t="shared" si="4"/>
        <v>2004.2721076418882</v>
      </c>
    </row>
    <row r="51" spans="1:18" ht="18.75" customHeight="1">
      <c r="A51" s="16">
        <v>30713</v>
      </c>
      <c r="B51" s="11">
        <v>318565.73631145078</v>
      </c>
      <c r="C51" s="11">
        <v>18864.082211017609</v>
      </c>
      <c r="D51" s="11">
        <f t="shared" si="0"/>
        <v>337429.81852246838</v>
      </c>
      <c r="E51" s="11">
        <v>7225.4655458402231</v>
      </c>
      <c r="F51" s="11">
        <f t="shared" si="1"/>
        <v>344655.2840683086</v>
      </c>
      <c r="G51" s="11">
        <v>2944.1695094541237</v>
      </c>
      <c r="H51" s="11">
        <f t="shared" si="2"/>
        <v>347599.4535777627</v>
      </c>
      <c r="I51" s="11">
        <f t="shared" si="3"/>
        <v>340373.98803192249</v>
      </c>
      <c r="J51" s="11">
        <f t="shared" si="4"/>
        <v>10169.635055294348</v>
      </c>
    </row>
    <row r="52" spans="1:18" ht="18.75" customHeight="1">
      <c r="A52" s="16">
        <v>30742</v>
      </c>
      <c r="B52" s="11">
        <v>319563.36626778182</v>
      </c>
      <c r="C52" s="11">
        <v>18540.234374761581</v>
      </c>
      <c r="D52" s="11">
        <f t="shared" si="0"/>
        <v>338103.6006425434</v>
      </c>
      <c r="E52" s="11">
        <v>14702.969673403668</v>
      </c>
      <c r="F52" s="11">
        <f t="shared" si="1"/>
        <v>352806.57031594706</v>
      </c>
      <c r="G52" s="11">
        <v>-6985.8342776251484</v>
      </c>
      <c r="H52" s="11">
        <f t="shared" si="2"/>
        <v>345820.73603832192</v>
      </c>
      <c r="I52" s="11">
        <f t="shared" si="3"/>
        <v>331117.76636491827</v>
      </c>
      <c r="J52" s="11">
        <f t="shared" si="4"/>
        <v>7717.1353957785195</v>
      </c>
    </row>
    <row r="53" spans="1:18" ht="18.75" customHeight="1">
      <c r="A53" s="16">
        <v>30773</v>
      </c>
      <c r="B53" s="11">
        <v>320633.25336996122</v>
      </c>
      <c r="C53" s="11">
        <v>18160.436104297638</v>
      </c>
      <c r="D53" s="11">
        <f t="shared" si="0"/>
        <v>338793.68947425886</v>
      </c>
      <c r="E53" s="11">
        <v>26366.176148156963</v>
      </c>
      <c r="F53" s="11">
        <f t="shared" si="1"/>
        <v>365159.86562241585</v>
      </c>
      <c r="G53" s="11">
        <v>-6258.6390068619376</v>
      </c>
      <c r="H53" s="11">
        <f t="shared" si="2"/>
        <v>358901.2266155539</v>
      </c>
      <c r="I53" s="11">
        <f t="shared" si="3"/>
        <v>332535.05046739691</v>
      </c>
      <c r="J53" s="11">
        <f t="shared" si="4"/>
        <v>20107.537141295026</v>
      </c>
    </row>
    <row r="54" spans="1:18" ht="18.75" customHeight="1">
      <c r="A54" s="16">
        <v>30803</v>
      </c>
      <c r="B54" s="11">
        <v>321672.03835106653</v>
      </c>
      <c r="C54" s="11">
        <v>17760.920200586319</v>
      </c>
      <c r="D54" s="11">
        <f t="shared" si="0"/>
        <v>339432.95855165285</v>
      </c>
      <c r="E54" s="11">
        <v>30760.891800879039</v>
      </c>
      <c r="F54" s="11">
        <f t="shared" si="1"/>
        <v>370193.85035253188</v>
      </c>
      <c r="G54" s="11">
        <v>7888.2118020655798</v>
      </c>
      <c r="H54" s="11">
        <f t="shared" si="2"/>
        <v>378082.06215459749</v>
      </c>
      <c r="I54" s="11">
        <f t="shared" si="3"/>
        <v>347321.17035371845</v>
      </c>
      <c r="J54" s="11">
        <f t="shared" si="4"/>
        <v>38649.103602944619</v>
      </c>
    </row>
    <row r="55" spans="1:18" ht="18.75" customHeight="1">
      <c r="A55" s="16">
        <v>30834</v>
      </c>
      <c r="B55" s="11">
        <v>322748.98521447828</v>
      </c>
      <c r="C55" s="11">
        <v>17316.208212137222</v>
      </c>
      <c r="D55" s="11">
        <f t="shared" si="0"/>
        <v>340065.1934266155</v>
      </c>
      <c r="E55" s="11">
        <v>24135.461905402834</v>
      </c>
      <c r="F55" s="11">
        <f t="shared" si="1"/>
        <v>364200.65533201833</v>
      </c>
      <c r="G55" s="11">
        <v>5324.1047690280202</v>
      </c>
      <c r="H55" s="11">
        <f t="shared" si="2"/>
        <v>369524.76010104635</v>
      </c>
      <c r="I55" s="11">
        <f t="shared" si="3"/>
        <v>345389.29819564353</v>
      </c>
      <c r="J55" s="11">
        <f t="shared" si="4"/>
        <v>29459.566674430855</v>
      </c>
    </row>
    <row r="56" spans="1:18" ht="18.75" customHeight="1">
      <c r="A56" s="16">
        <v>30864</v>
      </c>
      <c r="B56" s="11">
        <v>323794.62472623878</v>
      </c>
      <c r="C56" s="11">
        <v>16856.087144136429</v>
      </c>
      <c r="D56" s="11">
        <f t="shared" si="0"/>
        <v>340650.71187037521</v>
      </c>
      <c r="E56" s="11">
        <v>9035.5089355065847</v>
      </c>
      <c r="F56" s="11">
        <f t="shared" si="1"/>
        <v>349686.22080588178</v>
      </c>
      <c r="G56" s="11">
        <v>11802.852616634509</v>
      </c>
      <c r="H56" s="11">
        <f t="shared" si="2"/>
        <v>361489.07342251629</v>
      </c>
      <c r="I56" s="11">
        <f t="shared" si="3"/>
        <v>352453.56448700972</v>
      </c>
      <c r="J56" s="11">
        <f t="shared" si="4"/>
        <v>20838.361552141094</v>
      </c>
    </row>
    <row r="57" spans="1:18" ht="18.75" customHeight="1">
      <c r="A57" s="16">
        <v>30895</v>
      </c>
      <c r="B57" s="11">
        <v>324878.67793545162</v>
      </c>
      <c r="C57" s="11">
        <v>16351.016085624695</v>
      </c>
      <c r="D57" s="11">
        <f t="shared" si="0"/>
        <v>341229.69402107631</v>
      </c>
      <c r="E57" s="11">
        <v>-11512.115043864824</v>
      </c>
      <c r="F57" s="11">
        <f t="shared" si="1"/>
        <v>329717.57897721149</v>
      </c>
      <c r="G57" s="11">
        <v>-13514.067831516795</v>
      </c>
      <c r="H57" s="11">
        <f t="shared" si="2"/>
        <v>316203.51114569471</v>
      </c>
      <c r="I57" s="11">
        <f t="shared" si="3"/>
        <v>327715.62618955952</v>
      </c>
      <c r="J57" s="11">
        <f t="shared" si="4"/>
        <v>-25026.182875381619</v>
      </c>
      <c r="R57" s="19" t="s">
        <v>24</v>
      </c>
    </row>
    <row r="58" spans="1:18" ht="18.75" customHeight="1">
      <c r="A58" s="16">
        <v>30926</v>
      </c>
      <c r="B58" s="11">
        <v>325966.36051733053</v>
      </c>
      <c r="C58" s="11">
        <v>15816.988037824631</v>
      </c>
      <c r="D58" s="11">
        <f t="shared" si="0"/>
        <v>341783.34855515516</v>
      </c>
      <c r="E58" s="11">
        <v>-29942.575873501661</v>
      </c>
      <c r="F58" s="11">
        <f t="shared" si="1"/>
        <v>311840.7726816535</v>
      </c>
      <c r="G58" s="11">
        <v>-493.91206304369666</v>
      </c>
      <c r="H58" s="11">
        <f t="shared" si="2"/>
        <v>311346.86061860982</v>
      </c>
      <c r="I58" s="11">
        <f t="shared" si="3"/>
        <v>341289.43649211148</v>
      </c>
      <c r="J58" s="11">
        <f t="shared" si="4"/>
        <v>-30436.487936545356</v>
      </c>
      <c r="R58" s="17" t="s">
        <v>26</v>
      </c>
    </row>
    <row r="59" spans="1:18" ht="18.75" customHeight="1">
      <c r="A59" s="16">
        <v>30956</v>
      </c>
      <c r="B59" s="11">
        <v>327022.42365517491</v>
      </c>
      <c r="C59" s="11">
        <v>15273.691554307938</v>
      </c>
      <c r="D59" s="11">
        <f t="shared" si="0"/>
        <v>342296.11520948284</v>
      </c>
      <c r="E59" s="11">
        <v>-31807.738034068618</v>
      </c>
      <c r="F59" s="11">
        <f t="shared" si="1"/>
        <v>310488.37717541424</v>
      </c>
      <c r="G59" s="11">
        <v>-2810.0852430918062</v>
      </c>
      <c r="H59" s="11">
        <f t="shared" si="2"/>
        <v>307678.29193232243</v>
      </c>
      <c r="I59" s="11">
        <f t="shared" si="3"/>
        <v>339486.02996639104</v>
      </c>
      <c r="J59" s="11">
        <f t="shared" si="4"/>
        <v>-34617.823277160423</v>
      </c>
    </row>
    <row r="60" spans="1:18" ht="18.75" customHeight="1">
      <c r="A60" s="16">
        <v>30987</v>
      </c>
      <c r="B60" s="11">
        <v>328117.28342360893</v>
      </c>
      <c r="C60" s="11">
        <v>14686.007345438004</v>
      </c>
      <c r="D60" s="11">
        <f t="shared" si="0"/>
        <v>342803.29076904693</v>
      </c>
      <c r="E60" s="11">
        <v>-19849.338384994844</v>
      </c>
      <c r="F60" s="11">
        <f t="shared" si="1"/>
        <v>322953.9523840521</v>
      </c>
      <c r="G60" s="11">
        <v>-4424.7238993178953</v>
      </c>
      <c r="H60" s="11">
        <f t="shared" si="2"/>
        <v>318529.22848473419</v>
      </c>
      <c r="I60" s="11">
        <f t="shared" si="3"/>
        <v>338378.56686972902</v>
      </c>
      <c r="J60" s="11">
        <f t="shared" si="4"/>
        <v>-24274.062284312738</v>
      </c>
    </row>
    <row r="61" spans="1:18" ht="18.75" customHeight="1">
      <c r="A61" s="16">
        <v>31017</v>
      </c>
      <c r="B61" s="11">
        <v>329180.31510382087</v>
      </c>
      <c r="C61" s="11">
        <v>14092.89333820343</v>
      </c>
      <c r="D61" s="11">
        <f t="shared" si="0"/>
        <v>343273.2084420243</v>
      </c>
      <c r="E61" s="11">
        <v>-8556.4728300846164</v>
      </c>
      <c r="F61" s="11">
        <f t="shared" si="1"/>
        <v>334716.73561193969</v>
      </c>
      <c r="G61" s="11">
        <v>9051.5800713508779</v>
      </c>
      <c r="H61" s="11">
        <f t="shared" si="2"/>
        <v>343768.31568329054</v>
      </c>
      <c r="I61" s="11">
        <f t="shared" si="3"/>
        <v>352324.78851337516</v>
      </c>
      <c r="J61" s="11">
        <f t="shared" si="4"/>
        <v>495.10724126626155</v>
      </c>
    </row>
    <row r="62" spans="1:18" ht="18.75" customHeight="1">
      <c r="A62" s="16">
        <v>31048</v>
      </c>
      <c r="B62" s="11">
        <v>330282.39941822138</v>
      </c>
      <c r="C62" s="11">
        <v>13455.886960029602</v>
      </c>
      <c r="D62" s="11">
        <f t="shared" si="0"/>
        <v>343738.28637825098</v>
      </c>
      <c r="E62" s="11">
        <v>588.98337502532581</v>
      </c>
      <c r="F62" s="11">
        <f t="shared" si="1"/>
        <v>344327.26975327631</v>
      </c>
      <c r="G62" s="11">
        <v>-6524.439469387049</v>
      </c>
      <c r="H62" s="11">
        <f t="shared" si="2"/>
        <v>337802.83028388926</v>
      </c>
      <c r="I62" s="11">
        <f t="shared" si="3"/>
        <v>337213.84690886392</v>
      </c>
      <c r="J62" s="11">
        <f t="shared" si="4"/>
        <v>-5935.4560943617234</v>
      </c>
    </row>
    <row r="63" spans="1:18" ht="18.75" customHeight="1">
      <c r="A63" s="16">
        <v>31079</v>
      </c>
      <c r="B63" s="11">
        <v>331388.17347280477</v>
      </c>
      <c r="C63" s="11">
        <v>12795.447946310043</v>
      </c>
      <c r="D63" s="11">
        <f t="shared" si="0"/>
        <v>344183.62141911482</v>
      </c>
      <c r="E63" s="11">
        <v>7225.4655458402231</v>
      </c>
      <c r="F63" s="11">
        <f t="shared" si="1"/>
        <v>351409.08696495503</v>
      </c>
      <c r="G63" s="11">
        <v>-6374.5740007967088</v>
      </c>
      <c r="H63" s="11">
        <f t="shared" si="2"/>
        <v>345034.51296415832</v>
      </c>
      <c r="I63" s="11">
        <f t="shared" si="3"/>
        <v>337809.04741831811</v>
      </c>
      <c r="J63" s="11">
        <f t="shared" si="4"/>
        <v>850.89154504351427</v>
      </c>
    </row>
    <row r="64" spans="1:18" ht="18.75" customHeight="1">
      <c r="A64" s="16">
        <v>31107</v>
      </c>
      <c r="B64" s="11">
        <v>332390.11881983781</v>
      </c>
      <c r="C64" s="11">
        <v>12179.684304952621</v>
      </c>
      <c r="D64" s="11">
        <f t="shared" si="0"/>
        <v>344569.80312479043</v>
      </c>
      <c r="E64" s="11">
        <v>14702.969673403668</v>
      </c>
      <c r="F64" s="11">
        <f t="shared" si="1"/>
        <v>359272.77279819408</v>
      </c>
      <c r="G64" s="11">
        <v>21.986703433131556</v>
      </c>
      <c r="H64" s="11">
        <f t="shared" si="2"/>
        <v>359294.75950162724</v>
      </c>
      <c r="I64" s="11">
        <f t="shared" si="3"/>
        <v>344591.78982822358</v>
      </c>
      <c r="J64" s="11">
        <f t="shared" si="4"/>
        <v>14724.956376836799</v>
      </c>
    </row>
    <row r="65" spans="1:10" ht="18.75" customHeight="1">
      <c r="A65" s="16">
        <v>31138</v>
      </c>
      <c r="B65" s="11">
        <v>333502.94944610936</v>
      </c>
      <c r="C65" s="11">
        <v>11477.635801315308</v>
      </c>
      <c r="D65" s="11">
        <f t="shared" si="0"/>
        <v>344980.58524742466</v>
      </c>
      <c r="E65" s="11">
        <v>26366.176148156963</v>
      </c>
      <c r="F65" s="11">
        <f t="shared" si="1"/>
        <v>371346.76139558165</v>
      </c>
      <c r="G65" s="11">
        <v>-15304.5138599694</v>
      </c>
      <c r="H65" s="11">
        <f t="shared" si="2"/>
        <v>356042.24753561226</v>
      </c>
      <c r="I65" s="11">
        <f t="shared" si="3"/>
        <v>329676.07138745527</v>
      </c>
      <c r="J65" s="11">
        <f t="shared" si="4"/>
        <v>11061.662288187563</v>
      </c>
    </row>
    <row r="66" spans="1:10" ht="18.75" customHeight="1">
      <c r="A66" s="16">
        <v>31168</v>
      </c>
      <c r="B66" s="11">
        <v>334583.42956287129</v>
      </c>
      <c r="C66" s="11">
        <v>10778.881212949753</v>
      </c>
      <c r="D66" s="11">
        <f t="shared" si="0"/>
        <v>345362.31077582104</v>
      </c>
      <c r="E66" s="11">
        <v>30760.891800879039</v>
      </c>
      <c r="F66" s="11">
        <f t="shared" si="1"/>
        <v>376123.20257670007</v>
      </c>
      <c r="G66" s="11">
        <v>1048.6066578546829</v>
      </c>
      <c r="H66" s="11">
        <f t="shared" si="2"/>
        <v>377171.80923455476</v>
      </c>
      <c r="I66" s="11">
        <f t="shared" si="3"/>
        <v>346410.91743367573</v>
      </c>
      <c r="J66" s="11">
        <f t="shared" si="4"/>
        <v>31809.49845873372</v>
      </c>
    </row>
    <row r="67" spans="1:10" ht="18.75" customHeight="1">
      <c r="A67" s="16">
        <v>31199</v>
      </c>
      <c r="B67" s="11">
        <v>335703.60331768182</v>
      </c>
      <c r="C67" s="11">
        <v>10037.86052274704</v>
      </c>
      <c r="D67" s="11">
        <f t="shared" ref="D67:D130" si="5">B67+C67</f>
        <v>345741.46384042886</v>
      </c>
      <c r="E67" s="11">
        <v>24135.461905402834</v>
      </c>
      <c r="F67" s="11">
        <f t="shared" ref="F67:F130" si="6">D67+E67</f>
        <v>369876.92574583169</v>
      </c>
      <c r="G67" s="11">
        <v>-936.53153654856237</v>
      </c>
      <c r="H67" s="11">
        <f t="shared" ref="H67:H130" si="7">F67+G67</f>
        <v>368940.39420928311</v>
      </c>
      <c r="I67" s="11">
        <f t="shared" ref="I67:I130" si="8">D67+G67</f>
        <v>344804.93230388028</v>
      </c>
      <c r="J67" s="11">
        <f t="shared" ref="J67:J130" si="9">E67+G67</f>
        <v>23198.930368854271</v>
      </c>
    </row>
    <row r="68" spans="1:10" ht="18.75" customHeight="1">
      <c r="A68" s="16">
        <v>31229</v>
      </c>
      <c r="B68" s="11">
        <v>336791.21309478424</v>
      </c>
      <c r="C68" s="11">
        <v>9303.3507661819458</v>
      </c>
      <c r="D68" s="11">
        <f t="shared" si="5"/>
        <v>346094.56386096618</v>
      </c>
      <c r="E68" s="11">
        <v>9035.5089355065847</v>
      </c>
      <c r="F68" s="11">
        <f t="shared" si="6"/>
        <v>355130.07279647276</v>
      </c>
      <c r="G68" s="11">
        <v>2636.100725745011</v>
      </c>
      <c r="H68" s="11">
        <f t="shared" si="7"/>
        <v>357766.17352221778</v>
      </c>
      <c r="I68" s="11">
        <f t="shared" si="8"/>
        <v>348730.66458671121</v>
      </c>
      <c r="J68" s="11">
        <f t="shared" si="9"/>
        <v>11671.609661251596</v>
      </c>
    </row>
    <row r="69" spans="1:10" ht="18.75" customHeight="1">
      <c r="A69" s="16">
        <v>31260</v>
      </c>
      <c r="B69" s="11">
        <v>337918.77843253181</v>
      </c>
      <c r="C69" s="11">
        <v>8527.3861343860626</v>
      </c>
      <c r="D69" s="11">
        <f t="shared" si="5"/>
        <v>346446.16456691787</v>
      </c>
      <c r="E69" s="11">
        <v>-11512.115043864824</v>
      </c>
      <c r="F69" s="11">
        <f t="shared" si="6"/>
        <v>334934.04952305305</v>
      </c>
      <c r="G69" s="11">
        <v>-2926.379520423438</v>
      </c>
      <c r="H69" s="11">
        <f t="shared" si="7"/>
        <v>332007.67000262963</v>
      </c>
      <c r="I69" s="11">
        <f t="shared" si="8"/>
        <v>343519.78504649445</v>
      </c>
      <c r="J69" s="11">
        <f t="shared" si="9"/>
        <v>-14438.494564288261</v>
      </c>
    </row>
    <row r="70" spans="1:10" ht="18.75" customHeight="1">
      <c r="A70" s="16">
        <v>31291</v>
      </c>
      <c r="B70" s="11">
        <v>339050.11882004741</v>
      </c>
      <c r="C70" s="11">
        <v>7735.1786653995514</v>
      </c>
      <c r="D70" s="11">
        <f t="shared" si="5"/>
        <v>346785.29748544696</v>
      </c>
      <c r="E70" s="11">
        <v>-29942.575873501661</v>
      </c>
      <c r="F70" s="11">
        <f t="shared" si="6"/>
        <v>316842.72161194531</v>
      </c>
      <c r="G70" s="11">
        <v>-4356.1070650153642</v>
      </c>
      <c r="H70" s="11">
        <f t="shared" si="7"/>
        <v>312486.61454692995</v>
      </c>
      <c r="I70" s="11">
        <f t="shared" si="8"/>
        <v>342429.19042043161</v>
      </c>
      <c r="J70" s="11">
        <f t="shared" si="9"/>
        <v>-34298.682938517028</v>
      </c>
    </row>
    <row r="71" spans="1:10" ht="18.75" customHeight="1">
      <c r="A71" s="16">
        <v>31321</v>
      </c>
      <c r="B71" s="11">
        <v>340148.57061059156</v>
      </c>
      <c r="C71" s="11">
        <v>6954.0086436271667</v>
      </c>
      <c r="D71" s="11">
        <f t="shared" si="5"/>
        <v>347102.57925421873</v>
      </c>
      <c r="E71" s="11">
        <v>-31807.738034068618</v>
      </c>
      <c r="F71" s="11">
        <f t="shared" si="6"/>
        <v>315294.84122015012</v>
      </c>
      <c r="G71" s="11">
        <v>5793.3250659148944</v>
      </c>
      <c r="H71" s="11">
        <f t="shared" si="7"/>
        <v>321088.16628606501</v>
      </c>
      <c r="I71" s="11">
        <f t="shared" si="8"/>
        <v>352895.90432013362</v>
      </c>
      <c r="J71" s="11">
        <f t="shared" si="9"/>
        <v>-26014.412968153723</v>
      </c>
    </row>
    <row r="72" spans="1:10" ht="18.75" customHeight="1">
      <c r="A72" s="16">
        <v>31352</v>
      </c>
      <c r="B72" s="11">
        <v>341287.37626522937</v>
      </c>
      <c r="C72" s="11">
        <v>6132.7662243843079</v>
      </c>
      <c r="D72" s="11">
        <f t="shared" si="5"/>
        <v>347420.14248961367</v>
      </c>
      <c r="E72" s="11">
        <v>-19849.338384994844</v>
      </c>
      <c r="F72" s="11">
        <f t="shared" si="6"/>
        <v>327570.80410461884</v>
      </c>
      <c r="G72" s="11">
        <v>11415.545730031885</v>
      </c>
      <c r="H72" s="11">
        <f t="shared" si="7"/>
        <v>338986.34983465075</v>
      </c>
      <c r="I72" s="11">
        <f t="shared" si="8"/>
        <v>358835.68821964558</v>
      </c>
      <c r="J72" s="11">
        <f t="shared" si="9"/>
        <v>-8433.7926549629592</v>
      </c>
    </row>
    <row r="73" spans="1:10" ht="18.75" customHeight="1">
      <c r="A73" s="16">
        <v>31382</v>
      </c>
      <c r="B73" s="11">
        <v>342393.07630407118</v>
      </c>
      <c r="C73" s="11">
        <v>5325.3509464263916</v>
      </c>
      <c r="D73" s="11">
        <f t="shared" si="5"/>
        <v>347718.42725049757</v>
      </c>
      <c r="E73" s="11">
        <v>-8556.4728300846164</v>
      </c>
      <c r="F73" s="11">
        <f t="shared" si="6"/>
        <v>339161.95442041295</v>
      </c>
      <c r="G73" s="11">
        <v>338.622702892277</v>
      </c>
      <c r="H73" s="11">
        <f t="shared" si="7"/>
        <v>339500.57712330524</v>
      </c>
      <c r="I73" s="11">
        <f t="shared" si="8"/>
        <v>348057.04995338985</v>
      </c>
      <c r="J73" s="11">
        <f t="shared" si="9"/>
        <v>-8217.8501271923396</v>
      </c>
    </row>
    <row r="74" spans="1:10" ht="18.75" customHeight="1">
      <c r="A74" s="16">
        <v>31413</v>
      </c>
      <c r="B74" s="11">
        <v>343539.39648617333</v>
      </c>
      <c r="C74" s="11">
        <v>4478.8811662197113</v>
      </c>
      <c r="D74" s="11">
        <f t="shared" si="5"/>
        <v>348018.27765239304</v>
      </c>
      <c r="E74" s="11">
        <v>588.98337502532581</v>
      </c>
      <c r="F74" s="11">
        <f t="shared" si="6"/>
        <v>348607.26102741837</v>
      </c>
      <c r="G74" s="11">
        <v>3339.5423922133205</v>
      </c>
      <c r="H74" s="11">
        <f t="shared" si="7"/>
        <v>351946.80341963167</v>
      </c>
      <c r="I74" s="11">
        <f t="shared" si="8"/>
        <v>351357.82004460634</v>
      </c>
      <c r="J74" s="11">
        <f t="shared" si="9"/>
        <v>3928.525767238646</v>
      </c>
    </row>
    <row r="75" spans="1:10" ht="18.75" customHeight="1">
      <c r="A75" s="16">
        <v>31444</v>
      </c>
      <c r="B75" s="11">
        <v>344689.55450861342</v>
      </c>
      <c r="C75" s="11">
        <v>3621.0219204425812</v>
      </c>
      <c r="D75" s="11">
        <f t="shared" si="5"/>
        <v>348310.576429056</v>
      </c>
      <c r="E75" s="11">
        <v>7225.4655458402231</v>
      </c>
      <c r="F75" s="11">
        <f t="shared" si="6"/>
        <v>355536.04197489622</v>
      </c>
      <c r="G75" s="11">
        <v>-2277.2745494162637</v>
      </c>
      <c r="H75" s="11">
        <f t="shared" si="7"/>
        <v>353258.76742547995</v>
      </c>
      <c r="I75" s="11">
        <f t="shared" si="8"/>
        <v>346033.30187963974</v>
      </c>
      <c r="J75" s="11">
        <f t="shared" si="9"/>
        <v>4948.1909964239594</v>
      </c>
    </row>
    <row r="76" spans="1:10" ht="18.75" customHeight="1">
      <c r="A76" s="16">
        <v>31472</v>
      </c>
      <c r="B76" s="11">
        <v>345731.71630844951</v>
      </c>
      <c r="C76" s="11">
        <v>2837.1815083026886</v>
      </c>
      <c r="D76" s="11">
        <f t="shared" si="5"/>
        <v>348568.8978167522</v>
      </c>
      <c r="E76" s="11">
        <v>14702.969673403668</v>
      </c>
      <c r="F76" s="11">
        <f t="shared" si="6"/>
        <v>363271.86749015586</v>
      </c>
      <c r="G76" s="11">
        <v>-1998.442545609877</v>
      </c>
      <c r="H76" s="11">
        <f t="shared" si="7"/>
        <v>361273.42494454596</v>
      </c>
      <c r="I76" s="11">
        <f t="shared" si="8"/>
        <v>346570.4552711423</v>
      </c>
      <c r="J76" s="11">
        <f t="shared" si="9"/>
        <v>12704.52712779379</v>
      </c>
    </row>
    <row r="77" spans="1:10" ht="18.75" customHeight="1">
      <c r="A77" s="16">
        <v>31503</v>
      </c>
      <c r="B77" s="11">
        <v>346889.21414186136</v>
      </c>
      <c r="C77" s="11">
        <v>1960.2580456733704</v>
      </c>
      <c r="D77" s="11">
        <f t="shared" si="5"/>
        <v>348849.47218753473</v>
      </c>
      <c r="E77" s="11">
        <v>26366.176148156963</v>
      </c>
      <c r="F77" s="11">
        <f t="shared" si="6"/>
        <v>375215.64833569172</v>
      </c>
      <c r="G77" s="11">
        <v>211.95381588720574</v>
      </c>
      <c r="H77" s="11">
        <f t="shared" si="7"/>
        <v>375427.60215157893</v>
      </c>
      <c r="I77" s="11">
        <f t="shared" si="8"/>
        <v>349061.42600342195</v>
      </c>
      <c r="J77" s="11">
        <f t="shared" si="9"/>
        <v>26578.129964044168</v>
      </c>
    </row>
    <row r="78" spans="1:10" ht="18.75" customHeight="1">
      <c r="A78" s="16">
        <v>31533</v>
      </c>
      <c r="B78" s="11">
        <v>348013.06296905148</v>
      </c>
      <c r="C78" s="11">
        <v>1103.3619170188904</v>
      </c>
      <c r="D78" s="11">
        <f t="shared" si="5"/>
        <v>349116.42488607037</v>
      </c>
      <c r="E78" s="11">
        <v>30760.891800879039</v>
      </c>
      <c r="F78" s="11">
        <f t="shared" si="6"/>
        <v>379877.3166869494</v>
      </c>
      <c r="G78" s="11">
        <v>865.61223655570416</v>
      </c>
      <c r="H78" s="11">
        <f t="shared" si="7"/>
        <v>380742.92892350513</v>
      </c>
      <c r="I78" s="11">
        <f t="shared" si="8"/>
        <v>349982.03712262609</v>
      </c>
      <c r="J78" s="11">
        <f t="shared" si="9"/>
        <v>31626.504037434745</v>
      </c>
    </row>
    <row r="79" spans="1:10" ht="18.75" customHeight="1">
      <c r="A79" s="16">
        <v>31564</v>
      </c>
      <c r="B79" s="11">
        <v>349178.19867221068</v>
      </c>
      <c r="C79" s="11">
        <v>210.25801491737366</v>
      </c>
      <c r="D79" s="11">
        <f t="shared" si="5"/>
        <v>349388.45668712805</v>
      </c>
      <c r="E79" s="11">
        <v>24135.461905402834</v>
      </c>
      <c r="F79" s="11">
        <f t="shared" si="6"/>
        <v>373523.91859253088</v>
      </c>
      <c r="G79" s="11">
        <v>-12114.440966999189</v>
      </c>
      <c r="H79" s="11">
        <f t="shared" si="7"/>
        <v>361409.47762553167</v>
      </c>
      <c r="I79" s="11">
        <f t="shared" si="8"/>
        <v>337274.01572012884</v>
      </c>
      <c r="J79" s="11">
        <f t="shared" si="9"/>
        <v>12021.020938403644</v>
      </c>
    </row>
    <row r="80" spans="1:10" ht="18.75" customHeight="1">
      <c r="A80" s="16">
        <v>31594</v>
      </c>
      <c r="B80" s="11">
        <v>350309.46333268483</v>
      </c>
      <c r="C80" s="11">
        <v>-660.5914626121521</v>
      </c>
      <c r="D80" s="11">
        <f t="shared" si="5"/>
        <v>349648.87187007267</v>
      </c>
      <c r="E80" s="11">
        <v>9035.5089355065847</v>
      </c>
      <c r="F80" s="11">
        <f t="shared" si="6"/>
        <v>358684.38080557925</v>
      </c>
      <c r="G80" s="11">
        <v>-1769.3839528373173</v>
      </c>
      <c r="H80" s="11">
        <f t="shared" si="7"/>
        <v>356914.99685274193</v>
      </c>
      <c r="I80" s="11">
        <f t="shared" si="8"/>
        <v>347879.48791723535</v>
      </c>
      <c r="J80" s="11">
        <f t="shared" si="9"/>
        <v>7266.1249826692674</v>
      </c>
    </row>
    <row r="81" spans="1:18" ht="18.75" customHeight="1">
      <c r="A81" s="16">
        <v>31625</v>
      </c>
      <c r="B81" s="11">
        <v>351482.28730486933</v>
      </c>
      <c r="C81" s="11">
        <v>-1566.373960018158</v>
      </c>
      <c r="D81" s="11">
        <f t="shared" si="5"/>
        <v>349915.91334485117</v>
      </c>
      <c r="E81" s="11">
        <v>-11512.115043864824</v>
      </c>
      <c r="F81" s="11">
        <f t="shared" si="6"/>
        <v>338403.79830098635</v>
      </c>
      <c r="G81" s="11">
        <v>-753.60559371678517</v>
      </c>
      <c r="H81" s="11">
        <f t="shared" si="7"/>
        <v>337650.19270726957</v>
      </c>
      <c r="I81" s="11">
        <f t="shared" si="8"/>
        <v>349162.30775113439</v>
      </c>
      <c r="J81" s="11">
        <f t="shared" si="9"/>
        <v>-12265.720637581609</v>
      </c>
    </row>
    <row r="82" spans="1:18" ht="18.75" customHeight="1">
      <c r="A82" s="16">
        <v>31656</v>
      </c>
      <c r="B82" s="11">
        <v>352659.03785116534</v>
      </c>
      <c r="C82" s="11">
        <v>-2477.2858533859253</v>
      </c>
      <c r="D82" s="11">
        <f t="shared" si="5"/>
        <v>350181.75199777941</v>
      </c>
      <c r="E82" s="11">
        <v>-29942.575873501661</v>
      </c>
      <c r="F82" s="11">
        <f t="shared" si="6"/>
        <v>320239.17612427776</v>
      </c>
      <c r="G82" s="11">
        <v>15590.157452387934</v>
      </c>
      <c r="H82" s="11">
        <f t="shared" si="7"/>
        <v>335829.33357666567</v>
      </c>
      <c r="I82" s="11">
        <f t="shared" si="8"/>
        <v>365771.90945016732</v>
      </c>
      <c r="J82" s="11">
        <f t="shared" si="9"/>
        <v>-14352.418421113727</v>
      </c>
    </row>
    <row r="83" spans="1:18" ht="18.75" customHeight="1">
      <c r="A83" s="16">
        <v>31686</v>
      </c>
      <c r="B83" s="11">
        <v>353801.57970582548</v>
      </c>
      <c r="C83" s="11">
        <v>-3362.8776967525482</v>
      </c>
      <c r="D83" s="11">
        <f t="shared" si="5"/>
        <v>350438.70200907293</v>
      </c>
      <c r="E83" s="11">
        <v>-31807.738034068618</v>
      </c>
      <c r="F83" s="11">
        <f t="shared" si="6"/>
        <v>318630.96397500433</v>
      </c>
      <c r="G83" s="11">
        <v>-11314.008866310842</v>
      </c>
      <c r="H83" s="11">
        <f t="shared" si="7"/>
        <v>307316.95510869351</v>
      </c>
      <c r="I83" s="11">
        <f t="shared" si="8"/>
        <v>339124.69314276212</v>
      </c>
      <c r="J83" s="11">
        <f t="shared" si="9"/>
        <v>-43121.746900379461</v>
      </c>
      <c r="R83" s="19" t="s">
        <v>24</v>
      </c>
    </row>
    <row r="84" spans="1:18" ht="18.75" customHeight="1">
      <c r="A84" s="16">
        <v>31717</v>
      </c>
      <c r="B84" s="11">
        <v>354986.09516289626</v>
      </c>
      <c r="C84" s="11">
        <v>-4281.3531134128571</v>
      </c>
      <c r="D84" s="11">
        <f t="shared" si="5"/>
        <v>350704.74204948341</v>
      </c>
      <c r="E84" s="11">
        <v>-19849.338384994844</v>
      </c>
      <c r="F84" s="11">
        <f t="shared" si="6"/>
        <v>330855.40366448858</v>
      </c>
      <c r="G84" s="11">
        <v>-13142.241775991937</v>
      </c>
      <c r="H84" s="11">
        <f t="shared" si="7"/>
        <v>317713.16188849666</v>
      </c>
      <c r="I84" s="11">
        <f t="shared" si="8"/>
        <v>337562.50027349149</v>
      </c>
      <c r="J84" s="11">
        <f t="shared" si="9"/>
        <v>-32991.580160986778</v>
      </c>
      <c r="R84" s="17" t="s">
        <v>28</v>
      </c>
    </row>
    <row r="85" spans="1:18" ht="18.75" customHeight="1">
      <c r="A85" s="16">
        <v>31747</v>
      </c>
      <c r="B85" s="11">
        <v>356136.17619872425</v>
      </c>
      <c r="C85" s="11">
        <v>-5172.6661243438721</v>
      </c>
      <c r="D85" s="11">
        <f t="shared" si="5"/>
        <v>350963.51007438038</v>
      </c>
      <c r="E85" s="11">
        <v>-8556.4728300846164</v>
      </c>
      <c r="F85" s="11">
        <f t="shared" si="6"/>
        <v>342407.03724429576</v>
      </c>
      <c r="G85" s="11">
        <v>2643.7910884398311</v>
      </c>
      <c r="H85" s="11">
        <f t="shared" si="7"/>
        <v>345050.82833273557</v>
      </c>
      <c r="I85" s="11">
        <f t="shared" si="8"/>
        <v>353607.30116282019</v>
      </c>
      <c r="J85" s="11">
        <f t="shared" si="9"/>
        <v>-5912.6817416447848</v>
      </c>
      <c r="R85" s="17" t="s">
        <v>29</v>
      </c>
    </row>
    <row r="86" spans="1:18" ht="18.75" customHeight="1">
      <c r="A86" s="16">
        <v>31778</v>
      </c>
      <c r="B86" s="11">
        <v>357328.50780414056</v>
      </c>
      <c r="C86" s="11">
        <v>-6095.4238755702972</v>
      </c>
      <c r="D86" s="11">
        <f t="shared" si="5"/>
        <v>351233.08392857027</v>
      </c>
      <c r="E86" s="11">
        <v>588.98337502532581</v>
      </c>
      <c r="F86" s="11">
        <f t="shared" si="6"/>
        <v>351822.0673035956</v>
      </c>
      <c r="G86" s="11">
        <v>-3721.0881113700725</v>
      </c>
      <c r="H86" s="11">
        <f t="shared" si="7"/>
        <v>348100.97919222555</v>
      </c>
      <c r="I86" s="11">
        <f t="shared" si="8"/>
        <v>347511.99581720022</v>
      </c>
      <c r="J86" s="11">
        <f t="shared" si="9"/>
        <v>-3132.1047363447469</v>
      </c>
    </row>
    <row r="87" spans="1:18" ht="18.75" customHeight="1">
      <c r="A87" s="16">
        <v>31809</v>
      </c>
      <c r="B87" s="11">
        <v>358524.83129455004</v>
      </c>
      <c r="C87" s="11">
        <v>-7019.1286327838898</v>
      </c>
      <c r="D87" s="11">
        <f t="shared" si="5"/>
        <v>351505.70266176615</v>
      </c>
      <c r="E87" s="11">
        <v>7225.4655458402231</v>
      </c>
      <c r="F87" s="11">
        <f t="shared" si="6"/>
        <v>358731.16820760636</v>
      </c>
      <c r="G87" s="11">
        <v>1416.7307119821226</v>
      </c>
      <c r="H87" s="11">
        <f t="shared" si="7"/>
        <v>360147.89891958848</v>
      </c>
      <c r="I87" s="11">
        <f t="shared" si="8"/>
        <v>352922.43337374827</v>
      </c>
      <c r="J87" s="11">
        <f t="shared" si="9"/>
        <v>8642.1962578223465</v>
      </c>
    </row>
    <row r="88" spans="1:18" ht="18.75" customHeight="1">
      <c r="A88" s="16">
        <v>31837</v>
      </c>
      <c r="B88" s="11">
        <v>359608.82377004152</v>
      </c>
      <c r="C88" s="11">
        <v>-7853.5799765586853</v>
      </c>
      <c r="D88" s="11">
        <f t="shared" si="5"/>
        <v>351755.24379348283</v>
      </c>
      <c r="E88" s="11">
        <v>14702.969673403668</v>
      </c>
      <c r="F88" s="11">
        <f t="shared" si="6"/>
        <v>366458.21346688649</v>
      </c>
      <c r="G88" s="11">
        <v>-827.6796491733063</v>
      </c>
      <c r="H88" s="11">
        <f t="shared" si="7"/>
        <v>365630.53381771321</v>
      </c>
      <c r="I88" s="11">
        <f t="shared" si="8"/>
        <v>350927.56414430955</v>
      </c>
      <c r="J88" s="11">
        <f t="shared" si="9"/>
        <v>13875.290024230362</v>
      </c>
    </row>
    <row r="89" spans="1:18" ht="18.75" customHeight="1">
      <c r="A89" s="16">
        <v>31868</v>
      </c>
      <c r="B89" s="11">
        <v>360812.78167946934</v>
      </c>
      <c r="C89" s="11">
        <v>-8776.8501892089844</v>
      </c>
      <c r="D89" s="11">
        <f t="shared" si="5"/>
        <v>352035.93149026035</v>
      </c>
      <c r="E89" s="11">
        <v>26366.176148156963</v>
      </c>
      <c r="F89" s="11">
        <f t="shared" si="6"/>
        <v>378402.10763841734</v>
      </c>
      <c r="G89" s="11">
        <v>10453.403192210697</v>
      </c>
      <c r="H89" s="11">
        <f t="shared" si="7"/>
        <v>388855.51083062805</v>
      </c>
      <c r="I89" s="11">
        <f t="shared" si="8"/>
        <v>362489.33468247106</v>
      </c>
      <c r="J89" s="11">
        <f t="shared" si="9"/>
        <v>36819.579340367658</v>
      </c>
    </row>
    <row r="90" spans="1:18" ht="18.75" customHeight="1">
      <c r="A90" s="16">
        <v>31898</v>
      </c>
      <c r="B90" s="11">
        <v>361981.73996642209</v>
      </c>
      <c r="C90" s="11">
        <v>-9669.0298092365265</v>
      </c>
      <c r="D90" s="11">
        <f t="shared" si="5"/>
        <v>352312.71015718556</v>
      </c>
      <c r="E90" s="11">
        <v>30760.891800879039</v>
      </c>
      <c r="F90" s="11">
        <f t="shared" si="6"/>
        <v>383073.6019580646</v>
      </c>
      <c r="G90" s="11">
        <v>4667.9155574108545</v>
      </c>
      <c r="H90" s="11">
        <f t="shared" si="7"/>
        <v>387741.51751547545</v>
      </c>
      <c r="I90" s="11">
        <f t="shared" si="8"/>
        <v>356980.62571459642</v>
      </c>
      <c r="J90" s="11">
        <f t="shared" si="9"/>
        <v>35428.807358289894</v>
      </c>
    </row>
    <row r="91" spans="1:18" ht="18.75" customHeight="1">
      <c r="A91" s="16">
        <v>31929</v>
      </c>
      <c r="B91" s="11">
        <v>363193.64231723727</v>
      </c>
      <c r="C91" s="11">
        <v>-10588.838497400284</v>
      </c>
      <c r="D91" s="11">
        <f t="shared" si="5"/>
        <v>352604.80381983699</v>
      </c>
      <c r="E91" s="11">
        <v>24135.461905402834</v>
      </c>
      <c r="F91" s="11">
        <f t="shared" si="6"/>
        <v>376740.26572523982</v>
      </c>
      <c r="G91" s="11">
        <v>562.14562298670501</v>
      </c>
      <c r="H91" s="11">
        <f t="shared" si="7"/>
        <v>377302.41134822654</v>
      </c>
      <c r="I91" s="11">
        <f t="shared" si="8"/>
        <v>353166.94944282371</v>
      </c>
      <c r="J91" s="11">
        <f t="shared" si="9"/>
        <v>24697.607528389537</v>
      </c>
    </row>
    <row r="92" spans="1:18" ht="18.75" customHeight="1">
      <c r="A92" s="16">
        <v>31959</v>
      </c>
      <c r="B92" s="11">
        <v>364370.31409693242</v>
      </c>
      <c r="C92" s="11">
        <v>-11476.217825651169</v>
      </c>
      <c r="D92" s="11">
        <f t="shared" si="5"/>
        <v>352894.09627128125</v>
      </c>
      <c r="E92" s="11">
        <v>9035.5089355065847</v>
      </c>
      <c r="F92" s="11">
        <f t="shared" si="6"/>
        <v>361929.60520678782</v>
      </c>
      <c r="G92" s="11">
        <v>-4121.4464034273051</v>
      </c>
      <c r="H92" s="11">
        <f t="shared" si="7"/>
        <v>357808.15880336054</v>
      </c>
      <c r="I92" s="11">
        <f t="shared" si="8"/>
        <v>348772.64986785396</v>
      </c>
      <c r="J92" s="11">
        <f t="shared" si="9"/>
        <v>4914.0625320792797</v>
      </c>
    </row>
    <row r="93" spans="1:18" ht="18.75" customHeight="1">
      <c r="A93" s="16">
        <v>31990</v>
      </c>
      <c r="B93" s="11">
        <v>365590.21331135766</v>
      </c>
      <c r="C93" s="11">
        <v>-12389.589547395706</v>
      </c>
      <c r="D93" s="11">
        <f t="shared" si="5"/>
        <v>353200.62376396195</v>
      </c>
      <c r="E93" s="11">
        <v>-11512.115043864824</v>
      </c>
      <c r="F93" s="11">
        <f t="shared" si="6"/>
        <v>341688.50872009713</v>
      </c>
      <c r="G93" s="11">
        <v>4095.3861959536557</v>
      </c>
      <c r="H93" s="11">
        <f t="shared" si="7"/>
        <v>345783.89491605078</v>
      </c>
      <c r="I93" s="11">
        <f t="shared" si="8"/>
        <v>357296.00995991559</v>
      </c>
      <c r="J93" s="11">
        <f t="shared" si="9"/>
        <v>-7416.7288479111685</v>
      </c>
    </row>
    <row r="94" spans="1:18" ht="18.75" customHeight="1">
      <c r="A94" s="16">
        <v>32021</v>
      </c>
      <c r="B94" s="11">
        <v>366814.1967061786</v>
      </c>
      <c r="C94" s="11">
        <v>-13298.577931642532</v>
      </c>
      <c r="D94" s="11">
        <f t="shared" si="5"/>
        <v>353515.61877453607</v>
      </c>
      <c r="E94" s="11">
        <v>-29942.575873501661</v>
      </c>
      <c r="F94" s="11">
        <f t="shared" si="6"/>
        <v>323573.04290103441</v>
      </c>
      <c r="G94" s="11">
        <v>-5302.3255987597213</v>
      </c>
      <c r="H94" s="11">
        <f t="shared" si="7"/>
        <v>318270.71730227472</v>
      </c>
      <c r="I94" s="11">
        <f t="shared" si="8"/>
        <v>348213.29317577637</v>
      </c>
      <c r="J94" s="11">
        <f t="shared" si="9"/>
        <v>-35244.901472261379</v>
      </c>
    </row>
    <row r="95" spans="1:18" ht="18.75" customHeight="1">
      <c r="A95" s="16">
        <v>32051</v>
      </c>
      <c r="B95" s="11">
        <v>368002.59832824901</v>
      </c>
      <c r="C95" s="11">
        <v>-14173.378978967667</v>
      </c>
      <c r="D95" s="11">
        <f t="shared" si="5"/>
        <v>353829.21934928134</v>
      </c>
      <c r="E95" s="11">
        <v>-31807.738034068618</v>
      </c>
      <c r="F95" s="11">
        <f t="shared" si="6"/>
        <v>322021.48131521273</v>
      </c>
      <c r="G95" s="11">
        <v>3018.0678348158094</v>
      </c>
      <c r="H95" s="11">
        <f t="shared" si="7"/>
        <v>325039.54915002856</v>
      </c>
      <c r="I95" s="11">
        <f t="shared" si="8"/>
        <v>356847.28718409716</v>
      </c>
      <c r="J95" s="11">
        <f t="shared" si="9"/>
        <v>-28789.670199252807</v>
      </c>
      <c r="R95" s="19" t="s">
        <v>24</v>
      </c>
    </row>
    <row r="96" spans="1:18" ht="18.75" customHeight="1">
      <c r="A96" s="16">
        <v>32082</v>
      </c>
      <c r="B96" s="11">
        <v>369234.65830470383</v>
      </c>
      <c r="C96" s="11">
        <v>-15071.609243154526</v>
      </c>
      <c r="D96" s="11">
        <f t="shared" si="5"/>
        <v>354163.0490615493</v>
      </c>
      <c r="E96" s="11">
        <v>-19849.338384994844</v>
      </c>
      <c r="F96" s="11">
        <f t="shared" si="6"/>
        <v>334313.71067655447</v>
      </c>
      <c r="G96" s="11">
        <v>-7856.4442220059291</v>
      </c>
      <c r="H96" s="11">
        <f t="shared" si="7"/>
        <v>326457.26645454852</v>
      </c>
      <c r="I96" s="11">
        <f t="shared" si="8"/>
        <v>346306.60483954335</v>
      </c>
      <c r="J96" s="11">
        <f t="shared" si="9"/>
        <v>-27705.782607000772</v>
      </c>
      <c r="R96" s="17" t="s">
        <v>25</v>
      </c>
    </row>
    <row r="97" spans="1:10" ht="18.75" customHeight="1">
      <c r="A97" s="16">
        <v>32112</v>
      </c>
      <c r="B97" s="11">
        <v>370430.90171838336</v>
      </c>
      <c r="C97" s="11">
        <v>-15934.655544996262</v>
      </c>
      <c r="D97" s="11">
        <f t="shared" si="5"/>
        <v>354496.2461733871</v>
      </c>
      <c r="E97" s="11">
        <v>-8556.4728300846164</v>
      </c>
      <c r="F97" s="11">
        <f t="shared" si="6"/>
        <v>345939.77334330248</v>
      </c>
      <c r="G97" s="11">
        <v>-10779.288501310042</v>
      </c>
      <c r="H97" s="11">
        <f t="shared" si="7"/>
        <v>335160.48484199244</v>
      </c>
      <c r="I97" s="11">
        <f t="shared" si="8"/>
        <v>343716.95767207706</v>
      </c>
      <c r="J97" s="11">
        <f t="shared" si="9"/>
        <v>-19335.761331394657</v>
      </c>
    </row>
    <row r="98" spans="1:10" ht="18.75" customHeight="1">
      <c r="A98" s="16">
        <v>32143</v>
      </c>
      <c r="B98" s="11">
        <v>371671.09157063661</v>
      </c>
      <c r="C98" s="11">
        <v>-16819.372903108597</v>
      </c>
      <c r="D98" s="11">
        <f t="shared" si="5"/>
        <v>354851.71866752801</v>
      </c>
      <c r="E98" s="11">
        <v>588.98337502532581</v>
      </c>
      <c r="F98" s="11">
        <f t="shared" si="6"/>
        <v>355440.70204255334</v>
      </c>
      <c r="G98" s="11">
        <v>130.54560268930231</v>
      </c>
      <c r="H98" s="11">
        <f t="shared" si="7"/>
        <v>355571.24764524266</v>
      </c>
      <c r="I98" s="11">
        <f t="shared" si="8"/>
        <v>354982.26427021733</v>
      </c>
      <c r="J98" s="11">
        <f t="shared" si="9"/>
        <v>719.52897771462813</v>
      </c>
    </row>
    <row r="99" spans="1:10" ht="18.75" customHeight="1">
      <c r="A99" s="16">
        <v>32174</v>
      </c>
      <c r="B99" s="11">
        <v>372915.43353563815</v>
      </c>
      <c r="C99" s="11">
        <v>-17696.195516347885</v>
      </c>
      <c r="D99" s="11">
        <f t="shared" si="5"/>
        <v>355219.23801929026</v>
      </c>
      <c r="E99" s="11">
        <v>7225.4655458402231</v>
      </c>
      <c r="F99" s="11">
        <f t="shared" si="6"/>
        <v>362444.70356513048</v>
      </c>
      <c r="G99" s="11">
        <v>3750.1138173096297</v>
      </c>
      <c r="H99" s="11">
        <f t="shared" si="7"/>
        <v>366194.81738244009</v>
      </c>
      <c r="I99" s="11">
        <f t="shared" si="8"/>
        <v>358969.35183659988</v>
      </c>
      <c r="J99" s="11">
        <f t="shared" si="9"/>
        <v>10975.579363149853</v>
      </c>
    </row>
    <row r="100" spans="1:10" ht="18.75" customHeight="1">
      <c r="A100" s="16">
        <v>32203</v>
      </c>
      <c r="B100" s="11">
        <v>374083.26662397076</v>
      </c>
      <c r="C100" s="11">
        <v>-18508.701711893082</v>
      </c>
      <c r="D100" s="11">
        <f t="shared" si="5"/>
        <v>355574.56491207768</v>
      </c>
      <c r="E100" s="11">
        <v>14702.969673403668</v>
      </c>
      <c r="F100" s="11">
        <f t="shared" si="6"/>
        <v>370277.53458548133</v>
      </c>
      <c r="G100" s="11">
        <v>-6016.7491729159756</v>
      </c>
      <c r="H100" s="11">
        <f t="shared" si="7"/>
        <v>364260.78541256534</v>
      </c>
      <c r="I100" s="11">
        <f t="shared" si="8"/>
        <v>349557.81573916168</v>
      </c>
      <c r="J100" s="11">
        <f t="shared" si="9"/>
        <v>8686.2205004876923</v>
      </c>
    </row>
    <row r="101" spans="1:10" ht="18.75" customHeight="1">
      <c r="A101" s="16">
        <v>32234</v>
      </c>
      <c r="B101" s="11">
        <v>375335.68446765607</v>
      </c>
      <c r="C101" s="11">
        <v>-19368.330635786057</v>
      </c>
      <c r="D101" s="11">
        <f t="shared" si="5"/>
        <v>355967.35383187002</v>
      </c>
      <c r="E101" s="11">
        <v>26366.176148156963</v>
      </c>
      <c r="F101" s="11">
        <f t="shared" si="6"/>
        <v>382333.529980027</v>
      </c>
      <c r="G101" s="11">
        <v>13411.331151148441</v>
      </c>
      <c r="H101" s="11">
        <f t="shared" si="7"/>
        <v>395744.86113117542</v>
      </c>
      <c r="I101" s="11">
        <f t="shared" si="8"/>
        <v>369378.68498301844</v>
      </c>
      <c r="J101" s="11">
        <f t="shared" si="9"/>
        <v>39777.507299305405</v>
      </c>
    </row>
    <row r="102" spans="1:10" ht="18.75" customHeight="1">
      <c r="A102" s="16">
        <v>32264</v>
      </c>
      <c r="B102" s="11">
        <v>376551.69393579441</v>
      </c>
      <c r="C102" s="11">
        <v>-20190.857853651047</v>
      </c>
      <c r="D102" s="11">
        <f t="shared" si="5"/>
        <v>356360.83608214336</v>
      </c>
      <c r="E102" s="11">
        <v>30760.891800879039</v>
      </c>
      <c r="F102" s="11">
        <f t="shared" si="6"/>
        <v>387121.72788302239</v>
      </c>
      <c r="G102" s="11">
        <v>9293.6129224824435</v>
      </c>
      <c r="H102" s="11">
        <f t="shared" si="7"/>
        <v>396415.34080550482</v>
      </c>
      <c r="I102" s="11">
        <f t="shared" si="8"/>
        <v>365654.44900462579</v>
      </c>
      <c r="J102" s="11">
        <f t="shared" si="9"/>
        <v>40054.504723361482</v>
      </c>
    </row>
    <row r="103" spans="1:10" ht="18.75" customHeight="1">
      <c r="A103" s="16">
        <v>32295</v>
      </c>
      <c r="B103" s="11">
        <v>377812.37598878081</v>
      </c>
      <c r="C103" s="11">
        <v>-21030.492214202881</v>
      </c>
      <c r="D103" s="11">
        <f t="shared" si="5"/>
        <v>356781.88377457793</v>
      </c>
      <c r="E103" s="11">
        <v>24135.461905402834</v>
      </c>
      <c r="F103" s="11">
        <f t="shared" si="6"/>
        <v>380917.34567998076</v>
      </c>
      <c r="G103" s="11">
        <v>-4621.9608141512399</v>
      </c>
      <c r="H103" s="11">
        <f t="shared" si="7"/>
        <v>376295.38486582955</v>
      </c>
      <c r="I103" s="11">
        <f t="shared" si="8"/>
        <v>352159.92296042672</v>
      </c>
      <c r="J103" s="11">
        <f t="shared" si="9"/>
        <v>19513.501091251594</v>
      </c>
    </row>
    <row r="104" spans="1:10" ht="18.75" customHeight="1">
      <c r="A104" s="16">
        <v>32325</v>
      </c>
      <c r="B104" s="11">
        <v>379036.40942176973</v>
      </c>
      <c r="C104" s="11">
        <v>-21832.474833965302</v>
      </c>
      <c r="D104" s="11">
        <f t="shared" si="5"/>
        <v>357203.93458780443</v>
      </c>
      <c r="E104" s="11">
        <v>9035.5089355065847</v>
      </c>
      <c r="F104" s="11">
        <f t="shared" si="6"/>
        <v>366239.443523311</v>
      </c>
      <c r="G104" s="11">
        <v>4971.2907198364956</v>
      </c>
      <c r="H104" s="11">
        <f t="shared" si="7"/>
        <v>371210.73424314748</v>
      </c>
      <c r="I104" s="11">
        <f t="shared" si="8"/>
        <v>362175.22530764091</v>
      </c>
      <c r="J104" s="11">
        <f t="shared" si="9"/>
        <v>14006.79965534308</v>
      </c>
    </row>
    <row r="105" spans="1:10" ht="18.75" customHeight="1">
      <c r="A105" s="16">
        <v>32356</v>
      </c>
      <c r="B105" s="11">
        <v>380305.41021629988</v>
      </c>
      <c r="C105" s="11">
        <v>-22649.667035341263</v>
      </c>
      <c r="D105" s="11">
        <f t="shared" si="5"/>
        <v>357655.74318095861</v>
      </c>
      <c r="E105" s="11">
        <v>-11512.115043864824</v>
      </c>
      <c r="F105" s="11">
        <f t="shared" si="6"/>
        <v>346143.62813709379</v>
      </c>
      <c r="G105" s="11">
        <v>-13449.750155062418</v>
      </c>
      <c r="H105" s="11">
        <f t="shared" si="7"/>
        <v>332693.87798203138</v>
      </c>
      <c r="I105" s="11">
        <f t="shared" si="8"/>
        <v>344205.9930258962</v>
      </c>
      <c r="J105" s="11">
        <f t="shared" si="9"/>
        <v>-24961.86519892724</v>
      </c>
    </row>
    <row r="106" spans="1:10" ht="18.75" customHeight="1">
      <c r="A106" s="16">
        <v>32387</v>
      </c>
      <c r="B106" s="11">
        <v>381578.65958161827</v>
      </c>
      <c r="C106" s="11">
        <v>-23454.544398546219</v>
      </c>
      <c r="D106" s="11">
        <f t="shared" si="5"/>
        <v>358124.11518307205</v>
      </c>
      <c r="E106" s="11">
        <v>-29942.575873501661</v>
      </c>
      <c r="F106" s="11">
        <f t="shared" si="6"/>
        <v>328181.53930957039</v>
      </c>
      <c r="G106" s="11">
        <v>-3166.0552233017524</v>
      </c>
      <c r="H106" s="11">
        <f t="shared" si="7"/>
        <v>325015.48408626864</v>
      </c>
      <c r="I106" s="11">
        <f t="shared" si="8"/>
        <v>354958.0599597703</v>
      </c>
      <c r="J106" s="11">
        <f t="shared" si="9"/>
        <v>-33108.631096803416</v>
      </c>
    </row>
    <row r="107" spans="1:10" ht="18.75" customHeight="1">
      <c r="A107" s="16">
        <v>32417</v>
      </c>
      <c r="B107" s="11">
        <v>382814.89498926111</v>
      </c>
      <c r="C107" s="11">
        <v>-24221.169401407242</v>
      </c>
      <c r="D107" s="11">
        <f t="shared" si="5"/>
        <v>358593.72558785387</v>
      </c>
      <c r="E107" s="11">
        <v>-31807.738034068618</v>
      </c>
      <c r="F107" s="11">
        <f t="shared" si="6"/>
        <v>326785.98755378526</v>
      </c>
      <c r="G107" s="11">
        <v>1117.3869975229741</v>
      </c>
      <c r="H107" s="11">
        <f t="shared" si="7"/>
        <v>327903.37455130822</v>
      </c>
      <c r="I107" s="11">
        <f t="shared" si="8"/>
        <v>359711.11258537683</v>
      </c>
      <c r="J107" s="11">
        <f t="shared" si="9"/>
        <v>-30690.351036545642</v>
      </c>
    </row>
    <row r="108" spans="1:10" ht="18.75" customHeight="1">
      <c r="A108" s="16">
        <v>32448</v>
      </c>
      <c r="B108" s="11">
        <v>384096.54602284043</v>
      </c>
      <c r="C108" s="11">
        <v>-25000.07954287529</v>
      </c>
      <c r="D108" s="11">
        <f t="shared" si="5"/>
        <v>359096.46647996514</v>
      </c>
      <c r="E108" s="11">
        <v>-19849.338384994844</v>
      </c>
      <c r="F108" s="11">
        <f t="shared" si="6"/>
        <v>339247.12809497031</v>
      </c>
      <c r="G108" s="11">
        <v>-4780.1605280656586</v>
      </c>
      <c r="H108" s="11">
        <f t="shared" si="7"/>
        <v>334466.96756690467</v>
      </c>
      <c r="I108" s="11">
        <f t="shared" si="8"/>
        <v>354316.3059518995</v>
      </c>
      <c r="J108" s="11">
        <f t="shared" si="9"/>
        <v>-24629.498913060503</v>
      </c>
    </row>
    <row r="109" spans="1:10" ht="18.75" customHeight="1">
      <c r="A109" s="16">
        <v>32478</v>
      </c>
      <c r="B109" s="11">
        <v>385340.93885829765</v>
      </c>
      <c r="C109" s="11">
        <v>-25740.486725091934</v>
      </c>
      <c r="D109" s="11">
        <f t="shared" si="5"/>
        <v>359600.45213320572</v>
      </c>
      <c r="E109" s="11">
        <v>-8556.4728300846164</v>
      </c>
      <c r="F109" s="11">
        <f t="shared" si="6"/>
        <v>351043.9793031211</v>
      </c>
      <c r="G109" s="11">
        <v>-17076.535611003794</v>
      </c>
      <c r="H109" s="11">
        <f t="shared" si="7"/>
        <v>333967.44369211729</v>
      </c>
      <c r="I109" s="11">
        <f t="shared" si="8"/>
        <v>342523.91652220191</v>
      </c>
      <c r="J109" s="11">
        <f t="shared" si="9"/>
        <v>-25633.008441088408</v>
      </c>
    </row>
    <row r="110" spans="1:10" ht="18.75" customHeight="1">
      <c r="A110" s="16">
        <v>32509</v>
      </c>
      <c r="B110" s="11">
        <v>386631.04699941829</v>
      </c>
      <c r="C110" s="11">
        <v>-26491.202705144882</v>
      </c>
      <c r="D110" s="11">
        <f t="shared" si="5"/>
        <v>360139.84429427341</v>
      </c>
      <c r="E110" s="11">
        <v>588.98337502532581</v>
      </c>
      <c r="F110" s="11">
        <f t="shared" si="6"/>
        <v>360728.82766929874</v>
      </c>
      <c r="G110" s="11">
        <v>-10624.373035634295</v>
      </c>
      <c r="H110" s="11">
        <f t="shared" si="7"/>
        <v>350104.45463366446</v>
      </c>
      <c r="I110" s="11">
        <f t="shared" si="8"/>
        <v>349515.47125863913</v>
      </c>
      <c r="J110" s="11">
        <f t="shared" si="9"/>
        <v>-10035.389660608969</v>
      </c>
    </row>
    <row r="111" spans="1:10" ht="18.75" customHeight="1">
      <c r="A111" s="16">
        <v>32540</v>
      </c>
      <c r="B111" s="11">
        <v>387925.47437799396</v>
      </c>
      <c r="C111" s="11">
        <v>-27226.765260457993</v>
      </c>
      <c r="D111" s="11">
        <f t="shared" si="5"/>
        <v>360698.70911753597</v>
      </c>
      <c r="E111" s="11">
        <v>7225.4655458402231</v>
      </c>
      <c r="F111" s="11">
        <f t="shared" si="6"/>
        <v>367924.17466337618</v>
      </c>
      <c r="G111" s="11">
        <v>-4409.9613485929276</v>
      </c>
      <c r="H111" s="11">
        <f t="shared" si="7"/>
        <v>363514.21331478324</v>
      </c>
      <c r="I111" s="11">
        <f t="shared" si="8"/>
        <v>356288.74776894302</v>
      </c>
      <c r="J111" s="11">
        <f t="shared" si="9"/>
        <v>2815.5041972472955</v>
      </c>
    </row>
    <row r="112" spans="1:10" ht="18.75" customHeight="1">
      <c r="A112" s="16">
        <v>32568</v>
      </c>
      <c r="B112" s="11">
        <v>389098.35909495648</v>
      </c>
      <c r="C112" s="11">
        <v>-27877.669524908066</v>
      </c>
      <c r="D112" s="11">
        <f t="shared" si="5"/>
        <v>361220.68957004842</v>
      </c>
      <c r="E112" s="11">
        <v>14702.969673403668</v>
      </c>
      <c r="F112" s="11">
        <f t="shared" si="6"/>
        <v>375923.65924345207</v>
      </c>
      <c r="G112" s="11">
        <v>-5415.5316499260744</v>
      </c>
      <c r="H112" s="11">
        <f t="shared" si="7"/>
        <v>370508.12759352598</v>
      </c>
      <c r="I112" s="11">
        <f t="shared" si="8"/>
        <v>355805.15792012232</v>
      </c>
      <c r="J112" s="11">
        <f t="shared" si="9"/>
        <v>9287.4380234775927</v>
      </c>
    </row>
    <row r="113" spans="1:10" ht="18.75" customHeight="1">
      <c r="A113" s="16">
        <v>32599</v>
      </c>
      <c r="B113" s="11">
        <v>390401.04694912699</v>
      </c>
      <c r="C113" s="11">
        <v>-28582.907005310059</v>
      </c>
      <c r="D113" s="11">
        <f t="shared" si="5"/>
        <v>361818.13994381693</v>
      </c>
      <c r="E113" s="11">
        <v>26366.176148156963</v>
      </c>
      <c r="F113" s="11">
        <f t="shared" si="6"/>
        <v>388184.31609197392</v>
      </c>
      <c r="G113" s="11">
        <v>8406.6752791992058</v>
      </c>
      <c r="H113" s="11">
        <f t="shared" si="7"/>
        <v>396590.99137117312</v>
      </c>
      <c r="I113" s="11">
        <f t="shared" si="8"/>
        <v>370224.81522301614</v>
      </c>
      <c r="J113" s="11">
        <f t="shared" si="9"/>
        <v>34772.851427356167</v>
      </c>
    </row>
    <row r="114" spans="1:10" ht="18.75" customHeight="1">
      <c r="A114" s="16">
        <v>32629</v>
      </c>
      <c r="B114" s="11">
        <v>391665.86505491025</v>
      </c>
      <c r="C114" s="11">
        <v>-29249.507301092148</v>
      </c>
      <c r="D114" s="11">
        <f t="shared" si="5"/>
        <v>362416.3577538181</v>
      </c>
      <c r="E114" s="11">
        <v>30760.891800879039</v>
      </c>
      <c r="F114" s="11">
        <f t="shared" si="6"/>
        <v>393177.24955469713</v>
      </c>
      <c r="G114" s="11">
        <v>-3125.1565881864904</v>
      </c>
      <c r="H114" s="11">
        <f t="shared" si="7"/>
        <v>390052.09296651062</v>
      </c>
      <c r="I114" s="11">
        <f t="shared" si="8"/>
        <v>359291.20116563159</v>
      </c>
      <c r="J114" s="11">
        <f t="shared" si="9"/>
        <v>27635.735212692547</v>
      </c>
    </row>
    <row r="115" spans="1:10" ht="18.75" customHeight="1">
      <c r="A115" s="16">
        <v>32660</v>
      </c>
      <c r="B115" s="11">
        <v>392977.148830269</v>
      </c>
      <c r="C115" s="11">
        <v>-29921.416451215744</v>
      </c>
      <c r="D115" s="11">
        <f t="shared" si="5"/>
        <v>363055.73237905325</v>
      </c>
      <c r="E115" s="11">
        <v>24135.461905402834</v>
      </c>
      <c r="F115" s="11">
        <f t="shared" si="6"/>
        <v>387191.19428445608</v>
      </c>
      <c r="G115" s="11">
        <v>-12618.242754621439</v>
      </c>
      <c r="H115" s="11">
        <f t="shared" si="7"/>
        <v>374572.95152983465</v>
      </c>
      <c r="I115" s="11">
        <f t="shared" si="8"/>
        <v>350437.48962443182</v>
      </c>
      <c r="J115" s="11">
        <f t="shared" si="9"/>
        <v>11517.219150781395</v>
      </c>
    </row>
    <row r="116" spans="1:10" ht="18.75" customHeight="1">
      <c r="A116" s="16">
        <v>32690</v>
      </c>
      <c r="B116" s="11">
        <v>394250.31296977156</v>
      </c>
      <c r="C116" s="11">
        <v>-30554.823214054108</v>
      </c>
      <c r="D116" s="11">
        <f t="shared" si="5"/>
        <v>363695.48975571746</v>
      </c>
      <c r="E116" s="11">
        <v>9035.5089355065847</v>
      </c>
      <c r="F116" s="11">
        <f t="shared" si="6"/>
        <v>372730.99869122403</v>
      </c>
      <c r="G116" s="11">
        <v>-922.87434673432756</v>
      </c>
      <c r="H116" s="11">
        <f t="shared" si="7"/>
        <v>371808.12434448971</v>
      </c>
      <c r="I116" s="11">
        <f t="shared" si="8"/>
        <v>362772.61540898314</v>
      </c>
      <c r="J116" s="11">
        <f t="shared" si="9"/>
        <v>8112.6345887722573</v>
      </c>
    </row>
    <row r="117" spans="1:10" ht="18.75" customHeight="1">
      <c r="A117" s="16">
        <v>32721</v>
      </c>
      <c r="B117" s="11">
        <v>395570.24938739859</v>
      </c>
      <c r="C117" s="11">
        <v>-31191.482839584351</v>
      </c>
      <c r="D117" s="11">
        <f t="shared" si="5"/>
        <v>364378.76654781424</v>
      </c>
      <c r="E117" s="11">
        <v>-11512.115043864824</v>
      </c>
      <c r="F117" s="11">
        <f t="shared" si="6"/>
        <v>352866.65150394943</v>
      </c>
      <c r="G117" s="11">
        <v>-590.98196158347957</v>
      </c>
      <c r="H117" s="11">
        <f t="shared" si="7"/>
        <v>352275.66954236594</v>
      </c>
      <c r="I117" s="11">
        <f t="shared" si="8"/>
        <v>363787.78458623076</v>
      </c>
      <c r="J117" s="11">
        <f t="shared" si="9"/>
        <v>-12103.097005448304</v>
      </c>
    </row>
    <row r="118" spans="1:10" ht="18.75" customHeight="1">
      <c r="A118" s="16">
        <v>32752</v>
      </c>
      <c r="B118" s="11">
        <v>396894.60490651918</v>
      </c>
      <c r="C118" s="11">
        <v>-31809.520699501038</v>
      </c>
      <c r="D118" s="11">
        <f t="shared" si="5"/>
        <v>365085.08420701814</v>
      </c>
      <c r="E118" s="11">
        <v>-29942.575873501661</v>
      </c>
      <c r="F118" s="11">
        <f t="shared" si="6"/>
        <v>335142.50833351648</v>
      </c>
      <c r="G118" s="11">
        <v>886.18125868158927</v>
      </c>
      <c r="H118" s="11">
        <f t="shared" si="7"/>
        <v>336028.68959219806</v>
      </c>
      <c r="I118" s="11">
        <f t="shared" si="8"/>
        <v>365971.26546569972</v>
      </c>
      <c r="J118" s="11">
        <f t="shared" si="9"/>
        <v>-29056.39461482007</v>
      </c>
    </row>
    <row r="119" spans="1:10" ht="18.75" customHeight="1">
      <c r="A119" s="16">
        <v>32782</v>
      </c>
      <c r="B119" s="11">
        <v>398180.46078804519</v>
      </c>
      <c r="C119" s="11">
        <v>-32389.456296443939</v>
      </c>
      <c r="D119" s="11">
        <f t="shared" si="5"/>
        <v>365791.00449160126</v>
      </c>
      <c r="E119" s="11">
        <v>-31807.738034068618</v>
      </c>
      <c r="F119" s="11">
        <f t="shared" si="6"/>
        <v>333983.26645753265</v>
      </c>
      <c r="G119" s="11">
        <v>5452.475970107208</v>
      </c>
      <c r="H119" s="11">
        <f t="shared" si="7"/>
        <v>339435.74242763984</v>
      </c>
      <c r="I119" s="11">
        <f t="shared" si="8"/>
        <v>371243.48046170844</v>
      </c>
      <c r="J119" s="11">
        <f t="shared" si="9"/>
        <v>-26355.262063961411</v>
      </c>
    </row>
    <row r="120" spans="1:10" ht="18.75" customHeight="1">
      <c r="A120" s="16">
        <v>32813</v>
      </c>
      <c r="B120" s="11">
        <v>399513.55520469305</v>
      </c>
      <c r="C120" s="11">
        <v>-32969.513488531113</v>
      </c>
      <c r="D120" s="11">
        <f t="shared" si="5"/>
        <v>366544.04171616194</v>
      </c>
      <c r="E120" s="11">
        <v>-19849.338384994844</v>
      </c>
      <c r="F120" s="11">
        <f t="shared" si="6"/>
        <v>346694.70333116711</v>
      </c>
      <c r="G120" s="11">
        <v>4341.6708641173</v>
      </c>
      <c r="H120" s="11">
        <f t="shared" si="7"/>
        <v>351036.37419528438</v>
      </c>
      <c r="I120" s="11">
        <f t="shared" si="8"/>
        <v>370885.71258027921</v>
      </c>
      <c r="J120" s="11">
        <f t="shared" si="9"/>
        <v>-15507.667520877545</v>
      </c>
    </row>
    <row r="121" spans="1:10" ht="18.75" customHeight="1">
      <c r="A121" s="16">
        <v>32843</v>
      </c>
      <c r="B121" s="11">
        <v>400807.89593988803</v>
      </c>
      <c r="C121" s="11">
        <v>-33511.860057592392</v>
      </c>
      <c r="D121" s="11">
        <f t="shared" si="5"/>
        <v>367296.03588229563</v>
      </c>
      <c r="E121" s="11">
        <v>-8556.4728300846164</v>
      </c>
      <c r="F121" s="11">
        <f t="shared" si="6"/>
        <v>358739.56305221102</v>
      </c>
      <c r="G121" s="11">
        <v>-538.08337562217753</v>
      </c>
      <c r="H121" s="11">
        <f t="shared" si="7"/>
        <v>358201.47967658885</v>
      </c>
      <c r="I121" s="11">
        <f t="shared" si="8"/>
        <v>366757.95250667346</v>
      </c>
      <c r="J121" s="11">
        <f t="shared" si="9"/>
        <v>-9094.5562057067946</v>
      </c>
    </row>
    <row r="122" spans="1:10" ht="18.75" customHeight="1">
      <c r="A122" s="16">
        <v>32874</v>
      </c>
      <c r="B122" s="11">
        <v>402149.78691858734</v>
      </c>
      <c r="C122" s="11">
        <v>-34052.236042499542</v>
      </c>
      <c r="D122" s="11">
        <f t="shared" si="5"/>
        <v>368097.5508760878</v>
      </c>
      <c r="E122" s="11">
        <v>588.98337502532581</v>
      </c>
      <c r="F122" s="11">
        <f t="shared" si="6"/>
        <v>368686.53425111313</v>
      </c>
      <c r="G122" s="11">
        <v>3622.39338244275</v>
      </c>
      <c r="H122" s="11">
        <f t="shared" si="7"/>
        <v>372308.9276335559</v>
      </c>
      <c r="I122" s="11">
        <f t="shared" si="8"/>
        <v>371719.94425853057</v>
      </c>
      <c r="J122" s="11">
        <f t="shared" si="9"/>
        <v>4211.376757468076</v>
      </c>
    </row>
    <row r="123" spans="1:10" ht="18.75" customHeight="1">
      <c r="A123" s="16">
        <v>32905</v>
      </c>
      <c r="B123" s="11">
        <v>403496.17050189094</v>
      </c>
      <c r="C123" s="11">
        <v>-34571.822657346725</v>
      </c>
      <c r="D123" s="11">
        <f t="shared" si="5"/>
        <v>368924.34784454422</v>
      </c>
      <c r="E123" s="11">
        <v>7225.4655458402231</v>
      </c>
      <c r="F123" s="11">
        <f t="shared" si="6"/>
        <v>376149.81339038443</v>
      </c>
      <c r="G123" s="11">
        <v>3586.6235348762511</v>
      </c>
      <c r="H123" s="11">
        <f t="shared" si="7"/>
        <v>379736.4369252607</v>
      </c>
      <c r="I123" s="11">
        <f t="shared" si="8"/>
        <v>372510.97137942049</v>
      </c>
      <c r="J123" s="11">
        <f t="shared" si="9"/>
        <v>10812.089080716474</v>
      </c>
    </row>
    <row r="124" spans="1:10" ht="18.75" customHeight="1">
      <c r="A124" s="16">
        <v>32933</v>
      </c>
      <c r="B124" s="11">
        <v>404716.13289929205</v>
      </c>
      <c r="C124" s="11">
        <v>-35022.920747041702</v>
      </c>
      <c r="D124" s="11">
        <f t="shared" si="5"/>
        <v>369693.21215225034</v>
      </c>
      <c r="E124" s="11">
        <v>14702.969673403668</v>
      </c>
      <c r="F124" s="11">
        <f t="shared" si="6"/>
        <v>384396.181825654</v>
      </c>
      <c r="G124" s="11">
        <v>726.60059313201782</v>
      </c>
      <c r="H124" s="11">
        <f t="shared" si="7"/>
        <v>385122.78241878602</v>
      </c>
      <c r="I124" s="11">
        <f t="shared" si="8"/>
        <v>370419.81274538237</v>
      </c>
      <c r="J124" s="11">
        <f t="shared" si="9"/>
        <v>15429.570266535686</v>
      </c>
    </row>
    <row r="125" spans="1:10" ht="18.75" customHeight="1">
      <c r="A125" s="16">
        <v>32964</v>
      </c>
      <c r="B125" s="11">
        <v>406071.10852021415</v>
      </c>
      <c r="C125" s="11">
        <v>-35501.831408262253</v>
      </c>
      <c r="D125" s="11">
        <f t="shared" si="5"/>
        <v>370569.2771119519</v>
      </c>
      <c r="E125" s="11">
        <v>26366.176148156963</v>
      </c>
      <c r="F125" s="11">
        <f t="shared" si="6"/>
        <v>396935.45326010889</v>
      </c>
      <c r="G125" s="11">
        <v>-2895.6069074057982</v>
      </c>
      <c r="H125" s="11">
        <f t="shared" si="7"/>
        <v>394039.84635270311</v>
      </c>
      <c r="I125" s="11">
        <f t="shared" si="8"/>
        <v>367673.67020454613</v>
      </c>
      <c r="J125" s="11">
        <f t="shared" si="9"/>
        <v>23470.569240751163</v>
      </c>
    </row>
    <row r="126" spans="1:10" ht="18.75" customHeight="1">
      <c r="A126" s="16">
        <v>32994</v>
      </c>
      <c r="B126" s="11">
        <v>407386.69436278695</v>
      </c>
      <c r="C126" s="11">
        <v>-35944.413989305496</v>
      </c>
      <c r="D126" s="11">
        <f t="shared" si="5"/>
        <v>371442.28037348145</v>
      </c>
      <c r="E126" s="11">
        <v>30760.891800879039</v>
      </c>
      <c r="F126" s="11">
        <f t="shared" si="6"/>
        <v>402203.17217436049</v>
      </c>
      <c r="G126" s="11">
        <v>9038.4437053617821</v>
      </c>
      <c r="H126" s="11">
        <f t="shared" si="7"/>
        <v>411241.61587972229</v>
      </c>
      <c r="I126" s="11">
        <f t="shared" si="8"/>
        <v>380480.72407884325</v>
      </c>
      <c r="J126" s="11">
        <f t="shared" si="9"/>
        <v>39799.335506240823</v>
      </c>
    </row>
    <row r="127" spans="1:10" ht="18.75" customHeight="1">
      <c r="A127" s="16">
        <v>33025</v>
      </c>
      <c r="B127" s="11">
        <v>408750.61093116173</v>
      </c>
      <c r="C127" s="11">
        <v>-36379.81233716011</v>
      </c>
      <c r="D127" s="11">
        <f t="shared" si="5"/>
        <v>372370.79859400162</v>
      </c>
      <c r="E127" s="11">
        <v>24135.461905402834</v>
      </c>
      <c r="F127" s="11">
        <f t="shared" si="6"/>
        <v>396506.26049940445</v>
      </c>
      <c r="G127" s="11">
        <v>2701.3048062690309</v>
      </c>
      <c r="H127" s="11">
        <f t="shared" si="7"/>
        <v>399207.56530567346</v>
      </c>
      <c r="I127" s="11">
        <f t="shared" si="8"/>
        <v>375072.10340027063</v>
      </c>
      <c r="J127" s="11">
        <f t="shared" si="9"/>
        <v>26836.766711671866</v>
      </c>
    </row>
    <row r="128" spans="1:10" ht="18.75" customHeight="1">
      <c r="A128" s="16">
        <v>33055</v>
      </c>
      <c r="B128" s="11">
        <v>410074.87780364038</v>
      </c>
      <c r="C128" s="11">
        <v>-36779.600628137589</v>
      </c>
      <c r="D128" s="11">
        <f t="shared" si="5"/>
        <v>373295.27717550279</v>
      </c>
      <c r="E128" s="11">
        <v>9035.5089355065847</v>
      </c>
      <c r="F128" s="11">
        <f t="shared" si="6"/>
        <v>382330.78611100937</v>
      </c>
      <c r="G128" s="11">
        <v>67.923976144924197</v>
      </c>
      <c r="H128" s="11">
        <f t="shared" si="7"/>
        <v>382398.71008715429</v>
      </c>
      <c r="I128" s="11">
        <f t="shared" si="8"/>
        <v>373363.20115164772</v>
      </c>
      <c r="J128" s="11">
        <f t="shared" si="9"/>
        <v>9103.4329116515091</v>
      </c>
    </row>
    <row r="129" spans="1:10" ht="18.75" customHeight="1">
      <c r="A129" s="16">
        <v>33086</v>
      </c>
      <c r="B129" s="11">
        <v>411447.79431723739</v>
      </c>
      <c r="C129" s="11">
        <v>-37170.091868638992</v>
      </c>
      <c r="D129" s="11">
        <f t="shared" si="5"/>
        <v>374277.7024485984</v>
      </c>
      <c r="E129" s="11">
        <v>-11512.115043864824</v>
      </c>
      <c r="F129" s="11">
        <f t="shared" si="6"/>
        <v>362765.58740473358</v>
      </c>
      <c r="G129" s="11">
        <v>-278.05266346445705</v>
      </c>
      <c r="H129" s="11">
        <f t="shared" si="7"/>
        <v>362487.53474126913</v>
      </c>
      <c r="I129" s="11">
        <f t="shared" si="8"/>
        <v>373999.64978513395</v>
      </c>
      <c r="J129" s="11">
        <f t="shared" si="9"/>
        <v>-11790.167707329281</v>
      </c>
    </row>
    <row r="130" spans="1:10" ht="18.75" customHeight="1">
      <c r="A130" s="16">
        <v>33117</v>
      </c>
      <c r="B130" s="11">
        <v>412825.30730785755</v>
      </c>
      <c r="C130" s="11">
        <v>-37537.255125761032</v>
      </c>
      <c r="D130" s="11">
        <f t="shared" si="5"/>
        <v>375288.05218209652</v>
      </c>
      <c r="E130" s="11">
        <v>-29942.575873501661</v>
      </c>
      <c r="F130" s="11">
        <f t="shared" si="6"/>
        <v>345345.47630859487</v>
      </c>
      <c r="G130" s="11">
        <v>-10945.419011441225</v>
      </c>
      <c r="H130" s="11">
        <f t="shared" si="7"/>
        <v>334400.05729715363</v>
      </c>
      <c r="I130" s="11">
        <f t="shared" si="8"/>
        <v>364342.63317065529</v>
      </c>
      <c r="J130" s="11">
        <f t="shared" si="9"/>
        <v>-40887.994884942884</v>
      </c>
    </row>
    <row r="131" spans="1:10" ht="18.75" customHeight="1">
      <c r="A131" s="16">
        <v>33147</v>
      </c>
      <c r="B131" s="11">
        <v>414162.77534819447</v>
      </c>
      <c r="C131" s="11">
        <v>-37870.055954217911</v>
      </c>
      <c r="D131" s="11">
        <f t="shared" ref="D131:D194" si="10">B131+C131</f>
        <v>376292.71939397656</v>
      </c>
      <c r="E131" s="11">
        <v>-31807.738034068618</v>
      </c>
      <c r="F131" s="11">
        <f t="shared" ref="F131:F194" si="11">D131+E131</f>
        <v>344484.98135990795</v>
      </c>
      <c r="G131" s="11">
        <v>646.63596411609421</v>
      </c>
      <c r="H131" s="11">
        <f t="shared" ref="H131:H194" si="12">F131+G131</f>
        <v>345131.61732402403</v>
      </c>
      <c r="I131" s="11">
        <f t="shared" ref="I131:I194" si="13">D131+G131</f>
        <v>376939.35535809264</v>
      </c>
      <c r="J131" s="11">
        <f t="shared" ref="J131:J194" si="14">E131+G131</f>
        <v>-31161.102069952525</v>
      </c>
    </row>
    <row r="132" spans="1:10" ht="18.75" customHeight="1">
      <c r="A132" s="16">
        <v>33178</v>
      </c>
      <c r="B132" s="11">
        <v>415549.37800144276</v>
      </c>
      <c r="C132" s="11">
        <v>-38190.37487912178</v>
      </c>
      <c r="D132" s="11">
        <f t="shared" si="10"/>
        <v>377359.00312232098</v>
      </c>
      <c r="E132" s="11">
        <v>-19849.338384994844</v>
      </c>
      <c r="F132" s="11">
        <f t="shared" si="11"/>
        <v>357509.66473732615</v>
      </c>
      <c r="G132" s="11">
        <v>6726.8453364502957</v>
      </c>
      <c r="H132" s="11">
        <f t="shared" si="12"/>
        <v>364236.51007377647</v>
      </c>
      <c r="I132" s="11">
        <f t="shared" si="13"/>
        <v>384085.8484587713</v>
      </c>
      <c r="J132" s="11">
        <f t="shared" si="14"/>
        <v>-13122.493048544547</v>
      </c>
    </row>
    <row r="133" spans="1:10" ht="18.75" customHeight="1">
      <c r="A133" s="16">
        <v>33208</v>
      </c>
      <c r="B133" s="11">
        <v>416895.67146364163</v>
      </c>
      <c r="C133" s="11">
        <v>-38477.263652086258</v>
      </c>
      <c r="D133" s="11">
        <f t="shared" si="10"/>
        <v>378418.40781155537</v>
      </c>
      <c r="E133" s="11">
        <v>-8556.4728300846164</v>
      </c>
      <c r="F133" s="11">
        <f t="shared" si="11"/>
        <v>369861.93498147075</v>
      </c>
      <c r="G133" s="11">
        <v>9689.6895773113465</v>
      </c>
      <c r="H133" s="11">
        <f t="shared" si="12"/>
        <v>379551.62455878209</v>
      </c>
      <c r="I133" s="11">
        <f t="shared" si="13"/>
        <v>388108.09738886671</v>
      </c>
      <c r="J133" s="11">
        <f t="shared" si="14"/>
        <v>1133.2167472267301</v>
      </c>
    </row>
    <row r="134" spans="1:10" ht="18.75" customHeight="1">
      <c r="A134" s="16">
        <v>33239</v>
      </c>
      <c r="B134" s="11">
        <v>418291.42375860084</v>
      </c>
      <c r="C134" s="11">
        <v>-38749.564109563828</v>
      </c>
      <c r="D134" s="11">
        <f t="shared" si="10"/>
        <v>379541.85964903701</v>
      </c>
      <c r="E134" s="11">
        <v>588.98337502532581</v>
      </c>
      <c r="F134" s="11">
        <f t="shared" si="11"/>
        <v>380130.84302406234</v>
      </c>
      <c r="G134" s="11">
        <v>-436.22179585768555</v>
      </c>
      <c r="H134" s="11">
        <f t="shared" si="12"/>
        <v>379694.62122820463</v>
      </c>
      <c r="I134" s="11">
        <f t="shared" si="13"/>
        <v>379105.6378531793</v>
      </c>
      <c r="J134" s="11">
        <f t="shared" si="14"/>
        <v>152.76157916764026</v>
      </c>
    </row>
    <row r="135" spans="1:10" ht="18.75" customHeight="1">
      <c r="A135" s="16">
        <v>33270</v>
      </c>
      <c r="B135" s="11">
        <v>419691.84898398974</v>
      </c>
      <c r="C135" s="11">
        <v>-38997.039960622787</v>
      </c>
      <c r="D135" s="11">
        <f t="shared" si="10"/>
        <v>380694.80902336695</v>
      </c>
      <c r="E135" s="11">
        <v>7225.4655458402231</v>
      </c>
      <c r="F135" s="11">
        <f t="shared" si="11"/>
        <v>387920.27456920716</v>
      </c>
      <c r="G135" s="11">
        <v>5236.8215013494364</v>
      </c>
      <c r="H135" s="11">
        <f t="shared" si="12"/>
        <v>393157.09607055661</v>
      </c>
      <c r="I135" s="11">
        <f t="shared" si="13"/>
        <v>385931.6305247164</v>
      </c>
      <c r="J135" s="11">
        <f t="shared" si="14"/>
        <v>12462.28704718966</v>
      </c>
    </row>
    <row r="136" spans="1:10" ht="18.75" customHeight="1">
      <c r="A136" s="16">
        <v>33298</v>
      </c>
      <c r="B136" s="11">
        <v>420960.77868317062</v>
      </c>
      <c r="C136" s="11">
        <v>-39199.005299091339</v>
      </c>
      <c r="D136" s="11">
        <f t="shared" si="10"/>
        <v>381761.77338407928</v>
      </c>
      <c r="E136" s="11">
        <v>14702.969673403668</v>
      </c>
      <c r="F136" s="11">
        <f t="shared" si="11"/>
        <v>396464.74305748293</v>
      </c>
      <c r="G136" s="11">
        <v>2352.5542184496235</v>
      </c>
      <c r="H136" s="11">
        <f t="shared" si="12"/>
        <v>398817.29727593256</v>
      </c>
      <c r="I136" s="11">
        <f t="shared" si="13"/>
        <v>384114.32760252891</v>
      </c>
      <c r="J136" s="11">
        <f t="shared" si="14"/>
        <v>17055.523891853292</v>
      </c>
    </row>
    <row r="137" spans="1:10" ht="18.75" customHeight="1">
      <c r="A137" s="16">
        <v>33329</v>
      </c>
      <c r="B137" s="11">
        <v>422370.14081656089</v>
      </c>
      <c r="C137" s="11">
        <v>-39398.500829458237</v>
      </c>
      <c r="D137" s="11">
        <f t="shared" si="10"/>
        <v>382971.63998710265</v>
      </c>
      <c r="E137" s="11">
        <v>26366.176148156963</v>
      </c>
      <c r="F137" s="11">
        <f t="shared" si="11"/>
        <v>409337.81613525964</v>
      </c>
      <c r="G137" s="11">
        <v>3875.8228379368238</v>
      </c>
      <c r="H137" s="11">
        <f t="shared" si="12"/>
        <v>413213.63897319644</v>
      </c>
      <c r="I137" s="11">
        <f t="shared" si="13"/>
        <v>386847.46282503946</v>
      </c>
      <c r="J137" s="11">
        <f t="shared" si="14"/>
        <v>30241.998986093786</v>
      </c>
    </row>
    <row r="138" spans="1:10" ht="18.75" customHeight="1">
      <c r="A138" s="16">
        <v>33359</v>
      </c>
      <c r="B138" s="11">
        <v>423738.53213011345</v>
      </c>
      <c r="C138" s="11">
        <v>-39567.214000940323</v>
      </c>
      <c r="D138" s="11">
        <f t="shared" si="10"/>
        <v>384171.31812917313</v>
      </c>
      <c r="E138" s="11">
        <v>30760.891800879039</v>
      </c>
      <c r="F138" s="11">
        <f t="shared" si="11"/>
        <v>414932.20993005217</v>
      </c>
      <c r="G138" s="11">
        <v>-8794.5675324026561</v>
      </c>
      <c r="H138" s="11">
        <f t="shared" si="12"/>
        <v>406137.64239764953</v>
      </c>
      <c r="I138" s="11">
        <f t="shared" si="13"/>
        <v>375376.75059677049</v>
      </c>
      <c r="J138" s="11">
        <f t="shared" si="14"/>
        <v>21966.324268476383</v>
      </c>
    </row>
    <row r="139" spans="1:10" ht="18.75" customHeight="1">
      <c r="A139" s="16">
        <v>33390</v>
      </c>
      <c r="B139" s="11">
        <v>425157.19408600964</v>
      </c>
      <c r="C139" s="11">
        <v>-39716.163017511368</v>
      </c>
      <c r="D139" s="11">
        <f t="shared" si="10"/>
        <v>385441.03106849827</v>
      </c>
      <c r="E139" s="11">
        <v>24135.461905402834</v>
      </c>
      <c r="F139" s="11">
        <f t="shared" si="11"/>
        <v>409576.4929739011</v>
      </c>
      <c r="G139" s="11">
        <v>-1010.541954961174</v>
      </c>
      <c r="H139" s="11">
        <f t="shared" si="12"/>
        <v>408565.9510189399</v>
      </c>
      <c r="I139" s="11">
        <f t="shared" si="13"/>
        <v>384430.48911353707</v>
      </c>
      <c r="J139" s="11">
        <f t="shared" si="14"/>
        <v>23124.919950441661</v>
      </c>
    </row>
    <row r="140" spans="1:10" ht="18.75" customHeight="1">
      <c r="A140" s="16">
        <v>33420</v>
      </c>
      <c r="B140" s="11">
        <v>426534.61487185699</v>
      </c>
      <c r="C140" s="11">
        <v>-39835.529319047928</v>
      </c>
      <c r="D140" s="11">
        <f t="shared" si="10"/>
        <v>386699.08555280906</v>
      </c>
      <c r="E140" s="11">
        <v>9035.5089355065847</v>
      </c>
      <c r="F140" s="11">
        <f t="shared" si="11"/>
        <v>395734.59448831563</v>
      </c>
      <c r="G140" s="11">
        <v>3162.9790904002061</v>
      </c>
      <c r="H140" s="11">
        <f t="shared" si="12"/>
        <v>398897.57357871585</v>
      </c>
      <c r="I140" s="11">
        <f t="shared" si="13"/>
        <v>389862.06464320928</v>
      </c>
      <c r="J140" s="11">
        <f t="shared" si="14"/>
        <v>12198.48802590679</v>
      </c>
    </row>
    <row r="141" spans="1:10" ht="18.75" customHeight="1">
      <c r="A141" s="16">
        <v>33451</v>
      </c>
      <c r="B141" s="11">
        <v>427962.63801610505</v>
      </c>
      <c r="C141" s="11">
        <v>-39933.063431024551</v>
      </c>
      <c r="D141" s="11">
        <f t="shared" si="10"/>
        <v>388029.5745850805</v>
      </c>
      <c r="E141" s="11">
        <v>-11512.115043864824</v>
      </c>
      <c r="F141" s="11">
        <f t="shared" si="11"/>
        <v>376517.45954121568</v>
      </c>
      <c r="G141" s="11">
        <v>-6123.3999085762398</v>
      </c>
      <c r="H141" s="11">
        <f t="shared" si="12"/>
        <v>370394.05963263946</v>
      </c>
      <c r="I141" s="11">
        <f t="shared" si="13"/>
        <v>381906.17467650428</v>
      </c>
      <c r="J141" s="11">
        <f t="shared" si="14"/>
        <v>-17635.514952441063</v>
      </c>
    </row>
    <row r="142" spans="1:10" ht="18.75" customHeight="1">
      <c r="A142" s="16">
        <v>33482</v>
      </c>
      <c r="B142" s="11">
        <v>429395.44213247061</v>
      </c>
      <c r="C142" s="11">
        <v>-40004.164051294327</v>
      </c>
      <c r="D142" s="11">
        <f t="shared" si="10"/>
        <v>389391.27808117628</v>
      </c>
      <c r="E142" s="11">
        <v>-29942.575873501661</v>
      </c>
      <c r="F142" s="11">
        <f t="shared" si="11"/>
        <v>359448.70220767462</v>
      </c>
      <c r="G142" s="11">
        <v>-5681.7653772489757</v>
      </c>
      <c r="H142" s="11">
        <f t="shared" si="12"/>
        <v>353766.93683042563</v>
      </c>
      <c r="I142" s="11">
        <f t="shared" si="13"/>
        <v>383709.51270392729</v>
      </c>
      <c r="J142" s="11">
        <f t="shared" si="14"/>
        <v>-35624.341250750636</v>
      </c>
    </row>
    <row r="143" spans="1:10" ht="18.75" customHeight="1">
      <c r="A143" s="16">
        <v>33512</v>
      </c>
      <c r="B143" s="11">
        <v>430786.59395953204</v>
      </c>
      <c r="C143" s="11">
        <v>-40047.623843431473</v>
      </c>
      <c r="D143" s="11">
        <f t="shared" si="10"/>
        <v>390738.97011610057</v>
      </c>
      <c r="E143" s="11">
        <v>-31807.738034068618</v>
      </c>
      <c r="F143" s="11">
        <f t="shared" si="11"/>
        <v>358931.23208203196</v>
      </c>
      <c r="G143" s="11">
        <v>11219.083483824114</v>
      </c>
      <c r="H143" s="11">
        <f t="shared" si="12"/>
        <v>370150.31556585606</v>
      </c>
      <c r="I143" s="11">
        <f t="shared" si="13"/>
        <v>401958.05359992466</v>
      </c>
      <c r="J143" s="11">
        <f t="shared" si="14"/>
        <v>-20588.654550244504</v>
      </c>
    </row>
    <row r="144" spans="1:10" ht="18.75" customHeight="1">
      <c r="A144" s="16">
        <v>33543</v>
      </c>
      <c r="B144" s="11">
        <v>432228.85258276435</v>
      </c>
      <c r="C144" s="11">
        <v>-40066.166251897812</v>
      </c>
      <c r="D144" s="11">
        <f t="shared" si="10"/>
        <v>392162.68633086653</v>
      </c>
      <c r="E144" s="11">
        <v>-19849.338384994844</v>
      </c>
      <c r="F144" s="11">
        <f t="shared" si="11"/>
        <v>372313.3479458717</v>
      </c>
      <c r="G144" s="11">
        <v>6660.0839515149964</v>
      </c>
      <c r="H144" s="11">
        <f t="shared" si="12"/>
        <v>378973.43189738668</v>
      </c>
      <c r="I144" s="11">
        <f t="shared" si="13"/>
        <v>398822.77028238151</v>
      </c>
      <c r="J144" s="11">
        <f t="shared" si="14"/>
        <v>-13189.254433479848</v>
      </c>
    </row>
    <row r="145" spans="1:10" ht="18.75" customHeight="1">
      <c r="A145" s="16">
        <v>33573</v>
      </c>
      <c r="B145" s="11">
        <v>433629.18406973436</v>
      </c>
      <c r="C145" s="11">
        <v>-40058.439138650894</v>
      </c>
      <c r="D145" s="11">
        <f t="shared" si="10"/>
        <v>393570.74493108346</v>
      </c>
      <c r="E145" s="11">
        <v>-8556.4728300846164</v>
      </c>
      <c r="F145" s="11">
        <f t="shared" si="11"/>
        <v>385014.27210099885</v>
      </c>
      <c r="G145" s="11">
        <v>1626.1448471749377</v>
      </c>
      <c r="H145" s="11">
        <f t="shared" si="12"/>
        <v>386640.41694817378</v>
      </c>
      <c r="I145" s="11">
        <f t="shared" si="13"/>
        <v>395196.8897782584</v>
      </c>
      <c r="J145" s="11">
        <f t="shared" si="14"/>
        <v>-6930.3279829096791</v>
      </c>
    </row>
    <row r="146" spans="1:10" ht="18.75" customHeight="1">
      <c r="A146" s="16">
        <v>33604</v>
      </c>
      <c r="B146" s="11">
        <v>435080.95958638034</v>
      </c>
      <c r="C146" s="11">
        <v>-40023.775601148605</v>
      </c>
      <c r="D146" s="11">
        <f t="shared" si="10"/>
        <v>395057.18398523174</v>
      </c>
      <c r="E146" s="11">
        <v>588.98337502532581</v>
      </c>
      <c r="F146" s="11">
        <f t="shared" si="11"/>
        <v>395646.16736025707</v>
      </c>
      <c r="G146" s="11">
        <v>-2152.2779199863239</v>
      </c>
      <c r="H146" s="11">
        <f t="shared" si="12"/>
        <v>393493.88944027072</v>
      </c>
      <c r="I146" s="11">
        <f t="shared" si="13"/>
        <v>392904.90606524539</v>
      </c>
      <c r="J146" s="11">
        <f t="shared" si="14"/>
        <v>-1563.2945449609981</v>
      </c>
    </row>
    <row r="147" spans="1:10" ht="18.75" customHeight="1">
      <c r="A147" s="16">
        <v>33635</v>
      </c>
      <c r="B147" s="11">
        <v>436537.59559726471</v>
      </c>
      <c r="C147" s="11">
        <v>-39961.852932214737</v>
      </c>
      <c r="D147" s="11">
        <f t="shared" si="10"/>
        <v>396575.74266504997</v>
      </c>
      <c r="E147" s="11">
        <v>7225.4655458402231</v>
      </c>
      <c r="F147" s="11">
        <f t="shared" si="11"/>
        <v>403801.20821089018</v>
      </c>
      <c r="G147" s="11">
        <v>-8996.6506187994692</v>
      </c>
      <c r="H147" s="11">
        <f t="shared" si="12"/>
        <v>394804.55759209068</v>
      </c>
      <c r="I147" s="11">
        <f t="shared" si="13"/>
        <v>387579.09204625047</v>
      </c>
      <c r="J147" s="11">
        <f t="shared" si="14"/>
        <v>-1771.1850729592461</v>
      </c>
    </row>
    <row r="148" spans="1:10" ht="18.75" customHeight="1">
      <c r="A148" s="16">
        <v>33664</v>
      </c>
      <c r="B148" s="11">
        <v>437904.66974489694</v>
      </c>
      <c r="C148" s="11">
        <v>-39879.129394292831</v>
      </c>
      <c r="D148" s="11">
        <f t="shared" si="10"/>
        <v>398025.5403506041</v>
      </c>
      <c r="E148" s="11">
        <v>14702.969673403668</v>
      </c>
      <c r="F148" s="11">
        <f t="shared" si="11"/>
        <v>412728.51002400776</v>
      </c>
      <c r="G148" s="11">
        <v>-270.29768635234223</v>
      </c>
      <c r="H148" s="11">
        <f t="shared" si="12"/>
        <v>412458.21233765542</v>
      </c>
      <c r="I148" s="11">
        <f t="shared" si="13"/>
        <v>397755.24266425177</v>
      </c>
      <c r="J148" s="11">
        <f t="shared" si="14"/>
        <v>14432.671987051326</v>
      </c>
    </row>
    <row r="149" spans="1:10" ht="18.75" customHeight="1">
      <c r="A149" s="16">
        <v>33695</v>
      </c>
      <c r="B149" s="11">
        <v>439370.75943976943</v>
      </c>
      <c r="C149" s="11">
        <v>-39764.079464673996</v>
      </c>
      <c r="D149" s="11">
        <f t="shared" si="10"/>
        <v>399606.67997509544</v>
      </c>
      <c r="E149" s="11">
        <v>26366.176148156963</v>
      </c>
      <c r="F149" s="11">
        <f t="shared" si="11"/>
        <v>425972.85612325242</v>
      </c>
      <c r="G149" s="11">
        <v>-2488.622122939521</v>
      </c>
      <c r="H149" s="11">
        <f t="shared" si="12"/>
        <v>423484.23400031292</v>
      </c>
      <c r="I149" s="11">
        <f t="shared" si="13"/>
        <v>397118.05785215594</v>
      </c>
      <c r="J149" s="11">
        <f t="shared" si="14"/>
        <v>23877.554025217443</v>
      </c>
    </row>
    <row r="150" spans="1:10" ht="18.75" customHeight="1">
      <c r="A150" s="16">
        <v>33725</v>
      </c>
      <c r="B150" s="11">
        <v>440794.22921792191</v>
      </c>
      <c r="C150" s="11">
        <v>-39626.44699048996</v>
      </c>
      <c r="D150" s="11">
        <f t="shared" si="10"/>
        <v>401167.78222743195</v>
      </c>
      <c r="E150" s="11">
        <v>30760.891800879039</v>
      </c>
      <c r="F150" s="11">
        <f t="shared" si="11"/>
        <v>431928.67402831098</v>
      </c>
      <c r="G150" s="11">
        <v>-3206.6565667108744</v>
      </c>
      <c r="H150" s="11">
        <f t="shared" si="12"/>
        <v>428722.01746160013</v>
      </c>
      <c r="I150" s="11">
        <f t="shared" si="13"/>
        <v>397961.1256607211</v>
      </c>
      <c r="J150" s="11">
        <f t="shared" si="14"/>
        <v>27554.235234168165</v>
      </c>
    </row>
    <row r="151" spans="1:10" ht="18.75" customHeight="1">
      <c r="A151" s="16">
        <v>33756</v>
      </c>
      <c r="B151" s="11">
        <v>442269.99305801175</v>
      </c>
      <c r="C151" s="11">
        <v>-39456.959815263748</v>
      </c>
      <c r="D151" s="11">
        <f t="shared" si="10"/>
        <v>402813.033242748</v>
      </c>
      <c r="E151" s="11">
        <v>24135.461905402834</v>
      </c>
      <c r="F151" s="11">
        <f t="shared" si="11"/>
        <v>426948.49514815083</v>
      </c>
      <c r="G151" s="11">
        <v>-3449.4442661119706</v>
      </c>
      <c r="H151" s="11">
        <f t="shared" si="12"/>
        <v>423499.05088203883</v>
      </c>
      <c r="I151" s="11">
        <f t="shared" si="13"/>
        <v>399363.58897663601</v>
      </c>
      <c r="J151" s="11">
        <f t="shared" si="14"/>
        <v>20686.017639290862</v>
      </c>
    </row>
    <row r="152" spans="1:10" ht="18.75" customHeight="1">
      <c r="A152" s="16">
        <v>33786</v>
      </c>
      <c r="B152" s="11">
        <v>443702.85574943095</v>
      </c>
      <c r="C152" s="11">
        <v>-39266.470654249191</v>
      </c>
      <c r="D152" s="11">
        <f t="shared" si="10"/>
        <v>404436.38509518176</v>
      </c>
      <c r="E152" s="11">
        <v>9035.5089355065847</v>
      </c>
      <c r="F152" s="11">
        <f t="shared" si="11"/>
        <v>413471.89403068833</v>
      </c>
      <c r="G152" s="11">
        <v>10101.93485040308</v>
      </c>
      <c r="H152" s="11">
        <f t="shared" si="12"/>
        <v>423573.82888109144</v>
      </c>
      <c r="I152" s="11">
        <f t="shared" si="13"/>
        <v>414538.31994558487</v>
      </c>
      <c r="J152" s="11">
        <f t="shared" si="14"/>
        <v>19137.443785909665</v>
      </c>
    </row>
    <row r="153" spans="1:10" ht="18.75" customHeight="1">
      <c r="A153" s="16">
        <v>33817</v>
      </c>
      <c r="B153" s="11">
        <v>445188.35757058917</v>
      </c>
      <c r="C153" s="11">
        <v>-39042.205685853958</v>
      </c>
      <c r="D153" s="11">
        <f t="shared" si="10"/>
        <v>406146.15188473521</v>
      </c>
      <c r="E153" s="11">
        <v>-11512.115043864824</v>
      </c>
      <c r="F153" s="11">
        <f t="shared" si="11"/>
        <v>394634.03684087039</v>
      </c>
      <c r="G153" s="11">
        <v>3452.6231142819861</v>
      </c>
      <c r="H153" s="11">
        <f t="shared" si="12"/>
        <v>398086.65995515237</v>
      </c>
      <c r="I153" s="11">
        <f t="shared" si="13"/>
        <v>409598.77499901719</v>
      </c>
      <c r="J153" s="11">
        <f t="shared" si="14"/>
        <v>-8059.4919295828377</v>
      </c>
    </row>
    <row r="154" spans="1:10" ht="18.75" customHeight="1">
      <c r="A154" s="16">
        <v>33848</v>
      </c>
      <c r="B154" s="11">
        <v>446678.83280048805</v>
      </c>
      <c r="C154" s="11">
        <v>-38790.000503540039</v>
      </c>
      <c r="D154" s="11">
        <f t="shared" si="10"/>
        <v>407888.83229694801</v>
      </c>
      <c r="E154" s="11">
        <v>-29942.575873501661</v>
      </c>
      <c r="F154" s="11">
        <f t="shared" si="11"/>
        <v>377946.25642344635</v>
      </c>
      <c r="G154" s="11">
        <v>-3121.4481698832974</v>
      </c>
      <c r="H154" s="11">
        <f t="shared" si="12"/>
        <v>374824.80825356307</v>
      </c>
      <c r="I154" s="11">
        <f t="shared" si="13"/>
        <v>404767.38412706472</v>
      </c>
      <c r="J154" s="11">
        <f t="shared" si="14"/>
        <v>-33064.024043384961</v>
      </c>
    </row>
    <row r="155" spans="1:10" ht="18.75" customHeight="1">
      <c r="A155" s="16">
        <v>33878</v>
      </c>
      <c r="B155" s="11">
        <v>448125.97921469784</v>
      </c>
      <c r="C155" s="11">
        <v>-38519.277514219284</v>
      </c>
      <c r="D155" s="11">
        <f t="shared" si="10"/>
        <v>409606.70170047856</v>
      </c>
      <c r="E155" s="11">
        <v>-31807.738034068618</v>
      </c>
      <c r="F155" s="11">
        <f t="shared" si="11"/>
        <v>377798.96366640995</v>
      </c>
      <c r="G155" s="11">
        <v>-1578.0932309334387</v>
      </c>
      <c r="H155" s="11">
        <f t="shared" si="12"/>
        <v>376220.87043547654</v>
      </c>
      <c r="I155" s="11">
        <f t="shared" si="13"/>
        <v>408028.60846954514</v>
      </c>
      <c r="J155" s="11">
        <f t="shared" si="14"/>
        <v>-33385.83126500206</v>
      </c>
    </row>
    <row r="156" spans="1:10" ht="18.75" customHeight="1">
      <c r="A156" s="16">
        <v>33909</v>
      </c>
      <c r="B156" s="11">
        <v>449626.28950029961</v>
      </c>
      <c r="C156" s="11">
        <v>-38211.94732427597</v>
      </c>
      <c r="D156" s="11">
        <f t="shared" si="10"/>
        <v>411414.34217602364</v>
      </c>
      <c r="E156" s="11">
        <v>-19849.338384994844</v>
      </c>
      <c r="F156" s="11">
        <f t="shared" si="11"/>
        <v>391565.00379102881</v>
      </c>
      <c r="G156" s="11">
        <v>5703.3799988035526</v>
      </c>
      <c r="H156" s="11">
        <f t="shared" si="12"/>
        <v>397268.38378983235</v>
      </c>
      <c r="I156" s="11">
        <f t="shared" si="13"/>
        <v>417117.72217482718</v>
      </c>
      <c r="J156" s="11">
        <f t="shared" si="14"/>
        <v>-14145.958386191291</v>
      </c>
    </row>
    <row r="157" spans="1:10" ht="18.75" customHeight="1">
      <c r="A157" s="16">
        <v>33939</v>
      </c>
      <c r="B157" s="11">
        <v>451082.98506052064</v>
      </c>
      <c r="C157" s="11">
        <v>-37887.808842897415</v>
      </c>
      <c r="D157" s="11">
        <f t="shared" si="10"/>
        <v>413195.17621762323</v>
      </c>
      <c r="E157" s="11">
        <v>-8556.4728300846164</v>
      </c>
      <c r="F157" s="11">
        <f t="shared" si="11"/>
        <v>404638.70338753861</v>
      </c>
      <c r="G157" s="11">
        <v>1083.0177807137363</v>
      </c>
      <c r="H157" s="11">
        <f t="shared" si="12"/>
        <v>405721.72116825235</v>
      </c>
      <c r="I157" s="11">
        <f t="shared" si="13"/>
        <v>414278.19399833697</v>
      </c>
      <c r="J157" s="11">
        <f t="shared" si="14"/>
        <v>-7473.4550493708803</v>
      </c>
    </row>
    <row r="158" spans="1:10" ht="18.75" customHeight="1">
      <c r="A158" s="16">
        <v>33970</v>
      </c>
      <c r="B158" s="11">
        <v>452593.19529946335</v>
      </c>
      <c r="C158" s="11">
        <v>-37525.233757734299</v>
      </c>
      <c r="D158" s="11">
        <f t="shared" si="10"/>
        <v>415067.96154172905</v>
      </c>
      <c r="E158" s="11">
        <v>588.98337502532581</v>
      </c>
      <c r="F158" s="11">
        <f t="shared" si="11"/>
        <v>415656.94491675438</v>
      </c>
      <c r="G158" s="11">
        <v>2038.7440936754317</v>
      </c>
      <c r="H158" s="11">
        <f t="shared" si="12"/>
        <v>417695.68901042984</v>
      </c>
      <c r="I158" s="11">
        <f t="shared" si="13"/>
        <v>417106.70563540451</v>
      </c>
      <c r="J158" s="11">
        <f t="shared" si="14"/>
        <v>2627.7274687007575</v>
      </c>
    </row>
    <row r="159" spans="1:10" ht="18.75" customHeight="1">
      <c r="A159" s="16">
        <v>34001</v>
      </c>
      <c r="B159" s="11">
        <v>454108.46167007514</v>
      </c>
      <c r="C159" s="11">
        <v>-37134.565639257431</v>
      </c>
      <c r="D159" s="11">
        <f t="shared" si="10"/>
        <v>416973.8960308177</v>
      </c>
      <c r="E159" s="11">
        <v>7225.4655458402231</v>
      </c>
      <c r="F159" s="11">
        <f t="shared" si="11"/>
        <v>424199.36157665792</v>
      </c>
      <c r="G159" s="11">
        <v>772.38237033705502</v>
      </c>
      <c r="H159" s="11">
        <f t="shared" si="12"/>
        <v>424971.74394699495</v>
      </c>
      <c r="I159" s="11">
        <f t="shared" si="13"/>
        <v>417746.27840115473</v>
      </c>
      <c r="J159" s="11">
        <f t="shared" si="14"/>
        <v>7997.8479161772784</v>
      </c>
    </row>
    <row r="160" spans="1:10" ht="18.75" customHeight="1">
      <c r="A160" s="16">
        <v>34029</v>
      </c>
      <c r="B160" s="11">
        <v>455481.44929196441</v>
      </c>
      <c r="C160" s="11">
        <v>-36757.560067415237</v>
      </c>
      <c r="D160" s="11">
        <f t="shared" si="10"/>
        <v>418723.88922454917</v>
      </c>
      <c r="E160" s="11">
        <v>14702.969673403668</v>
      </c>
      <c r="F160" s="11">
        <f t="shared" si="11"/>
        <v>433426.85889795283</v>
      </c>
      <c r="G160" s="11">
        <v>9877.102099814334</v>
      </c>
      <c r="H160" s="11">
        <f t="shared" si="12"/>
        <v>443303.96099776716</v>
      </c>
      <c r="I160" s="11">
        <f t="shared" si="13"/>
        <v>428600.99132436351</v>
      </c>
      <c r="J160" s="11">
        <f t="shared" si="14"/>
        <v>24580.071773218002</v>
      </c>
    </row>
    <row r="161" spans="1:10" ht="18.75" customHeight="1">
      <c r="A161" s="16">
        <v>34060</v>
      </c>
      <c r="B161" s="11">
        <v>457006.38543708832</v>
      </c>
      <c r="C161" s="11">
        <v>-36313.443294763565</v>
      </c>
      <c r="D161" s="11">
        <f t="shared" si="10"/>
        <v>420692.94214232475</v>
      </c>
      <c r="E161" s="11">
        <v>26366.176148156963</v>
      </c>
      <c r="F161" s="11">
        <f t="shared" si="11"/>
        <v>447059.11829048174</v>
      </c>
      <c r="G161" s="11">
        <v>6705.6548873095799</v>
      </c>
      <c r="H161" s="11">
        <f t="shared" si="12"/>
        <v>453764.77317779133</v>
      </c>
      <c r="I161" s="11">
        <f t="shared" si="13"/>
        <v>427398.59702963434</v>
      </c>
      <c r="J161" s="11">
        <f t="shared" si="14"/>
        <v>33071.831035466545</v>
      </c>
    </row>
    <row r="162" spans="1:10" ht="18.75" customHeight="1">
      <c r="A162" s="16">
        <v>34090</v>
      </c>
      <c r="B162" s="11">
        <v>458486.99097151641</v>
      </c>
      <c r="C162" s="11">
        <v>-35856.943719625473</v>
      </c>
      <c r="D162" s="11">
        <f t="shared" si="10"/>
        <v>422630.04725189094</v>
      </c>
      <c r="E162" s="11">
        <v>30760.891800879039</v>
      </c>
      <c r="F162" s="11">
        <f t="shared" si="11"/>
        <v>453390.93905276997</v>
      </c>
      <c r="G162" s="11">
        <v>-4237.0596231511645</v>
      </c>
      <c r="H162" s="11">
        <f t="shared" si="12"/>
        <v>449153.87942961883</v>
      </c>
      <c r="I162" s="11">
        <f t="shared" si="13"/>
        <v>418392.98762873979</v>
      </c>
      <c r="J162" s="11">
        <f t="shared" si="14"/>
        <v>26523.832177727876</v>
      </c>
    </row>
    <row r="163" spans="1:10" ht="18.75" customHeight="1">
      <c r="A163" s="16">
        <v>34121</v>
      </c>
      <c r="B163" s="11">
        <v>460021.98956627533</v>
      </c>
      <c r="C163" s="11">
        <v>-35357.663697481155</v>
      </c>
      <c r="D163" s="11">
        <f t="shared" si="10"/>
        <v>424664.32586879417</v>
      </c>
      <c r="E163" s="11">
        <v>24135.461905402834</v>
      </c>
      <c r="F163" s="11">
        <f t="shared" si="11"/>
        <v>448799.787774197</v>
      </c>
      <c r="G163" s="11">
        <v>12379.282197684772</v>
      </c>
      <c r="H163" s="11">
        <f t="shared" si="12"/>
        <v>461179.06997188175</v>
      </c>
      <c r="I163" s="11">
        <f t="shared" si="13"/>
        <v>437043.60806647892</v>
      </c>
      <c r="J163" s="11">
        <f t="shared" si="14"/>
        <v>36514.744103087607</v>
      </c>
    </row>
    <row r="164" spans="1:10" ht="18.75" customHeight="1">
      <c r="A164" s="16">
        <v>34151</v>
      </c>
      <c r="B164" s="11">
        <v>461512.36503019586</v>
      </c>
      <c r="C164" s="11">
        <v>-34847.859562158585</v>
      </c>
      <c r="D164" s="11">
        <f t="shared" si="10"/>
        <v>426664.50546803727</v>
      </c>
      <c r="E164" s="11">
        <v>9035.5089355065847</v>
      </c>
      <c r="F164" s="11">
        <f t="shared" si="11"/>
        <v>435700.01440354384</v>
      </c>
      <c r="G164" s="11">
        <v>-18073.160972793663</v>
      </c>
      <c r="H164" s="11">
        <f t="shared" si="12"/>
        <v>417626.8534307502</v>
      </c>
      <c r="I164" s="11">
        <f t="shared" si="13"/>
        <v>408591.34449524363</v>
      </c>
      <c r="J164" s="11">
        <f t="shared" si="14"/>
        <v>-9037.6520372870782</v>
      </c>
    </row>
    <row r="165" spans="1:10" ht="18.75" customHeight="1">
      <c r="A165" s="16">
        <v>34182</v>
      </c>
      <c r="B165" s="11">
        <v>463057.49247270869</v>
      </c>
      <c r="C165" s="11">
        <v>-34293.6021463871</v>
      </c>
      <c r="D165" s="11">
        <f t="shared" si="10"/>
        <v>428763.89032632159</v>
      </c>
      <c r="E165" s="11">
        <v>-11512.115043864824</v>
      </c>
      <c r="F165" s="11">
        <f t="shared" si="11"/>
        <v>417251.77528245677</v>
      </c>
      <c r="G165" s="11">
        <v>5343.1650108942158</v>
      </c>
      <c r="H165" s="11">
        <f t="shared" si="12"/>
        <v>422594.94029335101</v>
      </c>
      <c r="I165" s="11">
        <f t="shared" si="13"/>
        <v>434107.05533721583</v>
      </c>
      <c r="J165" s="11">
        <f t="shared" si="14"/>
        <v>-6168.9500329706079</v>
      </c>
    </row>
    <row r="166" spans="1:10" ht="18.75" customHeight="1">
      <c r="A166" s="16">
        <v>34213</v>
      </c>
      <c r="B166" s="11">
        <v>464607.79294847941</v>
      </c>
      <c r="C166" s="11">
        <v>-33711.504812002182</v>
      </c>
      <c r="D166" s="11">
        <f t="shared" si="10"/>
        <v>430896.28813647723</v>
      </c>
      <c r="E166" s="11">
        <v>-29942.575873501661</v>
      </c>
      <c r="F166" s="11">
        <f t="shared" si="11"/>
        <v>400953.71226297558</v>
      </c>
      <c r="G166" s="11">
        <v>-6492.6249930592048</v>
      </c>
      <c r="H166" s="11">
        <f t="shared" si="12"/>
        <v>394461.08726991637</v>
      </c>
      <c r="I166" s="11">
        <f t="shared" si="13"/>
        <v>424403.66314341803</v>
      </c>
      <c r="J166" s="11">
        <f t="shared" si="14"/>
        <v>-36435.200866560866</v>
      </c>
    </row>
    <row r="167" spans="1:10" ht="18.75" customHeight="1">
      <c r="A167" s="16">
        <v>34243</v>
      </c>
      <c r="B167" s="11">
        <v>466113.02546053723</v>
      </c>
      <c r="C167" s="11">
        <v>-33121.754900693893</v>
      </c>
      <c r="D167" s="11">
        <f t="shared" si="10"/>
        <v>432991.27055984334</v>
      </c>
      <c r="E167" s="11">
        <v>-31807.738034068618</v>
      </c>
      <c r="F167" s="11">
        <f t="shared" si="11"/>
        <v>401183.53252577473</v>
      </c>
      <c r="G167" s="11">
        <v>6283.3964859791549</v>
      </c>
      <c r="H167" s="11">
        <f t="shared" si="12"/>
        <v>407466.92901175388</v>
      </c>
      <c r="I167" s="11">
        <f t="shared" si="13"/>
        <v>439274.66704582248</v>
      </c>
      <c r="J167" s="11">
        <f t="shared" si="14"/>
        <v>-25524.341548089462</v>
      </c>
    </row>
    <row r="168" spans="1:10" ht="18.75" customHeight="1">
      <c r="A168" s="16">
        <v>34274</v>
      </c>
      <c r="B168" s="11">
        <v>467673.55575511482</v>
      </c>
      <c r="C168" s="11">
        <v>-32485.12687587738</v>
      </c>
      <c r="D168" s="11">
        <f t="shared" si="10"/>
        <v>435188.42887923744</v>
      </c>
      <c r="E168" s="11">
        <v>-19849.338384994844</v>
      </c>
      <c r="F168" s="11">
        <f t="shared" si="11"/>
        <v>415339.09049424261</v>
      </c>
      <c r="G168" s="11">
        <v>-2079.3218294066724</v>
      </c>
      <c r="H168" s="11">
        <f t="shared" si="12"/>
        <v>413259.76866483595</v>
      </c>
      <c r="I168" s="11">
        <f t="shared" si="13"/>
        <v>433109.10704983078</v>
      </c>
      <c r="J168" s="11">
        <f t="shared" si="14"/>
        <v>-21928.660214401516</v>
      </c>
    </row>
    <row r="169" spans="1:10" ht="18.75" customHeight="1">
      <c r="A169" s="16">
        <v>34304</v>
      </c>
      <c r="B169" s="11">
        <v>469188.72070033639</v>
      </c>
      <c r="C169" s="11">
        <v>-31842.791328668594</v>
      </c>
      <c r="D169" s="11">
        <f t="shared" si="10"/>
        <v>437345.92937166779</v>
      </c>
      <c r="E169" s="11">
        <v>-8556.4728300846164</v>
      </c>
      <c r="F169" s="11">
        <f t="shared" si="11"/>
        <v>428789.45654158317</v>
      </c>
      <c r="G169" s="11">
        <v>2082.223307688319</v>
      </c>
      <c r="H169" s="11">
        <f t="shared" si="12"/>
        <v>430871.67984927149</v>
      </c>
      <c r="I169" s="11">
        <f t="shared" si="13"/>
        <v>439428.15267935611</v>
      </c>
      <c r="J169" s="11">
        <f t="shared" si="14"/>
        <v>-6474.2495223962978</v>
      </c>
    </row>
    <row r="170" spans="1:10" ht="18.75" customHeight="1">
      <c r="A170" s="16">
        <v>34335</v>
      </c>
      <c r="B170" s="11">
        <v>470759.54831624165</v>
      </c>
      <c r="C170" s="11">
        <v>-31152.039127588272</v>
      </c>
      <c r="D170" s="11">
        <f t="shared" si="10"/>
        <v>439607.50918865338</v>
      </c>
      <c r="E170" s="11">
        <v>588.98337502532581</v>
      </c>
      <c r="F170" s="11">
        <f t="shared" si="11"/>
        <v>440196.49256367871</v>
      </c>
      <c r="G170" s="11">
        <v>7700.4381827011248</v>
      </c>
      <c r="H170" s="11">
        <f t="shared" si="12"/>
        <v>447896.93074637983</v>
      </c>
      <c r="I170" s="11">
        <f t="shared" si="13"/>
        <v>447307.9473713545</v>
      </c>
      <c r="J170" s="11">
        <f t="shared" si="14"/>
        <v>8289.4215577264513</v>
      </c>
    </row>
    <row r="171" spans="1:10" ht="18.75" customHeight="1">
      <c r="A171" s="16">
        <v>34366</v>
      </c>
      <c r="B171" s="11">
        <v>472335.6350086985</v>
      </c>
      <c r="C171" s="11">
        <v>-30433.965172052383</v>
      </c>
      <c r="D171" s="11">
        <f t="shared" si="10"/>
        <v>441901.66983664612</v>
      </c>
      <c r="E171" s="11">
        <v>7225.4655458402231</v>
      </c>
      <c r="F171" s="11">
        <f t="shared" si="11"/>
        <v>449127.13538248633</v>
      </c>
      <c r="G171" s="11">
        <v>-9799.4549588749178</v>
      </c>
      <c r="H171" s="11">
        <f t="shared" si="12"/>
        <v>439327.68042361143</v>
      </c>
      <c r="I171" s="11">
        <f t="shared" si="13"/>
        <v>432102.21487777121</v>
      </c>
      <c r="J171" s="11">
        <f t="shared" si="14"/>
        <v>-2573.9894130346947</v>
      </c>
    </row>
    <row r="172" spans="1:10" ht="18.75" customHeight="1">
      <c r="A172" s="16">
        <v>34394</v>
      </c>
      <c r="B172" s="11">
        <v>473763.7321154098</v>
      </c>
      <c r="C172" s="11">
        <v>-29762.014212846756</v>
      </c>
      <c r="D172" s="11">
        <f t="shared" si="10"/>
        <v>444001.71790256305</v>
      </c>
      <c r="E172" s="11">
        <v>14702.969673403668</v>
      </c>
      <c r="F172" s="11">
        <f t="shared" si="11"/>
        <v>458704.6875759667</v>
      </c>
      <c r="G172" s="11">
        <v>5234.3275199301206</v>
      </c>
      <c r="H172" s="11">
        <f t="shared" si="12"/>
        <v>463939.01509589684</v>
      </c>
      <c r="I172" s="11">
        <f t="shared" si="13"/>
        <v>449236.04542249319</v>
      </c>
      <c r="J172" s="11">
        <f t="shared" si="14"/>
        <v>19937.29719333379</v>
      </c>
    </row>
    <row r="173" spans="1:10" ht="18.75" customHeight="1">
      <c r="A173" s="16">
        <v>34425</v>
      </c>
      <c r="B173" s="11">
        <v>475349.87671136344</v>
      </c>
      <c r="C173" s="11">
        <v>-28992.335119009018</v>
      </c>
      <c r="D173" s="11">
        <f t="shared" si="10"/>
        <v>446357.54159235442</v>
      </c>
      <c r="E173" s="11">
        <v>26366.176148156963</v>
      </c>
      <c r="F173" s="11">
        <f t="shared" si="11"/>
        <v>472723.71774051141</v>
      </c>
      <c r="G173" s="11">
        <v>904.48242667447983</v>
      </c>
      <c r="H173" s="11">
        <f t="shared" si="12"/>
        <v>473628.20016718586</v>
      </c>
      <c r="I173" s="11">
        <f t="shared" si="13"/>
        <v>447262.02401902888</v>
      </c>
      <c r="J173" s="11">
        <f t="shared" si="14"/>
        <v>27270.658574831443</v>
      </c>
    </row>
    <row r="174" spans="1:10" ht="18.75" customHeight="1">
      <c r="A174" s="16">
        <v>34455</v>
      </c>
      <c r="B174" s="11">
        <v>476889.91133817815</v>
      </c>
      <c r="C174" s="11">
        <v>-28221.88400387764</v>
      </c>
      <c r="D174" s="11">
        <f t="shared" si="10"/>
        <v>448668.02733430051</v>
      </c>
      <c r="E174" s="11">
        <v>30760.891800879039</v>
      </c>
      <c r="F174" s="11">
        <f t="shared" si="11"/>
        <v>479428.91913517955</v>
      </c>
      <c r="G174" s="11">
        <v>9982.3789884235957</v>
      </c>
      <c r="H174" s="11">
        <f t="shared" si="12"/>
        <v>489411.29812360316</v>
      </c>
      <c r="I174" s="11">
        <f t="shared" si="13"/>
        <v>458650.40632272413</v>
      </c>
      <c r="J174" s="11">
        <f t="shared" si="14"/>
        <v>40743.270789302638</v>
      </c>
    </row>
    <row r="175" spans="1:10" ht="18.75" customHeight="1">
      <c r="A175" s="16">
        <v>34486</v>
      </c>
      <c r="B175" s="11">
        <v>478486.52227409085</v>
      </c>
      <c r="C175" s="11">
        <v>-27399.465440034866</v>
      </c>
      <c r="D175" s="11">
        <f t="shared" si="10"/>
        <v>451087.05683405598</v>
      </c>
      <c r="E175" s="11">
        <v>24135.461905402834</v>
      </c>
      <c r="F175" s="11">
        <f t="shared" si="11"/>
        <v>475222.51873945881</v>
      </c>
      <c r="G175" s="11">
        <v>156.38042683891467</v>
      </c>
      <c r="H175" s="11">
        <f t="shared" si="12"/>
        <v>475378.89916629775</v>
      </c>
      <c r="I175" s="11">
        <f t="shared" si="13"/>
        <v>451243.43726089492</v>
      </c>
      <c r="J175" s="11">
        <f t="shared" si="14"/>
        <v>24291.842332241747</v>
      </c>
    </row>
    <row r="176" spans="1:10" ht="18.75" customHeight="1">
      <c r="A176" s="16">
        <v>34516</v>
      </c>
      <c r="B176" s="11">
        <v>480036.71897944034</v>
      </c>
      <c r="C176" s="11">
        <v>-26578.310068368912</v>
      </c>
      <c r="D176" s="11">
        <f t="shared" si="10"/>
        <v>453458.40891107143</v>
      </c>
      <c r="E176" s="11">
        <v>9035.5089355065847</v>
      </c>
      <c r="F176" s="11">
        <f t="shared" si="11"/>
        <v>462493.917846578</v>
      </c>
      <c r="G176" s="11">
        <v>4030.7604138624743</v>
      </c>
      <c r="H176" s="11">
        <f t="shared" si="12"/>
        <v>466524.67826044047</v>
      </c>
      <c r="I176" s="11">
        <f t="shared" si="13"/>
        <v>457489.1693249339</v>
      </c>
      <c r="J176" s="11">
        <f t="shared" si="14"/>
        <v>13066.269349369059</v>
      </c>
    </row>
    <row r="177" spans="1:10" ht="18.75" customHeight="1">
      <c r="A177" s="16">
        <v>34547</v>
      </c>
      <c r="B177" s="11">
        <v>481643.86531854229</v>
      </c>
      <c r="C177" s="11">
        <v>-25703.864293336868</v>
      </c>
      <c r="D177" s="11">
        <f t="shared" si="10"/>
        <v>455940.00102520542</v>
      </c>
      <c r="E177" s="11">
        <v>-11512.115043864824</v>
      </c>
      <c r="F177" s="11">
        <f t="shared" si="11"/>
        <v>444427.8859813406</v>
      </c>
      <c r="G177" s="11">
        <v>6781.2627737795665</v>
      </c>
      <c r="H177" s="11">
        <f t="shared" si="12"/>
        <v>451209.14875512017</v>
      </c>
      <c r="I177" s="11">
        <f t="shared" si="13"/>
        <v>462721.26379898499</v>
      </c>
      <c r="J177" s="11">
        <f t="shared" si="14"/>
        <v>-4730.8522700852573</v>
      </c>
    </row>
    <row r="178" spans="1:10" ht="18.75" customHeight="1">
      <c r="A178" s="16">
        <v>34578</v>
      </c>
      <c r="B178" s="11">
        <v>483256.39232802542</v>
      </c>
      <c r="C178" s="11">
        <v>-24803.27960562706</v>
      </c>
      <c r="D178" s="11">
        <f t="shared" si="10"/>
        <v>458453.11272239836</v>
      </c>
      <c r="E178" s="11">
        <v>-29942.575873501661</v>
      </c>
      <c r="F178" s="11">
        <f t="shared" si="11"/>
        <v>428510.53684889671</v>
      </c>
      <c r="G178" s="11">
        <v>-225.0179373049464</v>
      </c>
      <c r="H178" s="11">
        <f t="shared" si="12"/>
        <v>428285.51891159179</v>
      </c>
      <c r="I178" s="11">
        <f t="shared" si="13"/>
        <v>458228.09478509345</v>
      </c>
      <c r="J178" s="11">
        <f t="shared" si="14"/>
        <v>-30167.593810806608</v>
      </c>
    </row>
    <row r="179" spans="1:10" ht="18.75" customHeight="1">
      <c r="A179" s="16">
        <v>34608</v>
      </c>
      <c r="B179" s="11">
        <v>484822.04241920373</v>
      </c>
      <c r="C179" s="11">
        <v>-23907.063762903214</v>
      </c>
      <c r="D179" s="11">
        <f t="shared" si="10"/>
        <v>460914.97865630052</v>
      </c>
      <c r="E179" s="11">
        <v>-31807.738034068618</v>
      </c>
      <c r="F179" s="11">
        <f t="shared" si="11"/>
        <v>429107.24062223191</v>
      </c>
      <c r="G179" s="11">
        <v>-8191.3017502240673</v>
      </c>
      <c r="H179" s="11">
        <f t="shared" si="12"/>
        <v>420915.93887200783</v>
      </c>
      <c r="I179" s="11">
        <f t="shared" si="13"/>
        <v>452723.67690607643</v>
      </c>
      <c r="J179" s="11">
        <f t="shared" si="14"/>
        <v>-39999.039784292683</v>
      </c>
    </row>
    <row r="180" spans="1:10" ht="18.75" customHeight="1">
      <c r="A180" s="16">
        <v>34639</v>
      </c>
      <c r="B180" s="11">
        <v>486445.20985574165</v>
      </c>
      <c r="C180" s="11">
        <v>-22955.692485570908</v>
      </c>
      <c r="D180" s="11">
        <f t="shared" si="10"/>
        <v>463489.51737017074</v>
      </c>
      <c r="E180" s="11">
        <v>-19849.338384994844</v>
      </c>
      <c r="F180" s="11">
        <f t="shared" si="11"/>
        <v>443640.17898517591</v>
      </c>
      <c r="G180" s="11">
        <v>-4379.2088440431908</v>
      </c>
      <c r="H180" s="11">
        <f t="shared" si="12"/>
        <v>439260.97014113271</v>
      </c>
      <c r="I180" s="11">
        <f t="shared" si="13"/>
        <v>459110.30852612754</v>
      </c>
      <c r="J180" s="11">
        <f t="shared" si="14"/>
        <v>-24228.547229038035</v>
      </c>
    </row>
    <row r="181" spans="1:10" ht="18.75" customHeight="1">
      <c r="A181" s="16">
        <v>34669</v>
      </c>
      <c r="B181" s="11">
        <v>488021.19105175929</v>
      </c>
      <c r="C181" s="11">
        <v>-22010.769039392471</v>
      </c>
      <c r="D181" s="11">
        <f t="shared" si="10"/>
        <v>466010.42201236682</v>
      </c>
      <c r="E181" s="11">
        <v>-8556.4728300846164</v>
      </c>
      <c r="F181" s="11">
        <f t="shared" si="11"/>
        <v>457453.9491822822</v>
      </c>
      <c r="G181" s="11">
        <v>-5167.6369202514852</v>
      </c>
      <c r="H181" s="11">
        <f t="shared" si="12"/>
        <v>452286.31226203073</v>
      </c>
      <c r="I181" s="11">
        <f t="shared" si="13"/>
        <v>460842.78509211534</v>
      </c>
      <c r="J181" s="11">
        <f t="shared" si="14"/>
        <v>-13724.109750336102</v>
      </c>
    </row>
    <row r="182" spans="1:10" ht="18.75" customHeight="1">
      <c r="A182" s="16">
        <v>34700</v>
      </c>
      <c r="B182" s="11">
        <v>489655.0691273167</v>
      </c>
      <c r="C182" s="11">
        <v>-21009.544088125229</v>
      </c>
      <c r="D182" s="11">
        <f t="shared" si="10"/>
        <v>468645.52503919147</v>
      </c>
      <c r="E182" s="11">
        <v>588.98337502532581</v>
      </c>
      <c r="F182" s="11">
        <f t="shared" si="11"/>
        <v>469234.50841421681</v>
      </c>
      <c r="G182" s="11">
        <v>3972.3141981701183</v>
      </c>
      <c r="H182" s="11">
        <f t="shared" si="12"/>
        <v>473206.8226123869</v>
      </c>
      <c r="I182" s="11">
        <f t="shared" si="13"/>
        <v>472617.83923736156</v>
      </c>
      <c r="J182" s="11">
        <f t="shared" si="14"/>
        <v>4561.2975731954439</v>
      </c>
    </row>
    <row r="183" spans="1:10" ht="18.75" customHeight="1">
      <c r="A183" s="16">
        <v>34731</v>
      </c>
      <c r="B183" s="11">
        <v>491294.41737018473</v>
      </c>
      <c r="C183" s="11">
        <v>-19983.369370698929</v>
      </c>
      <c r="D183" s="11">
        <f t="shared" si="10"/>
        <v>471311.0479994858</v>
      </c>
      <c r="E183" s="11">
        <v>7225.4655458402231</v>
      </c>
      <c r="F183" s="11">
        <f t="shared" si="11"/>
        <v>478536.51354532602</v>
      </c>
      <c r="G183" s="11">
        <v>12176.775778964879</v>
      </c>
      <c r="H183" s="11">
        <f t="shared" si="12"/>
        <v>490713.28932429088</v>
      </c>
      <c r="I183" s="11">
        <f t="shared" si="13"/>
        <v>483487.82377845066</v>
      </c>
      <c r="J183" s="11">
        <f t="shared" si="14"/>
        <v>19402.241324805102</v>
      </c>
    </row>
    <row r="184" spans="1:10" ht="18.75" customHeight="1">
      <c r="A184" s="16">
        <v>34759</v>
      </c>
      <c r="B184" s="11">
        <v>492779.83596659632</v>
      </c>
      <c r="C184" s="11">
        <v>-19035.285710573196</v>
      </c>
      <c r="D184" s="11">
        <f t="shared" si="10"/>
        <v>473744.55025602313</v>
      </c>
      <c r="E184" s="11">
        <v>14702.969673403668</v>
      </c>
      <c r="F184" s="11">
        <f t="shared" si="11"/>
        <v>488447.51992942678</v>
      </c>
      <c r="G184" s="11">
        <v>-4625.1162291421442</v>
      </c>
      <c r="H184" s="11">
        <f t="shared" si="12"/>
        <v>483822.40370028466</v>
      </c>
      <c r="I184" s="11">
        <f t="shared" si="13"/>
        <v>469119.434026881</v>
      </c>
      <c r="J184" s="11">
        <f t="shared" si="14"/>
        <v>10077.853444261524</v>
      </c>
    </row>
    <row r="185" spans="1:10" ht="18.75" customHeight="1">
      <c r="A185" s="16">
        <v>34790</v>
      </c>
      <c r="B185" s="11">
        <v>494429.64582081058</v>
      </c>
      <c r="C185" s="11">
        <v>-17962.395881891251</v>
      </c>
      <c r="D185" s="11">
        <f t="shared" si="10"/>
        <v>476467.24993891933</v>
      </c>
      <c r="E185" s="11">
        <v>26366.176148156963</v>
      </c>
      <c r="F185" s="11">
        <f t="shared" si="11"/>
        <v>502833.42608707631</v>
      </c>
      <c r="G185" s="11">
        <v>6951.6870375600174</v>
      </c>
      <c r="H185" s="11">
        <f t="shared" si="12"/>
        <v>509785.11312463635</v>
      </c>
      <c r="I185" s="11">
        <f t="shared" si="13"/>
        <v>483418.93697647937</v>
      </c>
      <c r="J185" s="11">
        <f t="shared" si="14"/>
        <v>33317.863185716982</v>
      </c>
    </row>
    <row r="186" spans="1:10" ht="18.75" customHeight="1">
      <c r="A186" s="16">
        <v>34820</v>
      </c>
      <c r="B186" s="11">
        <v>496031.49492689577</v>
      </c>
      <c r="C186" s="11">
        <v>-16901.147883176804</v>
      </c>
      <c r="D186" s="11">
        <f t="shared" si="10"/>
        <v>479130.34704371897</v>
      </c>
      <c r="E186" s="11">
        <v>30760.891800879039</v>
      </c>
      <c r="F186" s="11">
        <f t="shared" si="11"/>
        <v>509891.238844598</v>
      </c>
      <c r="G186" s="11">
        <v>-4893.9442647146525</v>
      </c>
      <c r="H186" s="11">
        <f t="shared" si="12"/>
        <v>504997.29457988334</v>
      </c>
      <c r="I186" s="11">
        <f t="shared" si="13"/>
        <v>474236.4027790043</v>
      </c>
      <c r="J186" s="11">
        <f t="shared" si="14"/>
        <v>25866.947536164385</v>
      </c>
    </row>
    <row r="187" spans="1:10" ht="18.75" customHeight="1">
      <c r="A187" s="16">
        <v>34851</v>
      </c>
      <c r="B187" s="11">
        <v>497692.1912228922</v>
      </c>
      <c r="C187" s="11">
        <v>-15781.092148065567</v>
      </c>
      <c r="D187" s="11">
        <f t="shared" si="10"/>
        <v>481911.09907482663</v>
      </c>
      <c r="E187" s="11">
        <v>24135.461905402834</v>
      </c>
      <c r="F187" s="11">
        <f t="shared" si="11"/>
        <v>506046.56098022946</v>
      </c>
      <c r="G187" s="11">
        <v>-5657.1122500827441</v>
      </c>
      <c r="H187" s="11">
        <f t="shared" si="12"/>
        <v>500389.44873014675</v>
      </c>
      <c r="I187" s="11">
        <f t="shared" si="13"/>
        <v>476253.98682474392</v>
      </c>
      <c r="J187" s="11">
        <f t="shared" si="14"/>
        <v>18478.349655320089</v>
      </c>
    </row>
    <row r="188" spans="1:10" ht="18.75" customHeight="1">
      <c r="A188" s="16">
        <v>34881</v>
      </c>
      <c r="B188" s="11">
        <v>499304.6102967778</v>
      </c>
      <c r="C188" s="11">
        <v>-14674.788375139236</v>
      </c>
      <c r="D188" s="11">
        <f t="shared" si="10"/>
        <v>484629.82192163856</v>
      </c>
      <c r="E188" s="11">
        <v>9035.5089355065847</v>
      </c>
      <c r="F188" s="11">
        <f t="shared" si="11"/>
        <v>493665.33085714513</v>
      </c>
      <c r="G188" s="11">
        <v>5979.7908246839506</v>
      </c>
      <c r="H188" s="11">
        <f t="shared" si="12"/>
        <v>499645.1216818291</v>
      </c>
      <c r="I188" s="11">
        <f t="shared" si="13"/>
        <v>490609.61274632253</v>
      </c>
      <c r="J188" s="11">
        <f t="shared" si="14"/>
        <v>15015.299760190535</v>
      </c>
    </row>
    <row r="189" spans="1:10" ht="18.75" customHeight="1">
      <c r="A189" s="16">
        <v>34912</v>
      </c>
      <c r="B189" s="11">
        <v>500976.264869873</v>
      </c>
      <c r="C189" s="11">
        <v>-13508.805395364761</v>
      </c>
      <c r="D189" s="11">
        <f t="shared" si="10"/>
        <v>487467.45947450824</v>
      </c>
      <c r="E189" s="11">
        <v>-11512.115043864824</v>
      </c>
      <c r="F189" s="11">
        <f t="shared" si="11"/>
        <v>475955.34443064342</v>
      </c>
      <c r="G189" s="11">
        <v>-7082.1886288527403</v>
      </c>
      <c r="H189" s="11">
        <f t="shared" si="12"/>
        <v>468873.15580179071</v>
      </c>
      <c r="I189" s="11">
        <f t="shared" si="13"/>
        <v>480385.27084565553</v>
      </c>
      <c r="J189" s="11">
        <f t="shared" si="14"/>
        <v>-18594.303672717564</v>
      </c>
    </row>
    <row r="190" spans="1:10" ht="18.75" customHeight="1">
      <c r="A190" s="16">
        <v>34943</v>
      </c>
      <c r="B190" s="11">
        <v>502653.51608468493</v>
      </c>
      <c r="C190" s="11">
        <v>-12319.985218286514</v>
      </c>
      <c r="D190" s="11">
        <f t="shared" si="10"/>
        <v>490333.53086639842</v>
      </c>
      <c r="E190" s="11">
        <v>-29942.575873501661</v>
      </c>
      <c r="F190" s="11">
        <f t="shared" si="11"/>
        <v>460390.95499289676</v>
      </c>
      <c r="G190" s="11">
        <v>19147.262294199318</v>
      </c>
      <c r="H190" s="11">
        <f t="shared" si="12"/>
        <v>479538.21728709608</v>
      </c>
      <c r="I190" s="11">
        <f t="shared" si="13"/>
        <v>509480.79316059774</v>
      </c>
      <c r="J190" s="11">
        <f t="shared" si="14"/>
        <v>-10795.313579302343</v>
      </c>
    </row>
    <row r="191" spans="1:10" ht="18.75" customHeight="1">
      <c r="A191" s="16">
        <v>34973</v>
      </c>
      <c r="B191" s="11">
        <v>504282.00881811342</v>
      </c>
      <c r="C191" s="11">
        <v>-11148.103528738022</v>
      </c>
      <c r="D191" s="11">
        <f t="shared" si="10"/>
        <v>493133.9052893754</v>
      </c>
      <c r="E191" s="11">
        <v>-31807.738034068618</v>
      </c>
      <c r="F191" s="11">
        <f t="shared" si="11"/>
        <v>461326.16725530679</v>
      </c>
      <c r="G191" s="11">
        <v>-1500.5830228747561</v>
      </c>
      <c r="H191" s="11">
        <f t="shared" si="12"/>
        <v>459825.58423243201</v>
      </c>
      <c r="I191" s="11">
        <f t="shared" si="13"/>
        <v>491633.32226650062</v>
      </c>
      <c r="J191" s="11">
        <f t="shared" si="14"/>
        <v>-33308.321056943372</v>
      </c>
    </row>
    <row r="192" spans="1:10" ht="18.75" customHeight="1">
      <c r="A192" s="16">
        <v>35004</v>
      </c>
      <c r="B192" s="11">
        <v>505970.32754937728</v>
      </c>
      <c r="C192" s="11">
        <v>-9915.3906466960907</v>
      </c>
      <c r="D192" s="11">
        <f t="shared" si="10"/>
        <v>496054.93690268119</v>
      </c>
      <c r="E192" s="11">
        <v>-19849.338384994844</v>
      </c>
      <c r="F192" s="11">
        <f t="shared" si="11"/>
        <v>476205.59851768636</v>
      </c>
      <c r="G192" s="11">
        <v>2291.1844221514702</v>
      </c>
      <c r="H192" s="11">
        <f t="shared" si="12"/>
        <v>478496.78293983784</v>
      </c>
      <c r="I192" s="11">
        <f t="shared" si="13"/>
        <v>498346.12132483267</v>
      </c>
      <c r="J192" s="11">
        <f t="shared" si="14"/>
        <v>-17558.153962843375</v>
      </c>
    </row>
    <row r="193" spans="1:10" ht="18.75" customHeight="1">
      <c r="A193" s="16">
        <v>35034</v>
      </c>
      <c r="B193" s="11">
        <v>507609.56606135017</v>
      </c>
      <c r="C193" s="11">
        <v>-8701.7275655269623</v>
      </c>
      <c r="D193" s="11">
        <f t="shared" si="10"/>
        <v>498907.83849582321</v>
      </c>
      <c r="E193" s="11">
        <v>-8556.4728300846164</v>
      </c>
      <c r="F193" s="11">
        <f t="shared" si="11"/>
        <v>490351.36566573859</v>
      </c>
      <c r="G193" s="11">
        <v>-5609.897886079716</v>
      </c>
      <c r="H193" s="11">
        <f t="shared" si="12"/>
        <v>484741.46777965885</v>
      </c>
      <c r="I193" s="11">
        <f t="shared" si="13"/>
        <v>493297.94060974347</v>
      </c>
      <c r="J193" s="11">
        <f t="shared" si="14"/>
        <v>-14166.370716164332</v>
      </c>
    </row>
    <row r="194" spans="1:10" ht="18.75" customHeight="1">
      <c r="A194" s="16">
        <v>35065</v>
      </c>
      <c r="B194" s="11">
        <v>509309.0253392217</v>
      </c>
      <c r="C194" s="11">
        <v>-7426.5812938213348</v>
      </c>
      <c r="D194" s="11">
        <f t="shared" si="10"/>
        <v>501882.44404540036</v>
      </c>
      <c r="E194" s="11">
        <v>588.98337502532581</v>
      </c>
      <c r="F194" s="11">
        <f t="shared" si="11"/>
        <v>502471.42742042569</v>
      </c>
      <c r="G194" s="11">
        <v>-8575.9157974342361</v>
      </c>
      <c r="H194" s="11">
        <f t="shared" si="12"/>
        <v>493895.51162299147</v>
      </c>
      <c r="I194" s="11">
        <f t="shared" si="13"/>
        <v>493306.52824796614</v>
      </c>
      <c r="J194" s="11">
        <f t="shared" si="14"/>
        <v>-7986.9324224089105</v>
      </c>
    </row>
    <row r="195" spans="1:10" ht="18.75" customHeight="1">
      <c r="A195" s="16">
        <v>35096</v>
      </c>
      <c r="B195" s="11">
        <v>511014.17434800201</v>
      </c>
      <c r="C195" s="11">
        <v>-6130.457955121994</v>
      </c>
      <c r="D195" s="11">
        <f t="shared" ref="D195:D218" si="15">B195+C195</f>
        <v>504883.71639288001</v>
      </c>
      <c r="E195" s="11">
        <v>7225.4655458402231</v>
      </c>
      <c r="F195" s="11">
        <f t="shared" ref="F195:F218" si="16">D195+E195</f>
        <v>512109.18193872023</v>
      </c>
      <c r="G195" s="11">
        <v>-4506.3174556775457</v>
      </c>
      <c r="H195" s="11">
        <f t="shared" ref="H195:H218" si="17">F195+G195</f>
        <v>507602.86448304268</v>
      </c>
      <c r="I195" s="11">
        <f t="shared" ref="I195:I218" si="18">D195+G195</f>
        <v>500377.39893720247</v>
      </c>
      <c r="J195" s="11">
        <f t="shared" ref="J195:J218" si="19">E195+G195</f>
        <v>2719.1480901626774</v>
      </c>
    </row>
    <row r="196" spans="1:10" ht="18.75" customHeight="1">
      <c r="A196" s="16">
        <v>35125</v>
      </c>
      <c r="B196" s="11">
        <v>512614.48156980862</v>
      </c>
      <c r="C196" s="11">
        <v>-4899.3288447856903</v>
      </c>
      <c r="D196" s="11">
        <f t="shared" si="15"/>
        <v>507715.15272502293</v>
      </c>
      <c r="E196" s="11">
        <v>14702.969673403668</v>
      </c>
      <c r="F196" s="11">
        <f t="shared" si="16"/>
        <v>522418.12239842658</v>
      </c>
      <c r="G196" s="11">
        <v>-4340.6848522230912</v>
      </c>
      <c r="H196" s="11">
        <f t="shared" si="17"/>
        <v>518077.4375462035</v>
      </c>
      <c r="I196" s="11">
        <f t="shared" si="18"/>
        <v>503374.46787279984</v>
      </c>
      <c r="J196" s="11">
        <f t="shared" si="19"/>
        <v>10362.284821180576</v>
      </c>
    </row>
    <row r="197" spans="1:10" ht="18.75" customHeight="1">
      <c r="A197" s="16">
        <v>35156</v>
      </c>
      <c r="B197" s="11">
        <v>514330.69713177031</v>
      </c>
      <c r="C197" s="11">
        <v>-3563.7829654216766</v>
      </c>
      <c r="D197" s="11">
        <f t="shared" si="15"/>
        <v>510766.91416634864</v>
      </c>
      <c r="E197" s="11">
        <v>26366.176148156963</v>
      </c>
      <c r="F197" s="11">
        <f t="shared" si="16"/>
        <v>537133.09031450562</v>
      </c>
      <c r="G197" s="11">
        <v>8124.8013868554744</v>
      </c>
      <c r="H197" s="11">
        <f t="shared" si="17"/>
        <v>545257.89170136105</v>
      </c>
      <c r="I197" s="11">
        <f t="shared" si="18"/>
        <v>518891.71555320412</v>
      </c>
      <c r="J197" s="11">
        <f t="shared" si="19"/>
        <v>34490.97753501244</v>
      </c>
    </row>
    <row r="198" spans="1:10" ht="18.75" customHeight="1">
      <c r="A198" s="16">
        <v>35186</v>
      </c>
      <c r="B198" s="11">
        <v>515997.02150045865</v>
      </c>
      <c r="C198" s="11">
        <v>-2252.5221245288849</v>
      </c>
      <c r="D198" s="11">
        <f t="shared" si="15"/>
        <v>513744.49937592976</v>
      </c>
      <c r="E198" s="11">
        <v>30760.891800879039</v>
      </c>
      <c r="F198" s="11">
        <f t="shared" si="16"/>
        <v>544505.39117680886</v>
      </c>
      <c r="G198" s="11">
        <v>9678.9812740250836</v>
      </c>
      <c r="H198" s="11">
        <f t="shared" si="17"/>
        <v>554184.37245083391</v>
      </c>
      <c r="I198" s="11">
        <f t="shared" si="18"/>
        <v>523423.48064995487</v>
      </c>
      <c r="J198" s="11">
        <f t="shared" si="19"/>
        <v>40439.873074904121</v>
      </c>
    </row>
    <row r="199" spans="1:10" ht="18.75" customHeight="1">
      <c r="A199" s="16">
        <v>35217</v>
      </c>
      <c r="B199" s="11">
        <v>517724.56168916548</v>
      </c>
      <c r="C199" s="11">
        <v>-878.56191277503967</v>
      </c>
      <c r="D199" s="11">
        <f t="shared" si="15"/>
        <v>516845.99977639044</v>
      </c>
      <c r="E199" s="11">
        <v>24135.461905402834</v>
      </c>
      <c r="F199" s="11">
        <f t="shared" si="16"/>
        <v>540981.46168179333</v>
      </c>
      <c r="G199" s="11">
        <v>8959.0550760653714</v>
      </c>
      <c r="H199" s="11">
        <f t="shared" si="17"/>
        <v>549940.51675785868</v>
      </c>
      <c r="I199" s="11">
        <f t="shared" si="18"/>
        <v>525805.05485245585</v>
      </c>
      <c r="J199" s="11">
        <f t="shared" si="19"/>
        <v>33094.516981468201</v>
      </c>
    </row>
    <row r="200" spans="1:10" ht="18.75" customHeight="1">
      <c r="A200" s="16">
        <v>35247</v>
      </c>
      <c r="B200" s="11">
        <v>519401.8814723742</v>
      </c>
      <c r="C200" s="11">
        <v>469.03002858161926</v>
      </c>
      <c r="D200" s="11">
        <f t="shared" si="15"/>
        <v>519870.91150095582</v>
      </c>
      <c r="E200" s="11">
        <v>9035.5089355065847</v>
      </c>
      <c r="F200" s="11">
        <f t="shared" si="16"/>
        <v>528906.42043646239</v>
      </c>
      <c r="G200" s="11">
        <v>-6830.7076898921468</v>
      </c>
      <c r="H200" s="11">
        <f t="shared" si="17"/>
        <v>522075.71274657024</v>
      </c>
      <c r="I200" s="11">
        <f t="shared" si="18"/>
        <v>513040.20381106366</v>
      </c>
      <c r="J200" s="11">
        <f t="shared" si="19"/>
        <v>2204.8012456144379</v>
      </c>
    </row>
    <row r="201" spans="1:10" ht="18.75" customHeight="1">
      <c r="A201" s="16">
        <v>35278</v>
      </c>
      <c r="B201" s="11">
        <v>521140.82101455366</v>
      </c>
      <c r="C201" s="11">
        <v>1879.6380684375763</v>
      </c>
      <c r="D201" s="11">
        <f t="shared" si="15"/>
        <v>523020.45908299123</v>
      </c>
      <c r="E201" s="11">
        <v>-11512.115043864824</v>
      </c>
      <c r="F201" s="11">
        <f t="shared" si="16"/>
        <v>511508.34403912642</v>
      </c>
      <c r="G201" s="11">
        <v>15116.443073672759</v>
      </c>
      <c r="H201" s="11">
        <f t="shared" si="17"/>
        <v>526624.78711279912</v>
      </c>
      <c r="I201" s="11">
        <f t="shared" si="18"/>
        <v>538136.90215666394</v>
      </c>
      <c r="J201" s="11">
        <f t="shared" si="19"/>
        <v>3604.3280298079353</v>
      </c>
    </row>
    <row r="202" spans="1:10" ht="18.75" customHeight="1">
      <c r="A202" s="16">
        <v>35309</v>
      </c>
      <c r="B202" s="11">
        <v>522885.58246619999</v>
      </c>
      <c r="C202" s="11">
        <v>3308.1652481555939</v>
      </c>
      <c r="D202" s="11">
        <f t="shared" si="15"/>
        <v>526193.74771435559</v>
      </c>
      <c r="E202" s="11">
        <v>-29942.575873501661</v>
      </c>
      <c r="F202" s="11">
        <f t="shared" si="16"/>
        <v>496251.17184085393</v>
      </c>
      <c r="G202" s="11">
        <v>-3646.8688355548079</v>
      </c>
      <c r="H202" s="11">
        <f t="shared" si="17"/>
        <v>492604.30300529912</v>
      </c>
      <c r="I202" s="11">
        <f t="shared" si="18"/>
        <v>522546.87887880078</v>
      </c>
      <c r="J202" s="11">
        <f t="shared" si="19"/>
        <v>-33589.444709056472</v>
      </c>
    </row>
    <row r="203" spans="1:10" ht="18.75" customHeight="1">
      <c r="A203" s="16">
        <v>35339</v>
      </c>
      <c r="B203" s="11">
        <v>524579.62288213789</v>
      </c>
      <c r="C203" s="11">
        <v>4707.2104108333588</v>
      </c>
      <c r="D203" s="11">
        <f t="shared" si="15"/>
        <v>529286.83329297125</v>
      </c>
      <c r="E203" s="11">
        <v>-31807.738034068618</v>
      </c>
      <c r="F203" s="11">
        <f t="shared" si="16"/>
        <v>497479.09525890264</v>
      </c>
      <c r="G203" s="11">
        <v>-2938.6792554127396</v>
      </c>
      <c r="H203" s="11">
        <f t="shared" si="17"/>
        <v>494540.41600348993</v>
      </c>
      <c r="I203" s="11">
        <f t="shared" si="18"/>
        <v>526348.15403755847</v>
      </c>
      <c r="J203" s="11">
        <f t="shared" si="19"/>
        <v>-34746.41728948136</v>
      </c>
    </row>
    <row r="204" spans="1:10" ht="18.75" customHeight="1">
      <c r="A204" s="16">
        <v>35370</v>
      </c>
      <c r="B204" s="11">
        <v>526335.89732355007</v>
      </c>
      <c r="C204" s="11">
        <v>6169.5547845363617</v>
      </c>
      <c r="D204" s="11">
        <f t="shared" si="15"/>
        <v>532505.45210808644</v>
      </c>
      <c r="E204" s="11">
        <v>-19849.338384994844</v>
      </c>
      <c r="F204" s="11">
        <f t="shared" si="16"/>
        <v>512656.11372309161</v>
      </c>
      <c r="G204" s="11">
        <v>88.530987036061646</v>
      </c>
      <c r="H204" s="11">
        <f t="shared" si="17"/>
        <v>512744.64471012767</v>
      </c>
      <c r="I204" s="11">
        <f t="shared" si="18"/>
        <v>532593.9830951225</v>
      </c>
      <c r="J204" s="11">
        <f t="shared" si="19"/>
        <v>-19760.807397958783</v>
      </c>
    </row>
    <row r="205" spans="1:10" ht="18.75" customHeight="1">
      <c r="A205" s="16">
        <v>35400</v>
      </c>
      <c r="B205" s="11">
        <v>528041.11604122748</v>
      </c>
      <c r="C205" s="11">
        <v>7600.375435590744</v>
      </c>
      <c r="D205" s="11">
        <f t="shared" si="15"/>
        <v>535641.49147681822</v>
      </c>
      <c r="E205" s="11">
        <v>-8556.4728300846164</v>
      </c>
      <c r="F205" s="11">
        <f t="shared" si="16"/>
        <v>527085.0186467336</v>
      </c>
      <c r="G205" s="11">
        <v>-2699.8641781602801</v>
      </c>
      <c r="H205" s="11">
        <f t="shared" si="17"/>
        <v>524385.15446857328</v>
      </c>
      <c r="I205" s="11">
        <f t="shared" si="18"/>
        <v>532941.6272986579</v>
      </c>
      <c r="J205" s="11">
        <f t="shared" si="19"/>
        <v>-11256.337008244896</v>
      </c>
    </row>
    <row r="206" spans="1:10" ht="18.75" customHeight="1">
      <c r="A206" s="16">
        <v>35431</v>
      </c>
      <c r="B206" s="11">
        <v>529808.97944206407</v>
      </c>
      <c r="C206" s="11">
        <v>9094.5498440265656</v>
      </c>
      <c r="D206" s="11">
        <f t="shared" si="15"/>
        <v>538903.52928609063</v>
      </c>
      <c r="E206" s="11">
        <v>588.98337502532581</v>
      </c>
      <c r="F206" s="11">
        <f t="shared" si="16"/>
        <v>539492.51266111596</v>
      </c>
      <c r="G206" s="11">
        <v>1382.2060184319712</v>
      </c>
      <c r="H206" s="11">
        <f t="shared" si="17"/>
        <v>540874.71867954789</v>
      </c>
      <c r="I206" s="11">
        <f t="shared" si="18"/>
        <v>540285.73530452256</v>
      </c>
      <c r="J206" s="11">
        <f t="shared" si="19"/>
        <v>1971.189393457297</v>
      </c>
    </row>
    <row r="207" spans="1:10" ht="18.75" customHeight="1">
      <c r="A207" s="16">
        <v>35462</v>
      </c>
      <c r="B207" s="11">
        <v>531582.76158844633</v>
      </c>
      <c r="C207" s="11">
        <v>10604.110442399979</v>
      </c>
      <c r="D207" s="11">
        <f t="shared" si="15"/>
        <v>542186.87203084631</v>
      </c>
      <c r="E207" s="11">
        <v>7225.4655458402231</v>
      </c>
      <c r="F207" s="11">
        <f t="shared" si="16"/>
        <v>549412.33757668652</v>
      </c>
      <c r="G207" s="11">
        <v>4764.2657525083214</v>
      </c>
      <c r="H207" s="11">
        <f t="shared" si="17"/>
        <v>554176.60332919483</v>
      </c>
      <c r="I207" s="11">
        <f t="shared" si="18"/>
        <v>546951.13778335461</v>
      </c>
      <c r="J207" s="11">
        <f t="shared" si="19"/>
        <v>11989.731298348544</v>
      </c>
    </row>
    <row r="208" spans="1:10" ht="18.75" customHeight="1">
      <c r="A208" s="16">
        <v>35490</v>
      </c>
      <c r="B208" s="11">
        <v>533189.99116744706</v>
      </c>
      <c r="C208" s="11">
        <v>11980.354133844376</v>
      </c>
      <c r="D208" s="11">
        <f t="shared" si="15"/>
        <v>545170.34530129144</v>
      </c>
      <c r="E208" s="11">
        <v>14702.969673403668</v>
      </c>
      <c r="F208" s="11">
        <f t="shared" si="16"/>
        <v>559873.31497469509</v>
      </c>
      <c r="G208" s="11">
        <v>-2266.9984719007134</v>
      </c>
      <c r="H208" s="11">
        <f t="shared" si="17"/>
        <v>557606.31650279439</v>
      </c>
      <c r="I208" s="11">
        <f t="shared" si="18"/>
        <v>542903.34682939074</v>
      </c>
      <c r="J208" s="11">
        <f t="shared" si="19"/>
        <v>12435.971201502955</v>
      </c>
    </row>
    <row r="209" spans="1:10" ht="18.75" customHeight="1">
      <c r="A209" s="16">
        <v>35521</v>
      </c>
      <c r="B209" s="11">
        <v>534975.09282419609</v>
      </c>
      <c r="C209" s="11">
        <v>13517.675979375839</v>
      </c>
      <c r="D209" s="11">
        <f t="shared" si="15"/>
        <v>548492.76880357193</v>
      </c>
      <c r="E209" s="11">
        <v>26366.176148156963</v>
      </c>
      <c r="F209" s="11">
        <f t="shared" si="16"/>
        <v>574858.94495172892</v>
      </c>
      <c r="G209" s="11">
        <v>6750.3771190436464</v>
      </c>
      <c r="H209" s="11">
        <f t="shared" si="17"/>
        <v>581609.32207077253</v>
      </c>
      <c r="I209" s="11">
        <f t="shared" si="18"/>
        <v>555243.14592261554</v>
      </c>
      <c r="J209" s="11">
        <f t="shared" si="19"/>
        <v>33116.553267200608</v>
      </c>
    </row>
    <row r="210" spans="1:10" ht="18.75" customHeight="1">
      <c r="A210" s="16">
        <v>35551</v>
      </c>
      <c r="B210" s="11">
        <v>536708.3007365081</v>
      </c>
      <c r="C210" s="11">
        <v>15018.518673181534</v>
      </c>
      <c r="D210" s="11">
        <f t="shared" si="15"/>
        <v>551726.81940968963</v>
      </c>
      <c r="E210" s="11">
        <v>30760.891800879039</v>
      </c>
      <c r="F210" s="11">
        <f t="shared" si="16"/>
        <v>582487.71121056867</v>
      </c>
      <c r="G210" s="11">
        <v>11514.867778299613</v>
      </c>
      <c r="H210" s="11">
        <f t="shared" si="17"/>
        <v>594002.57898886828</v>
      </c>
      <c r="I210" s="11">
        <f t="shared" si="18"/>
        <v>563241.68718798924</v>
      </c>
      <c r="J210" s="11">
        <f t="shared" si="19"/>
        <v>42275.759579178652</v>
      </c>
    </row>
    <row r="211" spans="1:10" ht="18.75" customHeight="1">
      <c r="A211" s="16">
        <v>35582</v>
      </c>
      <c r="B211" s="11">
        <v>538505.1815720587</v>
      </c>
      <c r="C211" s="11">
        <v>16582.373090982437</v>
      </c>
      <c r="D211" s="11">
        <f t="shared" si="15"/>
        <v>555087.55466304114</v>
      </c>
      <c r="E211" s="11">
        <v>24135.461905402834</v>
      </c>
      <c r="F211" s="11">
        <f t="shared" si="16"/>
        <v>579223.01656844397</v>
      </c>
      <c r="G211" s="11">
        <v>-951.19449156884298</v>
      </c>
      <c r="H211" s="11">
        <f t="shared" si="17"/>
        <v>578271.82207687513</v>
      </c>
      <c r="I211" s="11">
        <f t="shared" si="18"/>
        <v>554136.3601714723</v>
      </c>
      <c r="J211" s="11">
        <f t="shared" si="19"/>
        <v>23184.26741383399</v>
      </c>
    </row>
    <row r="212" spans="1:10" ht="18.75" customHeight="1">
      <c r="A212" s="16">
        <v>35612</v>
      </c>
      <c r="B212" s="11">
        <v>540249.82623690565</v>
      </c>
      <c r="C212" s="11">
        <v>18107.793695688248</v>
      </c>
      <c r="D212" s="11">
        <f t="shared" si="15"/>
        <v>558357.61993259389</v>
      </c>
      <c r="E212" s="11">
        <v>9035.5089355065847</v>
      </c>
      <c r="F212" s="11">
        <f t="shared" si="16"/>
        <v>567393.12886810047</v>
      </c>
      <c r="G212" s="11">
        <v>4009.1813917978657</v>
      </c>
      <c r="H212" s="11">
        <f t="shared" si="17"/>
        <v>571402.31025989831</v>
      </c>
      <c r="I212" s="11">
        <f t="shared" si="18"/>
        <v>562366.80132439174</v>
      </c>
      <c r="J212" s="11">
        <f t="shared" si="19"/>
        <v>13044.69032730445</v>
      </c>
    </row>
    <row r="213" spans="1:10" ht="18.75" customHeight="1">
      <c r="A213" s="16">
        <v>35643</v>
      </c>
      <c r="B213" s="11">
        <v>542058.56397739239</v>
      </c>
      <c r="C213" s="11">
        <v>19695.887778997421</v>
      </c>
      <c r="D213" s="11">
        <f t="shared" si="15"/>
        <v>561754.45175638981</v>
      </c>
      <c r="E213" s="11">
        <v>-11512.115043864824</v>
      </c>
      <c r="F213" s="11">
        <f t="shared" si="16"/>
        <v>550242.33671252499</v>
      </c>
      <c r="G213" s="11">
        <v>-3991.2965844298305</v>
      </c>
      <c r="H213" s="11">
        <f t="shared" si="17"/>
        <v>546251.04012809519</v>
      </c>
      <c r="I213" s="11">
        <f t="shared" si="18"/>
        <v>557763.15517196001</v>
      </c>
      <c r="J213" s="11">
        <f t="shared" si="19"/>
        <v>-15503.411628294654</v>
      </c>
    </row>
    <row r="214" spans="1:10" ht="18.75" customHeight="1">
      <c r="A214" s="16">
        <v>35674</v>
      </c>
      <c r="B214" s="11">
        <v>543873.35730930092</v>
      </c>
      <c r="C214" s="11">
        <v>21295.393481969833</v>
      </c>
      <c r="D214" s="11">
        <f t="shared" si="15"/>
        <v>565168.75079127075</v>
      </c>
      <c r="E214" s="11">
        <v>-29942.575873501661</v>
      </c>
      <c r="F214" s="11">
        <f t="shared" si="16"/>
        <v>535226.17491776904</v>
      </c>
      <c r="G214" s="11">
        <v>-4534.2008338848918</v>
      </c>
      <c r="H214" s="11">
        <f t="shared" si="17"/>
        <v>530691.97408388415</v>
      </c>
      <c r="I214" s="11">
        <f t="shared" si="18"/>
        <v>560634.54995738587</v>
      </c>
      <c r="J214" s="11">
        <f t="shared" si="19"/>
        <v>-34476.776707386554</v>
      </c>
    </row>
    <row r="215" spans="1:10" ht="18.75" customHeight="1">
      <c r="A215" s="16">
        <v>35704</v>
      </c>
      <c r="B215" s="11">
        <v>545635.39374581585</v>
      </c>
      <c r="C215" s="11">
        <v>22853.577653646469</v>
      </c>
      <c r="D215" s="11">
        <f t="shared" si="15"/>
        <v>568488.97139946232</v>
      </c>
      <c r="E215" s="11">
        <v>-31807.738034068618</v>
      </c>
      <c r="F215" s="11">
        <f t="shared" si="16"/>
        <v>536681.23336539371</v>
      </c>
      <c r="G215" s="11">
        <v>-825.39880328253969</v>
      </c>
      <c r="H215" s="11">
        <f t="shared" si="17"/>
        <v>535855.83456211118</v>
      </c>
      <c r="I215" s="11">
        <f t="shared" si="18"/>
        <v>567663.57259617979</v>
      </c>
      <c r="J215" s="11">
        <f t="shared" si="19"/>
        <v>-32633.136837351158</v>
      </c>
    </row>
    <row r="216" spans="1:10" ht="18.75" customHeight="1">
      <c r="A216" s="16">
        <v>35735</v>
      </c>
      <c r="B216" s="11">
        <v>547462.16218013025</v>
      </c>
      <c r="C216" s="11">
        <v>24473.698470830917</v>
      </c>
      <c r="D216" s="11">
        <f t="shared" si="15"/>
        <v>571935.86065096117</v>
      </c>
      <c r="E216" s="11">
        <v>-19849.338384994844</v>
      </c>
      <c r="F216" s="11">
        <f t="shared" si="16"/>
        <v>552086.52226596628</v>
      </c>
      <c r="G216" s="11">
        <v>1477.7956683138359</v>
      </c>
      <c r="H216" s="11">
        <f t="shared" si="17"/>
        <v>553564.31793428014</v>
      </c>
      <c r="I216" s="11">
        <f t="shared" si="18"/>
        <v>573413.65631927503</v>
      </c>
      <c r="J216" s="11">
        <f t="shared" si="19"/>
        <v>-18371.542716681008</v>
      </c>
    </row>
    <row r="217" spans="1:10" ht="18.75" customHeight="1">
      <c r="A217" s="16">
        <v>35765</v>
      </c>
      <c r="B217" s="11">
        <v>549235.82559719309</v>
      </c>
      <c r="C217" s="11">
        <v>26050.62721323967</v>
      </c>
      <c r="D217" s="11">
        <f t="shared" si="15"/>
        <v>575286.45281043276</v>
      </c>
      <c r="E217" s="11">
        <v>-8556.4728300846164</v>
      </c>
      <c r="F217" s="11">
        <f t="shared" si="16"/>
        <v>566729.97998034814</v>
      </c>
      <c r="G217" s="11">
        <v>3088.883144912777</v>
      </c>
      <c r="H217" s="11">
        <f t="shared" si="17"/>
        <v>569818.86312526092</v>
      </c>
      <c r="I217" s="11">
        <f t="shared" si="18"/>
        <v>578375.33595534554</v>
      </c>
      <c r="J217" s="11">
        <f t="shared" si="19"/>
        <v>-5467.5896851718389</v>
      </c>
    </row>
    <row r="218" spans="1:10" ht="18.75" customHeight="1">
      <c r="A218" s="16">
        <v>35796</v>
      </c>
      <c r="B218" s="11">
        <v>551074.64815286919</v>
      </c>
      <c r="C218" s="11">
        <v>27688.849582433701</v>
      </c>
      <c r="D218" s="11">
        <f t="shared" si="15"/>
        <v>578763.4977353029</v>
      </c>
      <c r="E218" s="11">
        <v>588.98337502532581</v>
      </c>
      <c r="F218" s="11">
        <f t="shared" si="16"/>
        <v>579352.48111032823</v>
      </c>
      <c r="G218" s="11">
        <v>3089.8831449127802</v>
      </c>
      <c r="H218" s="11">
        <f t="shared" si="17"/>
        <v>582442.364255241</v>
      </c>
      <c r="I218" s="11">
        <f t="shared" si="18"/>
        <v>581853.38088021567</v>
      </c>
      <c r="J218" s="11">
        <f t="shared" si="19"/>
        <v>3678.8665199381057</v>
      </c>
    </row>
  </sheetData>
  <dataConsolidate/>
  <phoneticPr fontId="1"/>
  <pageMargins left="0.78700000000000003" right="0.78700000000000003" top="0.98399999999999999" bottom="0.98399999999999999" header="0.51200000000000001" footer="0.51200000000000001"/>
  <pageSetup paperSize="9" orientation="portrait" r:id="rId1"/>
  <headerFooter alignWithMargins="0"/>
  <drawing r:id="rId2"/>
  <webPublishItems count="1">
    <webPublishItem id="25858" divId="季節変動モデル_25858" sourceType="sheet" destinationFile="C:\Users\miura\Documents\wwws\stock\ODC2023\Data\季節変動モデル.htm"/>
  </webPublishItem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A5EB7-19C4-4932-A247-6784DB689A6A}">
  <dimension ref="A7:R105"/>
  <sheetViews>
    <sheetView showGridLines="0" tabSelected="1" topLeftCell="A69" zoomScale="80" zoomScaleNormal="80" workbookViewId="0">
      <selection activeCell="N100" sqref="N100"/>
    </sheetView>
  </sheetViews>
  <sheetFormatPr defaultRowHeight="18.75"/>
  <sheetData>
    <row r="7" spans="4:18" ht="18.75" customHeight="1">
      <c r="H7" s="20" t="s">
        <v>31</v>
      </c>
      <c r="O7" s="20" t="s">
        <v>30</v>
      </c>
    </row>
    <row r="14" spans="4:18" s="24" customFormat="1" ht="30">
      <c r="D14" s="24" t="s">
        <v>34</v>
      </c>
      <c r="K14" s="24" t="s">
        <v>35</v>
      </c>
      <c r="R14" s="24" t="s">
        <v>36</v>
      </c>
    </row>
    <row r="21" spans="1:18" ht="18.75" customHeight="1">
      <c r="H21" s="20" t="s">
        <v>30</v>
      </c>
      <c r="O21" s="20" t="s">
        <v>30</v>
      </c>
    </row>
    <row r="28" spans="1:18" ht="30">
      <c r="K28" s="24" t="s">
        <v>37</v>
      </c>
      <c r="R28" s="24" t="s">
        <v>38</v>
      </c>
    </row>
    <row r="30" spans="1:18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8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</row>
    <row r="32" spans="1:18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</row>
    <row r="33" spans="1: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ht="18.75" customHeight="1">
      <c r="A36" s="2"/>
      <c r="B36" s="2"/>
      <c r="C36" s="2"/>
      <c r="D36" s="2"/>
      <c r="E36" s="2"/>
      <c r="F36" s="2"/>
      <c r="G36" s="2"/>
      <c r="H36" s="19"/>
      <c r="I36" s="2"/>
      <c r="J36" s="2"/>
      <c r="K36" s="2"/>
      <c r="L36" s="2"/>
      <c r="M36" s="2"/>
      <c r="N36" s="2"/>
      <c r="O36" s="2"/>
    </row>
    <row r="37" spans="1:15">
      <c r="A37" s="2"/>
      <c r="B37" s="2"/>
      <c r="C37" s="2"/>
      <c r="D37" s="2"/>
      <c r="E37" s="2"/>
      <c r="F37" s="2"/>
      <c r="G37" s="2"/>
      <c r="I37" s="2"/>
      <c r="J37" s="2"/>
      <c r="K37" s="2"/>
      <c r="L37" s="2"/>
      <c r="M37" s="2"/>
      <c r="N37" s="2"/>
      <c r="O37" s="2"/>
    </row>
    <row r="38" spans="1: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ht="18.75" customHeight="1">
      <c r="A40" s="2"/>
      <c r="B40" s="2"/>
      <c r="C40" s="2"/>
      <c r="D40" s="2"/>
      <c r="E40" s="2"/>
      <c r="F40" s="2"/>
      <c r="G40" s="2"/>
      <c r="H40" s="21" t="s">
        <v>32</v>
      </c>
      <c r="I40" s="2"/>
      <c r="J40" s="2"/>
      <c r="K40" s="2"/>
      <c r="L40" s="2"/>
      <c r="M40" s="2"/>
      <c r="N40" s="2"/>
      <c r="O40" s="2"/>
    </row>
    <row r="41" spans="1:15" ht="18.75" customHeight="1">
      <c r="A41" s="2"/>
      <c r="B41" s="2"/>
      <c r="C41" s="2"/>
      <c r="D41" s="2"/>
      <c r="E41" s="2"/>
      <c r="F41" s="2"/>
      <c r="G41" s="2"/>
      <c r="H41" s="22" t="s">
        <v>33</v>
      </c>
      <c r="I41" s="2"/>
      <c r="J41" s="2"/>
      <c r="K41" s="2"/>
      <c r="L41" s="2"/>
      <c r="M41" s="2"/>
      <c r="N41" s="2"/>
      <c r="O41" s="2"/>
    </row>
    <row r="42" spans="1: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spans="1: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</row>
    <row r="44" spans="1: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spans="1: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</row>
    <row r="46" spans="1: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</row>
    <row r="47" spans="1: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</row>
    <row r="48" spans="1:15" ht="18.75" customHeight="1">
      <c r="A48" s="2"/>
      <c r="B48" s="2"/>
      <c r="C48" s="2"/>
      <c r="D48" s="2"/>
      <c r="E48" s="2"/>
      <c r="F48" s="2"/>
      <c r="G48" s="2"/>
      <c r="H48" s="19"/>
      <c r="I48" s="2"/>
      <c r="J48" s="2"/>
      <c r="K48" s="2"/>
      <c r="L48" s="2"/>
      <c r="M48" s="2"/>
      <c r="N48" s="2"/>
      <c r="O48" s="2"/>
    </row>
    <row r="49" spans="1:16" ht="18.75" customHeight="1">
      <c r="A49" s="2"/>
      <c r="B49" s="2"/>
      <c r="C49" s="2"/>
      <c r="D49" s="2"/>
      <c r="E49" s="2"/>
      <c r="F49" s="2"/>
      <c r="G49" s="2"/>
      <c r="I49" s="2"/>
      <c r="J49" s="2"/>
      <c r="K49" s="2"/>
      <c r="L49" s="2"/>
      <c r="M49" s="2"/>
      <c r="N49" s="2"/>
      <c r="O49" s="2"/>
      <c r="P49" s="21"/>
    </row>
    <row r="50" spans="1:16" ht="18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1" t="s">
        <v>26</v>
      </c>
    </row>
    <row r="51" spans="1:16" ht="18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</row>
    <row r="52" spans="1: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</row>
    <row r="53" spans="1:1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</row>
    <row r="54" spans="1:1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</row>
    <row r="55" spans="1:1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</row>
    <row r="56" spans="1: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</row>
    <row r="57" spans="1: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</row>
    <row r="58" spans="1: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</row>
    <row r="59" spans="1: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</row>
    <row r="60" spans="1:1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</row>
    <row r="61" spans="1:1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</row>
    <row r="62" spans="1:1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</row>
    <row r="63" spans="1: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 spans="1: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 spans="1: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 spans="1: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9" spans="1: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 spans="1: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 spans="1: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 spans="1: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 spans="1: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 spans="1: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 spans="1:15" ht="18.75" customHeight="1">
      <c r="A75" s="2"/>
      <c r="B75" s="2"/>
      <c r="C75" s="2"/>
      <c r="D75" s="2"/>
      <c r="E75" s="2"/>
      <c r="F75" s="2"/>
      <c r="G75" s="2"/>
      <c r="H75" s="19"/>
      <c r="I75" s="2"/>
      <c r="J75" s="2"/>
      <c r="K75" s="2"/>
      <c r="L75" s="2"/>
      <c r="M75" s="2"/>
      <c r="N75" s="2"/>
      <c r="O75" s="2"/>
    </row>
    <row r="76" spans="1:15">
      <c r="A76" s="2"/>
      <c r="B76" s="2"/>
      <c r="C76" s="2"/>
      <c r="D76" s="2"/>
      <c r="E76" s="2"/>
      <c r="F76" s="2"/>
      <c r="G76" s="2"/>
      <c r="H76" s="17"/>
      <c r="I76" s="2"/>
      <c r="J76" s="2"/>
      <c r="K76" s="2"/>
      <c r="L76" s="2"/>
      <c r="M76" s="2"/>
      <c r="N76" s="2"/>
      <c r="O76" s="2"/>
    </row>
    <row r="77" spans="1:15">
      <c r="A77" s="2"/>
      <c r="B77" s="2"/>
      <c r="C77" s="2"/>
      <c r="D77" s="2"/>
      <c r="E77" s="2"/>
      <c r="F77" s="2"/>
      <c r="G77" s="2"/>
      <c r="H77" s="17"/>
      <c r="I77" s="2"/>
      <c r="J77" s="2"/>
      <c r="K77" s="2"/>
      <c r="L77" s="2"/>
      <c r="M77" s="2"/>
      <c r="N77" s="2"/>
      <c r="O77" s="2"/>
    </row>
    <row r="78" spans="1:15" ht="18.75" customHeight="1">
      <c r="A78" s="2"/>
      <c r="B78" s="2"/>
      <c r="C78" s="2"/>
      <c r="D78" s="2"/>
      <c r="E78" s="2"/>
      <c r="F78" s="2"/>
      <c r="G78" s="2"/>
      <c r="I78" s="2"/>
      <c r="J78" s="2"/>
      <c r="K78" s="2"/>
      <c r="L78" s="2"/>
      <c r="M78" s="2"/>
      <c r="N78" s="2"/>
      <c r="O78" s="2"/>
    </row>
    <row r="79" spans="1:15" ht="18.75" customHeight="1">
      <c r="A79" s="2"/>
      <c r="B79" s="2"/>
      <c r="C79" s="2"/>
      <c r="D79" s="2"/>
      <c r="E79" s="2"/>
      <c r="F79" s="2"/>
      <c r="G79" s="2"/>
      <c r="H79" s="21" t="s">
        <v>28</v>
      </c>
      <c r="I79" s="2"/>
      <c r="J79" s="2"/>
      <c r="K79" s="2"/>
      <c r="L79" s="2"/>
      <c r="M79" s="2"/>
      <c r="N79" s="2"/>
      <c r="O79" s="2"/>
    </row>
    <row r="80" spans="1:15" ht="18.75" customHeight="1">
      <c r="A80" s="2"/>
      <c r="B80" s="2"/>
      <c r="C80" s="2"/>
      <c r="D80" s="2"/>
      <c r="E80" s="2"/>
      <c r="F80" s="2"/>
      <c r="H80" s="23" t="s">
        <v>29</v>
      </c>
      <c r="I80" s="2"/>
      <c r="J80" s="2"/>
      <c r="K80" s="2"/>
      <c r="L80" s="2"/>
      <c r="M80" s="2"/>
      <c r="N80" s="2"/>
      <c r="O80" s="2"/>
    </row>
    <row r="81" spans="1:16" ht="18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 spans="1:1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 spans="1: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 spans="1:1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 spans="1:1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 spans="1:1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ht="18.75" customHeight="1">
      <c r="A87" s="2"/>
      <c r="B87" s="2"/>
      <c r="C87" s="2"/>
      <c r="D87" s="2"/>
      <c r="E87" s="2"/>
      <c r="F87" s="2"/>
      <c r="G87" s="2"/>
      <c r="H87" s="19"/>
      <c r="I87" s="2"/>
      <c r="J87" s="2"/>
      <c r="K87" s="2"/>
      <c r="L87" s="2"/>
      <c r="M87" s="2"/>
      <c r="N87" s="2"/>
      <c r="O87" s="2"/>
      <c r="P87" s="2"/>
    </row>
    <row r="88" spans="1:16" ht="18.75" customHeight="1">
      <c r="A88" s="2"/>
      <c r="B88" s="2"/>
      <c r="C88" s="2"/>
      <c r="D88" s="2"/>
      <c r="E88" s="2"/>
      <c r="F88" s="2"/>
      <c r="G88" s="2"/>
      <c r="H88" s="17"/>
      <c r="I88" s="2"/>
      <c r="J88" s="2"/>
      <c r="K88" s="2"/>
      <c r="L88" s="2"/>
      <c r="M88" s="2"/>
      <c r="N88" s="2"/>
      <c r="O88" s="2"/>
      <c r="P88" s="21" t="s">
        <v>32</v>
      </c>
    </row>
    <row r="89" spans="1:16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2" t="s">
        <v>33</v>
      </c>
    </row>
    <row r="90" spans="1:1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乗法モデル</vt:lpstr>
      <vt:lpstr>加法モデル</vt:lpstr>
      <vt:lpstr>Sheet1</vt:lpstr>
      <vt:lpstr>発展-成長率</vt:lpstr>
      <vt:lpstr>TCSI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2023-09-08T11:33:49Z</dcterms:modified>
</cp:coreProperties>
</file>