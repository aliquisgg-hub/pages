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2023\Sc387\part12\"/>
    </mc:Choice>
  </mc:AlternateContent>
  <xr:revisionPtr revIDLastSave="0" documentId="13_ncr:1_{DC473567-1C33-4F74-B60A-7670F411A9CE}" xr6:coauthVersionLast="47" xr6:coauthVersionMax="47" xr10:uidLastSave="{00000000-0000-0000-0000-000000000000}"/>
  <bookViews>
    <workbookView xWindow="0" yWindow="0" windowWidth="26625" windowHeight="16200" xr2:uid="{C61BCB12-4A43-42EB-93C9-21AC3BE97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C4" i="1"/>
  <c r="C6" i="1" s="1"/>
  <c r="C7" i="1" s="1"/>
  <c r="D4" i="1"/>
  <c r="D6" i="1" s="1"/>
  <c r="D7" i="1" s="1"/>
  <c r="B4" i="1"/>
  <c r="B6" i="1" s="1"/>
  <c r="B7" i="1" s="1"/>
  <c r="E3" i="1"/>
  <c r="E2" i="1"/>
  <c r="E4" i="1" l="1"/>
  <c r="E6" i="1" s="1"/>
  <c r="B8" i="1" l="1"/>
  <c r="F8" i="1" s="1"/>
</calcChain>
</file>

<file path=xl/sharedStrings.xml><?xml version="1.0" encoding="utf-8"?>
<sst xmlns="http://schemas.openxmlformats.org/spreadsheetml/2006/main" count="10" uniqueCount="10">
  <si>
    <t>男性</t>
    <rPh sb="0" eb="2">
      <t>ダンセイ</t>
    </rPh>
    <phoneticPr fontId="1"/>
  </si>
  <si>
    <t>女性</t>
    <rPh sb="0" eb="2">
      <t>ジョセイ</t>
    </rPh>
    <phoneticPr fontId="1"/>
  </si>
  <si>
    <t>No</t>
    <phoneticPr fontId="1"/>
  </si>
  <si>
    <t>Yes</t>
    <phoneticPr fontId="1"/>
  </si>
  <si>
    <t>平均情報量</t>
    <rPh sb="0" eb="5">
      <t>ヘイキンジョウホウリョウ</t>
    </rPh>
    <phoneticPr fontId="1"/>
  </si>
  <si>
    <t>…の期待値</t>
    <rPh sb="2" eb="5">
      <t>キタイチ</t>
    </rPh>
    <phoneticPr fontId="1"/>
  </si>
  <si>
    <t>ゲイン</t>
    <phoneticPr fontId="1"/>
  </si>
  <si>
    <t>p</t>
    <phoneticPr fontId="1"/>
  </si>
  <si>
    <t>-p log p</t>
    <phoneticPr fontId="1"/>
  </si>
  <si>
    <t>-p log p-(1-p)log(1-p)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</si>
</sst>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81" formatCode="0.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right" vertical="center"/>
    </xf>
    <xf numFmtId="176" fontId="0" fillId="0" borderId="7" xfId="0" applyNumberFormat="1" applyBorder="1" applyAlignment="1">
      <alignment horizontal="right" vertical="center"/>
    </xf>
    <xf numFmtId="176" fontId="0" fillId="0" borderId="8" xfId="0" applyNumberFormat="1" applyBorder="1">
      <alignment vertical="center"/>
    </xf>
    <xf numFmtId="176" fontId="0" fillId="0" borderId="0" xfId="0" applyNumberFormat="1" applyAlignment="1">
      <alignment horizontal="center" vertical="center"/>
    </xf>
    <xf numFmtId="12" fontId="0" fillId="0" borderId="0" xfId="0" applyNumberFormat="1">
      <alignment vertical="center"/>
    </xf>
    <xf numFmtId="0" fontId="0" fillId="0" borderId="0" xfId="0" quotePrefix="1">
      <alignment vertical="center"/>
    </xf>
    <xf numFmtId="18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75EE-FEE0-4A5F-9801-5B06798EADAE}">
  <dimension ref="A1:K9"/>
  <sheetViews>
    <sheetView tabSelected="1" workbookViewId="0">
      <selection activeCell="J2" sqref="J2:J9"/>
    </sheetView>
  </sheetViews>
  <sheetFormatPr defaultRowHeight="18.75" x14ac:dyDescent="0.4"/>
  <cols>
    <col min="1" max="1" width="11" style="8" bestFit="1" customWidth="1"/>
  </cols>
  <sheetData>
    <row r="1" spans="1:11" ht="19.5" thickBot="1" x14ac:dyDescent="0.45">
      <c r="B1" t="s">
        <v>0</v>
      </c>
      <c r="C1" t="s">
        <v>1</v>
      </c>
      <c r="I1" t="s">
        <v>7</v>
      </c>
      <c r="J1" s="13" t="s">
        <v>8</v>
      </c>
      <c r="K1" s="13" t="s">
        <v>9</v>
      </c>
    </row>
    <row r="2" spans="1:11" x14ac:dyDescent="0.4">
      <c r="A2" s="8" t="s">
        <v>2</v>
      </c>
      <c r="B2" s="2">
        <v>1</v>
      </c>
      <c r="C2" s="3">
        <v>2</v>
      </c>
      <c r="D2" s="4">
        <v>0</v>
      </c>
      <c r="E2">
        <f>SUM(B2:D2)</f>
        <v>3</v>
      </c>
      <c r="I2" s="12">
        <v>0.125</v>
      </c>
      <c r="J2" s="14">
        <f>-I2*LOG(I2,2)</f>
        <v>0.375</v>
      </c>
      <c r="K2" s="14">
        <f>-I2*LOG(I2,2)-(1-I2)*LOG(1-I2,2)</f>
        <v>0.5435644431995964</v>
      </c>
    </row>
    <row r="3" spans="1:11" ht="19.5" thickBot="1" x14ac:dyDescent="0.45">
      <c r="A3" s="8" t="s">
        <v>3</v>
      </c>
      <c r="B3" s="5">
        <v>5</v>
      </c>
      <c r="C3" s="6">
        <v>2</v>
      </c>
      <c r="D3" s="7">
        <v>0</v>
      </c>
      <c r="E3">
        <f>SUM(B3:D3)</f>
        <v>7</v>
      </c>
      <c r="I3" s="12">
        <v>0.25</v>
      </c>
      <c r="J3" s="14">
        <f t="shared" ref="J3:J9" si="0">-I3*LOG(I3,2)</f>
        <v>0.5</v>
      </c>
      <c r="K3" s="14">
        <f t="shared" ref="K3:K9" si="1">-I3*LOG(I3,2)-(1-I3)*LOG(1-I3,2)</f>
        <v>0.81127812445913283</v>
      </c>
    </row>
    <row r="4" spans="1:11" x14ac:dyDescent="0.4">
      <c r="B4">
        <f>SUM(B2:B3)</f>
        <v>6</v>
      </c>
      <c r="C4">
        <f t="shared" ref="C4:E4" si="2">SUM(C2:C3)</f>
        <v>4</v>
      </c>
      <c r="D4">
        <f t="shared" si="2"/>
        <v>0</v>
      </c>
      <c r="E4">
        <f t="shared" si="2"/>
        <v>10</v>
      </c>
      <c r="I4" s="12">
        <v>0.375</v>
      </c>
      <c r="J4" s="14">
        <f t="shared" si="0"/>
        <v>0.53063906222956636</v>
      </c>
      <c r="K4" s="14">
        <f t="shared" si="1"/>
        <v>0.95443400292496494</v>
      </c>
    </row>
    <row r="5" spans="1:11" x14ac:dyDescent="0.4">
      <c r="I5" s="12">
        <v>0.5</v>
      </c>
      <c r="J5" s="14">
        <f t="shared" si="0"/>
        <v>0.5</v>
      </c>
      <c r="K5" s="14">
        <f t="shared" si="1"/>
        <v>1</v>
      </c>
    </row>
    <row r="6" spans="1:11" ht="19.5" thickBot="1" x14ac:dyDescent="0.45">
      <c r="A6" s="8" t="s">
        <v>4</v>
      </c>
      <c r="B6" s="1">
        <f>IFERROR(-B$2/B$4*LOG(B$2/B$4,2)-B$3/B$4*LOG(B$3/B$4,2),0)</f>
        <v>0.65002242164835411</v>
      </c>
      <c r="C6" s="1">
        <f t="shared" ref="C6:E6" si="3">IFERROR(-C$2/C$4*LOG(C$2/C$4,2)-C$3/C$4*LOG(C$3/C$4,2),0)</f>
        <v>1</v>
      </c>
      <c r="D6" s="1">
        <f t="shared" si="3"/>
        <v>0</v>
      </c>
      <c r="E6" s="1">
        <f t="shared" si="3"/>
        <v>0.8812908992306927</v>
      </c>
      <c r="F6" s="1"/>
      <c r="I6" s="12">
        <v>0.625</v>
      </c>
      <c r="J6" s="14">
        <f t="shared" si="0"/>
        <v>0.42379494069539858</v>
      </c>
      <c r="K6" s="14">
        <f t="shared" si="1"/>
        <v>0.95443400292496494</v>
      </c>
    </row>
    <row r="7" spans="1:11" ht="19.5" hidden="1" thickBot="1" x14ac:dyDescent="0.45">
      <c r="B7" s="1">
        <f>B6*B4</f>
        <v>3.9001345298901247</v>
      </c>
      <c r="C7" s="1">
        <f t="shared" ref="C7:D7" si="4">C6*C4</f>
        <v>4</v>
      </c>
      <c r="D7" s="1">
        <f t="shared" si="4"/>
        <v>0</v>
      </c>
      <c r="E7" s="1"/>
      <c r="F7" s="1"/>
      <c r="I7" s="12">
        <v>0.75</v>
      </c>
      <c r="J7" s="14">
        <f t="shared" si="0"/>
        <v>0.31127812445913283</v>
      </c>
      <c r="K7" s="14">
        <f t="shared" si="1"/>
        <v>0.81127812445913283</v>
      </c>
    </row>
    <row r="8" spans="1:11" ht="19.5" thickBot="1" x14ac:dyDescent="0.45">
      <c r="A8" s="8" t="s">
        <v>5</v>
      </c>
      <c r="B8" s="11">
        <f>SUM(B7:D7)/E4</f>
        <v>0.79001345298901238</v>
      </c>
      <c r="C8" s="11"/>
      <c r="D8" s="11"/>
      <c r="E8" s="9" t="s">
        <v>6</v>
      </c>
      <c r="F8" s="10">
        <f>E6-B8</f>
        <v>9.1277446241680327E-2</v>
      </c>
      <c r="I8" s="12">
        <v>0.75</v>
      </c>
      <c r="J8" s="14">
        <f t="shared" si="0"/>
        <v>0.31127812445913283</v>
      </c>
      <c r="K8" s="14">
        <f t="shared" si="1"/>
        <v>0.81127812445913283</v>
      </c>
    </row>
    <row r="9" spans="1:11" x14ac:dyDescent="0.4">
      <c r="I9" s="12">
        <v>0.875</v>
      </c>
      <c r="J9" s="14">
        <f t="shared" si="0"/>
        <v>0.16856444319959643</v>
      </c>
      <c r="K9" s="14">
        <f t="shared" si="1"/>
        <v>0.5435644431995964</v>
      </c>
    </row>
  </sheetData>
  <mergeCells count="1">
    <mergeCell ref="B8:D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2023-07-08T04:51:31Z</dcterms:created>
  <dcterms:modified xsi:type="dcterms:W3CDTF">2023-07-09T01:07:13Z</dcterms:modified>
</cp:coreProperties>
</file>